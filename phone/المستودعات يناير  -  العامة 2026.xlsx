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vmlDrawing3.vml" ContentType="application/vnd.openxmlformats-officedocument.vmlDrawing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vmlDrawing4.vml" ContentType="application/vnd.openxmlformats-officedocument.vmlDrawing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2"/>
  <workbookPr defaultThemeVersion="124226"/>
  <bookViews>
    <workbookView xWindow="240" yWindow="11025" windowWidth="15150" windowHeight="1170" activeTab="3"/>
  </bookViews>
  <sheets>
    <sheet name="المخازن الفرعيه" sheetId="13" r:id="rId1"/>
    <sheet name="الساحة" sheetId="11" r:id="rId2"/>
    <sheet name="الكهرباء" sheetId="10" r:id="rId3"/>
    <sheet name="الرئيسي يناير 2026" sheetId="9" r:id="rId4"/>
    <sheet name="حركه المخزن الرئيسي اليوميه" sheetId="3" r:id="rId5"/>
    <sheet name="Sheet1" sheetId="12" r:id="rId6"/>
  </sheets>
  <definedNames>
    <definedName name="_xlnm._FilterDatabase" localSheetId="4" hidden="1">'حركه المخزن الرئيسي اليوميه'!$B$5:$M$1150</definedName>
    <definedName name="_xlnm._FilterDatabase" localSheetId="4" hidden="1">'حركه المخزن الرئيسي اليوميه'!$B$5:$M$1150</definedName>
    <definedName name="_xlnm._FilterDatabase" localSheetId="4" hidden="1">'حركه المخزن الرئيسي اليوميه'!$B$5:$M$1150</definedName>
    <definedName name="_xlnm._FilterDatabase" localSheetId="4" hidden="1">'حركه المخزن الرئيسي اليوميه'!$B$5:$M$1150</definedName>
    <definedName name="_xlnm._FilterDatabase" localSheetId="3" hidden="1">'الرئيسي يناير 2026'!$A$9:$R$2980</definedName>
    <definedName name="_xlnm._FilterDatabase" localSheetId="4" hidden="1">'حركه المخزن الرئيسي اليوميه'!$B$5:$M$1150</definedName>
    <definedName name="_xlnm._FilterDatabase" localSheetId="3" hidden="1">'الرئيسي يناير 2026'!$A$9:$R$2980</definedName>
    <definedName name="_xlnm._FilterDatabase" localSheetId="1" hidden="1">الساحة!$A$9:$R$291</definedName>
    <definedName name="_xlnm._FilterDatabase" localSheetId="2" hidden="1">الكهرباء!$A$9:$R$633</definedName>
    <definedName name="_xlnm._FilterDatabase" localSheetId="0" hidden="1">'المخازن الفرعيه'!$B$9:$P$301</definedName>
    <definedName name="_xlnm._FilterDatabase" localSheetId="4" hidden="1">'حركه المخزن الرئيسي اليوميه'!$B$5:$M$1150</definedName>
    <definedName name="_xlnm.Print_Area" localSheetId="3">'الرئيسي يناير 2026'!$B$1:$O$1228</definedName>
    <definedName name="_xlnm.Print_Area" localSheetId="1">الساحة!$B$1:$O$93</definedName>
    <definedName name="_xlnm.Print_Area" localSheetId="2">الكهرباء!$B$1:$O$370</definedName>
    <definedName name="_xlnm.Print_Titles" localSheetId="3">'الرئيسي يناير 2026'!$8:$9</definedName>
    <definedName name="_xlnm.Print_Titles" localSheetId="1">الساحة!$8:$9</definedName>
    <definedName name="_xlnm.Print_Titles" localSheetId="2">الكهرباء!$8:$9</definedName>
  </definedNames>
  <calcPr calcId="144525"/>
</workbook>
</file>

<file path=xl/comments1.xml><?xml version="1.0" encoding="utf-8"?>
<comments xmlns="http://schemas.openxmlformats.org/spreadsheetml/2006/main">
  <authors>
    <author>HP</author>
  </authors>
  <commentList>
    <comment ref="O5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</t>
        </r>
      </text>
    </comment>
    <comment ref="O60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</t>
        </r>
      </text>
    </comment>
    <comment ref="O61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
1410</t>
        </r>
      </text>
    </comment>
    <comment ref="O64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جرد 26-6-2022</t>
        </r>
      </text>
    </comment>
    <comment ref="O84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جرد 26-6-2022</t>
        </r>
      </text>
    </comment>
    <comment ref="K106" authorId="0">
      <text>
        <r>
          <rPr>
            <sz val="9"/>
            <color indexed="81"/>
            <rFont val="Tahoma"/>
            <family val="2"/>
          </rPr>
          <t xml:space="preserve">تم التحويل الي قطع عدد 33قطعه
</t>
        </r>
      </text>
    </comment>
    <comment ref="K119" authorId="0">
      <text>
        <r>
          <rPr>
            <b/>
            <sz val="9"/>
            <color indexed="81"/>
            <rFont val="Tahoma"/>
            <family val="2"/>
          </rPr>
          <t xml:space="preserve">تم النقل من اخري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22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</t>
        </r>
      </text>
    </comment>
    <comment ref="O123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6-26-2022</t>
        </r>
      </text>
    </comment>
    <comment ref="O14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</t>
        </r>
      </text>
    </comment>
    <comment ref="O150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</t>
        </r>
      </text>
    </comment>
    <comment ref="O157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جرد 26-6-2022</t>
        </r>
      </text>
    </comment>
  </commentList>
</comments>
</file>

<file path=xl/comments2.xml><?xml version="1.0" encoding="utf-8"?>
<comments xmlns="http://schemas.openxmlformats.org/spreadsheetml/2006/main">
  <authors>
    <author>HP</author>
  </authors>
  <commentList>
    <comment ref="K10" authorId="0">
      <text>
        <r>
          <rPr>
            <b/>
            <sz val="9"/>
            <color indexed="81"/>
            <rFont val="Tahoma"/>
            <family val="2"/>
          </rPr>
          <t xml:space="preserve">تم نقل3 لفه من المخزن الرئسي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2" authorId="0">
      <text>
        <r>
          <rPr>
            <b/>
            <sz val="9"/>
            <color indexed="81"/>
            <rFont val="Tahoma"/>
            <family val="2"/>
          </rPr>
          <t xml:space="preserve">جرد 8-12-2022</t>
        </r>
      </text>
    </comment>
    <comment ref="K26" authorId="0">
      <text>
        <r>
          <rPr>
            <b/>
            <sz val="9"/>
            <color indexed="81"/>
            <rFont val="Tahoma"/>
            <family val="2"/>
          </rPr>
          <t xml:space="preserve">تم التعديد من جوز الي قطعه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6" authorId="0">
      <text>
        <r>
          <rPr>
            <b/>
            <sz val="9"/>
            <color indexed="81"/>
            <rFont val="Tahoma"/>
            <family val="2"/>
          </rPr>
          <t xml:space="preserve">31-12-2023</t>
        </r>
      </text>
    </comment>
    <comment ref="O53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</t>
        </r>
      </text>
    </comment>
    <comment ref="O54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</t>
        </r>
      </text>
    </comment>
    <comment ref="O55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
1410</t>
        </r>
      </text>
    </comment>
    <comment ref="O5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جرد 26-6-2022</t>
        </r>
      </text>
    </comment>
    <comment ref="K65" authorId="0">
      <text>
        <r>
          <rPr>
            <b/>
            <sz val="9"/>
            <color indexed="81"/>
            <rFont val="Tahoma"/>
            <family val="2"/>
          </rPr>
          <t xml:space="preserve">31-12-2023</t>
        </r>
      </text>
    </comment>
    <comment ref="O7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جرد 26-6-2022</t>
        </r>
      </text>
    </comment>
    <comment ref="O117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</t>
        </r>
      </text>
    </comment>
    <comment ref="O118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6-26-2022</t>
        </r>
      </text>
    </comment>
    <comment ref="O144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</t>
        </r>
      </text>
    </comment>
    <comment ref="O145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</t>
        </r>
      </text>
    </comment>
    <comment ref="O152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جرد 26-6-2022</t>
        </r>
      </text>
    </comment>
    <comment ref="K198" authorId="0">
      <text>
        <r>
          <rPr>
            <b/>
            <sz val="9"/>
            <color indexed="81"/>
            <rFont val="Tahoma"/>
            <family val="2"/>
          </rPr>
          <t xml:space="preserve">ترحيل من المخزن الرئسي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99" authorId="0">
      <text>
        <r>
          <rPr>
            <sz val="9"/>
            <color indexed="81"/>
            <rFont val="Tahoma"/>
            <family val="2"/>
          </rPr>
          <t xml:space="preserve">تم النقل من المخزن الرئسي
</t>
        </r>
      </text>
    </comment>
    <comment ref="K200" authorId="0">
      <text>
        <r>
          <rPr>
            <b/>
            <sz val="9"/>
            <color indexed="81"/>
            <rFont val="Tahoma"/>
            <family val="2"/>
          </rPr>
          <t xml:space="preserve">تم النقل من الرئسي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01" authorId="0">
      <text>
        <r>
          <rPr>
            <b/>
            <sz val="9"/>
            <color indexed="81"/>
            <rFont val="Tahoma"/>
            <family val="2"/>
          </rPr>
          <t xml:space="preserve">تم النقل من الرئسي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02" authorId="0">
      <text>
        <r>
          <rPr>
            <b/>
            <sz val="9"/>
            <color indexed="81"/>
            <rFont val="Tahoma"/>
            <family val="2"/>
          </rPr>
          <t xml:space="preserve">تم النقل من الرئسي</t>
        </r>
      </text>
    </comment>
    <comment ref="K217" authorId="0">
      <text>
        <r>
          <rPr>
            <b/>
            <sz val="9"/>
            <color indexed="81"/>
            <rFont val="Tahoma"/>
            <family val="2"/>
          </rPr>
          <t xml:space="preserve">تم النقل من المخزن الرئيسي</t>
        </r>
      </text>
    </comment>
    <comment ref="K218" authorId="0">
      <text>
        <r>
          <rPr>
            <b/>
            <sz val="9"/>
            <color indexed="81"/>
            <rFont val="Tahoma"/>
            <family val="2"/>
          </rPr>
          <t xml:space="preserve">تم النقل من المخزن الرئيسي</t>
        </r>
      </text>
    </comment>
    <comment ref="K219" authorId="0">
      <text>
        <r>
          <rPr>
            <b/>
            <sz val="9"/>
            <color indexed="81"/>
            <rFont val="Tahoma"/>
            <family val="2"/>
          </rPr>
          <t xml:space="preserve">تم النقل من المخزن الرئيسي</t>
        </r>
      </text>
    </comment>
    <comment ref="K220" authorId="0">
      <text>
        <r>
          <rPr>
            <b/>
            <sz val="9"/>
            <color indexed="81"/>
            <rFont val="Tahoma"/>
            <family val="2"/>
          </rPr>
          <t xml:space="preserve">تم النقل منالمخزن الرئيسي</t>
        </r>
      </text>
    </comment>
    <comment ref="K221" authorId="0">
      <text>
        <r>
          <rPr>
            <b/>
            <sz val="9"/>
            <color indexed="81"/>
            <rFont val="Tahoma"/>
            <family val="2"/>
          </rPr>
          <t xml:space="preserve">تم النقل من المخزن الرئيسي</t>
        </r>
      </text>
    </comment>
    <comment ref="K222" authorId="0">
      <text>
        <r>
          <rPr>
            <b/>
            <sz val="9"/>
            <color indexed="81"/>
            <rFont val="Tahoma"/>
            <family val="2"/>
          </rPr>
          <t xml:space="preserve">تم النقل من المخزن الرئيسي</t>
        </r>
      </text>
    </comment>
    <comment ref="K223" authorId="0">
      <text>
        <r>
          <rPr>
            <b/>
            <sz val="9"/>
            <color indexed="81"/>
            <rFont val="Tahoma"/>
            <family val="2"/>
          </rPr>
          <t xml:space="preserve">تم النقل من المخزن الرئيسي</t>
        </r>
      </text>
    </comment>
    <comment ref="K224" authorId="0">
      <text>
        <r>
          <rPr>
            <b/>
            <sz val="9"/>
            <color indexed="81"/>
            <rFont val="Tahoma"/>
            <family val="2"/>
          </rPr>
          <t xml:space="preserve">تم النقل من المخزن الرئيسي</t>
        </r>
      </text>
    </comment>
    <comment ref="K225" authorId="0">
      <text>
        <r>
          <rPr>
            <b/>
            <sz val="9"/>
            <color indexed="81"/>
            <rFont val="Tahoma"/>
            <family val="2"/>
          </rPr>
          <t xml:space="preserve">تم النقل من المخزن الرئيسي </t>
        </r>
      </text>
    </comment>
    <comment ref="G243" authorId="0">
      <text>
        <r>
          <rPr>
            <b/>
            <sz val="9"/>
            <color indexed="81"/>
            <rFont val="Tahoma"/>
            <family val="2"/>
          </rPr>
          <t xml:space="preserve">واصل به اضرار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43" authorId="0">
      <text>
        <r>
          <rPr>
            <b/>
            <sz val="9"/>
            <color indexed="81"/>
            <rFont val="Tahoma"/>
            <family val="2"/>
          </rPr>
          <t xml:space="preserve">واصل به اضرار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HP</author>
  </authors>
  <commentList>
    <comment ref="K10" authorId="0">
      <text>
        <r>
          <rPr>
            <b/>
            <sz val="9"/>
            <color indexed="81"/>
            <rFont val="Tahoma"/>
            <family val="2"/>
          </rPr>
          <t xml:space="preserve">جرد</t>
        </r>
      </text>
    </comment>
    <comment ref="K51" authorId="0">
      <text>
        <r>
          <rPr>
            <b/>
            <sz val="9"/>
            <color indexed="81"/>
            <rFont val="Tahoma"/>
            <family val="2"/>
          </rPr>
          <t xml:space="preserve">جرد </t>
        </r>
      </text>
    </comment>
    <comment ref="H63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60+5</t>
        </r>
      </text>
    </comment>
    <comment ref="H70" authorId="0">
      <text>
        <r>
          <rPr>
            <b/>
            <sz val="9"/>
            <color indexed="81"/>
            <rFont val="Tahoma"/>
            <family val="2"/>
          </rPr>
          <t xml:space="preserve">تم ارسال عينه مع حسن عبدالله بتاريخ 2-6-2024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47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جرد 26-6-2022</t>
        </r>
      </text>
    </comment>
    <comment ref="O325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</t>
        </r>
      </text>
    </comment>
    <comment ref="K401" authorId="0">
      <text>
        <r>
          <rPr>
            <sz val="9"/>
            <color indexed="81"/>
            <rFont val="Tahoma"/>
            <family val="2"/>
          </rPr>
          <t xml:space="preserve">مرحل من المخزن الرئسي
</t>
        </r>
      </text>
    </comment>
    <comment ref="K402" authorId="0">
      <text>
        <r>
          <rPr>
            <b/>
            <sz val="9"/>
            <color indexed="81"/>
            <rFont val="Tahoma"/>
            <family val="2"/>
          </rPr>
          <t xml:space="preserve">مرحل من المخزن الرئسي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03" authorId="0">
      <text>
        <r>
          <rPr>
            <b/>
            <sz val="9"/>
            <color indexed="81"/>
            <rFont val="Tahoma"/>
            <family val="2"/>
          </rPr>
          <t xml:space="preserve">مرحل من المخزن الرئسي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04" authorId="0">
      <text>
        <r>
          <rPr>
            <b/>
            <sz val="9"/>
            <color indexed="81"/>
            <rFont val="Tahoma"/>
            <family val="2"/>
          </rPr>
          <t xml:space="preserve">مرحل من المخزن الرئسي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05" authorId="0">
      <text>
        <r>
          <rPr>
            <b/>
            <sz val="9"/>
            <color indexed="81"/>
            <rFont val="Tahoma"/>
            <family val="2"/>
          </rPr>
          <t xml:space="preserve">مرحل من المخزن الرئسي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06" authorId="0">
      <text>
        <r>
          <rPr>
            <b/>
            <sz val="9"/>
            <color indexed="81"/>
            <rFont val="Tahoma"/>
            <family val="2"/>
          </rPr>
          <t xml:space="preserve">مرحل من المخزن الرئسي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07" authorId="0">
      <text>
        <r>
          <rPr>
            <b/>
            <sz val="9"/>
            <color indexed="81"/>
            <rFont val="Tahoma"/>
            <family val="2"/>
          </rPr>
          <t xml:space="preserve">مرحل من المخزن الرئسي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08" authorId="0">
      <text>
        <r>
          <rPr>
            <b/>
            <sz val="9"/>
            <color indexed="81"/>
            <rFont val="Tahoma"/>
            <family val="2"/>
          </rPr>
          <t xml:space="preserve">مرحل من المخزن الرئسي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09" authorId="0">
      <text>
        <r>
          <rPr>
            <b/>
            <sz val="9"/>
            <color indexed="81"/>
            <rFont val="Tahoma"/>
            <family val="2"/>
          </rPr>
          <t xml:space="preserve">مرحل من المخزن الرئسي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10" authorId="0">
      <text>
        <r>
          <rPr>
            <b/>
            <sz val="9"/>
            <color indexed="81"/>
            <rFont val="Tahoma"/>
            <family val="2"/>
          </rPr>
          <t xml:space="preserve">مرحل من المخزن الرئسي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11" authorId="0">
      <text>
        <r>
          <rPr>
            <b/>
            <sz val="9"/>
            <color indexed="81"/>
            <rFont val="Tahoma"/>
            <family val="2"/>
          </rPr>
          <t xml:space="preserve">مرحل من المخزن الرئسي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12" authorId="0">
      <text>
        <r>
          <rPr>
            <b/>
            <sz val="9"/>
            <color indexed="81"/>
            <rFont val="Tahoma"/>
            <family val="2"/>
          </rPr>
          <t xml:space="preserve">مرحل من المخزن الرئسي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13" authorId="0">
      <text>
        <r>
          <rPr>
            <sz val="9"/>
            <color indexed="81"/>
            <rFont val="Tahoma"/>
            <family val="2"/>
          </rPr>
          <t xml:space="preserve">تم النقل من اخري
</t>
        </r>
      </text>
    </comment>
    <comment ref="H449" authorId="0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acount</author>
    <author>HP</author>
  </authors>
  <commentList>
    <comment ref="H29" authorId="0">
      <text>
        <r>
          <rPr>
            <b/>
            <sz val="9"/>
            <color indexed="81"/>
            <rFont val="Tahoma"/>
            <family val="2"/>
          </rPr>
          <t xml:space="preserve">تم تعديل الرقم من 7515 الي 7215</t>
        </r>
      </text>
    </comment>
    <comment ref="H54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تم تدونة بالخطاء NV 313 عدد )(7)</t>
        </r>
      </text>
    </comment>
    <comment ref="H55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NU313EMC3
تم تدونه بالخطاء عدد 7 قطعه </t>
        </r>
      </text>
    </comment>
    <comment ref="K82" authorId="1">
      <text>
        <r>
          <rPr>
            <b/>
            <sz val="9"/>
            <color indexed="81"/>
            <rFont val="Tahoma"/>
            <family val="2"/>
          </rPr>
          <t xml:space="preserve">جرد 5-12-2024</t>
        </r>
      </text>
    </comment>
    <comment ref="H84" authorId="1">
      <text>
        <r>
          <rPr>
            <b/>
            <sz val="9"/>
            <color indexed="81"/>
            <rFont val="Tahoma"/>
            <family val="2"/>
          </rPr>
          <t xml:space="preserve">70*95*12</t>
        </r>
      </text>
    </comment>
    <comment ref="K85" authorId="1">
      <text>
        <r>
          <rPr>
            <b/>
            <sz val="9"/>
            <color indexed="81"/>
            <rFont val="Tahoma"/>
            <family val="2"/>
          </rPr>
          <t xml:space="preserve">جرد 5-12-2024</t>
        </r>
      </text>
    </comment>
    <comment ref="H93" authorId="1">
      <text>
        <r>
          <rPr>
            <b/>
            <sz val="9"/>
            <color indexed="81"/>
            <rFont val="Tahoma"/>
            <family val="2"/>
          </rPr>
          <t xml:space="preserve">تم تدونة بالخطاء 95*76*9
76*95*7</t>
        </r>
      </text>
    </comment>
    <comment ref="K95" authorId="1">
      <text>
        <r>
          <rPr>
            <b/>
            <sz val="9"/>
            <color indexed="81"/>
            <rFont val="Tahoma"/>
            <family val="2"/>
          </rPr>
          <t xml:space="preserve">جرد 16-11-2024</t>
        </r>
      </text>
    </comment>
    <comment ref="H105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تم تصحيح رقم السيل من 140*170*15 الي 
140*160*15</t>
        </r>
      </text>
    </comment>
    <comment ref="K107" authorId="1">
      <text>
        <r>
          <rPr>
            <b/>
            <sz val="9"/>
            <color indexed="81"/>
            <rFont val="Tahoma"/>
            <family val="2"/>
          </rPr>
          <t xml:space="preserve">جرد 18-11-2024</t>
        </r>
      </text>
    </comment>
    <comment ref="K156" authorId="1">
      <text>
        <r>
          <rPr>
            <b/>
            <sz val="9"/>
            <color indexed="81"/>
            <rFont val="Tahoma"/>
            <family val="2"/>
          </rPr>
          <t xml:space="preserve">جرد 5-12-2024</t>
        </r>
      </text>
    </comment>
    <comment ref="K175" authorId="1">
      <text>
        <r>
          <rPr>
            <b/>
            <sz val="9"/>
            <color indexed="81"/>
            <rFont val="Tahoma"/>
            <family val="2"/>
          </rPr>
          <t xml:space="preserve">جرد 18-11-2024</t>
        </r>
      </text>
    </comment>
    <comment ref="K182" authorId="1">
      <text>
        <r>
          <rPr>
            <b/>
            <sz val="9"/>
            <color indexed="81"/>
            <rFont val="Tahoma"/>
            <family val="2"/>
          </rPr>
          <t xml:space="preserve">جرد 18-11-2024</t>
        </r>
      </text>
    </comment>
    <comment ref="K183" authorId="1">
      <text>
        <r>
          <rPr>
            <b/>
            <sz val="9"/>
            <color indexed="81"/>
            <rFont val="Tahoma"/>
            <family val="2"/>
          </rPr>
          <t xml:space="preserve">جرد 4-12-2024</t>
        </r>
      </text>
    </comment>
    <comment ref="K187" authorId="1">
      <text>
        <r>
          <rPr>
            <b/>
            <sz val="9"/>
            <color indexed="81"/>
            <rFont val="Tahoma"/>
            <family val="2"/>
          </rPr>
          <t xml:space="preserve">جرد 18-11-2024</t>
        </r>
      </text>
    </comment>
    <comment ref="K203" authorId="1">
      <text>
        <r>
          <rPr>
            <b/>
            <sz val="9"/>
            <color indexed="81"/>
            <rFont val="Tahoma"/>
            <family val="2"/>
          </rPr>
          <t xml:space="preserve">جرد 5-12-2024</t>
        </r>
      </text>
    </comment>
    <comment ref="K204" authorId="1">
      <text>
        <r>
          <rPr>
            <b/>
            <sz val="9"/>
            <color indexed="81"/>
            <rFont val="Tahoma"/>
            <family val="2"/>
          </rPr>
          <t xml:space="preserve">حرد 20-11-2024</t>
        </r>
      </text>
    </comment>
    <comment ref="K227" authorId="1">
      <text>
        <r>
          <rPr>
            <b/>
            <sz val="9"/>
            <color indexed="81"/>
            <rFont val="Tahoma"/>
            <family val="2"/>
          </rPr>
          <t xml:space="preserve">جرد 4-12-2024</t>
        </r>
      </text>
    </comment>
    <comment ref="K240" authorId="1">
      <text>
        <r>
          <rPr>
            <b/>
            <sz val="9"/>
            <color indexed="81"/>
            <rFont val="Tahoma"/>
            <family val="2"/>
          </rPr>
          <t xml:space="preserve">جرد 5-12-2024</t>
        </r>
      </text>
    </comment>
    <comment ref="K266" authorId="1">
      <text>
        <r>
          <rPr>
            <b/>
            <sz val="9"/>
            <color indexed="81"/>
            <rFont val="Tahoma"/>
            <family val="2"/>
          </rPr>
          <t xml:space="preserve">جرد 5-12-2024</t>
        </r>
      </text>
    </comment>
    <comment ref="K284" authorId="1">
      <text>
        <r>
          <rPr>
            <b/>
            <sz val="9"/>
            <color indexed="81"/>
            <rFont val="Tahoma"/>
            <family val="2"/>
          </rPr>
          <t xml:space="preserve">جرد5-12-2024</t>
        </r>
      </text>
    </comment>
    <comment ref="K304" authorId="1">
      <text>
        <r>
          <rPr>
            <b/>
            <sz val="9"/>
            <color indexed="81"/>
            <rFont val="Tahoma"/>
            <family val="2"/>
          </rPr>
          <t xml:space="preserve">جرد 5-12-2024</t>
        </r>
      </text>
    </comment>
    <comment ref="H400" authorId="1">
      <text>
        <r>
          <rPr>
            <b/>
            <sz val="9"/>
            <color indexed="81"/>
            <rFont val="Tahoma"/>
            <family val="2"/>
          </rPr>
          <t xml:space="preserve">طلمبات الطواحين </t>
        </r>
      </text>
    </comment>
    <comment ref="K400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طلمبات الطواحين </t>
        </r>
      </text>
    </comment>
    <comment ref="N400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طلمبات الطواحين </t>
        </r>
      </text>
    </comment>
    <comment ref="O575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جرد يوم  26-6-2022</t>
        </r>
      </text>
    </comment>
    <comment ref="O600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</t>
        </r>
      </text>
    </comment>
    <comment ref="O601" authorId="1">
      <text>
        <r>
          <rPr>
            <b/>
            <sz val="9"/>
            <color indexed="81"/>
            <rFont val="Tahoma"/>
            <family val="2"/>
          </rPr>
          <t xml:space="preserve">جرد 
26-5-2022</t>
        </r>
      </text>
    </comment>
    <comment ref="O603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</t>
        </r>
      </text>
    </comment>
    <comment ref="O604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</t>
        </r>
      </text>
    </comment>
    <comment ref="O608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جرد يوم  26-6-2022</t>
        </r>
      </text>
    </comment>
    <comment ref="O619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</t>
        </r>
      </text>
    </comment>
    <comment ref="O674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</t>
        </r>
      </text>
    </comment>
    <comment ref="O695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</t>
        </r>
      </text>
    </comment>
    <comment ref="O720" authorId="1">
      <text>
        <r>
          <rPr>
            <b/>
            <sz val="9"/>
            <color indexed="81"/>
            <rFont val="Tahoma"/>
            <family val="2"/>
          </rPr>
          <t xml:space="preserve">26-6-2022
</t>
        </r>
      </text>
    </comment>
    <comment ref="O723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</t>
        </r>
      </text>
    </comment>
    <comment ref="O726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</t>
        </r>
      </text>
    </comment>
    <comment ref="O727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</t>
        </r>
      </text>
    </comment>
    <comment ref="O729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6-26-2022</t>
        </r>
      </text>
    </comment>
    <comment ref="O733" authorId="1">
      <text>
        <r>
          <rPr>
            <b/>
            <sz val="9"/>
            <color indexed="81"/>
            <rFont val="Tahoma"/>
            <family val="2"/>
          </rPr>
          <t xml:space="preserve">جرد  يوم 26-6-2022</t>
        </r>
      </text>
    </comment>
    <comment ref="O751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جرد  يوم 26-6-2022</t>
        </r>
      </text>
    </comment>
    <comment ref="O754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</t>
        </r>
      </text>
    </comment>
    <comment ref="O768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جرد  يوم 26-6-2022</t>
        </r>
      </text>
    </comment>
    <comment ref="O786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جرد  يوم 26-6-2022</t>
        </r>
      </text>
    </comment>
    <comment ref="O789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جرد  يوم 26-6-2022</t>
        </r>
      </text>
    </comment>
    <comment ref="O845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جرد يوم 26-6-2022</t>
        </r>
      </text>
    </comment>
    <comment ref="O909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HP:
جرد يوم 26-6-2022
تم تسجيلة بالخطاء بند رقم 1227</t>
        </r>
      </text>
    </comment>
    <comment ref="O915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جرد يوم 26-6-2022</t>
        </r>
      </text>
    </comment>
    <comment ref="O922" authorId="1">
      <text/>
    </comment>
    <comment ref="K929" authorId="1">
      <text>
        <r>
          <rPr>
            <b/>
            <sz val="9"/>
            <color indexed="81"/>
            <rFont val="Tahoma"/>
            <family val="2"/>
          </rPr>
          <t xml:space="preserve">جرد 21-11-2024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963" authorId="1">
      <text>
        <r>
          <rPr>
            <b/>
            <sz val="9"/>
            <color indexed="81"/>
            <rFont val="Tahoma"/>
            <family val="2"/>
          </rPr>
          <t xml:space="preserve">جرد 21-11-2024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978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
</t>
        </r>
      </text>
    </comment>
    <comment ref="H1020" authorId="1">
      <text>
        <r>
          <rPr>
            <b/>
            <sz val="14"/>
            <color indexed="81"/>
            <rFont val="Tahoma"/>
            <family val="2"/>
          </rPr>
          <t xml:space="preserve">تم تدونة بالخطاء سير C -88</t>
        </r>
      </text>
    </comment>
    <comment ref="K1027" authorId="1">
      <text>
        <r>
          <rPr>
            <b/>
            <sz val="9"/>
            <color indexed="81"/>
            <rFont val="Tahoma"/>
            <family val="2"/>
          </rPr>
          <t xml:space="preserve">جرد 20-11-2024</t>
        </r>
      </text>
    </comment>
    <comment ref="O1031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جرد 26-6-2022</t>
        </r>
      </text>
    </comment>
    <comment ref="O1047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جرد 26-6-2022</t>
        </r>
      </text>
    </comment>
    <comment ref="O1090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</t>
        </r>
      </text>
    </comment>
    <comment ref="O1091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26--6-2022</t>
        </r>
      </text>
    </comment>
    <comment ref="O1096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</t>
        </r>
      </text>
    </comment>
    <comment ref="O1106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</t>
        </r>
      </text>
    </comment>
    <comment ref="O1107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
</t>
        </r>
      </text>
    </comment>
    <comment ref="O1112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</t>
        </r>
      </text>
    </comment>
    <comment ref="O1113" authorId="1">
      <text>
        <r>
          <rPr>
            <b/>
            <sz val="9"/>
            <color indexed="81"/>
            <rFont val="Tahoma"/>
            <family val="2"/>
          </rPr>
          <t xml:space="preserve">HP:</t>
        </r>
        <r>
          <rPr>
            <sz val="9"/>
            <color indexed="81"/>
            <rFont val="Tahoma"/>
            <family val="2"/>
          </rPr>
          <t xml:space="preserve">
26-6-2022</t>
        </r>
      </text>
    </comment>
    <comment ref="H1521" authorId="1">
      <text>
        <r>
          <rPr>
            <b/>
            <sz val="9"/>
            <color indexed="81"/>
            <rFont val="Tahoma"/>
            <family val="2"/>
          </rPr>
          <t xml:space="preserve">تم الاستلم وسوف يتم طلب الخارجي الشهر المقبل بواستط عصام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526" authorId="1">
      <text>
        <r>
          <rPr>
            <b/>
            <sz val="9"/>
            <color indexed="81"/>
            <rFont val="Tahoma"/>
            <family val="2"/>
          </rPr>
          <t xml:space="preserve">نم النقل من اخري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527" authorId="1">
      <text>
        <r>
          <rPr>
            <b/>
            <sz val="9"/>
            <color indexed="81"/>
            <rFont val="Tahoma"/>
            <family val="2"/>
          </rPr>
          <t xml:space="preserve">تم النقل من اخري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528" authorId="1">
      <text>
        <r>
          <rPr>
            <b/>
            <sz val="9"/>
            <color indexed="81"/>
            <rFont val="Tahoma"/>
            <family val="2"/>
          </rPr>
          <t xml:space="preserve">تم النقل من اخري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529" authorId="1">
      <text>
        <r>
          <rPr>
            <b/>
            <sz val="9"/>
            <color indexed="81"/>
            <rFont val="Tahoma"/>
            <family val="2"/>
          </rPr>
          <t xml:space="preserve">تم النقل من اخري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544" authorId="1">
      <text>
        <r>
          <rPr>
            <b/>
            <sz val="9"/>
            <color indexed="81"/>
            <rFont val="Tahoma"/>
            <family val="2"/>
          </rPr>
          <t xml:space="preserve">جرد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554" authorId="1">
      <text>
        <r>
          <rPr>
            <b/>
            <sz val="9"/>
            <color indexed="81"/>
            <rFont val="Tahoma"/>
            <family val="2"/>
          </rPr>
          <t xml:space="preserve">العازل 100قطعه+التيله 100قطعه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653" authorId="1">
      <text>
        <r>
          <rPr>
            <b/>
            <sz val="9"/>
            <color indexed="81"/>
            <rFont val="Tahoma"/>
            <family val="2"/>
          </rPr>
          <t xml:space="preserve">منقول من الساحه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654" authorId="1">
      <text>
        <r>
          <rPr>
            <b/>
            <sz val="9"/>
            <color indexed="81"/>
            <rFont val="Tahoma"/>
            <family val="2"/>
          </rPr>
          <t xml:space="preserve">منقول من الساحه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655" authorId="1">
      <text>
        <r>
          <rPr>
            <b/>
            <sz val="9"/>
            <color indexed="81"/>
            <rFont val="Tahoma"/>
            <family val="2"/>
          </rPr>
          <t xml:space="preserve">منقول من الساحه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<sst xmlns="http://schemas.openxmlformats.org/spreadsheetml/2006/main" uniqueCount="8353" count="8353">
  <si>
    <t xml:space="preserve">شركة أورشاب لتعدين الذهب </t>
  </si>
  <si>
    <t>الكمية</t>
  </si>
  <si>
    <t xml:space="preserve">ملاحظات </t>
  </si>
  <si>
    <t>الجرد</t>
  </si>
  <si>
    <t>الرف - الصندوق</t>
  </si>
  <si>
    <t>وارد</t>
  </si>
  <si>
    <t>منصرف</t>
  </si>
  <si>
    <t>المنصرف</t>
  </si>
  <si>
    <t>متسلسل</t>
  </si>
  <si>
    <t>رقم الصنف</t>
  </si>
  <si>
    <t>الرصيد 
الافتتاحي</t>
  </si>
  <si>
    <t>اتاريخ</t>
  </si>
  <si>
    <t>الكمبة</t>
  </si>
  <si>
    <t>رقم سند الصرف/المنفست</t>
  </si>
  <si>
    <t>اسم المستلم</t>
  </si>
  <si>
    <t>جهة الاستخدام</t>
  </si>
  <si>
    <t>ملاحظات</t>
  </si>
  <si>
    <t xml:space="preserve">جهاز مساحة </t>
  </si>
  <si>
    <t>المخزن</t>
  </si>
  <si>
    <t xml:space="preserve">عربة تحكم بلنة الفلتر </t>
  </si>
  <si>
    <t>A-1</t>
  </si>
  <si>
    <t xml:space="preserve">وردة فلتر </t>
  </si>
  <si>
    <t xml:space="preserve">شيالات بلتة فلتر </t>
  </si>
  <si>
    <t xml:space="preserve">بلي </t>
  </si>
  <si>
    <t>A-2</t>
  </si>
  <si>
    <t>ATN 1310</t>
  </si>
  <si>
    <t>UC210DI</t>
  </si>
  <si>
    <t>6209ZZ</t>
  </si>
  <si>
    <t>A-3</t>
  </si>
  <si>
    <t>6906RS</t>
  </si>
  <si>
    <t xml:space="preserve"> بلي </t>
  </si>
  <si>
    <t>A-4</t>
  </si>
  <si>
    <t>Ni2309</t>
  </si>
  <si>
    <t>NV313EMC3</t>
  </si>
  <si>
    <t>XMZ750/2000</t>
  </si>
  <si>
    <t>B-1</t>
  </si>
  <si>
    <t>B-7</t>
  </si>
  <si>
    <t>B-2</t>
  </si>
  <si>
    <t xml:space="preserve">بوتقة جيرية </t>
  </si>
  <si>
    <t>E-1</t>
  </si>
  <si>
    <t xml:space="preserve">بوتقة رصاص صقيرة </t>
  </si>
  <si>
    <t xml:space="preserve">قالب دهب رصاص </t>
  </si>
  <si>
    <t xml:space="preserve">كوع حديد </t>
  </si>
  <si>
    <t>E-2</t>
  </si>
  <si>
    <t xml:space="preserve">نبل حديد </t>
  </si>
  <si>
    <t>E-3</t>
  </si>
  <si>
    <t xml:space="preserve">نبل نحاس </t>
  </si>
  <si>
    <t>جلبة مخفض حديد</t>
  </si>
  <si>
    <t xml:space="preserve">جلبة حديد </t>
  </si>
  <si>
    <t xml:space="preserve">تي حديد </t>
  </si>
  <si>
    <t>تي حديد مخفض</t>
  </si>
  <si>
    <t xml:space="preserve">بلف حديد </t>
  </si>
  <si>
    <t>E-4</t>
  </si>
  <si>
    <t xml:space="preserve">بلف نحاس </t>
  </si>
  <si>
    <t>بلف نحاس ( رداخ )</t>
  </si>
  <si>
    <t>B-5</t>
  </si>
  <si>
    <t xml:space="preserve">شريط تحزير </t>
  </si>
  <si>
    <t>HRAT-SHRINKABLE</t>
  </si>
  <si>
    <t>B-9</t>
  </si>
  <si>
    <t>M14*1.5</t>
  </si>
  <si>
    <t>Greasecup</t>
  </si>
  <si>
    <t>Exhausttee</t>
  </si>
  <si>
    <t>Stroke Switch</t>
  </si>
  <si>
    <t>مفتاح كمبرسون</t>
  </si>
  <si>
    <t>7.5 KW-380V</t>
  </si>
  <si>
    <t>B-8</t>
  </si>
  <si>
    <t>جهاز فرامل - الكسارة</t>
  </si>
  <si>
    <t>باكو</t>
  </si>
  <si>
    <t>قطعة</t>
  </si>
  <si>
    <t>باكو لحام</t>
  </si>
  <si>
    <t>B-6</t>
  </si>
  <si>
    <t>مسدس لحام</t>
  </si>
  <si>
    <t>BS490700</t>
  </si>
  <si>
    <t>B-10</t>
  </si>
  <si>
    <t>هيتر - صغير</t>
  </si>
  <si>
    <t>HOP PLATE 505</t>
  </si>
  <si>
    <t>B-0-6</t>
  </si>
  <si>
    <t>جلب كوبلن</t>
  </si>
  <si>
    <t>B-4</t>
  </si>
  <si>
    <t>طارة نظافة - صغيرة</t>
  </si>
  <si>
    <t>طارة قطع - كبيرة</t>
  </si>
  <si>
    <t>طارة قطع - وسط</t>
  </si>
  <si>
    <t>جهاز صنفرة - دربكين</t>
  </si>
  <si>
    <t>مثقاب - دربكين</t>
  </si>
  <si>
    <t>مقاس 5</t>
  </si>
  <si>
    <t>مقاس 8</t>
  </si>
  <si>
    <t>مقاس 9</t>
  </si>
  <si>
    <t>مقاس 10</t>
  </si>
  <si>
    <t>مقاس 13</t>
  </si>
  <si>
    <t>B-3</t>
  </si>
  <si>
    <t>فلنشة طلمبة - طواحين حديد</t>
  </si>
  <si>
    <t>كيبل تايد -رباط- مقاسات مختلفة</t>
  </si>
  <si>
    <t>طقم</t>
  </si>
  <si>
    <t>P-V-1 1x4</t>
  </si>
  <si>
    <t>كيبل اسود - كيبل طاقة شمسية</t>
  </si>
  <si>
    <t xml:space="preserve">سلك بلاستيك - الطاقة كيبل </t>
  </si>
  <si>
    <t>B-0-1</t>
  </si>
  <si>
    <t>مقاسات مختلفة</t>
  </si>
  <si>
    <t>Filter Catrage</t>
  </si>
  <si>
    <t>P-Y-Z1200</t>
  </si>
  <si>
    <t>DROWING NOWCEDE</t>
  </si>
  <si>
    <t>JLP250X1200-31</t>
  </si>
  <si>
    <t>جلب حديد - مقاسات مختلف (صامولة حبس)</t>
  </si>
  <si>
    <t>DROWING MBOX</t>
  </si>
  <si>
    <t>180X3</t>
  </si>
  <si>
    <t xml:space="preserve">كوبلن </t>
  </si>
  <si>
    <t>طلمبة زيت</t>
  </si>
  <si>
    <t>External Magnatic assembly</t>
  </si>
  <si>
    <t>CQB50/32/160 q</t>
  </si>
  <si>
    <t>سيليكون</t>
  </si>
  <si>
    <t>شريط مويه</t>
  </si>
  <si>
    <t>monhole sead to desorption</t>
  </si>
  <si>
    <t>SEEL</t>
  </si>
  <si>
    <t>719*653</t>
  </si>
  <si>
    <t>623*S.73</t>
  </si>
  <si>
    <t>719*655</t>
  </si>
  <si>
    <t>ملفات كهرباء COiL</t>
  </si>
  <si>
    <t>B-11</t>
  </si>
  <si>
    <t xml:space="preserve">لحام استيل </t>
  </si>
  <si>
    <t xml:space="preserve">لحام ظهر </t>
  </si>
  <si>
    <t xml:space="preserve">باكو </t>
  </si>
  <si>
    <t xml:space="preserve">لحام ستلين </t>
  </si>
  <si>
    <t>صباع</t>
  </si>
  <si>
    <t xml:space="preserve">مسدس ستلين </t>
  </si>
  <si>
    <t>Rubber Sleeve ot ey Linder</t>
  </si>
  <si>
    <t xml:space="preserve">طقم </t>
  </si>
  <si>
    <t>اسيال JTER CORTRidge</t>
  </si>
  <si>
    <t>كبيرة</t>
  </si>
  <si>
    <t xml:space="preserve">هوفر </t>
  </si>
  <si>
    <t>120W</t>
  </si>
  <si>
    <t xml:space="preserve">كوابل الطاقة الشمسية </t>
  </si>
  <si>
    <t>جلبة Shad sleeve</t>
  </si>
  <si>
    <t>Drawing nomordel</t>
  </si>
  <si>
    <t>Draming Namedel طارة نظافة 6</t>
  </si>
  <si>
    <t>6\4D-AH(37KW)</t>
  </si>
  <si>
    <t xml:space="preserve">صباع </t>
  </si>
  <si>
    <t xml:space="preserve">بلف زاوية </t>
  </si>
  <si>
    <t>ضبة حديد</t>
  </si>
  <si>
    <t xml:space="preserve">جلبة حديد مخفض </t>
  </si>
  <si>
    <t>E-5</t>
  </si>
  <si>
    <t>يونية حديد</t>
  </si>
  <si>
    <t>قفيص حديد</t>
  </si>
  <si>
    <t>جلب هزاز  Drawing</t>
  </si>
  <si>
    <t>ZyA1842</t>
  </si>
  <si>
    <t>E-7</t>
  </si>
  <si>
    <t>جلب هزاز  Vi brating screen</t>
  </si>
  <si>
    <t>DZS1225</t>
  </si>
  <si>
    <t xml:space="preserve">جلب كبس PPR </t>
  </si>
  <si>
    <t>E-8</t>
  </si>
  <si>
    <t xml:space="preserve">بلف بلية PPR </t>
  </si>
  <si>
    <t>حنفية 1\2"</t>
  </si>
  <si>
    <t xml:space="preserve">جلب لحام PPR </t>
  </si>
  <si>
    <t xml:space="preserve">جلب لحام مخفض  PPR </t>
  </si>
  <si>
    <t>E-9</t>
  </si>
  <si>
    <t xml:space="preserve">مخفض لحام PPR </t>
  </si>
  <si>
    <t xml:space="preserve">جلب رباط PPR </t>
  </si>
  <si>
    <t xml:space="preserve">مخفض PPR </t>
  </si>
  <si>
    <t xml:space="preserve">جلبة PVC </t>
  </si>
  <si>
    <t xml:space="preserve">جلب محطات التحلية </t>
  </si>
  <si>
    <t xml:space="preserve">يونية PPR </t>
  </si>
  <si>
    <t>E-10</t>
  </si>
  <si>
    <t xml:space="preserve">جلب سنة خارجية PPR </t>
  </si>
  <si>
    <t xml:space="preserve">جلب سنة داخلية  PPR </t>
  </si>
  <si>
    <t xml:space="preserve">تي سنة داخلية PPR </t>
  </si>
  <si>
    <t>E-11</t>
  </si>
  <si>
    <t xml:space="preserve">صاج </t>
  </si>
  <si>
    <t>E-12</t>
  </si>
  <si>
    <t xml:space="preserve">كوع PPR </t>
  </si>
  <si>
    <t>E-14</t>
  </si>
  <si>
    <t xml:space="preserve">تي PPR </t>
  </si>
  <si>
    <t>E-15</t>
  </si>
  <si>
    <t>تي PVC</t>
  </si>
  <si>
    <t xml:space="preserve">جلب فلنشة PPR </t>
  </si>
  <si>
    <t xml:space="preserve">كوع سنة داخلية PPR </t>
  </si>
  <si>
    <t>E-16</t>
  </si>
  <si>
    <t>بيبة صرف صحي</t>
  </si>
  <si>
    <t xml:space="preserve">بلف عادي PPR </t>
  </si>
  <si>
    <t>E-17</t>
  </si>
  <si>
    <t>جلبة وصلة PPR</t>
  </si>
  <si>
    <t>ضبة PPR</t>
  </si>
  <si>
    <t xml:space="preserve">غطاء ممبرين </t>
  </si>
  <si>
    <t>E-18</t>
  </si>
  <si>
    <t>تنك شفاط ( حمامات )</t>
  </si>
  <si>
    <t>F-1</t>
  </si>
  <si>
    <t>فلتر هاوزن ( كيس شمعة )</t>
  </si>
  <si>
    <t xml:space="preserve">FiLetr haosing </t>
  </si>
  <si>
    <t>( ممبرينات ) Reverse Osmosis dnt</t>
  </si>
  <si>
    <t xml:space="preserve">ممبرينات </t>
  </si>
  <si>
    <t xml:space="preserve">مفتاح ضغط هواء للكمبرسون </t>
  </si>
  <si>
    <t>Presre swich</t>
  </si>
  <si>
    <t>F-2</t>
  </si>
  <si>
    <t xml:space="preserve">عداد ضغط زيت </t>
  </si>
  <si>
    <t>OiL Pres . Metn</t>
  </si>
  <si>
    <t xml:space="preserve">ساعة ضغط </t>
  </si>
  <si>
    <t>0-3500</t>
  </si>
  <si>
    <t>0-300</t>
  </si>
  <si>
    <t>0-20</t>
  </si>
  <si>
    <t>A-14</t>
  </si>
  <si>
    <t>ساعة anticorrosive</t>
  </si>
  <si>
    <t>compLete dipharagm</t>
  </si>
  <si>
    <t xml:space="preserve">بلف ضغط خلية </t>
  </si>
  <si>
    <t>DN125/16</t>
  </si>
  <si>
    <t xml:space="preserve">بلف حرارة الخلية </t>
  </si>
  <si>
    <t>بلف SF8</t>
  </si>
  <si>
    <t>A-15</t>
  </si>
  <si>
    <t>A-16</t>
  </si>
  <si>
    <t>A-17</t>
  </si>
  <si>
    <t xml:space="preserve">ساعة ضغط الخلية </t>
  </si>
  <si>
    <t>A-18</t>
  </si>
  <si>
    <t>223300A</t>
  </si>
  <si>
    <t>360A-W33</t>
  </si>
  <si>
    <t>22324CAW/33</t>
  </si>
  <si>
    <t>NJ326EM+HJ326</t>
  </si>
  <si>
    <t>3G3622</t>
  </si>
  <si>
    <t xml:space="preserve">جلب مخفض  لحام حديد </t>
  </si>
  <si>
    <t xml:space="preserve">اوشاش ربر </t>
  </si>
  <si>
    <t>A-0-5</t>
  </si>
  <si>
    <t xml:space="preserve">اوشاش توفلن </t>
  </si>
  <si>
    <t xml:space="preserve">اسيال عادية </t>
  </si>
  <si>
    <t>A-0-2</t>
  </si>
  <si>
    <t xml:space="preserve">تيل </t>
  </si>
  <si>
    <t>A-0-8</t>
  </si>
  <si>
    <t>C-2</t>
  </si>
  <si>
    <t xml:space="preserve">مراوح شفاط </t>
  </si>
  <si>
    <t>C-3</t>
  </si>
  <si>
    <t xml:space="preserve">لستك درداقة </t>
  </si>
  <si>
    <t>C-1</t>
  </si>
  <si>
    <t>A-11</t>
  </si>
  <si>
    <t>A-12</t>
  </si>
  <si>
    <t>6321RS</t>
  </si>
  <si>
    <t>CQj-160</t>
  </si>
  <si>
    <t xml:space="preserve"> وصلة Nitrogen filing devvice</t>
  </si>
  <si>
    <t xml:space="preserve">Temprdtur. Sensor </t>
  </si>
  <si>
    <t>wrn-122</t>
  </si>
  <si>
    <t xml:space="preserve">بلف ضغط حرارة </t>
  </si>
  <si>
    <t>DN25/16</t>
  </si>
  <si>
    <t>A-10</t>
  </si>
  <si>
    <t xml:space="preserve">بلي + كيس </t>
  </si>
  <si>
    <t>UCFU211</t>
  </si>
  <si>
    <t>UCP 307</t>
  </si>
  <si>
    <t>NJ 310 EM</t>
  </si>
  <si>
    <t>NU310EM</t>
  </si>
  <si>
    <t>ND 310</t>
  </si>
  <si>
    <t>H2408</t>
  </si>
  <si>
    <t>NUP215E</t>
  </si>
  <si>
    <t>Nj 300 EM</t>
  </si>
  <si>
    <t>22308 CA/W33</t>
  </si>
  <si>
    <t>A-5</t>
  </si>
  <si>
    <t>Nj412m</t>
  </si>
  <si>
    <t>NV318E</t>
  </si>
  <si>
    <t>A-6</t>
  </si>
  <si>
    <t>6322Z1C3</t>
  </si>
  <si>
    <t xml:space="preserve">سيل </t>
  </si>
  <si>
    <t>50*70*10</t>
  </si>
  <si>
    <t>A-8</t>
  </si>
  <si>
    <t>30*50*10</t>
  </si>
  <si>
    <t>35*55*12</t>
  </si>
  <si>
    <t>25*45*10</t>
  </si>
  <si>
    <t>35*55*11</t>
  </si>
  <si>
    <t>110*170*13</t>
  </si>
  <si>
    <t>80*110*12</t>
  </si>
  <si>
    <t>85*110*12</t>
  </si>
  <si>
    <t>75*100*12</t>
  </si>
  <si>
    <t>120*150*14</t>
  </si>
  <si>
    <t>60*50*12</t>
  </si>
  <si>
    <t>100*125*12</t>
  </si>
  <si>
    <t>140*170*16</t>
  </si>
  <si>
    <t>130*160*16</t>
  </si>
  <si>
    <t>180*210*15</t>
  </si>
  <si>
    <t>150*180*16</t>
  </si>
  <si>
    <t>180*220*16</t>
  </si>
  <si>
    <t>127*101.6*12.7</t>
  </si>
  <si>
    <t>90*125*12</t>
  </si>
  <si>
    <t>130*150*15</t>
  </si>
  <si>
    <t>133.35*158.75*12.7</t>
  </si>
  <si>
    <t>135*5*6</t>
  </si>
  <si>
    <t>0-2.5</t>
  </si>
  <si>
    <t>0-25</t>
  </si>
  <si>
    <t>0-0.6</t>
  </si>
  <si>
    <t>0-200</t>
  </si>
  <si>
    <t>0-100</t>
  </si>
  <si>
    <t xml:space="preserve">جلنطي طلمبات </t>
  </si>
  <si>
    <t xml:space="preserve">لفة </t>
  </si>
  <si>
    <t>F-3</t>
  </si>
  <si>
    <t xml:space="preserve">حبل حسن عدس </t>
  </si>
  <si>
    <t xml:space="preserve">ياي </t>
  </si>
  <si>
    <t>F-7</t>
  </si>
  <si>
    <t>F-8</t>
  </si>
  <si>
    <t xml:space="preserve">توفلن </t>
  </si>
  <si>
    <t xml:space="preserve">كبير </t>
  </si>
  <si>
    <t xml:space="preserve"> رولة سير حديد </t>
  </si>
  <si>
    <t xml:space="preserve">ترنك كبيرة </t>
  </si>
  <si>
    <t>F-9</t>
  </si>
  <si>
    <t xml:space="preserve">SIEEVE </t>
  </si>
  <si>
    <t>F-6</t>
  </si>
  <si>
    <t xml:space="preserve">Ring </t>
  </si>
  <si>
    <t>z100-6</t>
  </si>
  <si>
    <t xml:space="preserve">مواسير هيتر الخلية </t>
  </si>
  <si>
    <t xml:space="preserve">بلف تحكم </t>
  </si>
  <si>
    <t>8834/32-201-604</t>
  </si>
  <si>
    <t>JR5ML3-8</t>
  </si>
  <si>
    <t xml:space="preserve">مقاعد فحمات </t>
  </si>
  <si>
    <t>ملقاط بوتقة كبير</t>
  </si>
  <si>
    <t xml:space="preserve">ملقاط بوتقة صغير </t>
  </si>
  <si>
    <t>F-10</t>
  </si>
  <si>
    <t xml:space="preserve">شريط قياس </t>
  </si>
  <si>
    <t xml:space="preserve">15 متر </t>
  </si>
  <si>
    <t xml:space="preserve">صندوق </t>
  </si>
  <si>
    <t xml:space="preserve">كلبسات سير </t>
  </si>
  <si>
    <t xml:space="preserve">مفتاح كلبسات سير </t>
  </si>
  <si>
    <t xml:space="preserve">رولة قماش عازل </t>
  </si>
  <si>
    <t>F-11</t>
  </si>
  <si>
    <t>C122</t>
  </si>
  <si>
    <t>F-15</t>
  </si>
  <si>
    <t>F122</t>
  </si>
  <si>
    <t>E122</t>
  </si>
  <si>
    <t>30*30</t>
  </si>
  <si>
    <t xml:space="preserve">خرطوش هواء </t>
  </si>
  <si>
    <t xml:space="preserve">خرطوش هيدوروليك كبس صغير </t>
  </si>
  <si>
    <t xml:space="preserve">خرطوش هيدوروليك كبس كبير </t>
  </si>
  <si>
    <t xml:space="preserve">فلنشة ضغط </t>
  </si>
  <si>
    <t>F-14</t>
  </si>
  <si>
    <t xml:space="preserve">صباعات بطارية </t>
  </si>
  <si>
    <t>551B-35</t>
  </si>
  <si>
    <t>Fuelrume</t>
  </si>
  <si>
    <t xml:space="preserve">فنية ستلين </t>
  </si>
  <si>
    <t>B-12</t>
  </si>
  <si>
    <t xml:space="preserve">عازل حراري </t>
  </si>
  <si>
    <t>H-1</t>
  </si>
  <si>
    <t xml:space="preserve">بلف </t>
  </si>
  <si>
    <t>Q3/8</t>
  </si>
  <si>
    <t xml:space="preserve">اسكرين </t>
  </si>
  <si>
    <t xml:space="preserve">مشمع مظلات </t>
  </si>
  <si>
    <t>ROCKWOOL PCPA</t>
  </si>
  <si>
    <t xml:space="preserve">بلف رداخ موزع </t>
  </si>
  <si>
    <t>H-3</t>
  </si>
  <si>
    <t xml:space="preserve">بلف رداخ  </t>
  </si>
  <si>
    <t xml:space="preserve">بلف فراشة </t>
  </si>
  <si>
    <t>كبير D.N.250</t>
  </si>
  <si>
    <t>B4.125Z</t>
  </si>
  <si>
    <t xml:space="preserve">فايبر </t>
  </si>
  <si>
    <t xml:space="preserve">لوح </t>
  </si>
  <si>
    <t>DN.150</t>
  </si>
  <si>
    <t>DN.250</t>
  </si>
  <si>
    <t>DN.200</t>
  </si>
  <si>
    <t xml:space="preserve">سلك رباط </t>
  </si>
  <si>
    <t xml:space="preserve">CaThode plate  اغطاب كاثود </t>
  </si>
  <si>
    <t xml:space="preserve">ورد بلاستيك الطواحين </t>
  </si>
  <si>
    <t>DN65</t>
  </si>
  <si>
    <t>D-6</t>
  </si>
  <si>
    <t>D-11</t>
  </si>
  <si>
    <t>D-7</t>
  </si>
  <si>
    <t>D-3</t>
  </si>
  <si>
    <t xml:space="preserve">DN40 </t>
  </si>
  <si>
    <t xml:space="preserve">DN32 </t>
  </si>
  <si>
    <t xml:space="preserve">DN25 </t>
  </si>
  <si>
    <t xml:space="preserve">بلف بلية  </t>
  </si>
  <si>
    <t>D-14</t>
  </si>
  <si>
    <t>DN50</t>
  </si>
  <si>
    <t>D-23</t>
  </si>
  <si>
    <t xml:space="preserve">بستم فرامل سير </t>
  </si>
  <si>
    <t>D-19</t>
  </si>
  <si>
    <t xml:space="preserve">كوع فلنشة سايكلون </t>
  </si>
  <si>
    <t>D-24</t>
  </si>
  <si>
    <t>Line</t>
  </si>
  <si>
    <t>upper.cone</t>
  </si>
  <si>
    <t>fortex findar</t>
  </si>
  <si>
    <t xml:space="preserve">lower cone line </t>
  </si>
  <si>
    <t>Spigot.steeL. SheLL</t>
  </si>
  <si>
    <t>Spigot</t>
  </si>
  <si>
    <t>Over fLow. Ben</t>
  </si>
  <si>
    <t>D-10</t>
  </si>
  <si>
    <t xml:space="preserve">بلف رداخ </t>
  </si>
  <si>
    <t>PN80</t>
  </si>
  <si>
    <t>PN50</t>
  </si>
  <si>
    <t>D-18</t>
  </si>
  <si>
    <t xml:space="preserve">اسكرين عادي </t>
  </si>
  <si>
    <t>D-16</t>
  </si>
  <si>
    <t xml:space="preserve">خرطوش قماش </t>
  </si>
  <si>
    <t xml:space="preserve">سلك كرين </t>
  </si>
  <si>
    <t xml:space="preserve">صغير </t>
  </si>
  <si>
    <t xml:space="preserve">غطاء كمرسون </t>
  </si>
  <si>
    <t>D-12</t>
  </si>
  <si>
    <t xml:space="preserve">خابور </t>
  </si>
  <si>
    <t>D-4</t>
  </si>
  <si>
    <t xml:space="preserve">توفلن رباط </t>
  </si>
  <si>
    <t>25*42\25*36</t>
  </si>
  <si>
    <t xml:space="preserve">ماسورة pVC </t>
  </si>
  <si>
    <t xml:space="preserve">ماسورة  PPR </t>
  </si>
  <si>
    <t xml:space="preserve">متر </t>
  </si>
  <si>
    <t xml:space="preserve">قفيص شداد </t>
  </si>
  <si>
    <t>J</t>
  </si>
  <si>
    <t xml:space="preserve">فشر </t>
  </si>
  <si>
    <t>نحاس مقاس 19</t>
  </si>
  <si>
    <t>حديد مقاس 23</t>
  </si>
  <si>
    <t xml:space="preserve">طبخة فلتر </t>
  </si>
  <si>
    <t xml:space="preserve">مسطرة فلتر </t>
  </si>
  <si>
    <t>G</t>
  </si>
  <si>
    <t xml:space="preserve">موتور 2.2 KW </t>
  </si>
  <si>
    <t xml:space="preserve">موتور 18.5KW </t>
  </si>
  <si>
    <t xml:space="preserve">موتور 15KW </t>
  </si>
  <si>
    <t>موتور 11KW</t>
  </si>
  <si>
    <t xml:space="preserve">ميزان كبير </t>
  </si>
  <si>
    <t xml:space="preserve">اسفنجي مولدات </t>
  </si>
  <si>
    <t xml:space="preserve">كيبل لحام </t>
  </si>
  <si>
    <t>G-2</t>
  </si>
  <si>
    <t xml:space="preserve">طفاية حريق </t>
  </si>
  <si>
    <t>G-3</t>
  </si>
  <si>
    <t xml:space="preserve">طفاية اتومتيك </t>
  </si>
  <si>
    <t xml:space="preserve">ربر لحام سير </t>
  </si>
  <si>
    <t xml:space="preserve">ربر لحام سيور </t>
  </si>
  <si>
    <t xml:space="preserve">طلمبة الثكنر </t>
  </si>
  <si>
    <t xml:space="preserve">موتور </t>
  </si>
  <si>
    <t xml:space="preserve">طلمبة الفلوك </t>
  </si>
  <si>
    <t xml:space="preserve">طلمبة </t>
  </si>
  <si>
    <t>موتور</t>
  </si>
  <si>
    <t xml:space="preserve">قاطع ديسك ثابت </t>
  </si>
  <si>
    <t xml:space="preserve">حجر نار ثابت </t>
  </si>
  <si>
    <t xml:space="preserve">90KW </t>
  </si>
  <si>
    <t>كبستر 40 MF</t>
  </si>
  <si>
    <t xml:space="preserve">كونتاكتر 132KW </t>
  </si>
  <si>
    <t>كونتاكترحراري 50KW-72A</t>
  </si>
  <si>
    <t xml:space="preserve">كونتاكتر 11KW </t>
  </si>
  <si>
    <t xml:space="preserve">كونتاكتر 15 KW </t>
  </si>
  <si>
    <t xml:space="preserve">كونتاكتر 10KW حراري </t>
  </si>
  <si>
    <t xml:space="preserve">كونتاكتر 18.5KW </t>
  </si>
  <si>
    <t xml:space="preserve">كونتاكتر 20KW حراري </t>
  </si>
  <si>
    <t>كونتاكتر 100</t>
  </si>
  <si>
    <t xml:space="preserve">كونتاكتر 30KW </t>
  </si>
  <si>
    <t xml:space="preserve"> كونتاكتر KW85/380V </t>
  </si>
  <si>
    <t>كونتاكتر KW 85/220V</t>
  </si>
  <si>
    <t>كونتاكتر KW280</t>
  </si>
  <si>
    <t>كونتاكتر KW 450</t>
  </si>
  <si>
    <t>كونتاكتر KW300/220V</t>
  </si>
  <si>
    <t>كونتاكتر KW200</t>
  </si>
  <si>
    <t>كونتاكتر300KW 380V</t>
  </si>
  <si>
    <t>بريكر 400A</t>
  </si>
  <si>
    <t>بريكر 160A</t>
  </si>
  <si>
    <t>بريكر 100A</t>
  </si>
  <si>
    <t>بريكر 40A</t>
  </si>
  <si>
    <t>بريكر 80A</t>
  </si>
  <si>
    <t>بريكر 1خط  16A</t>
  </si>
  <si>
    <t>بريكر 4خط   20A</t>
  </si>
  <si>
    <t>بريكر 2خط  20A</t>
  </si>
  <si>
    <t>بريكر 40A-KA ثلاثه خط</t>
  </si>
  <si>
    <t xml:space="preserve">بريكر 32A ثلاثه خط </t>
  </si>
  <si>
    <t xml:space="preserve">بريكر 32 A اربعه خط </t>
  </si>
  <si>
    <t>A-7</t>
  </si>
  <si>
    <t>A-9</t>
  </si>
  <si>
    <t>D-5</t>
  </si>
  <si>
    <t>D-2</t>
  </si>
  <si>
    <t>اوفرلود48-65 A</t>
  </si>
  <si>
    <t>تايمر 0.75</t>
  </si>
  <si>
    <t>تايمر 99S</t>
  </si>
  <si>
    <t>نقاط كونتاكتر (صغيره)</t>
  </si>
  <si>
    <t>نقاط كونتاكتر (كبيره)</t>
  </si>
  <si>
    <t>جهاز ضبط P.F</t>
  </si>
  <si>
    <t xml:space="preserve">لميت سوتش </t>
  </si>
  <si>
    <t xml:space="preserve">بطاريه كوداك </t>
  </si>
  <si>
    <t xml:space="preserve">مقاومه متغيره </t>
  </si>
  <si>
    <t>ريلى ستة ارجل 220V</t>
  </si>
  <si>
    <t xml:space="preserve">طبلون (طواحين )طلمبات </t>
  </si>
  <si>
    <t>بريكر 800A</t>
  </si>
  <si>
    <t>كونتاكتر 25KW</t>
  </si>
  <si>
    <t>كونتاكتر 37KW</t>
  </si>
  <si>
    <t>E-6</t>
  </si>
  <si>
    <t>D-9</t>
  </si>
  <si>
    <t>D-8</t>
  </si>
  <si>
    <t>سلكتر (غرفة كنترول الكهرباء)</t>
  </si>
  <si>
    <t>علب توزيع (بلاستك</t>
  </si>
  <si>
    <t>درايف</t>
  </si>
  <si>
    <t>بريكر 3 خط  10A</t>
  </si>
  <si>
    <t>كونتاكتر 7.5 KW</t>
  </si>
  <si>
    <t>كونتاكتر 630 KW</t>
  </si>
  <si>
    <t>مفتاح 2 خط</t>
  </si>
  <si>
    <t>مفتاح 1 خط</t>
  </si>
  <si>
    <t>مفتاح 3 خط</t>
  </si>
  <si>
    <t>علبه MCB</t>
  </si>
  <si>
    <t>علبه CB</t>
  </si>
  <si>
    <t>علبه 2 خط</t>
  </si>
  <si>
    <t>فشر حديد</t>
  </si>
  <si>
    <t>كشافات400w</t>
  </si>
  <si>
    <t>كشافه   350W(قديمه)</t>
  </si>
  <si>
    <t>علبه بلاستك بلكات</t>
  </si>
  <si>
    <t>لمبه24W</t>
  </si>
  <si>
    <t xml:space="preserve">لمبه45W </t>
  </si>
  <si>
    <t>جذم كوابل 150</t>
  </si>
  <si>
    <t>جزم كوابل 500 ملي</t>
  </si>
  <si>
    <t xml:space="preserve">جزم كوابل 300ملي </t>
  </si>
  <si>
    <t>جزم كوابل 185 ملي</t>
  </si>
  <si>
    <t>جزم كوابل 25 ملي</t>
  </si>
  <si>
    <t xml:space="preserve">جزم كوابل 35 ملي </t>
  </si>
  <si>
    <t xml:space="preserve">جزم كوابل 70 ملي </t>
  </si>
  <si>
    <t xml:space="preserve">جزم كوابل 50 ملي </t>
  </si>
  <si>
    <t>جزم كوابل 16 ملي</t>
  </si>
  <si>
    <t>جزم كوابل صغيره</t>
  </si>
  <si>
    <t xml:space="preserve">جزم كوابل تحكم </t>
  </si>
  <si>
    <t>طبلون (مصنع)قديمه</t>
  </si>
  <si>
    <t>مفتاح  قلاب</t>
  </si>
  <si>
    <t>كونتاكتر 22KW</t>
  </si>
  <si>
    <t>طبلون  8خط  63</t>
  </si>
  <si>
    <t xml:space="preserve">علبة  بلكات ( سودا ) </t>
  </si>
  <si>
    <t>مفتاح مكيف 45 امبير</t>
  </si>
  <si>
    <t>سلك سعودى 1.5ملم (لفة)</t>
  </si>
  <si>
    <t>سلك سعودى  2.5ملم(لفة)</t>
  </si>
  <si>
    <t>ترانك بلاستك 4*8</t>
  </si>
  <si>
    <t>مكيف 24 وحدة</t>
  </si>
  <si>
    <t>كيبل 16ملم 4خط  (متر)</t>
  </si>
  <si>
    <t xml:space="preserve">مقاعد بريكر </t>
  </si>
  <si>
    <t>بريكر1000A</t>
  </si>
  <si>
    <t>مكنة غسيل سيارات</t>
  </si>
  <si>
    <t>حجر صباع كوداك</t>
  </si>
  <si>
    <t>بريكر 3خط (125A)</t>
  </si>
  <si>
    <t>سلك 3*2.5(لفة)</t>
  </si>
  <si>
    <t>مفتاح طوارى</t>
  </si>
  <si>
    <t xml:space="preserve">جلب مواسير كهرباء 2.5سم </t>
  </si>
  <si>
    <t>كوع بلاستك 2.5سم</t>
  </si>
  <si>
    <t>جذم كيبل 95ملى</t>
  </si>
  <si>
    <t>جذم كيبل 150ملى (قطعة)</t>
  </si>
  <si>
    <t>جذم  كيبل 300ملى (قطعة)</t>
  </si>
  <si>
    <t>هارديسك 2تيرا</t>
  </si>
  <si>
    <t>كوابل 2.5ملي</t>
  </si>
  <si>
    <t>مفكات  (طقم)</t>
  </si>
  <si>
    <t>كشافه 100 W</t>
  </si>
  <si>
    <t>شريط كهرباء</t>
  </si>
  <si>
    <t>جهاز قياس درجه حرارة</t>
  </si>
  <si>
    <t>كشافه 200W</t>
  </si>
  <si>
    <t>كشافات 150W</t>
  </si>
  <si>
    <t>كشافة  led150w</t>
  </si>
  <si>
    <t>كلاميتر (قطعة)</t>
  </si>
  <si>
    <t>قصافة (قطعة)</t>
  </si>
  <si>
    <t>بلك 2خط</t>
  </si>
  <si>
    <t>دربكين (جديد)</t>
  </si>
  <si>
    <t xml:space="preserve">كوابل سلك  2ملي </t>
  </si>
  <si>
    <t xml:space="preserve">بلكات كهرباء ثلاثيه </t>
  </si>
  <si>
    <t>C.T 600/5</t>
  </si>
  <si>
    <t>C.T 1000/5</t>
  </si>
  <si>
    <t>C.T 150/5</t>
  </si>
  <si>
    <t>C.T 300/5</t>
  </si>
  <si>
    <t>كونكتر (كلبسات) مولد 6</t>
  </si>
  <si>
    <t>سلك توصيل داخلى تلفون (متر</t>
  </si>
  <si>
    <t>فيشة سلك تلفون (قطعة)</t>
  </si>
  <si>
    <t>كيبل 4 ملي ( لفه )</t>
  </si>
  <si>
    <t xml:space="preserve">كيبل 6 ملي ( لفة ) </t>
  </si>
  <si>
    <t>SOR</t>
  </si>
  <si>
    <t>UVR</t>
  </si>
  <si>
    <t>موتور شحن 220V</t>
  </si>
  <si>
    <t>ريلى 10 امبير 24   v</t>
  </si>
  <si>
    <t>مفتاح طبلون( قلاب ) 10</t>
  </si>
  <si>
    <t xml:space="preserve">لمبه  بيان عادي اصفر </t>
  </si>
  <si>
    <t xml:space="preserve">لمبه بيان عادي اخضر </t>
  </si>
  <si>
    <t>لمبه بيان  عادي احمر</t>
  </si>
  <si>
    <t>لمبة  40w</t>
  </si>
  <si>
    <t>اوفرلود داخلي 4-6</t>
  </si>
  <si>
    <t>اوفرلود 6-13</t>
  </si>
  <si>
    <t>اوفرلود حراري 40-63</t>
  </si>
  <si>
    <t>ليمتد سويتش - الفلتر</t>
  </si>
  <si>
    <t>شاشة مكثف</t>
  </si>
  <si>
    <t>نقاط مساعدة  16A</t>
  </si>
  <si>
    <t>كونتاكتر 4KW</t>
  </si>
  <si>
    <t>بريكر  315 A</t>
  </si>
  <si>
    <t xml:space="preserve">بريكر 2 خط 16 امبير </t>
  </si>
  <si>
    <t>3"بلف نحاس</t>
  </si>
  <si>
    <t>اسم المخزن</t>
  </si>
  <si>
    <t xml:space="preserve">اسم الصنف </t>
  </si>
  <si>
    <t>مفتاح  تشغيل ضاغط اخضر 10</t>
  </si>
  <si>
    <t xml:space="preserve">جلب لحام    PPR   3\4  </t>
  </si>
  <si>
    <t>35ملي *34سم</t>
  </si>
  <si>
    <t xml:space="preserve">الخلية </t>
  </si>
  <si>
    <t>2" تي حديد</t>
  </si>
  <si>
    <t>4" بلف حديد</t>
  </si>
  <si>
    <t xml:space="preserve">4"بلف نحاس رداخ </t>
  </si>
  <si>
    <t>3" بلف حديد</t>
  </si>
  <si>
    <t>2"بلف حديد</t>
  </si>
  <si>
    <t>2" كوع حديد</t>
  </si>
  <si>
    <t xml:space="preserve">45*20 توفلن </t>
  </si>
  <si>
    <t>70*30 توفلن</t>
  </si>
  <si>
    <t xml:space="preserve">اوشاش ربر مقاسات مختلفة </t>
  </si>
  <si>
    <t>3\4" بلف حديد</t>
  </si>
  <si>
    <t>1\2" ضبة حديد</t>
  </si>
  <si>
    <t>3\4" ضبة حديد</t>
  </si>
  <si>
    <t>1" ضبة حديد</t>
  </si>
  <si>
    <t>بريكر 2 خط 10 امبير</t>
  </si>
  <si>
    <t>مفتاح 3 خط  16 امبير</t>
  </si>
  <si>
    <t>1" يونية حديد</t>
  </si>
  <si>
    <t xml:space="preserve">7" طارة قطع - وسط </t>
  </si>
  <si>
    <t xml:space="preserve">خيمة سكن </t>
  </si>
  <si>
    <t>1.1/4 كوع حديد</t>
  </si>
  <si>
    <t>1.1\4 نبل حديد</t>
  </si>
  <si>
    <t>1.1\4" يونية حديد</t>
  </si>
  <si>
    <t xml:space="preserve">  2" يونية حديد</t>
  </si>
  <si>
    <t>2" نبل حديد</t>
  </si>
  <si>
    <t xml:space="preserve">2" قفيص حديد </t>
  </si>
  <si>
    <t xml:space="preserve">2" كلبسات سير </t>
  </si>
  <si>
    <t>DN80 بلف</t>
  </si>
  <si>
    <t xml:space="preserve">12 لحام استيل </t>
  </si>
  <si>
    <t>10  لحام استيل</t>
  </si>
  <si>
    <t>10 لحام ظهر</t>
  </si>
  <si>
    <t>12 جلنتي طلمبات</t>
  </si>
  <si>
    <t>8 جلنتي طلمبات</t>
  </si>
  <si>
    <t>16 جلنتي طلمبات</t>
  </si>
  <si>
    <t>8 لحام عادي</t>
  </si>
  <si>
    <t>12 لحام عادي</t>
  </si>
  <si>
    <t>3" كوع حديد</t>
  </si>
  <si>
    <t>4" كوع حديد</t>
  </si>
  <si>
    <t xml:space="preserve">3"نبل حدبد </t>
  </si>
  <si>
    <t xml:space="preserve">1"نبل نحاس </t>
  </si>
  <si>
    <t xml:space="preserve">1"جلبة حدبد </t>
  </si>
  <si>
    <t>1"بلف نحاس</t>
  </si>
  <si>
    <t xml:space="preserve">3"يونية حديد </t>
  </si>
  <si>
    <t>1" PVC جلبة</t>
  </si>
  <si>
    <t>3" PPR جلبة سنة خارجية</t>
  </si>
  <si>
    <t>4"  PPR جلبة سنة داخلية</t>
  </si>
  <si>
    <t>4" PPR كوع</t>
  </si>
  <si>
    <t>2" PPR كوع</t>
  </si>
  <si>
    <t>4" PPR تي</t>
  </si>
  <si>
    <t>3" PPR تي</t>
  </si>
  <si>
    <t>3" PVC تي</t>
  </si>
  <si>
    <t>2" PPR تي</t>
  </si>
  <si>
    <t>4" PPR جلب فلنشة</t>
  </si>
  <si>
    <t xml:space="preserve">3" فلنشة ضغط </t>
  </si>
  <si>
    <t xml:space="preserve">4" فلنشة ضغط </t>
  </si>
  <si>
    <t xml:space="preserve">5" فلنشة ضغط </t>
  </si>
  <si>
    <t xml:space="preserve">10" فلنشة  لحام </t>
  </si>
  <si>
    <t xml:space="preserve">4" فلنشة  رباط </t>
  </si>
  <si>
    <t xml:space="preserve">6" فلنشة ضغط </t>
  </si>
  <si>
    <t xml:space="preserve">4" خرطوش قماش </t>
  </si>
  <si>
    <t xml:space="preserve">1" خابور </t>
  </si>
  <si>
    <t>1"-3\4" PPR جلب سنة خارجية</t>
  </si>
  <si>
    <t>1\2" يونية حديد</t>
  </si>
  <si>
    <t xml:space="preserve">1\2" بلف نحاس </t>
  </si>
  <si>
    <t>1\2" حنفية</t>
  </si>
  <si>
    <t>1\2" جلب محطات التحلية</t>
  </si>
  <si>
    <t>1\2"PPR يونية</t>
  </si>
  <si>
    <t>1\2"PPR تي سنة داخلية</t>
  </si>
  <si>
    <t xml:space="preserve">1\2"PPR كوع </t>
  </si>
  <si>
    <t xml:space="preserve">1\2"PPR تي  </t>
  </si>
  <si>
    <t xml:space="preserve">3\4"-1\2" كوع سنة داخلية </t>
  </si>
  <si>
    <t xml:space="preserve">1\2" PPR ضبة </t>
  </si>
  <si>
    <t xml:space="preserve">1\2"خرطوش هواء </t>
  </si>
  <si>
    <t xml:space="preserve">1\2" خابور </t>
  </si>
  <si>
    <t xml:space="preserve">2"-3\4 جلبة حديد مخفض </t>
  </si>
  <si>
    <t>3\4" PPR جلب رباط</t>
  </si>
  <si>
    <t>3\4" PPR يونية</t>
  </si>
  <si>
    <t>3\4" PPR تي سنة داخلية</t>
  </si>
  <si>
    <t xml:space="preserve">3\4" PPR جلبة وصلة </t>
  </si>
  <si>
    <t>3\4" PPR تي</t>
  </si>
  <si>
    <t xml:space="preserve">3\4" خابور </t>
  </si>
  <si>
    <t xml:space="preserve">DN50 بلف </t>
  </si>
  <si>
    <t>3\4" PPR ماسورة</t>
  </si>
  <si>
    <t>3\4" PVC ماسورة</t>
  </si>
  <si>
    <t xml:space="preserve">3\4" خرطوش ماء </t>
  </si>
  <si>
    <t xml:space="preserve">4" PPR جلب كبس </t>
  </si>
  <si>
    <t>القسم</t>
  </si>
  <si>
    <t>انجكتراتT408845</t>
  </si>
  <si>
    <t xml:space="preserve">بطاريات 120امبير </t>
  </si>
  <si>
    <t>انجكترات Pb55p04</t>
  </si>
  <si>
    <t>استارتر (هولد)</t>
  </si>
  <si>
    <t>طمبور+ مقعد مكنيتة كامل</t>
  </si>
  <si>
    <t>raditor        swttch</t>
  </si>
  <si>
    <t>استارت ريلي 100/24, 0718</t>
  </si>
  <si>
    <t>طلمبة   مياه</t>
  </si>
  <si>
    <t>استارتر 6A320-59210</t>
  </si>
  <si>
    <t>شاشة  DEEP   SEN</t>
  </si>
  <si>
    <t>كلبسات بطارية</t>
  </si>
  <si>
    <t>AVR 120</t>
  </si>
  <si>
    <t>بهية   (بخاخ)</t>
  </si>
  <si>
    <t>كونتاك  توصيل</t>
  </si>
  <si>
    <t>مقاوم  اهتزاز (قطعة)</t>
  </si>
  <si>
    <t>دينمو  مولد 660</t>
  </si>
  <si>
    <t>CH 12541</t>
  </si>
  <si>
    <t>بطارية  100</t>
  </si>
  <si>
    <t xml:space="preserve">بطاريه 70 امبير </t>
  </si>
  <si>
    <t xml:space="preserve">بطاريه 90 امبير </t>
  </si>
  <si>
    <t>انجكترCH12082</t>
  </si>
  <si>
    <t>انجكتر ch12071</t>
  </si>
  <si>
    <t>بطارية 40 امبير</t>
  </si>
  <si>
    <t>بطارية 150</t>
  </si>
  <si>
    <t>اتميذرات 18BF</t>
  </si>
  <si>
    <t>اوشاش SE487F</t>
  </si>
  <si>
    <t>اوشاش CH11353</t>
  </si>
  <si>
    <t>اوشاشT408652</t>
  </si>
  <si>
    <t>اوشاش T407678</t>
  </si>
  <si>
    <t>اوشاش CH12454</t>
  </si>
  <si>
    <t>اوشاش CH12142</t>
  </si>
  <si>
    <t>اوشاش CH12118</t>
  </si>
  <si>
    <t>اوشاش CH12127</t>
  </si>
  <si>
    <t>اوشاش KRP1656</t>
  </si>
  <si>
    <t>اوشاش U5LT0357</t>
  </si>
  <si>
    <t>اوشاش U5LB0382</t>
  </si>
  <si>
    <t>اوشاش 3681P046</t>
  </si>
  <si>
    <t>اوشاش 3681P053</t>
  </si>
  <si>
    <t>اوشاش KRP1643</t>
  </si>
  <si>
    <t>اوشاش T400359</t>
  </si>
  <si>
    <t>طقم اوشاش عمره(KRP1657)</t>
  </si>
  <si>
    <t>شنبر KRP3021</t>
  </si>
  <si>
    <t>شنبر2418F704</t>
  </si>
  <si>
    <t>شنبر UPRK0002</t>
  </si>
  <si>
    <t>شنبر URK0005</t>
  </si>
  <si>
    <t>شنبر KRP3031</t>
  </si>
  <si>
    <t>اسيال عمرة</t>
  </si>
  <si>
    <t>اوشاش CH12442</t>
  </si>
  <si>
    <t>اوشاش CH12459</t>
  </si>
  <si>
    <t>اوشاش CH12233</t>
  </si>
  <si>
    <t>اوشاش CH12157</t>
  </si>
  <si>
    <t>اوشاش CH10816</t>
  </si>
  <si>
    <t>اوشاش CH12759</t>
  </si>
  <si>
    <t>اوشاش CH11591</t>
  </si>
  <si>
    <t>اوشاش CH12209</t>
  </si>
  <si>
    <t>اوشاش CH0098</t>
  </si>
  <si>
    <t>اوشاش 3682A011</t>
  </si>
  <si>
    <t>اوشاش 3681V015</t>
  </si>
  <si>
    <t>D-13</t>
  </si>
  <si>
    <t>مولدات</t>
  </si>
  <si>
    <t>سير مروحة 11D1807</t>
  </si>
  <si>
    <t>سير CH11037</t>
  </si>
  <si>
    <t>سير 2614P655</t>
  </si>
  <si>
    <t>سير  CH12789</t>
  </si>
  <si>
    <t>سيرCH11186</t>
  </si>
  <si>
    <t>مقنيته  CH11087</t>
  </si>
  <si>
    <t>سير 541/398</t>
  </si>
  <si>
    <t>طلمبة مويه T423548</t>
  </si>
  <si>
    <t>طلمبه مويه U5MW0208</t>
  </si>
  <si>
    <t>سير 750SPZ29.5 *9.5</t>
  </si>
  <si>
    <t>مقنيتة T.415894</t>
  </si>
  <si>
    <t>فلتر زيت ch10929</t>
  </si>
  <si>
    <t>فلتر زيت  2654407</t>
  </si>
  <si>
    <t>فلتر زيت 4627133</t>
  </si>
  <si>
    <t>فلتر زيت4324909</t>
  </si>
  <si>
    <t>فلتر جاز ch10931</t>
  </si>
  <si>
    <t>فلتر جاز ch 10930</t>
  </si>
  <si>
    <t>فلتر جاز 4816636</t>
  </si>
  <si>
    <t>فلتر جاز 26561118</t>
  </si>
  <si>
    <t>فلتر رطوبه 4415122</t>
  </si>
  <si>
    <t>فلتر هواءch11217</t>
  </si>
  <si>
    <t>فلترهواء s551/4</t>
  </si>
  <si>
    <t>فلتر هواء sev551f/4</t>
  </si>
  <si>
    <t>فلتر هواء26510342</t>
  </si>
  <si>
    <t>كيس فلتر جاز CH11011</t>
  </si>
  <si>
    <t>كيس فلتر زيت CH11010</t>
  </si>
  <si>
    <t>فلتر 3773A061</t>
  </si>
  <si>
    <t>فلتر T42828</t>
  </si>
  <si>
    <t>مقعد كيس  فلتر  جاز</t>
  </si>
  <si>
    <t>مقعد كيس فلتر  زيت</t>
  </si>
  <si>
    <t>فلتر 26560163</t>
  </si>
  <si>
    <t>خرطوش  تبريد (8متر)</t>
  </si>
  <si>
    <t>فلتر 26560143</t>
  </si>
  <si>
    <t>فلتر 26560145</t>
  </si>
  <si>
    <t>فلتر 2654A111</t>
  </si>
  <si>
    <t>كيس فلتر جاز CH11012</t>
  </si>
  <si>
    <t>فلتر زيت SE111B</t>
  </si>
  <si>
    <t>فلتر  FT4737</t>
  </si>
  <si>
    <t>فلتر زيت 901-249</t>
  </si>
  <si>
    <t>فلتر 97210330ED</t>
  </si>
  <si>
    <t>فلتر هواء TA040-93220</t>
  </si>
  <si>
    <t>فلتر CH11620</t>
  </si>
  <si>
    <t>فلتر هواء 26510342</t>
  </si>
  <si>
    <t>فلترهواء AF25557</t>
  </si>
  <si>
    <t>فلتر هواء 2652C831</t>
  </si>
  <si>
    <t>فلتر  301</t>
  </si>
  <si>
    <t>فلتر 1620</t>
  </si>
  <si>
    <t>فلتر هواء 135326206</t>
  </si>
  <si>
    <t>فلتر هواء 25610362</t>
  </si>
  <si>
    <t xml:space="preserve"> الكهرباء </t>
  </si>
  <si>
    <t xml:space="preserve"> الكهرباء</t>
  </si>
  <si>
    <t>الرئيسي</t>
  </si>
  <si>
    <t xml:space="preserve">الكهرباء </t>
  </si>
  <si>
    <t xml:space="preserve">المكتب </t>
  </si>
  <si>
    <t>بريكر 500A</t>
  </si>
  <si>
    <t>بريكر سكين 400 امبير</t>
  </si>
  <si>
    <t>اوشاش</t>
  </si>
  <si>
    <t>شنبر</t>
  </si>
  <si>
    <t>سبل</t>
  </si>
  <si>
    <t>اوشاش 3687M038</t>
  </si>
  <si>
    <t>اوشاش 3688A039</t>
  </si>
  <si>
    <t>اوشاش 2418F437</t>
  </si>
  <si>
    <t>اوشاش T407192</t>
  </si>
  <si>
    <t>بلف راس CH11021</t>
  </si>
  <si>
    <t>بلف راس CH12627</t>
  </si>
  <si>
    <t>بلف راسCH1022</t>
  </si>
  <si>
    <t>بلف راس CH12626</t>
  </si>
  <si>
    <t>بلف راس 3142A171</t>
  </si>
  <si>
    <t>بلف راس T411489</t>
  </si>
  <si>
    <t>بلف راس 3142H071</t>
  </si>
  <si>
    <t>بلف راس 3142A151</t>
  </si>
  <si>
    <t>بلف راس T401032</t>
  </si>
  <si>
    <t>فيوزات6A</t>
  </si>
  <si>
    <t>فيوزات4A</t>
  </si>
  <si>
    <t>غطاء مصفاة 2418F704</t>
  </si>
  <si>
    <t>بلف راس</t>
  </si>
  <si>
    <t>ثيرموستات</t>
  </si>
  <si>
    <t>فبوز</t>
  </si>
  <si>
    <t>غطاء مصفى</t>
  </si>
  <si>
    <t>سير مروحة</t>
  </si>
  <si>
    <t>سير</t>
  </si>
  <si>
    <t>مقنيتة</t>
  </si>
  <si>
    <t>فلتر زيت</t>
  </si>
  <si>
    <t>فلتر جاز</t>
  </si>
  <si>
    <t>فلتر رطوبة</t>
  </si>
  <si>
    <t>فلتر هواء</t>
  </si>
  <si>
    <t>كيس فلتر جاز</t>
  </si>
  <si>
    <t>كيس فلتر زيت</t>
  </si>
  <si>
    <t>فلتر جاز 26560201</t>
  </si>
  <si>
    <t>فلتر</t>
  </si>
  <si>
    <t>خرطوش  تبريد</t>
  </si>
  <si>
    <t xml:space="preserve">فلتر زيت </t>
  </si>
  <si>
    <t>فلتر جاز 15221-4317</t>
  </si>
  <si>
    <t>فلتر زيت HH160-32093</t>
  </si>
  <si>
    <t>شاشات مولد</t>
  </si>
  <si>
    <t>15221-43170</t>
  </si>
  <si>
    <t>16282-97013</t>
  </si>
  <si>
    <t>السباكة</t>
  </si>
  <si>
    <t>PPR 3" بلف</t>
  </si>
  <si>
    <t>2" PPR ماسورة</t>
  </si>
  <si>
    <t>الساحة</t>
  </si>
  <si>
    <t>طارة  نظافة 150*6*22.2 mm</t>
  </si>
  <si>
    <t>حدادة</t>
  </si>
  <si>
    <t>صفيحة منشار</t>
  </si>
  <si>
    <t>R</t>
  </si>
  <si>
    <t>1" PVC ماسورة</t>
  </si>
  <si>
    <t>المصنع</t>
  </si>
  <si>
    <t>10" قفيص</t>
  </si>
  <si>
    <t>E-0-1</t>
  </si>
  <si>
    <t>قاعدة اسكرينات</t>
  </si>
  <si>
    <t>خوصة 6 متر</t>
  </si>
  <si>
    <t>1" PPR ماسورة</t>
  </si>
  <si>
    <t>لحام بارد</t>
  </si>
  <si>
    <t>عجينة سحرية</t>
  </si>
  <si>
    <t>الكهرباء</t>
  </si>
  <si>
    <t xml:space="preserve">مكثف 35+5 </t>
  </si>
  <si>
    <t>مكثف 55+5</t>
  </si>
  <si>
    <t>مكثف 350+400</t>
  </si>
  <si>
    <t>مكثف 60</t>
  </si>
  <si>
    <t>مكثف 20</t>
  </si>
  <si>
    <t>مكثف 80</t>
  </si>
  <si>
    <t>مكثف 70</t>
  </si>
  <si>
    <t>مسامير طواحين 16 سم مستطيلة</t>
  </si>
  <si>
    <t>مسامير طواحين 17 سم مستطيلة</t>
  </si>
  <si>
    <t>مسامير طواحين 20 سم مربعة</t>
  </si>
  <si>
    <t>مسامير طواحين 23 سم مستطيلة</t>
  </si>
  <si>
    <t>مسامير طواحين 22 سم مربعة</t>
  </si>
  <si>
    <t>مسامير طواحين 17 سم مربعة</t>
  </si>
  <si>
    <t>فيوز 6 امبير 5.2*20 ملم</t>
  </si>
  <si>
    <t>فيوز 6 امبير 10*38 ملم</t>
  </si>
  <si>
    <t>فيوز 4 امبير 10*38 ملم</t>
  </si>
  <si>
    <t>فيوز 32 امبير 10*38 ملم</t>
  </si>
  <si>
    <t>مقاعد فيوز 32 امبير 10*38 ملم</t>
  </si>
  <si>
    <t>مسامير 46 طول 15 سم</t>
  </si>
  <si>
    <t>مسامير 46 طول 20 سم</t>
  </si>
  <si>
    <t>مسامير 46 طول 13 سم</t>
  </si>
  <si>
    <t>وجنات - مقاسات مختلفة</t>
  </si>
  <si>
    <t>حجر جيري</t>
  </si>
  <si>
    <t>مسامير 46 طول 40 سم</t>
  </si>
  <si>
    <t>مسامير 46 طول 38 سم</t>
  </si>
  <si>
    <t>مسامير 46 طول 43 سم</t>
  </si>
  <si>
    <t>مسامير 46 طول 45 سم</t>
  </si>
  <si>
    <t>قفيص 11" حديد</t>
  </si>
  <si>
    <t>قفيص 6" حديد</t>
  </si>
  <si>
    <t>قفيص 7" حديد</t>
  </si>
  <si>
    <t>قفيص 3" حديد</t>
  </si>
  <si>
    <t>قفيص 1" حديد</t>
  </si>
  <si>
    <t>مسامير 24 طول 8 سم</t>
  </si>
  <si>
    <t>مسامير 27 طول 8 سم</t>
  </si>
  <si>
    <t>مسامير 30 طول 15 سم</t>
  </si>
  <si>
    <t>مسامير 30 طول 10 سم</t>
  </si>
  <si>
    <t>مسامير 36 طول 9 سم</t>
  </si>
  <si>
    <t>مسامير شيالة طرنكة كهرباء</t>
  </si>
  <si>
    <t>مسامير 36 طول 7 سم</t>
  </si>
  <si>
    <t>السلامة</t>
  </si>
  <si>
    <t xml:space="preserve">جزمة سيفتي  </t>
  </si>
  <si>
    <t>جزمة سيفتي  - مفاسات مختلفة</t>
  </si>
  <si>
    <t xml:space="preserve">لبسة ابرول </t>
  </si>
  <si>
    <t>لبسة ابرول  - مقاسات مختلفة</t>
  </si>
  <si>
    <t>لفة</t>
  </si>
  <si>
    <t>النوع</t>
  </si>
  <si>
    <t>كمامات غبار</t>
  </si>
  <si>
    <t>صندوق</t>
  </si>
  <si>
    <t>جونتي بلاستيك</t>
  </si>
  <si>
    <t>نظارة شفافة عادية</t>
  </si>
  <si>
    <t>نظارة سوداء عادية</t>
  </si>
  <si>
    <t>كمامات - سيانيد</t>
  </si>
  <si>
    <t>فلتر كمامة السيانيد</t>
  </si>
  <si>
    <t>كمامة- سيانيد</t>
  </si>
  <si>
    <t>كمامة غبار</t>
  </si>
  <si>
    <t>جونتي لحام قماش</t>
  </si>
  <si>
    <t>كمامة طبية</t>
  </si>
  <si>
    <t>جونتي طبي</t>
  </si>
  <si>
    <t>سماعة اذن صغيرة</t>
  </si>
  <si>
    <t>درج اسكرين التنوكة</t>
  </si>
  <si>
    <t xml:space="preserve"> قفيص شداد اسكرينات </t>
  </si>
  <si>
    <t>سكرين هزاز - حديد صغير</t>
  </si>
  <si>
    <t>سكرين هزاز - بلاستيك كبير (كسارة)</t>
  </si>
  <si>
    <t>طلمبة فلتر كبيرة (عمودية)</t>
  </si>
  <si>
    <t xml:space="preserve">فريزة </t>
  </si>
  <si>
    <t>مخرطة + ملحقات</t>
  </si>
  <si>
    <t>مكبس هيدروليك (خراطيش)</t>
  </si>
  <si>
    <t>اير ليفتر(AIRLIFTER) - التنوكة</t>
  </si>
  <si>
    <t>جونتي قماش عادي</t>
  </si>
  <si>
    <t>فونية مسدس ستالين - هرس</t>
  </si>
  <si>
    <t>طارة قطع "9 (سالي)</t>
  </si>
  <si>
    <t xml:space="preserve">9 كيلو  طفاية حريق </t>
  </si>
  <si>
    <t xml:space="preserve">6 كيلو  طفاية حريق </t>
  </si>
  <si>
    <t xml:space="preserve">5 كيلو  طفاية حريق </t>
  </si>
  <si>
    <t>B 1956 Li</t>
  </si>
  <si>
    <t>B 2200 Li</t>
  </si>
  <si>
    <t>A  1600 Li</t>
  </si>
  <si>
    <t>A  1150 Li</t>
  </si>
  <si>
    <t xml:space="preserve">C  2438 Li </t>
  </si>
  <si>
    <t>C  115-22*2920 Li</t>
  </si>
  <si>
    <t>8 V 1500</t>
  </si>
  <si>
    <t>C  6858 Li</t>
  </si>
  <si>
    <t>C  2300 Li</t>
  </si>
  <si>
    <t>A  34 Li</t>
  </si>
  <si>
    <t xml:space="preserve">C  1905 Li </t>
  </si>
  <si>
    <t xml:space="preserve">B 1321 Li </t>
  </si>
  <si>
    <t>C  2427 Li</t>
  </si>
  <si>
    <t>C  1956 Li</t>
  </si>
  <si>
    <t>D 5000 Li</t>
  </si>
  <si>
    <t xml:space="preserve">B 1219 Li </t>
  </si>
  <si>
    <t xml:space="preserve">C 2900 Li </t>
  </si>
  <si>
    <t>B  52</t>
  </si>
  <si>
    <t>C . 98 -22*2475</t>
  </si>
  <si>
    <t xml:space="preserve">C . 97 - 22*2450 </t>
  </si>
  <si>
    <t>سير A40 (مكنة  الكور</t>
  </si>
  <si>
    <t>C2526</t>
  </si>
  <si>
    <t>C  105</t>
  </si>
  <si>
    <t>C2000</t>
  </si>
  <si>
    <t>A33</t>
  </si>
  <si>
    <t>B2210</t>
  </si>
  <si>
    <t>C  270</t>
  </si>
  <si>
    <t>C 115</t>
  </si>
  <si>
    <t>سير D 200</t>
  </si>
  <si>
    <t>G-0-2</t>
  </si>
  <si>
    <t>H-0-12</t>
  </si>
  <si>
    <t>G-0-5</t>
  </si>
  <si>
    <t>H-0-10</t>
  </si>
  <si>
    <t>H-0-4</t>
  </si>
  <si>
    <t>G-1</t>
  </si>
  <si>
    <t>H-0-1</t>
  </si>
  <si>
    <t>H-0-9</t>
  </si>
  <si>
    <t>سيرC 77</t>
  </si>
  <si>
    <t>سيرB 48</t>
  </si>
  <si>
    <t>سيرB 58</t>
  </si>
  <si>
    <t>سيرC6850</t>
  </si>
  <si>
    <t>سيرC2880</t>
  </si>
  <si>
    <t>سيرC76</t>
  </si>
  <si>
    <t>سيرB49</t>
  </si>
  <si>
    <t>سيرB77</t>
  </si>
  <si>
    <t>سيرB1364</t>
  </si>
  <si>
    <t>سيرC4634(4572)</t>
  </si>
  <si>
    <t>سيرB1372</t>
  </si>
  <si>
    <t>سيرC2057</t>
  </si>
  <si>
    <t>سيرA2000</t>
  </si>
  <si>
    <t>سيرC3200</t>
  </si>
  <si>
    <t>سيرC95</t>
  </si>
  <si>
    <t>سيرB1250</t>
  </si>
  <si>
    <t>G-0-7</t>
  </si>
  <si>
    <t>G-0-6</t>
  </si>
  <si>
    <t>G-9</t>
  </si>
  <si>
    <t>G-0-8</t>
  </si>
  <si>
    <t>H-0-15</t>
  </si>
  <si>
    <t>H-0-14</t>
  </si>
  <si>
    <t>H-0-6</t>
  </si>
  <si>
    <t>H-0-3</t>
  </si>
  <si>
    <t>C2526 سير</t>
  </si>
  <si>
    <t>C  105 سير</t>
  </si>
  <si>
    <t>C2000 سير</t>
  </si>
  <si>
    <t>A33 سير</t>
  </si>
  <si>
    <t>B2210 سير</t>
  </si>
  <si>
    <t>C  270 سير</t>
  </si>
  <si>
    <t>C 115 سير</t>
  </si>
  <si>
    <t>B 1956 Li سير</t>
  </si>
  <si>
    <t>B 2200 Li سير</t>
  </si>
  <si>
    <t>A  1600 Li سير</t>
  </si>
  <si>
    <t>A  1150 Li سير</t>
  </si>
  <si>
    <t>C  2438 Li  سير</t>
  </si>
  <si>
    <t>C  115-22*2920 Li سير</t>
  </si>
  <si>
    <t>8 V 1500 سير</t>
  </si>
  <si>
    <t>C  6858 Li سير</t>
  </si>
  <si>
    <t>C  2300 Li سير</t>
  </si>
  <si>
    <t>A  34 Li سير</t>
  </si>
  <si>
    <t>C  1905 Li سير</t>
  </si>
  <si>
    <t>B 1321 Li سير</t>
  </si>
  <si>
    <t>C  2427 Li سير</t>
  </si>
  <si>
    <t>17*1950 Li -B 77 سير</t>
  </si>
  <si>
    <t>C  1956 Li سير</t>
  </si>
  <si>
    <t>D 5000 Li سير</t>
  </si>
  <si>
    <t>B 1219 Li سير</t>
  </si>
  <si>
    <t>C 2900 Li سير</t>
  </si>
  <si>
    <t>B  52 سير</t>
  </si>
  <si>
    <t>C . 98 -22*2475 سير</t>
  </si>
  <si>
    <t>C . 97 - 22*2450 سير</t>
  </si>
  <si>
    <t>22*2413lic95 سير</t>
  </si>
  <si>
    <t>H-0-13</t>
  </si>
  <si>
    <t>B-0-4</t>
  </si>
  <si>
    <t>X</t>
  </si>
  <si>
    <t>مبرد مياه 90 لتر</t>
  </si>
  <si>
    <t xml:space="preserve">2"PPR بلف بلية </t>
  </si>
  <si>
    <t xml:space="preserve">1" PPR بلف بلية </t>
  </si>
  <si>
    <t>4" PPR جلب لحام</t>
  </si>
  <si>
    <t xml:space="preserve">3" PPRجلب لحام </t>
  </si>
  <si>
    <t xml:space="preserve">2" PPR جلب لحام </t>
  </si>
  <si>
    <t xml:space="preserve">1" PPR جلب لحام </t>
  </si>
  <si>
    <t xml:space="preserve">1" PPR يونية </t>
  </si>
  <si>
    <t xml:space="preserve">2" PPR  جلب سنة داخلية </t>
  </si>
  <si>
    <t xml:space="preserve">3" PPR كوع </t>
  </si>
  <si>
    <t xml:space="preserve">1" PPR كوع </t>
  </si>
  <si>
    <t xml:space="preserve">3\4"PPR كوع </t>
  </si>
  <si>
    <t xml:space="preserve">1" PPR تي </t>
  </si>
  <si>
    <t xml:space="preserve">4" ماسورة PPR </t>
  </si>
  <si>
    <t xml:space="preserve">ماسورة PPR </t>
  </si>
  <si>
    <t>PPR بلف</t>
  </si>
  <si>
    <t>ميزان شاحنات و قلابات</t>
  </si>
  <si>
    <t xml:space="preserve">المصنع </t>
  </si>
  <si>
    <t>طلمبة صودا</t>
  </si>
  <si>
    <t>الرصيد الحالي</t>
  </si>
  <si>
    <t xml:space="preserve">الفلتر </t>
  </si>
  <si>
    <t xml:space="preserve">السباكة </t>
  </si>
  <si>
    <t xml:space="preserve">السلامة </t>
  </si>
  <si>
    <t>المعمل</t>
  </si>
  <si>
    <t>طاقة</t>
  </si>
  <si>
    <t xml:space="preserve">الطاقة </t>
  </si>
  <si>
    <t>سباكة</t>
  </si>
  <si>
    <t xml:space="preserve">المساحة </t>
  </si>
  <si>
    <t xml:space="preserve">ابار </t>
  </si>
  <si>
    <t>ابار</t>
  </si>
  <si>
    <t xml:space="preserve">الورشة </t>
  </si>
  <si>
    <t>علبة</t>
  </si>
  <si>
    <t xml:space="preserve">صامولة فلتر بلاستيك </t>
  </si>
  <si>
    <t>Impeller</t>
  </si>
  <si>
    <t>Selaling ring</t>
  </si>
  <si>
    <t>Mgnetic pump</t>
  </si>
  <si>
    <t>صغير زيت الطواحين H1\2</t>
  </si>
  <si>
    <t xml:space="preserve"> اتومتيك  ( موتور )</t>
  </si>
  <si>
    <t>1\2 كوع حديد</t>
  </si>
  <si>
    <t>3\4 كوع حديد</t>
  </si>
  <si>
    <t>1.1/2 كوع حديد</t>
  </si>
  <si>
    <t xml:space="preserve">1\2 بلف زاوية </t>
  </si>
  <si>
    <t>اسكرين هزاز ( الطواحين )</t>
  </si>
  <si>
    <t>اسكرين هزاز ( الكسارة )</t>
  </si>
  <si>
    <t xml:space="preserve">سلك شايك ( حصيرة ) </t>
  </si>
  <si>
    <t xml:space="preserve">سلك شايك ( شرشر ) </t>
  </si>
  <si>
    <t>مواسير حديد 4*8</t>
  </si>
  <si>
    <t xml:space="preserve">لوح 6 متر  ( زنكي ) </t>
  </si>
  <si>
    <t>لوح</t>
  </si>
  <si>
    <t>مكيفات 18000 وحة اسبليت ( وحد خارجية )</t>
  </si>
  <si>
    <t xml:space="preserve">قطعة </t>
  </si>
  <si>
    <t xml:space="preserve">شريط كهرباء ( كبير ) </t>
  </si>
  <si>
    <t xml:space="preserve">مسامير فشر </t>
  </si>
  <si>
    <t>فلين مواسير مكيفات ( اسبليت )</t>
  </si>
  <si>
    <t xml:space="preserve">جوال </t>
  </si>
  <si>
    <t xml:space="preserve">حمالة مكيف اسبلت </t>
  </si>
  <si>
    <t>اكوع pvc</t>
  </si>
  <si>
    <t xml:space="preserve">3\4" pvc  اكوع </t>
  </si>
  <si>
    <t xml:space="preserve">3\4" قفيص حديد </t>
  </si>
  <si>
    <t xml:space="preserve">سيل  </t>
  </si>
  <si>
    <t>160*190*15</t>
  </si>
  <si>
    <t>جزمة سيفتي - مقاسات مختلفة ( بلاستيك )</t>
  </si>
  <si>
    <t>انبوبة غاز تكيف R22</t>
  </si>
  <si>
    <t xml:space="preserve">اسطوانة </t>
  </si>
  <si>
    <t>انبوبة غاز تكيف R134</t>
  </si>
  <si>
    <t xml:space="preserve">كرتون مكيفات الخليج </t>
  </si>
  <si>
    <t xml:space="preserve">طلمبات مكيفات 4000 وحدة </t>
  </si>
  <si>
    <t xml:space="preserve">فلتر ثلاجة ( نحاس ) </t>
  </si>
  <si>
    <t xml:space="preserve">وصلة شحن غاز تبريد </t>
  </si>
  <si>
    <t xml:space="preserve">لحام فضة </t>
  </si>
  <si>
    <t xml:space="preserve">لحام نحاس </t>
  </si>
  <si>
    <t>End Liner بلتة طواحين مثلثة</t>
  </si>
  <si>
    <t>Large Liner    64</t>
  </si>
  <si>
    <t>MiddLe Liner   59</t>
  </si>
  <si>
    <t>فلتر  قماش (مشمع - الفلتر)</t>
  </si>
  <si>
    <t xml:space="preserve">مسامير شداد 46 طول 55 سم </t>
  </si>
  <si>
    <t>مواسير نحاس</t>
  </si>
  <si>
    <t xml:space="preserve">ترنكات </t>
  </si>
  <si>
    <t>ترنكات مقاسات مختلفة</t>
  </si>
  <si>
    <t>50CQ - 50 P Impeller</t>
  </si>
  <si>
    <t>50CQ - 50 P mouth ring</t>
  </si>
  <si>
    <t>CQB50 - 32 - 160 Q Impeller</t>
  </si>
  <si>
    <t xml:space="preserve">1.1\2 نبل حديد </t>
  </si>
  <si>
    <t xml:space="preserve">نبل كبس </t>
  </si>
  <si>
    <t xml:space="preserve">1.1\2 نبل كبس </t>
  </si>
  <si>
    <t xml:space="preserve">3\4 نبل حديد </t>
  </si>
  <si>
    <t xml:space="preserve">1\2 نبل حديد </t>
  </si>
  <si>
    <t>3\4-1\2 جلبة مخفض حديد</t>
  </si>
  <si>
    <t xml:space="preserve">3\4 جلبة حديد </t>
  </si>
  <si>
    <t xml:space="preserve">1.1\2 تي حديد </t>
  </si>
  <si>
    <t xml:space="preserve">1.1\4 تي حديد </t>
  </si>
  <si>
    <t xml:space="preserve">1"  تي حديد </t>
  </si>
  <si>
    <t xml:space="preserve">3\4 تي حديد </t>
  </si>
  <si>
    <t>1.1\2-3\4  تي حديد مخفض</t>
  </si>
  <si>
    <t>1.1\2-1\2  تي حديد مخفض</t>
  </si>
  <si>
    <t xml:space="preserve">1.1\4  بلف حديد </t>
  </si>
  <si>
    <t xml:space="preserve">  2"-1.1/4" جلبة حديد مخفض </t>
  </si>
  <si>
    <t>1.1/2" يونية حديد</t>
  </si>
  <si>
    <t xml:space="preserve">1.1\4 بلف بلية PPR </t>
  </si>
  <si>
    <t xml:space="preserve">4"-2" جلب لحام مخفض  PPR </t>
  </si>
  <si>
    <t xml:space="preserve">1.1\4"-1" جلب لحام مخفض  PPR </t>
  </si>
  <si>
    <t xml:space="preserve">2"-3\4" جلب لحام مخفض  PPR </t>
  </si>
  <si>
    <t xml:space="preserve">2"-1" جلب لحام مخفض  PPR </t>
  </si>
  <si>
    <t xml:space="preserve">1.1/2"-3\4 جلب لحام مخفض  PPR </t>
  </si>
  <si>
    <t xml:space="preserve">2"-1\2" جلب لحام مخفض  PPR </t>
  </si>
  <si>
    <t xml:space="preserve">1.1\2"-1\2" مخفض لحام PPR </t>
  </si>
  <si>
    <t xml:space="preserve">3\4"-1\2" مخفض لحام PPR </t>
  </si>
  <si>
    <t xml:space="preserve">1.1\2" جلب لحام PPR </t>
  </si>
  <si>
    <t xml:space="preserve">1.1\4 جلب لحام PPR </t>
  </si>
  <si>
    <t xml:space="preserve">1\2"-1\2"  مخفض PPR </t>
  </si>
  <si>
    <t xml:space="preserve">3\4"-1\2" جلب سنة خارجية PPR </t>
  </si>
  <si>
    <t xml:space="preserve">1.1\2" كوع PPR </t>
  </si>
  <si>
    <t xml:space="preserve">1.1\2" تي PPR </t>
  </si>
  <si>
    <t xml:space="preserve">1.1\4" تي PPR </t>
  </si>
  <si>
    <t xml:space="preserve">1.1\2"-1"  جلب مخفض  لحام حديد </t>
  </si>
  <si>
    <t xml:space="preserve">منجلة </t>
  </si>
  <si>
    <t>سخان</t>
  </si>
  <si>
    <t>600A سخان</t>
  </si>
  <si>
    <t>شريط تحزير كبير( كهرباء )</t>
  </si>
  <si>
    <t xml:space="preserve">اوشاش توفلن   مقاسات مختلفة </t>
  </si>
  <si>
    <t xml:space="preserve">اكياس عينات 1 كيلو </t>
  </si>
  <si>
    <t xml:space="preserve">دهان اسبري  بخاخ </t>
  </si>
  <si>
    <t>جزم كوابل -16- 300ملي حديد</t>
  </si>
  <si>
    <t>جزم كوابل  -12 - 185 ملي حديد</t>
  </si>
  <si>
    <t xml:space="preserve">جزم كوابل </t>
  </si>
  <si>
    <t xml:space="preserve">جزم كوابل حديد 14-185 </t>
  </si>
  <si>
    <t xml:space="preserve">جزم كوابل نحاس  16-150 </t>
  </si>
  <si>
    <t xml:space="preserve">جزم كوابل نحاس  16-185 </t>
  </si>
  <si>
    <t>جزم كوابل نحاس  D1-25</t>
  </si>
  <si>
    <t xml:space="preserve">11*3 مسطرة فلتر </t>
  </si>
  <si>
    <t xml:space="preserve">11*3 طبخة فلتر </t>
  </si>
  <si>
    <t>لتر</t>
  </si>
  <si>
    <t>جوذ</t>
  </si>
  <si>
    <t>اسم المسلم ( الواردات )</t>
  </si>
  <si>
    <t>لاينر  (لفة)</t>
  </si>
  <si>
    <t>قماش مظلات</t>
  </si>
  <si>
    <t>المكتب</t>
  </si>
  <si>
    <t>كهرباء</t>
  </si>
  <si>
    <t>موتور واحد حصان 3سرعات (مكيفات)</t>
  </si>
  <si>
    <t>جوال فارغ 25ك (للكربون</t>
  </si>
  <si>
    <t>فرن غاذ 2خط بحديد3ملى وقطن حرارى</t>
  </si>
  <si>
    <t>عصا كربون للتحريك</t>
  </si>
  <si>
    <t>خرطوش غاذ ملبس خيط (متر)</t>
  </si>
  <si>
    <t>متر</t>
  </si>
  <si>
    <t>منظم ضغط عالى</t>
  </si>
  <si>
    <t xml:space="preserve">قطن </t>
  </si>
  <si>
    <t>قطن</t>
  </si>
  <si>
    <t>فونية + 2ماسورة</t>
  </si>
  <si>
    <t>قالب صب دهب 10كيلو</t>
  </si>
  <si>
    <t>كوبلن طواحين</t>
  </si>
  <si>
    <t>ترس طواحين</t>
  </si>
  <si>
    <t>رولة سير 60*32 سم</t>
  </si>
  <si>
    <t>COIIetion  Box</t>
  </si>
  <si>
    <t>انفنتر  (الطاقة)</t>
  </si>
  <si>
    <t>كيبل MM2.5 فلكسبل</t>
  </si>
  <si>
    <t>طقم دربكين</t>
  </si>
  <si>
    <t>شنط حبوب (غير مكتملة)</t>
  </si>
  <si>
    <t>شنطة</t>
  </si>
  <si>
    <t>جذامة كوابل (طقم)</t>
  </si>
  <si>
    <t>مفاتيح (طقم)</t>
  </si>
  <si>
    <t>قضيب  نحاس</t>
  </si>
  <si>
    <t>اكسسوارات تركيب الالواح الشمسية (جركانة)</t>
  </si>
  <si>
    <t>جركانة</t>
  </si>
  <si>
    <t>ا16*1/8*1(الدسك الثابت)</t>
  </si>
  <si>
    <t>طارة نظافة كبيرة</t>
  </si>
  <si>
    <t>بوتقة رصاص كبيرة</t>
  </si>
  <si>
    <t>كسارة  (المعمل)</t>
  </si>
  <si>
    <t>jaw crusher model (xp100*60)</t>
  </si>
  <si>
    <t>طاحونة   (المعمل)</t>
  </si>
  <si>
    <t>كسارة</t>
  </si>
  <si>
    <t>طاحونة</t>
  </si>
  <si>
    <t>sk100-3</t>
  </si>
  <si>
    <t>الريئسى</t>
  </si>
  <si>
    <t>اسيال طاحونة  (المعمل)</t>
  </si>
  <si>
    <t>سيل sk100-3</t>
  </si>
  <si>
    <t>ربر طاحونة (المعمل)</t>
  </si>
  <si>
    <t>ربرsk100-3</t>
  </si>
  <si>
    <t>موتور طاحونة (المعمل)</t>
  </si>
  <si>
    <t>موتورsk100-3</t>
  </si>
  <si>
    <t>كوبلن موتور طاحونة (المعمل)</t>
  </si>
  <si>
    <t>كوبلن موتور طاحونة sk100-3</t>
  </si>
  <si>
    <t>غربال 200 مش</t>
  </si>
  <si>
    <t>غرص طاحونة  ESF -175</t>
  </si>
  <si>
    <t xml:space="preserve">فك كسارة </t>
  </si>
  <si>
    <t>روداتين  (ظرف)</t>
  </si>
  <si>
    <t xml:space="preserve">روداتين </t>
  </si>
  <si>
    <t>شيكر</t>
  </si>
  <si>
    <t>ظرف</t>
  </si>
  <si>
    <t>مقسم عينات</t>
  </si>
  <si>
    <t>مقسم</t>
  </si>
  <si>
    <t>فرن كهربائى (المعمل)</t>
  </si>
  <si>
    <t>فرن</t>
  </si>
  <si>
    <t>جهاذ قياس كثافة  (المعمل)</t>
  </si>
  <si>
    <t>مكنة اختبار عينات (المعمل)</t>
  </si>
  <si>
    <t>جهاذ</t>
  </si>
  <si>
    <t>مكنة</t>
  </si>
  <si>
    <t>استاندر دهب</t>
  </si>
  <si>
    <t>فتيل</t>
  </si>
  <si>
    <t>استاندر زنك</t>
  </si>
  <si>
    <t>استاندر فضة</t>
  </si>
  <si>
    <t>استاندر رصاص</t>
  </si>
  <si>
    <t>استاندر حديد</t>
  </si>
  <si>
    <t>شريحة</t>
  </si>
  <si>
    <t>كيس</t>
  </si>
  <si>
    <t>شريحة رصاص 100*99.99</t>
  </si>
  <si>
    <t>فضة نقية 100*99.99</t>
  </si>
  <si>
    <t>شداد سير (المصنع)</t>
  </si>
  <si>
    <t>مكنة لحام</t>
  </si>
  <si>
    <t>109-25</t>
  </si>
  <si>
    <t>كلبسات سير 1.1/2</t>
  </si>
  <si>
    <t>DN 80</t>
  </si>
  <si>
    <t>جلبة عمود (طلمبة الريسايكل)</t>
  </si>
  <si>
    <t>جلبة طلمب الطواحين(كبيرة</t>
  </si>
  <si>
    <t>جلبة طلمبة الفلتر (كبيرة)</t>
  </si>
  <si>
    <t>باكن قلاند (الطواحين</t>
  </si>
  <si>
    <t>سيل قلاند  (الطواحين)</t>
  </si>
  <si>
    <t>سيل قلاند (السقنر)</t>
  </si>
  <si>
    <t>عداد  (جاذ)</t>
  </si>
  <si>
    <t>HIGH ACURCY  METER</t>
  </si>
  <si>
    <t>مظلة شمسية (متر ونصف)</t>
  </si>
  <si>
    <t>المساحة</t>
  </si>
  <si>
    <t>خرطوش حلقوم 4 بوصة</t>
  </si>
  <si>
    <t>كيبل مقاوم للماء (مقاس 4ملى)</t>
  </si>
  <si>
    <t>طبلون ابار (وحدة متاكاملة )</t>
  </si>
  <si>
    <t>قفيص حديد 4 بوصة</t>
  </si>
  <si>
    <t>عوامة مكيف ماء الخيج 1/2بوصة</t>
  </si>
  <si>
    <t>باب 2 ضلفة (المعمل)</t>
  </si>
  <si>
    <t>باب 1ضلفة (المعمل)</t>
  </si>
  <si>
    <t>اكياس عينات 2 كيلو</t>
  </si>
  <si>
    <t>اكياس عينات 250 جرام</t>
  </si>
  <si>
    <t>شوال اسطبات (قماش)</t>
  </si>
  <si>
    <t>75*100*13</t>
  </si>
  <si>
    <t>بطارية 12 فولت</t>
  </si>
  <si>
    <t>انفينتر الطاقة الشمسية (المصنع</t>
  </si>
  <si>
    <t>سيل</t>
  </si>
  <si>
    <t>60*85*12</t>
  </si>
  <si>
    <t>F 8124</t>
  </si>
  <si>
    <t>E 4124</t>
  </si>
  <si>
    <t>جهاذ كشف معادن</t>
  </si>
  <si>
    <t>كوابل طاقة شمسية (المصنع)</t>
  </si>
  <si>
    <t>رولة</t>
  </si>
  <si>
    <t>6906 z</t>
  </si>
  <si>
    <t>22238CA-G3W33</t>
  </si>
  <si>
    <t>90381/90744</t>
  </si>
  <si>
    <t>ساعة مؤشر</t>
  </si>
  <si>
    <t>قالب دهب 5 كيلو</t>
  </si>
  <si>
    <t>كوع حديد لحام 1.1/2</t>
  </si>
  <si>
    <t>قفيص حديد 1.1/4</t>
  </si>
  <si>
    <t>حساس  (الفلتر)</t>
  </si>
  <si>
    <t>وصلة حساس  (الفلتر)</t>
  </si>
  <si>
    <t>لوحات الكترونية (فرن الصهر)</t>
  </si>
  <si>
    <t>Saeling   Ring</t>
  </si>
  <si>
    <t>بطاطين (ماركة النمر)</t>
  </si>
  <si>
    <t>زجاجة</t>
  </si>
  <si>
    <t>ماسورة 8بوصة (حديد)</t>
  </si>
  <si>
    <t>ماسورة 2.5 بوصة (حديد)</t>
  </si>
  <si>
    <t>DISPERSOR 10M</t>
  </si>
  <si>
    <t>حمالة كوابل الطاقة الشمسية (حديد)</t>
  </si>
  <si>
    <t>50CQ-50P</t>
  </si>
  <si>
    <t>اسكرين (الخلية)</t>
  </si>
  <si>
    <t>جلب كبس 3بوصة PPR</t>
  </si>
  <si>
    <t>عام</t>
  </si>
  <si>
    <t>جلب 3/4 PVC</t>
  </si>
  <si>
    <t>من 3/4 الى 3/4</t>
  </si>
  <si>
    <t>مخفض من 3 الى 1.1/2 PPR</t>
  </si>
  <si>
    <t>مخفض من 4 الى 1.1/2 PPR</t>
  </si>
  <si>
    <t>جلبة سنة داخلية من1/2 الى 1/2 بوصة ppr</t>
  </si>
  <si>
    <t>جلبة سنة خارجية 3/4 PPR</t>
  </si>
  <si>
    <t>جلبة سنة خارجية 4 بوصة ppr</t>
  </si>
  <si>
    <t>جلبة سنة خارجية 4 بوصة pvc</t>
  </si>
  <si>
    <t>كوع 1/2 بوصة PVC</t>
  </si>
  <si>
    <t>مواسير بلاستك توصيل كيبلات 20 ملى</t>
  </si>
  <si>
    <t>بورت لمبة (مقعد)</t>
  </si>
  <si>
    <t>خطوش كمبرسون</t>
  </si>
  <si>
    <t xml:space="preserve">اسطبات قماش </t>
  </si>
  <si>
    <t>نبل حديد 4 بوصة</t>
  </si>
  <si>
    <t>140*170*13</t>
  </si>
  <si>
    <t>ميزان 10 كيلو</t>
  </si>
  <si>
    <t>مفصلات ابواب</t>
  </si>
  <si>
    <t>ايادى ابواب</t>
  </si>
  <si>
    <t>P 208</t>
  </si>
  <si>
    <t>اسطوانة  اكسجين</t>
  </si>
  <si>
    <t>اسطوانة ستلين</t>
  </si>
  <si>
    <t>اسطوانة غاذ 25 كيلو</t>
  </si>
  <si>
    <t>اسطوانة غاذ 13 كيلو</t>
  </si>
  <si>
    <t xml:space="preserve">AIR BLOWR </t>
  </si>
  <si>
    <t>SET</t>
  </si>
  <si>
    <t>بلور كامل  بملحقاته</t>
  </si>
  <si>
    <t>Heat Exchanger</t>
  </si>
  <si>
    <t>مبادل حرارى</t>
  </si>
  <si>
    <t>MQG2430-04-03</t>
  </si>
  <si>
    <t>Grate Plateمصافى صغيرة</t>
  </si>
  <si>
    <t>MQG2430-04-05</t>
  </si>
  <si>
    <t>Grate Plateمصافى كبيرة</t>
  </si>
  <si>
    <t>MQG2430-04-9</t>
  </si>
  <si>
    <t>Wedge With bolt and seel حواكم</t>
  </si>
  <si>
    <t>MQG2430-04-10</t>
  </si>
  <si>
    <t>MQG2436-04-2</t>
  </si>
  <si>
    <t>Center Liner With Bolt</t>
  </si>
  <si>
    <t>IS80-50-200</t>
  </si>
  <si>
    <t>Cesing Bolts مسامير</t>
  </si>
  <si>
    <t>4/3-HH  مسامير</t>
  </si>
  <si>
    <t>بلف سايكلون</t>
  </si>
  <si>
    <t>DN 100/16</t>
  </si>
  <si>
    <t>22F-D6P0N103  2.2KW</t>
  </si>
  <si>
    <t>كونفينتر  (الفلتر)</t>
  </si>
  <si>
    <t>INCTRENAL  MAGNETIC</t>
  </si>
  <si>
    <t>جلب</t>
  </si>
  <si>
    <t>Sleeve Z100-15</t>
  </si>
  <si>
    <t>مكثف 50</t>
  </si>
  <si>
    <t>قفيص 8 بوصة</t>
  </si>
  <si>
    <t>Round Nut</t>
  </si>
  <si>
    <t>M180*3</t>
  </si>
  <si>
    <t>M150*3</t>
  </si>
  <si>
    <t>كيس +ريشة (صغير</t>
  </si>
  <si>
    <t>ريشة طلمبة (الطواحين</t>
  </si>
  <si>
    <t>سيل رنق تبريد (حديد) طلمبات الصودا</t>
  </si>
  <si>
    <t>سيل   رنق تبريد (حديد)</t>
  </si>
  <si>
    <t>6/4 DAH(37)KW</t>
  </si>
  <si>
    <t>PN-125</t>
  </si>
  <si>
    <t>GG25</t>
  </si>
  <si>
    <t>سلك رباط (استيل)</t>
  </si>
  <si>
    <t>بلف حرارى 1/2 بوصة (الخلية)</t>
  </si>
  <si>
    <t>ساعة ضغط</t>
  </si>
  <si>
    <t>0-280</t>
  </si>
  <si>
    <t>عفريتة 50 طن</t>
  </si>
  <si>
    <t>لحام عادى 10</t>
  </si>
  <si>
    <t>مسطرة نحاس (طبلونات)</t>
  </si>
  <si>
    <t>عفريتة 10 طن</t>
  </si>
  <si>
    <t>صنفرة (ناعمة + خشنة)</t>
  </si>
  <si>
    <t>جلبة حديد 1.1/4</t>
  </si>
  <si>
    <t>نبل 1.1/4 (pvc)</t>
  </si>
  <si>
    <t>1.1/2-3/4</t>
  </si>
  <si>
    <t>قطن  حرارى (الخلية)</t>
  </si>
  <si>
    <t>اسكرين بلاستك (التنوكة)</t>
  </si>
  <si>
    <t>فلنشة ضغط 10 بوصة</t>
  </si>
  <si>
    <t xml:space="preserve">برميل فارغ </t>
  </si>
  <si>
    <t>اوفر لود 4-2.5</t>
  </si>
  <si>
    <t>رولة سير حديد</t>
  </si>
  <si>
    <t>رولة سير بلاستك</t>
  </si>
  <si>
    <t>بلاستك 30*8</t>
  </si>
  <si>
    <t>C-4</t>
  </si>
  <si>
    <t>بلاستك 18*8</t>
  </si>
  <si>
    <t>بلاستك 10*8</t>
  </si>
  <si>
    <t>طلمبة الخلية</t>
  </si>
  <si>
    <t>اغطية مواسير PVC  (صرف صحى)</t>
  </si>
  <si>
    <t>DN20-304SS</t>
  </si>
  <si>
    <t>تيل</t>
  </si>
  <si>
    <t>اسيال عادية</t>
  </si>
  <si>
    <t>NEED LEVATEE</t>
  </si>
  <si>
    <t>316L</t>
  </si>
  <si>
    <t>DN 15</t>
  </si>
  <si>
    <t>قالب دهب  صغير</t>
  </si>
  <si>
    <t>مسدس لحام (بلاستك)</t>
  </si>
  <si>
    <t>منظمات ستلين</t>
  </si>
  <si>
    <t>فلنشة حديد لحام</t>
  </si>
  <si>
    <t>فلنشة 2 بوصة</t>
  </si>
  <si>
    <t>فلنشة 2.5 بوصة</t>
  </si>
  <si>
    <t>فلنشة 3 بوصة</t>
  </si>
  <si>
    <t>فلنشة 4 بوصة</t>
  </si>
  <si>
    <t>فلنشة 6 بوصة</t>
  </si>
  <si>
    <t>فلنشة 9 بوصة</t>
  </si>
  <si>
    <t>فلنشة حديد رباط</t>
  </si>
  <si>
    <t>رباط 6 بوصة</t>
  </si>
  <si>
    <t>فلنشة حديد مغلقة</t>
  </si>
  <si>
    <t>مقلفة 9 بوصة</t>
  </si>
  <si>
    <t>مغلقة 10 بوصة</t>
  </si>
  <si>
    <t>فلنشة رباط</t>
  </si>
  <si>
    <t>نبل نحاس (خرطوش الستلين)</t>
  </si>
  <si>
    <t>D-22</t>
  </si>
  <si>
    <t>مسدس هواء كبير</t>
  </si>
  <si>
    <t>مسدس هواء صغير</t>
  </si>
  <si>
    <t>BLANCE  WHEEL</t>
  </si>
  <si>
    <t>خرطوش مطافى (قماش)</t>
  </si>
  <si>
    <t>خرطوش قماش 2 بوصة</t>
  </si>
  <si>
    <t>ملابس سيفت قصدير</t>
  </si>
  <si>
    <t>لبسة</t>
  </si>
  <si>
    <t>مشحمة رجل</t>
  </si>
  <si>
    <t>مشحمة هواء</t>
  </si>
  <si>
    <t>زريقينة 50 طن</t>
  </si>
  <si>
    <t>عفريتة تمساح 2 طن</t>
  </si>
  <si>
    <t>حساس (الفلتر)</t>
  </si>
  <si>
    <t>طلمبة ماء (محطة التحلية)</t>
  </si>
  <si>
    <t>0.75 kw</t>
  </si>
  <si>
    <t>كرين متحرك (كامل بملحقاته)</t>
  </si>
  <si>
    <t>خوص نحاس  6 متر</t>
  </si>
  <si>
    <t>H-0-11</t>
  </si>
  <si>
    <t xml:space="preserve">سير </t>
  </si>
  <si>
    <t>B 55</t>
  </si>
  <si>
    <t>B 65</t>
  </si>
  <si>
    <t>B-2616LI</t>
  </si>
  <si>
    <t>طلمبة 1.1 KW</t>
  </si>
  <si>
    <t>دسك ثابت (جديد)</t>
  </si>
  <si>
    <t>اسفنج 30*30</t>
  </si>
  <si>
    <t>مبرد (GILNDER) كهرباء</t>
  </si>
  <si>
    <t>مبرد 0.75 KW</t>
  </si>
  <si>
    <t>ماسور حديد 12 متر</t>
  </si>
  <si>
    <t>اقلام تظهير</t>
  </si>
  <si>
    <t>ورق ترشيح (المعمل)</t>
  </si>
  <si>
    <t>جهاذ كمبيوترP4بملحاقاته</t>
  </si>
  <si>
    <t>ماوس وايرليس اوبتكال</t>
  </si>
  <si>
    <t xml:space="preserve">ماوس باد </t>
  </si>
  <si>
    <t xml:space="preserve">مقعد (مرحاض) افرنجى كامل </t>
  </si>
  <si>
    <t>سخان حمام 30 لتر</t>
  </si>
  <si>
    <t>خلاط شاور+ دش+ خرطوش</t>
  </si>
  <si>
    <t>جلبة حديد 1/2بوصة</t>
  </si>
  <si>
    <t>مقبط + خرطوش (حمامات</t>
  </si>
  <si>
    <t>شريط سلفان</t>
  </si>
  <si>
    <t>اكياس عينات 2 كيلوا</t>
  </si>
  <si>
    <t>الرئسى</t>
  </si>
  <si>
    <t>B1457</t>
  </si>
  <si>
    <t>80*110*13</t>
  </si>
  <si>
    <t>خوذة زرقاء</t>
  </si>
  <si>
    <t>خوذة بيضاء</t>
  </si>
  <si>
    <t>هايدرو كلوريد 2.5 لتر</t>
  </si>
  <si>
    <t>DisPERSOR 5M</t>
  </si>
  <si>
    <t>ريلى حرارى + اوفر لود</t>
  </si>
  <si>
    <t>خرطوش حلقوم 20 ملى (تمديدات كوابل)</t>
  </si>
  <si>
    <t>اوفر لود من12- 7</t>
  </si>
  <si>
    <t>فلاتر قطنية (شمعة)</t>
  </si>
  <si>
    <t>مفتاح تكيف 20 امبير</t>
  </si>
  <si>
    <t>يد باب ثلاجة</t>
  </si>
  <si>
    <t>ادابتر 12 فولت  2 امبير</t>
  </si>
  <si>
    <t>ادابتر 12 فولت 1 امبير</t>
  </si>
  <si>
    <t>حجر ريموت (كوداك)</t>
  </si>
  <si>
    <t>جهاذ CPU</t>
  </si>
  <si>
    <t>طفاية حريق</t>
  </si>
  <si>
    <t>طفاية حريق  (بدرة)</t>
  </si>
  <si>
    <t>طفاية 4 كيلوا</t>
  </si>
  <si>
    <t>سارينا يدوية</t>
  </si>
  <si>
    <t>حداف غربال الكسارة الرئسى</t>
  </si>
  <si>
    <t>قفيص 5 بوصة حديد</t>
  </si>
  <si>
    <t>المبو (الكسارة)</t>
  </si>
  <si>
    <t>فاليود (كيس) طلمبة الطواحين</t>
  </si>
  <si>
    <t>فاليود (كيس)طلمبة الفلتر</t>
  </si>
  <si>
    <t>ALIGUAL</t>
  </si>
  <si>
    <t>طلمبة ماء</t>
  </si>
  <si>
    <t>طفاية 6 كيلوا</t>
  </si>
  <si>
    <t>D-21</t>
  </si>
  <si>
    <t>خرطوش  حلقوم 3بوصة (مقعد حمامات)</t>
  </si>
  <si>
    <t xml:space="preserve">                                                                  </t>
  </si>
  <si>
    <t>ربر اسكرين 10 بوصة</t>
  </si>
  <si>
    <t>مدربتة (قلوزة اسنان)</t>
  </si>
  <si>
    <t>شاشة (مشاهدة) 39 بوصة</t>
  </si>
  <si>
    <t>بريكر 2خط 10 امبير</t>
  </si>
  <si>
    <t>الوارد</t>
  </si>
  <si>
    <t xml:space="preserve">جلبة 4/3 جلبة طلمبة الفلتر (كبيرة) </t>
  </si>
  <si>
    <t>جوال</t>
  </si>
  <si>
    <t>السكن</t>
  </si>
  <si>
    <t>0-40</t>
  </si>
  <si>
    <t>قفيص حديد (حائطى)</t>
  </si>
  <si>
    <t>ماسورة فلتر(بلاستك) 10بوصة طول 3 متر</t>
  </si>
  <si>
    <t>ماسورة عادية (بلاستك) 10 بوصة طول 3 متر</t>
  </si>
  <si>
    <t>طلمبة غاطسة 1.5 kw</t>
  </si>
  <si>
    <t>سارينا كهربائية</t>
  </si>
  <si>
    <t>CT 600/5 (نيوترن)</t>
  </si>
  <si>
    <t>0.37KW</t>
  </si>
  <si>
    <t xml:space="preserve">فلتر زيت + ماء </t>
  </si>
  <si>
    <t xml:space="preserve">فلتر زيت + ماء ( الكسارة ) </t>
  </si>
  <si>
    <t xml:space="preserve">باب مكتب المونيوم 1 متر *2 </t>
  </si>
  <si>
    <t xml:space="preserve">كيلون باب + مقابض ابواب المونيوم </t>
  </si>
  <si>
    <t xml:space="preserve">مكثف 10 </t>
  </si>
  <si>
    <t xml:space="preserve">رداد باب </t>
  </si>
  <si>
    <t xml:space="preserve">جهاز جرس طنان ويرلس </t>
  </si>
  <si>
    <t xml:space="preserve">الادارة </t>
  </si>
  <si>
    <t xml:space="preserve">خلاط هفي ديوتي </t>
  </si>
  <si>
    <t xml:space="preserve">لابكوت ابيض </t>
  </si>
  <si>
    <t xml:space="preserve">بلاستر </t>
  </si>
  <si>
    <t>حقن جاهزة 5 سيسي</t>
  </si>
  <si>
    <t xml:space="preserve">حقن جلهزة 3 سيسي </t>
  </si>
  <si>
    <t>شاش رباط</t>
  </si>
  <si>
    <t>شاش فازلين</t>
  </si>
  <si>
    <t xml:space="preserve">كزراميل لحفظ الشاش والقطن </t>
  </si>
  <si>
    <t xml:space="preserve">هيدورجين بروكسايد </t>
  </si>
  <si>
    <t>جهاز فانتولين ( ضمان 5 سنه )</t>
  </si>
  <si>
    <t xml:space="preserve">سراير + مراتب+ مخدات + ملايات </t>
  </si>
  <si>
    <t xml:space="preserve">وش حراري 1 ملي </t>
  </si>
  <si>
    <t xml:space="preserve">وش حراري 2 ملي </t>
  </si>
  <si>
    <t>بلف استيل</t>
  </si>
  <si>
    <t xml:space="preserve">بلف استيل 2" قلوز </t>
  </si>
  <si>
    <t xml:space="preserve">بلف استيل 1" قلوز </t>
  </si>
  <si>
    <t>عمود ( طلمبه الرسايكل )</t>
  </si>
  <si>
    <t xml:space="preserve">خراطيش فرن الصهر </t>
  </si>
  <si>
    <t>شاحن جهاز المساحة</t>
  </si>
  <si>
    <t xml:space="preserve">الامن </t>
  </si>
  <si>
    <t xml:space="preserve">شاحن جهاز كشف المعادن </t>
  </si>
  <si>
    <t>حوض استيل بملحقاته ( حمامات )</t>
  </si>
  <si>
    <t>عمود توصيل نحاس الخلية ( بسبار )</t>
  </si>
  <si>
    <t>وردة عمود نحاس الخلية (بسبار )</t>
  </si>
  <si>
    <t xml:space="preserve">طارة قطع عينات الكور </t>
  </si>
  <si>
    <t>الاستكشاف</t>
  </si>
  <si>
    <t>سيل 1.5</t>
  </si>
  <si>
    <t>بلي</t>
  </si>
  <si>
    <t xml:space="preserve">بلي+ كيس </t>
  </si>
  <si>
    <t>بلي طاحونة (المعمل)</t>
  </si>
  <si>
    <t xml:space="preserve">اكياس عينات 10 كيلو </t>
  </si>
  <si>
    <t xml:space="preserve">موتور واحد حصان ريشة </t>
  </si>
  <si>
    <t xml:space="preserve">محول ( ملفات كهرباء ) طبلون البلور </t>
  </si>
  <si>
    <t xml:space="preserve">درداقة </t>
  </si>
  <si>
    <t xml:space="preserve">كوريك </t>
  </si>
  <si>
    <t>لمبة ديتوريم</t>
  </si>
  <si>
    <t xml:space="preserve">استون 2.5 لتر </t>
  </si>
  <si>
    <t xml:space="preserve">بوتقه كربون للمعمل </t>
  </si>
  <si>
    <t>صوديوم سوسلفيت</t>
  </si>
  <si>
    <t>شاحن كاميرات</t>
  </si>
  <si>
    <t xml:space="preserve">قطعه </t>
  </si>
  <si>
    <t xml:space="preserve">فرشه سلك حجر نار </t>
  </si>
  <si>
    <t xml:space="preserve">اب راسين </t>
  </si>
  <si>
    <t xml:space="preserve">حائط   1"قفيص حديد </t>
  </si>
  <si>
    <t xml:space="preserve">مقنيته مولد </t>
  </si>
  <si>
    <t xml:space="preserve">مثبت ايبوكسي </t>
  </si>
  <si>
    <t xml:space="preserve">جالون </t>
  </si>
  <si>
    <t xml:space="preserve">علبه </t>
  </si>
  <si>
    <t xml:space="preserve">وصله كهرباء 5 متر </t>
  </si>
  <si>
    <t xml:space="preserve">ابواب حديد مقاسات مختلفه </t>
  </si>
  <si>
    <t>شبابيك حديد مقاسات مختلفه</t>
  </si>
  <si>
    <t xml:space="preserve">سله مهملات ( استيل ) 10 لتر </t>
  </si>
  <si>
    <t>لحام 7018 مقاس 8</t>
  </si>
  <si>
    <t>يونيه حديد 3/4"</t>
  </si>
  <si>
    <t>لحام 7018 مقاس 10</t>
  </si>
  <si>
    <t>نظاره لحام ( خاصه بالحام )</t>
  </si>
  <si>
    <t xml:space="preserve">زرديه </t>
  </si>
  <si>
    <t>صاموله 27</t>
  </si>
  <si>
    <t>قاطع ( مشرط )</t>
  </si>
  <si>
    <t>موس ( للقاطع - مشرط  )</t>
  </si>
  <si>
    <t xml:space="preserve">بطارية انارة ( للابار ) </t>
  </si>
  <si>
    <t>رداخ 2"</t>
  </si>
  <si>
    <t>بوري مقاس 3"</t>
  </si>
  <si>
    <t>بوري مقاس 4"</t>
  </si>
  <si>
    <t xml:space="preserve">دربكين ( كراون 400 واط) </t>
  </si>
  <si>
    <t xml:space="preserve">بريكر 3 خط 16 امبير </t>
  </si>
  <si>
    <t>كونتاكتر 5.5 KW</t>
  </si>
  <si>
    <t>زرديه + مفك نجمه + مفك بلدي + مفتاح بلدي</t>
  </si>
  <si>
    <t>شوكه مقبس (Socket )</t>
  </si>
  <si>
    <t xml:space="preserve">قربه مياه سعه 9000 لتر طول 4 متر عرض 2 متر </t>
  </si>
  <si>
    <t>اوفرلود 10-14 A</t>
  </si>
  <si>
    <t>اوفرلود 13-19 A</t>
  </si>
  <si>
    <t>اوفرلود 24-32 A</t>
  </si>
  <si>
    <t xml:space="preserve">1016*13/ A 40 </t>
  </si>
  <si>
    <t>اعمدة طعام استانلس 5 طاسه</t>
  </si>
  <si>
    <t>ماكينه لحام PPR (ماكيتا ) بملاحقاتها</t>
  </si>
  <si>
    <t xml:space="preserve">حجر نار 7 بوصه ( ماكيتا ) </t>
  </si>
  <si>
    <t xml:space="preserve">خوص 2" طول 6 متر </t>
  </si>
  <si>
    <t>بلف رداخ هواء ( خاص بالبلور )</t>
  </si>
  <si>
    <t xml:space="preserve">DCV-250 رداخ هواء </t>
  </si>
  <si>
    <t>زجاجه</t>
  </si>
  <si>
    <t xml:space="preserve">شركة اورشاب لتعدين الذهب </t>
  </si>
  <si>
    <t>مخفض من1.1/2" الى 1.1/4</t>
  </si>
  <si>
    <t>فلاش فايل مولد 660</t>
  </si>
  <si>
    <t>كوع PPR</t>
  </si>
  <si>
    <t>كوع 1.1/4 PPR</t>
  </si>
  <si>
    <t>جلب سنة خارجية 1.1/4 PPR</t>
  </si>
  <si>
    <t xml:space="preserve">كريسبول </t>
  </si>
  <si>
    <t xml:space="preserve">برمنجنات البوتاسيوم 1000 جرام </t>
  </si>
  <si>
    <t xml:space="preserve">كمبرسون هواء 200 لتر </t>
  </si>
  <si>
    <t xml:space="preserve">راس كمبرسون هواء 100 لتر </t>
  </si>
  <si>
    <t xml:space="preserve">شاكوش ( مرزبة ) 7.5 كيلو </t>
  </si>
  <si>
    <t>مفتاح 22 مشترك</t>
  </si>
  <si>
    <t>حله مقاس 50*60</t>
  </si>
  <si>
    <t>حله مقاس 45*50</t>
  </si>
  <si>
    <t>ابرول زي كامل ( الطباخين ) 5XL</t>
  </si>
  <si>
    <t>ابرول زي كامل ( الطباخين ) 2XL</t>
  </si>
  <si>
    <t>40*65*10</t>
  </si>
  <si>
    <t xml:space="preserve">جركانه 16 جالون </t>
  </si>
  <si>
    <t xml:space="preserve">مفتاح فلاتر شريط ( فلاتر زيت + جاز ) </t>
  </si>
  <si>
    <t>مجس 10mm to0.05 feeler</t>
  </si>
  <si>
    <t>ترنكات بلاستيك 2سم / 25*25</t>
  </si>
  <si>
    <t>شحم موتورات لزوجة 3</t>
  </si>
  <si>
    <t>مواسير حديد 6 بوصه طول 6 متر  سماكه 8ملم</t>
  </si>
  <si>
    <t>سيكا ديور وزن 5 كيلو ( مادة رابطة )</t>
  </si>
  <si>
    <t xml:space="preserve">صاج 120*240 </t>
  </si>
  <si>
    <t xml:space="preserve">حجر كسارة كبير </t>
  </si>
  <si>
    <t xml:space="preserve">حجر كسارة صغير </t>
  </si>
  <si>
    <t>ترانس لمبه فلوست ( شمعه )</t>
  </si>
  <si>
    <t>مولد kva 100</t>
  </si>
  <si>
    <t>صهريج تيقا</t>
  </si>
  <si>
    <t xml:space="preserve">خرطوش 8 ملي 40 بار ( للكمبرسون ) تركي </t>
  </si>
  <si>
    <t>لفه</t>
  </si>
  <si>
    <t>بلي ( كرسي )</t>
  </si>
  <si>
    <t>AC CONTACTOR</t>
  </si>
  <si>
    <t>BREAKER</t>
  </si>
  <si>
    <t>PRESS BUTTON (RED)</t>
  </si>
  <si>
    <t>PRESS BUTTON (GREEN)</t>
  </si>
  <si>
    <t>Cathode plate</t>
  </si>
  <si>
    <t>Nylonpin</t>
  </si>
  <si>
    <t>صاج سماكه 10 ملي مقاس 120*140</t>
  </si>
  <si>
    <t>صاج سماكه 5 ملي مقاس 120*140</t>
  </si>
  <si>
    <t>كشافات طاقه شمسيه بمستشعر حركه 500 واط</t>
  </si>
  <si>
    <t>طبل ضد القطع بانذار صوتي عند محاوله الكسر</t>
  </si>
  <si>
    <t xml:space="preserve">حجر بطارية ( بطارية انارة ) </t>
  </si>
  <si>
    <t>جوز</t>
  </si>
  <si>
    <t xml:space="preserve">صليب نبل هواء ( كمبرسون المعمل ) </t>
  </si>
  <si>
    <t xml:space="preserve">بلف نبل هواء ( كمبرسون المعمل ) </t>
  </si>
  <si>
    <t xml:space="preserve">سير وصلة  هواء ( كمبرسون المعمل ) </t>
  </si>
  <si>
    <t xml:space="preserve">حقيبة ظهر </t>
  </si>
  <si>
    <t xml:space="preserve">ماوس </t>
  </si>
  <si>
    <t>كيبورت</t>
  </si>
  <si>
    <t>شريط لاصق ( صقير - مكتبي )</t>
  </si>
  <si>
    <t xml:space="preserve">مسطرة حديد 30 ستميتر </t>
  </si>
  <si>
    <t xml:space="preserve">اقلام ماركر </t>
  </si>
  <si>
    <t xml:space="preserve">لوح مشبكي </t>
  </si>
  <si>
    <t xml:space="preserve">ممحاة </t>
  </si>
  <si>
    <t xml:space="preserve">فلاش 16 قيقا </t>
  </si>
  <si>
    <t xml:space="preserve">مسامير 24طول 10سم </t>
  </si>
  <si>
    <t xml:space="preserve">سير  B - 50 </t>
  </si>
  <si>
    <t>35*55*10</t>
  </si>
  <si>
    <t>B . 78</t>
  </si>
  <si>
    <t>سير B . 78</t>
  </si>
  <si>
    <t>حباسات مواسير نحاس 3/4</t>
  </si>
  <si>
    <t>حباسات مواسير نحاس 5/8</t>
  </si>
  <si>
    <t>حباسات مواسير نحاس 7/8</t>
  </si>
  <si>
    <t>حباسات مواسير نحاس 716/7</t>
  </si>
  <si>
    <t xml:space="preserve">موتور قلاب مكيف ماء 4 الف وحدة </t>
  </si>
  <si>
    <t xml:space="preserve">طمبور موتور قلاب مكيف ماء </t>
  </si>
  <si>
    <t>سير موتور مكيف ماء A52</t>
  </si>
  <si>
    <t xml:space="preserve">مسامير 17 طول 8 سم </t>
  </si>
  <si>
    <t xml:space="preserve">ياي باب الفرن </t>
  </si>
  <si>
    <t xml:space="preserve">مكثف 45 - 40 </t>
  </si>
  <si>
    <t>سير B - 73</t>
  </si>
  <si>
    <t>سير B - 64</t>
  </si>
  <si>
    <t>سير B - 70</t>
  </si>
  <si>
    <t>50*70*12</t>
  </si>
  <si>
    <t>ريلي 10 امبير 12 v</t>
  </si>
  <si>
    <t>بريكر 2 خط 32 A</t>
  </si>
  <si>
    <t>اوفرلود 7- 10</t>
  </si>
  <si>
    <t xml:space="preserve">مقاعد لمبه فلبس </t>
  </si>
  <si>
    <t>طبلون كهرباء 9 خط</t>
  </si>
  <si>
    <t>حساس ثيرموستات الفرن</t>
  </si>
  <si>
    <t xml:space="preserve">Mechanical Seal ميكانيكال سيل   </t>
  </si>
  <si>
    <t>4/3-HH ميكانيكال سيل</t>
  </si>
  <si>
    <t>بلف نحاس 2"</t>
  </si>
  <si>
    <t xml:space="preserve">بلف شحن غاز تبريد </t>
  </si>
  <si>
    <t>BOLT</t>
  </si>
  <si>
    <t>BOLT "16"</t>
  </si>
  <si>
    <t>BOLT "17"</t>
  </si>
  <si>
    <t>BOLT "20"</t>
  </si>
  <si>
    <t>BOLT "23"</t>
  </si>
  <si>
    <t>BOLT "22"</t>
  </si>
  <si>
    <t>BOLT "46/15"</t>
  </si>
  <si>
    <t>BOLT "46/20"</t>
  </si>
  <si>
    <t>BOLT "46/13"</t>
  </si>
  <si>
    <t>BOLT "46/40"</t>
  </si>
  <si>
    <t>BOLT "46/38"</t>
  </si>
  <si>
    <t>BOLT "46/43"</t>
  </si>
  <si>
    <t>BOLT "46/45"</t>
  </si>
  <si>
    <t>BOLT "24/8"</t>
  </si>
  <si>
    <t>BOLT "50"</t>
  </si>
  <si>
    <t>BOLT "27/8"</t>
  </si>
  <si>
    <t>BOLT "30/15"</t>
  </si>
  <si>
    <t>BOLT "30/10"</t>
  </si>
  <si>
    <t>BOLT "36/9"</t>
  </si>
  <si>
    <t>BOLT "36/7"</t>
  </si>
  <si>
    <t xml:space="preserve"> FISHER BOLT </t>
  </si>
  <si>
    <t>BOLT "55/46"</t>
  </si>
  <si>
    <t>BOLT "34/10"</t>
  </si>
  <si>
    <t>Cesing Bolt</t>
  </si>
  <si>
    <t>BOLT "17/8"</t>
  </si>
  <si>
    <t>BOLT 19</t>
  </si>
  <si>
    <t>BOLT "36/10"</t>
  </si>
  <si>
    <t>BOLT "19/4"</t>
  </si>
  <si>
    <t>BOLT "30/150"</t>
  </si>
  <si>
    <t>BOLT " 36/200"</t>
  </si>
  <si>
    <t>BOLT "46/57"</t>
  </si>
  <si>
    <t>BOLT "30/51"</t>
  </si>
  <si>
    <t>BOLT "30/8"</t>
  </si>
  <si>
    <t>BOLT "30/11"</t>
  </si>
  <si>
    <t>BOLT "30/9"</t>
  </si>
  <si>
    <t>BOLT "30/7"</t>
  </si>
  <si>
    <t xml:space="preserve">BOLT </t>
  </si>
  <si>
    <t>BOLT PUMP</t>
  </si>
  <si>
    <t>BOLT 32"</t>
  </si>
  <si>
    <t>BOLT 16"</t>
  </si>
  <si>
    <t>BOLT 42"</t>
  </si>
  <si>
    <t>BOLT "19/16"</t>
  </si>
  <si>
    <t>BOLT 8"</t>
  </si>
  <si>
    <t>BOLT 10"</t>
  </si>
  <si>
    <t>BOLT 13"</t>
  </si>
  <si>
    <t>BOLT 24"</t>
  </si>
  <si>
    <t>LINER ROLLER</t>
  </si>
  <si>
    <t>MOTOR</t>
  </si>
  <si>
    <t>SWITCH COMPRSSOR</t>
  </si>
  <si>
    <t xml:space="preserve">PAD DIVIES </t>
  </si>
  <si>
    <t>اسم الصنف عربي</t>
  </si>
  <si>
    <t>اسم الصنف E</t>
  </si>
  <si>
    <t>COiL</t>
  </si>
  <si>
    <t>SEEL JTER CORTRidge</t>
  </si>
  <si>
    <t>Shad sleeve</t>
  </si>
  <si>
    <t xml:space="preserve">Draming Namedel </t>
  </si>
  <si>
    <t xml:space="preserve"> SMALL PULLY</t>
  </si>
  <si>
    <t xml:space="preserve"> SMALL PULLY </t>
  </si>
  <si>
    <t xml:space="preserve">  PIG PULLY</t>
  </si>
  <si>
    <t>HOSE AIR</t>
  </si>
  <si>
    <t>HOSE HYDORLIC "SMALL</t>
  </si>
  <si>
    <t>HOSE HYDORLIC "PIG</t>
  </si>
  <si>
    <t>HOSE PPR 3"</t>
  </si>
  <si>
    <t>HOSE  PPR 2"</t>
  </si>
  <si>
    <t>MOTOR  15 KW</t>
  </si>
  <si>
    <t>MOTOR 2.2 KW</t>
  </si>
  <si>
    <t>MOTOR  OIL SMILL  H1/2</t>
  </si>
  <si>
    <t>MOTOR 90 KW</t>
  </si>
  <si>
    <t>CUTTING DISC</t>
  </si>
  <si>
    <t>FUSE 32 A - 10*38 MM</t>
  </si>
  <si>
    <t>TIMMER 0.75</t>
  </si>
  <si>
    <t>TIMMER  99S</t>
  </si>
  <si>
    <t>SWITCH  LIMMED</t>
  </si>
  <si>
    <t>BATTERY CODAC</t>
  </si>
  <si>
    <t>RELLY 24VDC (12)</t>
  </si>
  <si>
    <t>RELLY 220VDC (12)</t>
  </si>
  <si>
    <t>RELLY 220VDC (6)</t>
  </si>
  <si>
    <t>Thermal   relay 48-65A</t>
  </si>
  <si>
    <t>Thermal   relay 1-5 A</t>
  </si>
  <si>
    <t>Thermal   relay 3.2-5 A</t>
  </si>
  <si>
    <t>Thermal   relay 17-25 A</t>
  </si>
  <si>
    <t>Thermal   relay 2.5-4 A</t>
  </si>
  <si>
    <t>Thermal   relay 20-25 A</t>
  </si>
  <si>
    <t>Thermal   relay 10-16 A</t>
  </si>
  <si>
    <t>Thermal   relay 12-18 A</t>
  </si>
  <si>
    <t>Thermal   relay 9-13 A</t>
  </si>
  <si>
    <t>Thermal   relay 30-40 A</t>
  </si>
  <si>
    <t>Thermal   relay 4-6 A</t>
  </si>
  <si>
    <t>Thermal   relay 5.5-8 A</t>
  </si>
  <si>
    <t>Thermal   relay 4-6 A ( OUT)</t>
  </si>
  <si>
    <t>SELCTOR  26A</t>
  </si>
  <si>
    <t>SELCTOR ( CONTROL ROOM)</t>
  </si>
  <si>
    <t>PORT RELLY (12)</t>
  </si>
  <si>
    <t>TIMMER 90 S</t>
  </si>
  <si>
    <t>BREAKER LINE  3 - 10A</t>
  </si>
  <si>
    <t>BREAKER  LINE  2 - 10A</t>
  </si>
  <si>
    <t>AC CONTACTOR 132 KW</t>
  </si>
  <si>
    <t>AC CONTACTOR 50 KW</t>
  </si>
  <si>
    <t>AC CONTACTOR 7.5  KW</t>
  </si>
  <si>
    <t>AC CONTACTOR 630 KW</t>
  </si>
  <si>
    <t>AC CONTACTOR 11 KW</t>
  </si>
  <si>
    <t>LAMP 24 W</t>
  </si>
  <si>
    <t>SWITCH  LINE 2</t>
  </si>
  <si>
    <t>SWITCH  LINE  1</t>
  </si>
  <si>
    <t>SWITCH  LINE  3</t>
  </si>
  <si>
    <t>CABLE TAID</t>
  </si>
  <si>
    <t>LAMP 36 W</t>
  </si>
  <si>
    <t>LAMP 45 W</t>
  </si>
  <si>
    <t>CABLE 6M</t>
  </si>
  <si>
    <t>CABLE 4M</t>
  </si>
  <si>
    <t>LAMP LED</t>
  </si>
  <si>
    <t>CABLE LINE 4  6 M</t>
  </si>
  <si>
    <t>Thermal   relay 40-63 A</t>
  </si>
  <si>
    <t xml:space="preserve">AC CONTACTOR 22 KW </t>
  </si>
  <si>
    <t>AIR CONDTION  24</t>
  </si>
  <si>
    <t>CABLE 16M LINE 4</t>
  </si>
  <si>
    <t>CABLE 2.5 M</t>
  </si>
  <si>
    <t>CABLE 1.5 M</t>
  </si>
  <si>
    <t>HARDISC</t>
  </si>
  <si>
    <t>STAND FANE</t>
  </si>
  <si>
    <t>ELECTRIC TAP</t>
  </si>
  <si>
    <t>CELVAN TAP</t>
  </si>
  <si>
    <t>MOTOR CHARGE 220V</t>
  </si>
  <si>
    <t>SATRTOR 65W</t>
  </si>
  <si>
    <t>RELLY 10A 24V</t>
  </si>
  <si>
    <t>LAMP 40A</t>
  </si>
  <si>
    <t xml:space="preserve">THERMOSTATE </t>
  </si>
  <si>
    <t>TIMMER  0.75</t>
  </si>
  <si>
    <t>VAILOUD FILTER PUMP</t>
  </si>
  <si>
    <t>Thermal   relay 6-13</t>
  </si>
  <si>
    <t>Thermal   relay 4-6</t>
  </si>
  <si>
    <t>BATTREY 120A</t>
  </si>
  <si>
    <t>PULLY &amp; INSULATOR ENG</t>
  </si>
  <si>
    <t>WATER PUMP</t>
  </si>
  <si>
    <t>KIT GASKET</t>
  </si>
  <si>
    <t>FUSE</t>
  </si>
  <si>
    <t>CAP FILTER</t>
  </si>
  <si>
    <t>BELT</t>
  </si>
  <si>
    <t xml:space="preserve">ALTENATOR </t>
  </si>
  <si>
    <t xml:space="preserve"> WATER PUPM</t>
  </si>
  <si>
    <t>OIL FILTER</t>
  </si>
  <si>
    <t>FUEL FILTER</t>
  </si>
  <si>
    <t>AIR FILTER</t>
  </si>
  <si>
    <t>KIS FUEL FILTER</t>
  </si>
  <si>
    <t>KIS OIL FILTER</t>
  </si>
  <si>
    <t>FILTER</t>
  </si>
  <si>
    <t>HOSE CONDITION</t>
  </si>
  <si>
    <t>KIS FUELFILTER</t>
  </si>
  <si>
    <t>FAN BELT</t>
  </si>
  <si>
    <t>WATER S/P</t>
  </si>
  <si>
    <t>CASE FUEL FILTER</t>
  </si>
  <si>
    <t>CASE OIL FILTER</t>
  </si>
  <si>
    <t>CAPSTER</t>
  </si>
  <si>
    <t>CH12082</t>
  </si>
  <si>
    <t>BATTREY 12V</t>
  </si>
  <si>
    <t>KIT KEY</t>
  </si>
  <si>
    <t>FLEXBALE CABLE</t>
  </si>
  <si>
    <t>Thermal   relay 7-12</t>
  </si>
  <si>
    <t>Thermal   relay 10-14</t>
  </si>
  <si>
    <t>Thermal   relay 13-19</t>
  </si>
  <si>
    <t>Thermal   relay  24-32</t>
  </si>
  <si>
    <t>GENSET 100 KAV</t>
  </si>
  <si>
    <t>DENMO 660</t>
  </si>
  <si>
    <t>CAPSETER 40-45</t>
  </si>
  <si>
    <t>CAPSETER 250</t>
  </si>
  <si>
    <t>RELLY 10A /12V</t>
  </si>
  <si>
    <t>BREAKER 2LINE 32A</t>
  </si>
  <si>
    <t>Thermal   relay 7-10</t>
  </si>
  <si>
    <t>LAMP 30 W</t>
  </si>
  <si>
    <t>CASE LAMP FYLIPSE</t>
  </si>
  <si>
    <t>Mechanical SEEL</t>
  </si>
  <si>
    <t>METR (5)</t>
  </si>
  <si>
    <t xml:space="preserve">SEAL </t>
  </si>
  <si>
    <t>CUPLING</t>
  </si>
  <si>
    <t>OIL PUMP</t>
  </si>
  <si>
    <t>SELCUON</t>
  </si>
  <si>
    <t>Drawing</t>
  </si>
  <si>
    <t xml:space="preserve"> Vi brating screen</t>
  </si>
  <si>
    <t xml:space="preserve"> Reverse Osmosis dnt</t>
  </si>
  <si>
    <t>RUBBER GASKET</t>
  </si>
  <si>
    <t>CIRCLIP</t>
  </si>
  <si>
    <t>HEATER</t>
  </si>
  <si>
    <t>TYRE ROLLER</t>
  </si>
  <si>
    <t>VOLIMTER</t>
  </si>
  <si>
    <t>Nitrogen filing devvice</t>
  </si>
  <si>
    <t>SPRING</t>
  </si>
  <si>
    <t>ROLLER</t>
  </si>
  <si>
    <t>Ring ASSembly</t>
  </si>
  <si>
    <t>CABLE</t>
  </si>
  <si>
    <t>TAPE</t>
  </si>
  <si>
    <t>CLIP BELT</t>
  </si>
  <si>
    <t xml:space="preserve"> SWITCH CLIP BELT</t>
  </si>
  <si>
    <t>PLATE</t>
  </si>
  <si>
    <t>VIBER</t>
  </si>
  <si>
    <t>NIPPLE  IRON</t>
  </si>
  <si>
    <t>NIPPLE  COMPRESSION</t>
  </si>
  <si>
    <t>BOLT &amp; NUT  IRON</t>
  </si>
  <si>
    <t>HARD NAIL</t>
  </si>
  <si>
    <t>PERM NAIL "2"</t>
  </si>
  <si>
    <t xml:space="preserve">LANKY NAIL 8M </t>
  </si>
  <si>
    <t>ELBOW PLASTIC</t>
  </si>
  <si>
    <t>ELBOW IRON</t>
  </si>
  <si>
    <t>ELBOW "2/1 PVC</t>
  </si>
  <si>
    <t>FAN PLASTIC</t>
  </si>
  <si>
    <t>FAN IRON</t>
  </si>
  <si>
    <t>UOTDOOR FAN</t>
  </si>
  <si>
    <t>SCOUTS 400W</t>
  </si>
  <si>
    <t>SCOUTS 350W</t>
  </si>
  <si>
    <t>SCOUTS 1000W</t>
  </si>
  <si>
    <t>SOLAR SCOUTS 1000W</t>
  </si>
  <si>
    <t xml:space="preserve">PUMP </t>
  </si>
  <si>
    <t>FLOUCK PUMP</t>
  </si>
  <si>
    <t>PUMP 2.2 KW</t>
  </si>
  <si>
    <t xml:space="preserve">WATER PUMP </t>
  </si>
  <si>
    <t>PUMP FLANGE</t>
  </si>
  <si>
    <t>METAL DETECTOR CHARGER</t>
  </si>
  <si>
    <t>CONTROL DEVICE</t>
  </si>
  <si>
    <t>TEMPERATURE GAUGE</t>
  </si>
  <si>
    <t>BELL DEVICE</t>
  </si>
  <si>
    <t>BULLER</t>
  </si>
  <si>
    <t>FILTER PLATE WASHER</t>
  </si>
  <si>
    <t>FILTER PLATE HANDLE</t>
  </si>
  <si>
    <t>T-IRON</t>
  </si>
  <si>
    <t>T-IRON REDUCED</t>
  </si>
  <si>
    <t xml:space="preserve">T-IRON </t>
  </si>
  <si>
    <t>MOULD DAHAB SAQER</t>
  </si>
  <si>
    <t>COUPLING FLEXIBLE</t>
  </si>
  <si>
    <t>WATER TAPE</t>
  </si>
  <si>
    <t xml:space="preserve">ELBOW </t>
  </si>
  <si>
    <t>PRESSURE CLOCK</t>
  </si>
  <si>
    <t>PRESS CLOCK</t>
  </si>
  <si>
    <t>SEAL</t>
  </si>
  <si>
    <t>FIRE EXTINGUSHER</t>
  </si>
  <si>
    <t>AUTOMATIC  EXTINGUSHER</t>
  </si>
  <si>
    <t>TENT HOUSING</t>
  </si>
  <si>
    <t>توفلن</t>
  </si>
  <si>
    <t>توفلن 200*47</t>
  </si>
  <si>
    <t>توفلن 50*30</t>
  </si>
  <si>
    <t>توفلن 65*30</t>
  </si>
  <si>
    <t>توفلن 70*40</t>
  </si>
  <si>
    <t>توفلن 20*30</t>
  </si>
  <si>
    <t xml:space="preserve">بطارية APC  مقاس 700 </t>
  </si>
  <si>
    <t>طلمبه جاز KRP1721 مولد 660</t>
  </si>
  <si>
    <t>سير B - 57</t>
  </si>
  <si>
    <t xml:space="preserve">رقم الصنف </t>
  </si>
  <si>
    <t>غاز تكيف 22</t>
  </si>
  <si>
    <t>ماكينة مكيف 24000 وحدة</t>
  </si>
  <si>
    <t xml:space="preserve">ماكينة مكيف 18000 وحدة </t>
  </si>
  <si>
    <t xml:space="preserve">سلك شايك امواس </t>
  </si>
  <si>
    <t xml:space="preserve">ابواب حديد ( حمامات ) </t>
  </si>
  <si>
    <t>ماسورة حديد 5"</t>
  </si>
  <si>
    <t>ماسورة حديد 6"</t>
  </si>
  <si>
    <t>تي حديد لحام 6"</t>
  </si>
  <si>
    <t xml:space="preserve">اسطوانه </t>
  </si>
  <si>
    <t>فلنشه رباط 5"</t>
  </si>
  <si>
    <t>فلنشه  حديد رباط 5"</t>
  </si>
  <si>
    <t>مقص</t>
  </si>
  <si>
    <t>امواس - اركت</t>
  </si>
  <si>
    <t xml:space="preserve">اركت </t>
  </si>
  <si>
    <t>براميل السيانيد</t>
  </si>
  <si>
    <t>رفوف + زوايا + مسامير + دعامات</t>
  </si>
  <si>
    <t>اعمدة لرفوف</t>
  </si>
  <si>
    <t>طلمبة سحب مياه - الحفائر</t>
  </si>
  <si>
    <t>بلف رداخ 3 بوصة</t>
  </si>
  <si>
    <t>بطارية 200 امبير</t>
  </si>
  <si>
    <t>انفيرتر 1000  / زون 12 فولت</t>
  </si>
  <si>
    <t>فونية تسخين ستلين</t>
  </si>
  <si>
    <t>بلف 1.1/2 استيل سنة داخلية</t>
  </si>
  <si>
    <t>بلف 1/2 حديد سنة داخلية</t>
  </si>
  <si>
    <t>جلب مخفضة من 1" الي 3/4" PPR</t>
  </si>
  <si>
    <t>ضبة 3/4" حديد سنة خارجية</t>
  </si>
  <si>
    <t>موزع شور خلاط</t>
  </si>
  <si>
    <t>Fire clay</t>
  </si>
  <si>
    <t>Crucible - Big</t>
  </si>
  <si>
    <t>Crucible - Small</t>
  </si>
  <si>
    <t>Graphite Casting mold</t>
  </si>
  <si>
    <t>Grinding disc</t>
  </si>
  <si>
    <t>Hand Drill bit</t>
  </si>
  <si>
    <t>Drill Brush</t>
  </si>
  <si>
    <t>Hand brush</t>
  </si>
  <si>
    <t>cable tide</t>
  </si>
  <si>
    <t>Fiter Cortridge - Big  Seal</t>
  </si>
  <si>
    <t>Seal</t>
  </si>
  <si>
    <t>Empty Barrel</t>
  </si>
  <si>
    <t>Tent Fabric</t>
  </si>
  <si>
    <t>Steel Welding Rods</t>
  </si>
  <si>
    <t>Cast welding rods</t>
  </si>
  <si>
    <t>acetylene gun</t>
  </si>
  <si>
    <t>Hoover</t>
  </si>
  <si>
    <t>Sun Power Cable</t>
  </si>
  <si>
    <t>Plastic Sun Power  Cable</t>
  </si>
  <si>
    <t>Sun Power Cable - black</t>
  </si>
  <si>
    <t>Power Supply</t>
  </si>
  <si>
    <t>O Ring</t>
  </si>
  <si>
    <t>PPR Reducer 3"</t>
  </si>
  <si>
    <t>PVC Pipe 1"</t>
  </si>
  <si>
    <t>PPR Pipe 1"</t>
  </si>
  <si>
    <t>Fuese box 31 a</t>
  </si>
  <si>
    <t>Iron Pipe</t>
  </si>
  <si>
    <t>Iron Pipe 10" - 12m</t>
  </si>
  <si>
    <t>سير الكسارة  650</t>
  </si>
  <si>
    <t>Rubber balt 650</t>
  </si>
  <si>
    <t>سير الفلتر 800</t>
  </si>
  <si>
    <t>Rubber balt 800</t>
  </si>
  <si>
    <t>سير ساقية ( راجع الطواحين )</t>
  </si>
  <si>
    <t>sidewall belt</t>
  </si>
  <si>
    <t>Reducer GRF 137</t>
  </si>
  <si>
    <t xml:space="preserve"> طلمبات صودا + سيانيد </t>
  </si>
  <si>
    <t xml:space="preserve">طلمبة ريسايكل </t>
  </si>
  <si>
    <t>Pump with motor IS80 -50-200</t>
  </si>
  <si>
    <t>Filter Cloth</t>
  </si>
  <si>
    <t xml:space="preserve">بلي  </t>
  </si>
  <si>
    <t xml:space="preserve">Bearing </t>
  </si>
  <si>
    <t>21322CAW33</t>
  </si>
  <si>
    <t>6580 /6535</t>
  </si>
  <si>
    <t>22220 CA/W33</t>
  </si>
  <si>
    <t>632 / 645</t>
  </si>
  <si>
    <t>Oil asbestos packing</t>
  </si>
  <si>
    <t>141*160*14</t>
  </si>
  <si>
    <t xml:space="preserve">(3/2) 2" Rubber جلب </t>
  </si>
  <si>
    <t xml:space="preserve">(3/4) 3" Rubber جلب </t>
  </si>
  <si>
    <t xml:space="preserve">    (6/4) 4" Rubber جلب </t>
  </si>
  <si>
    <t xml:space="preserve">  (6/4) 6" Rubber جلب </t>
  </si>
  <si>
    <t>باكن قلاند (الطواحين 6/4</t>
  </si>
  <si>
    <t xml:space="preserve">Auxiliary lmpeller </t>
  </si>
  <si>
    <t xml:space="preserve">نبل تبريد طلمبات </t>
  </si>
  <si>
    <t>نبل تبريد طلمبات (6/4 - 3/2 )</t>
  </si>
  <si>
    <t>أسيال كبيرة ( سيل زيت )</t>
  </si>
  <si>
    <t>80*190</t>
  </si>
  <si>
    <t>80*240</t>
  </si>
  <si>
    <t>57*160</t>
  </si>
  <si>
    <t>89*600</t>
  </si>
  <si>
    <t>89*950</t>
  </si>
  <si>
    <t xml:space="preserve"> رولة سيرتوجية  حديد </t>
  </si>
  <si>
    <t>89*350</t>
  </si>
  <si>
    <t>V - belt</t>
  </si>
  <si>
    <t xml:space="preserve">اغطاب انود </t>
  </si>
  <si>
    <t>Anode plate</t>
  </si>
  <si>
    <t>هاوزن طلمبة الطواحين 6/4</t>
  </si>
  <si>
    <t>هاوزن طلمبة الثكنر 3/2</t>
  </si>
  <si>
    <t>shaft wih house bearing assemple</t>
  </si>
  <si>
    <t>امبلير (طلمبة الطواحين)</t>
  </si>
  <si>
    <t>امبلير (طلمبة الفلتر)</t>
  </si>
  <si>
    <t xml:space="preserve">طلمبة زيت الكسارة + موتور </t>
  </si>
  <si>
    <t>Gear pump</t>
  </si>
  <si>
    <t xml:space="preserve">Submersible pump </t>
  </si>
  <si>
    <t xml:space="preserve">طلمبة موية ( الخلية ) </t>
  </si>
  <si>
    <t>Basin fused silica</t>
  </si>
  <si>
    <t xml:space="preserve">المعمل </t>
  </si>
  <si>
    <t>Qualitative filter paper</t>
  </si>
  <si>
    <t>Basin fused silica  50ml</t>
  </si>
  <si>
    <t>Qualitative filter paper  125mm</t>
  </si>
  <si>
    <t>Water distiller unit   10L . 7.5K</t>
  </si>
  <si>
    <t>Water distiller unit</t>
  </si>
  <si>
    <t>Crucible porcelain 50ml</t>
  </si>
  <si>
    <t>Crucible porcelain</t>
  </si>
  <si>
    <t>bottletop dispenser 5ml</t>
  </si>
  <si>
    <t>bottletop dispense</t>
  </si>
  <si>
    <t>bottletop dispenser 10ml</t>
  </si>
  <si>
    <t>bottletop dispenser 50ml</t>
  </si>
  <si>
    <t>Dissolved oxygen meter + Calibration set 0.3mg</t>
  </si>
  <si>
    <t>Dissolved oxygen meter</t>
  </si>
  <si>
    <t>Electrode terminal of electrowinning cell</t>
  </si>
  <si>
    <t xml:space="preserve">كيس طلمبة الخلية   50CQ-50P  </t>
  </si>
  <si>
    <t>قلب طلمبة الخلية  50CQ-50P</t>
  </si>
  <si>
    <t>كيس قلب طلمبة الخلية  50CQ-50P</t>
  </si>
  <si>
    <t>جرافايت طلمبة الخلية 50CQ-50P</t>
  </si>
  <si>
    <t>External Magnatic steel assembly</t>
  </si>
  <si>
    <t>Isolation sIeeve</t>
  </si>
  <si>
    <t>shaft  sIeeve (graphite)</t>
  </si>
  <si>
    <t>Mouth ring</t>
  </si>
  <si>
    <t xml:space="preserve">Sealing ring </t>
  </si>
  <si>
    <t>صوف  كاثود الخلية</t>
  </si>
  <si>
    <t>Carbon fiber felt ( Steel wool cathode )</t>
  </si>
  <si>
    <t>كونفيرتر ( الفلتر ) 22F - D6P0N103 2.2  KW</t>
  </si>
  <si>
    <t>Frequency converter</t>
  </si>
  <si>
    <t xml:space="preserve">0 - 40 MPA  (ساعة ضغط ( الفلتر </t>
  </si>
  <si>
    <t>Electric contact pressure gauge 0-40 MPA</t>
  </si>
  <si>
    <t xml:space="preserve">2500 A بريكر </t>
  </si>
  <si>
    <t>Breaker 2500A</t>
  </si>
  <si>
    <t>Slurry pump 4/3</t>
  </si>
  <si>
    <t>طلمبة الفلتر ( طلمبة + موتور ) كاملة 4/3</t>
  </si>
  <si>
    <t>صاج 120*240  سماكه 5 ملي</t>
  </si>
  <si>
    <t>ماسورة حديد 4"</t>
  </si>
  <si>
    <t>كاوية لحام 600A</t>
  </si>
  <si>
    <t>اسكرين ( نملي ) طول 30 سماكة 1 مم</t>
  </si>
  <si>
    <t xml:space="preserve">طفاية حريق 2 كيلو </t>
  </si>
  <si>
    <t xml:space="preserve"> مسامير + فشر بلاستك</t>
  </si>
  <si>
    <t>انبوبة لستك درداقة</t>
  </si>
  <si>
    <t xml:space="preserve">عجل حديد لستك درداقة </t>
  </si>
  <si>
    <t>مقص لفتح براميل السيانيد</t>
  </si>
  <si>
    <t>17*1956 Li -B 77</t>
  </si>
  <si>
    <t>D-197 سير</t>
  </si>
  <si>
    <t>22*2413li   C 95</t>
  </si>
  <si>
    <t xml:space="preserve">فلوميتر  الخلية </t>
  </si>
  <si>
    <t>DN65  فلوميتر  الخلية</t>
  </si>
  <si>
    <t xml:space="preserve">فلوميتر الطواحين </t>
  </si>
  <si>
    <t>فلوميتر الطواحين B -M I K -DN 50</t>
  </si>
  <si>
    <t xml:space="preserve">موتور   الطواحين Ring ASSembly  </t>
  </si>
  <si>
    <t>بلي طواحين كبير</t>
  </si>
  <si>
    <t xml:space="preserve">شيالة ديمنو المولد </t>
  </si>
  <si>
    <t>شيالة دينمو مولد</t>
  </si>
  <si>
    <t>طلمبة زيت الكسارة + موتور  5.5 KW</t>
  </si>
  <si>
    <t>جونتي قماش بحبيبات ( المعمل )</t>
  </si>
  <si>
    <t xml:space="preserve">جوز </t>
  </si>
  <si>
    <t>لوح زنك 4.5 متر عيار35</t>
  </si>
  <si>
    <t>بوماستيك</t>
  </si>
  <si>
    <t>جردل</t>
  </si>
  <si>
    <t>كمامة غاز بفلتر 3M</t>
  </si>
  <si>
    <t>انموميتر ( جهاز سرعة الرياح )</t>
  </si>
  <si>
    <t xml:space="preserve">مسامير 17 طول 4 سم </t>
  </si>
  <si>
    <t>مقنيته مولد (   KVA 660   )</t>
  </si>
  <si>
    <t>بطارية  100 امبير</t>
  </si>
  <si>
    <t>RN 206E</t>
  </si>
  <si>
    <t xml:space="preserve">قالب دهب  صغير 250 جرام </t>
  </si>
  <si>
    <t>6207    2RS</t>
  </si>
  <si>
    <t>جهاز كاشف حريق ( كامل بملاحقته)</t>
  </si>
  <si>
    <t xml:space="preserve">الاسمنت </t>
  </si>
  <si>
    <t xml:space="preserve">طورية </t>
  </si>
  <si>
    <t>Bearing</t>
  </si>
  <si>
    <t>Iron Elbow - Plumbing</t>
  </si>
  <si>
    <t>Iron Nipple - Plumbing</t>
  </si>
  <si>
    <t>Iron Reducing Coupling</t>
  </si>
  <si>
    <t>Iron Coupling</t>
  </si>
  <si>
    <t xml:space="preserve"> Valve IRON</t>
  </si>
  <si>
    <t xml:space="preserve"> Valve COPPER</t>
  </si>
  <si>
    <t>Valve IRON</t>
  </si>
  <si>
    <t xml:space="preserve"> Valve</t>
  </si>
  <si>
    <t>System Free Valve</t>
  </si>
  <si>
    <t>Check Valve</t>
  </si>
  <si>
    <t>welding Rod - 8</t>
  </si>
  <si>
    <t>Water Pump - Cell</t>
  </si>
  <si>
    <t>hand Drill- Air sander</t>
  </si>
  <si>
    <t>hand Drill- Finish Sander</t>
  </si>
  <si>
    <t xml:space="preserve"> Recycle Shaft Sleeve</t>
  </si>
  <si>
    <t>Coupling - Diff. Size</t>
  </si>
  <si>
    <t xml:space="preserve"> Valve COMPROSSON</t>
  </si>
  <si>
    <t>Plastic Screen - Crusher</t>
  </si>
  <si>
    <t>THERMAL Valve 1/2</t>
  </si>
  <si>
    <t>lock nut</t>
  </si>
  <si>
    <t xml:space="preserve">Iron Seal Ring </t>
  </si>
  <si>
    <t>Iron Valve</t>
  </si>
  <si>
    <t>Copper Valave</t>
  </si>
  <si>
    <t>Angle Valve</t>
  </si>
  <si>
    <t>Iron Plug Cap</t>
  </si>
  <si>
    <t>Iron Union</t>
  </si>
  <si>
    <t>PPR - Ball Valve</t>
  </si>
  <si>
    <t>PPR Coupling</t>
  </si>
  <si>
    <t>PPR Reducing Coupling</t>
  </si>
  <si>
    <t>PPR Reducer</t>
  </si>
  <si>
    <t>PPR Union</t>
  </si>
  <si>
    <t>PPR Male Coupling</t>
  </si>
  <si>
    <t>PPR Female Coupling</t>
  </si>
  <si>
    <t xml:space="preserve">Weightbridge balance </t>
  </si>
  <si>
    <t>PPR Elbow"4</t>
  </si>
  <si>
    <t>PPR Elbow</t>
  </si>
  <si>
    <t>PPR Tee</t>
  </si>
  <si>
    <t>PVC Tee Reducer</t>
  </si>
  <si>
    <t>PPR FLANGE FLEXIBLE</t>
  </si>
  <si>
    <t>floor drain</t>
  </si>
  <si>
    <t>shower</t>
  </si>
  <si>
    <t>PPR Valve</t>
  </si>
  <si>
    <t>PPR - Socket Adapter</t>
  </si>
  <si>
    <t>PPR  End Cap 1/2 "</t>
  </si>
  <si>
    <t>membrane cover</t>
  </si>
  <si>
    <t xml:space="preserve">Flush Hose </t>
  </si>
  <si>
    <t>Flush Tank</t>
  </si>
  <si>
    <t>Water Filter 10"</t>
  </si>
  <si>
    <t>Pump Shaft</t>
  </si>
  <si>
    <t>STAINLESS STEEL Valve</t>
  </si>
  <si>
    <t>Suction Fan</t>
  </si>
  <si>
    <t>Plastic Fan Motor</t>
  </si>
  <si>
    <t>Bearing + Case</t>
  </si>
  <si>
    <t xml:space="preserve"> Valve - DCV-250 </t>
  </si>
  <si>
    <t>Heater Pipes</t>
  </si>
  <si>
    <t xml:space="preserve"> Valve CONTROL</t>
  </si>
  <si>
    <t>Carbon Brushes Base</t>
  </si>
  <si>
    <t>Furnace Crucible Clip - Big</t>
  </si>
  <si>
    <t>Furnace Crucible Clip - Small</t>
  </si>
  <si>
    <t xml:space="preserve">Filter Plastic Nut </t>
  </si>
  <si>
    <t>diaphragm pump (desalination plant)</t>
  </si>
  <si>
    <t>Rubber Coupling</t>
  </si>
  <si>
    <t>Pressure Flange</t>
  </si>
  <si>
    <t>Iron Flange</t>
  </si>
  <si>
    <t>Iron Screw Flange 6"</t>
  </si>
  <si>
    <t>Cap end flange 9"</t>
  </si>
  <si>
    <t>Cap end flange 10"</t>
  </si>
  <si>
    <t>Iron Screw Flange 4"</t>
  </si>
  <si>
    <t>Plastic Screen - Tanks</t>
  </si>
  <si>
    <t>Green house net</t>
  </si>
  <si>
    <t>V- Belt</t>
  </si>
  <si>
    <t>High Presure Falnge Flexable</t>
  </si>
  <si>
    <t>Ball  Valve</t>
  </si>
  <si>
    <t>Rubber Belt break piston crusher</t>
  </si>
  <si>
    <t>Crusher BALANCE WHEEL</t>
  </si>
  <si>
    <t>Elbow Flange</t>
  </si>
  <si>
    <t>Irion Mesh</t>
  </si>
  <si>
    <t>Fire Hose 4"</t>
  </si>
  <si>
    <t>Iron Dowel 1"</t>
  </si>
  <si>
    <t>Iron Dowel 1/2"</t>
  </si>
  <si>
    <t>PPR Pipe</t>
  </si>
  <si>
    <t>Sleeve Anchor Bolt 19" - Copper</t>
  </si>
  <si>
    <t>Sleeve Anchor Bolt 19" - Metal</t>
  </si>
  <si>
    <t>Sleeve Anchor Bolt</t>
  </si>
  <si>
    <t>Slide Botton line</t>
  </si>
  <si>
    <t>Virbration Motor</t>
  </si>
  <si>
    <t>Gantry Crane</t>
  </si>
  <si>
    <t>Welding Cabe</t>
  </si>
  <si>
    <t>EPDM Gutter Lining</t>
  </si>
  <si>
    <t>automatic pump control</t>
  </si>
  <si>
    <t>mobile crane</t>
  </si>
  <si>
    <t>gear</t>
  </si>
  <si>
    <t>Capister MF 40</t>
  </si>
  <si>
    <t>Electric Pannel</t>
  </si>
  <si>
    <t>Braker box - MBC</t>
  </si>
  <si>
    <t>Braker box - CB</t>
  </si>
  <si>
    <t>Cable shoes</t>
  </si>
  <si>
    <t>Capacitor 50</t>
  </si>
  <si>
    <t>Battery- Koddak</t>
  </si>
  <si>
    <t>Electirc Switch Key</t>
  </si>
  <si>
    <t>Emergency Push button Key</t>
  </si>
  <si>
    <t>Rags</t>
  </si>
  <si>
    <t>Flood light 150 W</t>
  </si>
  <si>
    <t>Ceiling Fan</t>
  </si>
  <si>
    <t>Anti-water Elec.Tape</t>
  </si>
  <si>
    <t>Pannel Cooling Fan</t>
  </si>
  <si>
    <t>Pressure Falnge 10"</t>
  </si>
  <si>
    <t>PVC Suction Hose</t>
  </si>
  <si>
    <t>Breaker  200a</t>
  </si>
  <si>
    <t>Breaker 2L 16a</t>
  </si>
  <si>
    <t>Welding Rods 12</t>
  </si>
  <si>
    <t>Iron Clamp 1/2"</t>
  </si>
  <si>
    <t>Injectors</t>
  </si>
  <si>
    <t>Hold Starter</t>
  </si>
  <si>
    <t>Battery 40am</t>
  </si>
  <si>
    <t>HEAD Valve</t>
  </si>
  <si>
    <t>SQUARE PIPE</t>
  </si>
  <si>
    <t>Screen Base</t>
  </si>
  <si>
    <t>Gland Seal</t>
  </si>
  <si>
    <t>Big Ball Mill Grinder - Net</t>
  </si>
  <si>
    <t>Iron Clamp 7"</t>
  </si>
  <si>
    <t>Iron Clamp 1.1/4"</t>
  </si>
  <si>
    <t>Iron Clamp 3"</t>
  </si>
  <si>
    <t>Iron Clamp 1"</t>
  </si>
  <si>
    <t>Cyanide  Face Mask</t>
  </si>
  <si>
    <t>Dust Mask</t>
  </si>
  <si>
    <t>Cyanide  Face Mask Filter</t>
  </si>
  <si>
    <t>Medical Mask</t>
  </si>
  <si>
    <t>Earplugs</t>
  </si>
  <si>
    <t>Double deck steel sheet</t>
  </si>
  <si>
    <t>Double deck rubber sheet</t>
  </si>
  <si>
    <t>Filter Plastic Plate</t>
  </si>
  <si>
    <t>Crusher Big Bearing</t>
  </si>
  <si>
    <t>Vertical Filter Pump</t>
  </si>
  <si>
    <t>Freezer</t>
  </si>
  <si>
    <t>Mixer + accessories</t>
  </si>
  <si>
    <t>Mechanical gloves</t>
  </si>
  <si>
    <t>Inverter 2.2 kw</t>
  </si>
  <si>
    <t>Plastic Welding Gun</t>
  </si>
  <si>
    <t>Acetylene regulator</t>
  </si>
  <si>
    <t>Security Camera Cable</t>
  </si>
  <si>
    <t>Air Gun</t>
  </si>
  <si>
    <t>Grease Pump</t>
  </si>
  <si>
    <t>Floor Jack</t>
  </si>
  <si>
    <t>graphite</t>
  </si>
  <si>
    <t>Mouth Ring</t>
  </si>
  <si>
    <t>White Ring</t>
  </si>
  <si>
    <t>Iron Ring</t>
  </si>
  <si>
    <t>A/C Pipes</t>
  </si>
  <si>
    <t>A/C Holder</t>
  </si>
  <si>
    <t>air conditioner carton</t>
  </si>
  <si>
    <t>Power Supply Switch</t>
  </si>
  <si>
    <t>A/C Filter - copper</t>
  </si>
  <si>
    <t>tollet</t>
  </si>
  <si>
    <t>PVC spiral steel wire hose</t>
  </si>
  <si>
    <t>graphite rod</t>
  </si>
  <si>
    <t>gas hose</t>
  </si>
  <si>
    <t>high pressure gas regulator</t>
  </si>
  <si>
    <t>Cotton</t>
  </si>
  <si>
    <t>Graphite Ingot Mold 10kg</t>
  </si>
  <si>
    <t>Mill Ball Coupin</t>
  </si>
  <si>
    <t>Mill Ball Gear</t>
  </si>
  <si>
    <t>Cable PV MM1*4</t>
  </si>
  <si>
    <t>Flexable Cable 2.5 mm</t>
  </si>
  <si>
    <t>Hand Drill Set</t>
  </si>
  <si>
    <t>Toos Set</t>
  </si>
  <si>
    <t>Cable Shoes Set</t>
  </si>
  <si>
    <t>copper bar</t>
  </si>
  <si>
    <t>Jaw Crusher model (xp100*60)</t>
  </si>
  <si>
    <t>Lab Mill</t>
  </si>
  <si>
    <t>Lab Mill Motor</t>
  </si>
  <si>
    <t>Lab Mill Motor Couplin</t>
  </si>
  <si>
    <t>Jaw Crusher</t>
  </si>
  <si>
    <t>Shaker</t>
  </si>
  <si>
    <t>sample spliter</t>
  </si>
  <si>
    <t>Lap Electric Oven</t>
  </si>
  <si>
    <t>bulk dencity meter</t>
  </si>
  <si>
    <t>welding machine</t>
  </si>
  <si>
    <t xml:space="preserve"> Big Mill Ball Coupling</t>
  </si>
  <si>
    <t>Big Filter Coupling</t>
  </si>
  <si>
    <t xml:space="preserve">Impeller 4/3 -  Ball Mill Grinder </t>
  </si>
  <si>
    <t>Impeller 6/4 - Filter Pump</t>
  </si>
  <si>
    <t>fuel flowmeter</t>
  </si>
  <si>
    <t>Suction Hose 4"</t>
  </si>
  <si>
    <t>Metal Detector</t>
  </si>
  <si>
    <t>Welding Iron elbow 3"</t>
  </si>
  <si>
    <t>Welding Iron elbow 6"</t>
  </si>
  <si>
    <t>Welding Iron elbow 4"</t>
  </si>
  <si>
    <t>Filter Sensor</t>
  </si>
  <si>
    <t>Filter Sensor Wire</t>
  </si>
  <si>
    <t>Electronic Plate</t>
  </si>
  <si>
    <t>Plastic Filter Pipe</t>
  </si>
  <si>
    <t>Plastic Filter 6"</t>
  </si>
  <si>
    <t>Plastic Filter 10"</t>
  </si>
  <si>
    <t>PVC - Socket Adapter</t>
  </si>
  <si>
    <t xml:space="preserve">PPR Reducer </t>
  </si>
  <si>
    <t>PPR Reducer Female</t>
  </si>
  <si>
    <t>PPR  Male Coupling</t>
  </si>
  <si>
    <t>PPR Reducer Male</t>
  </si>
  <si>
    <t>Hoover 50Hz 600w</t>
  </si>
  <si>
    <t>Iron Nipple 4"</t>
  </si>
  <si>
    <t>Balance 10 kg</t>
  </si>
  <si>
    <t>Gas Cylinder 25 kg</t>
  </si>
  <si>
    <t>Gas Cylinder 13 kg</t>
  </si>
  <si>
    <t>Acetylene Sylinder</t>
  </si>
  <si>
    <t>Oxygen Cylinder</t>
  </si>
  <si>
    <t>washer (for cell)</t>
  </si>
  <si>
    <t>Iron Clamp 8"</t>
  </si>
  <si>
    <t>steel wire rods</t>
  </si>
  <si>
    <t>Welding Rods 10</t>
  </si>
  <si>
    <t>sand paper</t>
  </si>
  <si>
    <t>PVC Nipple 1.1/4"</t>
  </si>
  <si>
    <t>PVC End Cap</t>
  </si>
  <si>
    <t>Iron Clamp</t>
  </si>
  <si>
    <t>Chemical Overall</t>
  </si>
  <si>
    <t>Safety Helmet</t>
  </si>
  <si>
    <t>Cable Hose 20 mm</t>
  </si>
  <si>
    <t xml:space="preserve">cotton filter </t>
  </si>
  <si>
    <t>A/C Switch 20 a</t>
  </si>
  <si>
    <t>Refregator Door Handle</t>
  </si>
  <si>
    <t>Adapter 12 v 2 a</t>
  </si>
  <si>
    <t>Adapter 12 v 1 a</t>
  </si>
  <si>
    <t>Remote Battery Koddak</t>
  </si>
  <si>
    <t>Fire Extinguisher</t>
  </si>
  <si>
    <t>Fire Extinguisher - Powder</t>
  </si>
  <si>
    <t>Rubber Screen 10 "</t>
  </si>
  <si>
    <t>fuel nozzle</t>
  </si>
  <si>
    <t>TV Sceen 39"</t>
  </si>
  <si>
    <t>Plastic Pipe</t>
  </si>
  <si>
    <t>Door Lock Set</t>
  </si>
  <si>
    <t xml:space="preserve">Office Door Lock </t>
  </si>
  <si>
    <t>Door Lock Set + Handle</t>
  </si>
  <si>
    <t>Furnace Cartridges / Hose</t>
  </si>
  <si>
    <t>cell bar washer</t>
  </si>
  <si>
    <t>Grinder Wire Brush</t>
  </si>
  <si>
    <t>Epoxy</t>
  </si>
  <si>
    <t>Epoxy Fixer</t>
  </si>
  <si>
    <t>Welding Rods 8 - 7018</t>
  </si>
  <si>
    <t>Welding Rods 10 - 7018</t>
  </si>
  <si>
    <t>Iron Bed</t>
  </si>
  <si>
    <t>Tourch</t>
  </si>
  <si>
    <t>One-way Valve2"</t>
  </si>
  <si>
    <t>PPR Mail Coupling</t>
  </si>
  <si>
    <t>gold hot pot</t>
  </si>
  <si>
    <t xml:space="preserve">Lamp Trans. </t>
  </si>
  <si>
    <t xml:space="preserve">Compressor Hose 8 mm </t>
  </si>
  <si>
    <t>Anti-Theft Lock</t>
  </si>
  <si>
    <t>Copper Pipes</t>
  </si>
  <si>
    <t>Electric Pannel 9L</t>
  </si>
  <si>
    <t>Oven Thermostat Sensor</t>
  </si>
  <si>
    <t>ValveCOPPER</t>
  </si>
  <si>
    <t>GAS CHRGING Valve</t>
  </si>
  <si>
    <t>Genset Fuel Pump KRP1721</t>
  </si>
  <si>
    <t>A/C Gas 22 Cylinder</t>
  </si>
  <si>
    <t>A/C 24 Unit - Used</t>
  </si>
  <si>
    <t>A/C 18 Unit - Used</t>
  </si>
  <si>
    <t>Screw Iron Falnge 5"</t>
  </si>
  <si>
    <t>Battery 200 a</t>
  </si>
  <si>
    <t>Acetylene Heating Nozzel</t>
  </si>
  <si>
    <t>Iron Valve 1/2"  female</t>
  </si>
  <si>
    <t>Iron Capend  3/4" male</t>
  </si>
  <si>
    <t>Breraing</t>
  </si>
  <si>
    <t>A/C Motor</t>
  </si>
  <si>
    <t>Warning tape</t>
  </si>
  <si>
    <t>Welding rods</t>
  </si>
  <si>
    <t>Cuting disk</t>
  </si>
  <si>
    <t>BIG PUMP FLANGE</t>
  </si>
  <si>
    <t>BACKING GLAND</t>
  </si>
  <si>
    <t>Filter Seal</t>
  </si>
  <si>
    <t>DROWING - Grinding disc</t>
  </si>
  <si>
    <t>Acetylene welding rods</t>
  </si>
  <si>
    <t xml:space="preserve"> SEAL FILTER</t>
  </si>
  <si>
    <t>survey total station</t>
  </si>
  <si>
    <t>PPR FLEXIBLE</t>
  </si>
  <si>
    <t>Tap 1/2 "</t>
  </si>
  <si>
    <t>PPR Coupling Reducer</t>
  </si>
  <si>
    <t>PPR Female Tee</t>
  </si>
  <si>
    <t>PVC Tee</t>
  </si>
  <si>
    <t>Filter Haosing  10"</t>
  </si>
  <si>
    <t>Rope</t>
  </si>
  <si>
    <t>Sunlight Pump</t>
  </si>
  <si>
    <t>Carbon Brushes</t>
  </si>
  <si>
    <t>Filter Pipes</t>
  </si>
  <si>
    <t>Wall Iron Clamp 3"</t>
  </si>
  <si>
    <t>Spray Paint</t>
  </si>
  <si>
    <t>Heat Pipes   Insulation -</t>
  </si>
  <si>
    <t>Acetylene Fittings</t>
  </si>
  <si>
    <t>Caravan Roof Insulation</t>
  </si>
  <si>
    <t>Wire Tide</t>
  </si>
  <si>
    <t xml:space="preserve">Plastic Washer ball mill </t>
  </si>
  <si>
    <t>Meter Tape Measure</t>
  </si>
  <si>
    <t>Cable Winch</t>
  </si>
  <si>
    <t>PVC  Pipe</t>
  </si>
  <si>
    <t>Water Hose 3/4"</t>
  </si>
  <si>
    <t>Barbed wire</t>
  </si>
  <si>
    <t>Iron Screw Clamp 1/2"</t>
  </si>
  <si>
    <t>pinion Bearing</t>
  </si>
  <si>
    <t>Weight Balance</t>
  </si>
  <si>
    <t>High Density Foam Sheet</t>
  </si>
  <si>
    <t>Gasket Sheet</t>
  </si>
  <si>
    <t>PUMP HEARD</t>
  </si>
  <si>
    <t>PVC Electric wall Mounted Box</t>
  </si>
  <si>
    <t>Plastic wall Plug</t>
  </si>
  <si>
    <t>Big Electric Switch</t>
  </si>
  <si>
    <t>Electric wall Plug Box</t>
  </si>
  <si>
    <t>A/C Switch 45 amp</t>
  </si>
  <si>
    <t>Electic Wire</t>
  </si>
  <si>
    <t>PVC Cable Trunking</t>
  </si>
  <si>
    <t>BREAKER Base</t>
  </si>
  <si>
    <t>Car washing</t>
  </si>
  <si>
    <t>Electric Wire</t>
  </si>
  <si>
    <t>Elect. Pipes Coupling</t>
  </si>
  <si>
    <t>Scew Driver Set</t>
  </si>
  <si>
    <t>Flood light 100 W</t>
  </si>
  <si>
    <t>Flood light 200 W</t>
  </si>
  <si>
    <t>LED Flood light 100 W</t>
  </si>
  <si>
    <t>Clamitor</t>
  </si>
  <si>
    <t>Wire Cabe 2mm</t>
  </si>
  <si>
    <t>Internet Cable</t>
  </si>
  <si>
    <t>Genest Clips</t>
  </si>
  <si>
    <t>Telpohne Wire</t>
  </si>
  <si>
    <t>Cable 4mm</t>
  </si>
  <si>
    <t>Cable 6mm</t>
  </si>
  <si>
    <t>Sample Sacks</t>
  </si>
  <si>
    <t>Lamp</t>
  </si>
  <si>
    <t>Flood light  200W</t>
  </si>
  <si>
    <t>Filter Limited Switch</t>
  </si>
  <si>
    <t>Capister Screen</t>
  </si>
  <si>
    <t>Timer 90s</t>
  </si>
  <si>
    <t>Iron Plate</t>
  </si>
  <si>
    <t>Breaker 2L 10a</t>
  </si>
  <si>
    <t>Start Relay</t>
  </si>
  <si>
    <t>Turbo</t>
  </si>
  <si>
    <t>Starter</t>
  </si>
  <si>
    <t>Battery Clips</t>
  </si>
  <si>
    <t>Genset 7 Kw</t>
  </si>
  <si>
    <t>Genset Motor</t>
  </si>
  <si>
    <t>Battery 100am</t>
  </si>
  <si>
    <t>Battery 70am</t>
  </si>
  <si>
    <t>Battery 90am</t>
  </si>
  <si>
    <t>Battery 150am</t>
  </si>
  <si>
    <t>Diesel Atomizer18BF</t>
  </si>
  <si>
    <t>Saw Plate</t>
  </si>
  <si>
    <t>Iron Clamp 10"</t>
  </si>
  <si>
    <t>Screw Clamp</t>
  </si>
  <si>
    <t>iron Wicker</t>
  </si>
  <si>
    <t>Small  Ball Mill Grinder - Net</t>
  </si>
  <si>
    <t>Limestone</t>
  </si>
  <si>
    <t>Iron Clamp 11"</t>
  </si>
  <si>
    <t>Iron Clamp 6"</t>
  </si>
  <si>
    <t xml:space="preserve">CT 600/5 </t>
  </si>
  <si>
    <t>Screw Bolt</t>
  </si>
  <si>
    <t>Coverall</t>
  </si>
  <si>
    <t>Safety Shose</t>
  </si>
  <si>
    <t>Plastic/chimical  Gloves</t>
  </si>
  <si>
    <t>Safety Glasses - Clear</t>
  </si>
  <si>
    <t>Safety Glasses - Dark</t>
  </si>
  <si>
    <t>Fabric/welding Gloves</t>
  </si>
  <si>
    <t>Medical Golves</t>
  </si>
  <si>
    <t>incectisite</t>
  </si>
  <si>
    <t>Tanks Screen Drawer</t>
  </si>
  <si>
    <t>Hydraulic Hose press</t>
  </si>
  <si>
    <t>Air Lifter</t>
  </si>
  <si>
    <t>fitting acetylene</t>
  </si>
  <si>
    <t>cutting disk</t>
  </si>
  <si>
    <t>Water Cooler</t>
  </si>
  <si>
    <t>Copper Nipple</t>
  </si>
  <si>
    <t>Fire Hose</t>
  </si>
  <si>
    <t>Water Steril LIZER</t>
  </si>
  <si>
    <t>Short Safty Overall</t>
  </si>
  <si>
    <t>Fence Pipes</t>
  </si>
  <si>
    <t>Iron Pipes</t>
  </si>
  <si>
    <t>zinc plate</t>
  </si>
  <si>
    <t>A/C 18 - External Unit</t>
  </si>
  <si>
    <t>ELECTRIC TAPE BIG</t>
  </si>
  <si>
    <t>PVC Elbow</t>
  </si>
  <si>
    <t>Iron Clamp 3/4"</t>
  </si>
  <si>
    <t>Rain boots</t>
  </si>
  <si>
    <t>A/C Gas bottle</t>
  </si>
  <si>
    <t>End Liner</t>
  </si>
  <si>
    <t>IRON FAN</t>
  </si>
  <si>
    <t>grease gun fittings</t>
  </si>
  <si>
    <t>Watre Pump 0.75 kw</t>
  </si>
  <si>
    <t>WATER PUMP OUTAMTIC</t>
  </si>
  <si>
    <t>flowmeter DN50</t>
  </si>
  <si>
    <t>Wireless Mouse</t>
  </si>
  <si>
    <t>Lab Mill Seal</t>
  </si>
  <si>
    <t>Lab Mill Rubber</t>
  </si>
  <si>
    <t>Iron Clamp 4"</t>
  </si>
  <si>
    <t>SunPower Cable</t>
  </si>
  <si>
    <t>SunPower Cable Holder</t>
  </si>
  <si>
    <t>Cutting disk</t>
  </si>
  <si>
    <t>Welding Iron elbow 1.1/2"</t>
  </si>
  <si>
    <t>Welding Iron elbow 1"</t>
  </si>
  <si>
    <t>Blanket</t>
  </si>
  <si>
    <t>Cable Plastic Pipes</t>
  </si>
  <si>
    <t>Lamp Base</t>
  </si>
  <si>
    <t>Door Hinges</t>
  </si>
  <si>
    <t>Doors Handle</t>
  </si>
  <si>
    <t>Small Refineries</t>
  </si>
  <si>
    <t>Large Refineries</t>
  </si>
  <si>
    <t xml:space="preserve">Wedge With bolt and seel </t>
  </si>
  <si>
    <t>Pannel Copper Ruler</t>
  </si>
  <si>
    <t>Fresh Pump Couplin</t>
  </si>
  <si>
    <t>Dispersor  5M</t>
  </si>
  <si>
    <t>Iron Clamp 5"</t>
  </si>
  <si>
    <t>Chemical Gloves</t>
  </si>
  <si>
    <t>Concrete</t>
  </si>
  <si>
    <t>Shaft Sleeve Coupling</t>
  </si>
  <si>
    <t>Capacitor 10</t>
  </si>
  <si>
    <t>Spring Door Closer</t>
  </si>
  <si>
    <t>Mixer</t>
  </si>
  <si>
    <t>Labcoat</t>
  </si>
  <si>
    <t>Plaster</t>
  </si>
  <si>
    <t>Pump Shaft sleeve</t>
  </si>
  <si>
    <t>survey total station chager</t>
  </si>
  <si>
    <t>Core Cutting Disc</t>
  </si>
  <si>
    <t>Detorim lamp</t>
  </si>
  <si>
    <t>asiton</t>
  </si>
  <si>
    <t>HCL</t>
  </si>
  <si>
    <t>LAP crucible</t>
  </si>
  <si>
    <t>Sodium Sulphate</t>
  </si>
  <si>
    <t>Iron Elbow - Plumbing"1</t>
  </si>
  <si>
    <t>Welding Glass</t>
  </si>
  <si>
    <t>Welding Machine</t>
  </si>
  <si>
    <t>Crucible</t>
  </si>
  <si>
    <t>Air Compressor</t>
  </si>
  <si>
    <t>Air Compressor Engine</t>
  </si>
  <si>
    <t>Battery</t>
  </si>
  <si>
    <t>Valve AIR  NIPPLE</t>
  </si>
  <si>
    <t>Lab Compressor hose</t>
  </si>
  <si>
    <t>Teflon Rods 50 X 30</t>
  </si>
  <si>
    <t>Teflon Rods 65 X 30</t>
  </si>
  <si>
    <t>Teflon Rods 20 X 30</t>
  </si>
  <si>
    <t>Armed Cable</t>
  </si>
  <si>
    <t>Iron T Falnge</t>
  </si>
  <si>
    <t>Arcket</t>
  </si>
  <si>
    <t>scissor</t>
  </si>
  <si>
    <t>Arcket blades</t>
  </si>
  <si>
    <t>Shelves Set</t>
  </si>
  <si>
    <t>Shelves Column</t>
  </si>
  <si>
    <t>جهاز صنفرة - كهربائي</t>
  </si>
  <si>
    <t xml:space="preserve">11.5*3 </t>
  </si>
  <si>
    <t xml:space="preserve">مسطره فلتر </t>
  </si>
  <si>
    <t>12*2</t>
  </si>
  <si>
    <t>مفتاح 13</t>
  </si>
  <si>
    <t>مفتاح 12</t>
  </si>
  <si>
    <t>مفتاح 10</t>
  </si>
  <si>
    <t>مفتاح انجليزي 10</t>
  </si>
  <si>
    <t>مفتاح انجليزي 14</t>
  </si>
  <si>
    <t>مفك قلاب ( نجمة + بلدي )</t>
  </si>
  <si>
    <t>فحمات ( حجر نار )</t>
  </si>
  <si>
    <t>مفرمه مقاس 32</t>
  </si>
  <si>
    <t xml:space="preserve">موتور مفرمه 2 حصان </t>
  </si>
  <si>
    <t>زاوية 1.5 مستوردة ( المفرمه )</t>
  </si>
  <si>
    <t>زاوية 1.25 مستوردة ( المفرمه )</t>
  </si>
  <si>
    <t>موتور 7.5 KW</t>
  </si>
  <si>
    <t>DN65/16 بلف حراري</t>
  </si>
  <si>
    <t>9130-009-00 - R 450</t>
  </si>
  <si>
    <t>خوذة صفراء</t>
  </si>
  <si>
    <t xml:space="preserve">سماعة اذن كبيرة </t>
  </si>
  <si>
    <t>قربة موية سعه 18 متر مكعب</t>
  </si>
  <si>
    <t>طلمبة ابار (خاصه بالابار )</t>
  </si>
  <si>
    <t>خرطوش ماء ( 2 طبقه خاص بالمصنع)</t>
  </si>
  <si>
    <t xml:space="preserve">مكثف 2.50 </t>
  </si>
  <si>
    <t xml:space="preserve">DN80 بلف بلية </t>
  </si>
  <si>
    <t>خرطوش طول 3 متر + مسدس ( تعبئة الجاز )</t>
  </si>
  <si>
    <t>CAPSETER 2.50</t>
  </si>
  <si>
    <t>NJ306EM</t>
  </si>
  <si>
    <t>Nj 408M</t>
  </si>
  <si>
    <t>322304Z</t>
  </si>
  <si>
    <t>DN40/16CF8</t>
  </si>
  <si>
    <t>DN32/16CF8</t>
  </si>
  <si>
    <t>DN 25/16CF8</t>
  </si>
  <si>
    <t>DN150/16CF8</t>
  </si>
  <si>
    <t>VCP 204</t>
  </si>
  <si>
    <t>DN65/16CF8</t>
  </si>
  <si>
    <t>DN80/16CF8</t>
  </si>
  <si>
    <t xml:space="preserve">جلبة طلمبة الطواحين  6/4 </t>
  </si>
  <si>
    <t>6311 Z</t>
  </si>
  <si>
    <t>الساحه</t>
  </si>
  <si>
    <t>63142 RS</t>
  </si>
  <si>
    <t xml:space="preserve"> 231360A / 221360A</t>
  </si>
  <si>
    <t>MU322EM / NU322EM</t>
  </si>
  <si>
    <t xml:space="preserve">الساحه </t>
  </si>
  <si>
    <t>D-17</t>
  </si>
  <si>
    <t>هوفر 600w 50HZ</t>
  </si>
  <si>
    <t xml:space="preserve">250 A - 2500 A بريكر </t>
  </si>
  <si>
    <t xml:space="preserve"> (فنية مشحمة )Greasecup</t>
  </si>
  <si>
    <t>6/4-HH</t>
  </si>
  <si>
    <t>جزم كوابل 500- 20 ملي حديد</t>
  </si>
  <si>
    <t>الاسمنت</t>
  </si>
  <si>
    <t>24*35 سم</t>
  </si>
  <si>
    <t>15*28 سم</t>
  </si>
  <si>
    <t>12*28 سم</t>
  </si>
  <si>
    <t>11*24 سم</t>
  </si>
  <si>
    <t>9*22 سم</t>
  </si>
  <si>
    <t>7*10 سم</t>
  </si>
  <si>
    <t xml:space="preserve">14*51 سم </t>
  </si>
  <si>
    <t>درايف kw 45</t>
  </si>
  <si>
    <t xml:space="preserve">درايف kw 75 </t>
  </si>
  <si>
    <t xml:space="preserve">درايف kw 18.5 </t>
  </si>
  <si>
    <t>درايف kw 15</t>
  </si>
  <si>
    <t>استارتر  kw 7</t>
  </si>
  <si>
    <t>منظم  الجهد V 12  AVR</t>
  </si>
  <si>
    <t>فيوز 6 امبير 5.2*20 ملم 250V</t>
  </si>
  <si>
    <t xml:space="preserve">فيوز 6 امبير 10*38 ملم 500V </t>
  </si>
  <si>
    <t>فيوز 4 امبير 10*38 ملم 500V</t>
  </si>
  <si>
    <t xml:space="preserve">مقاعد فيوز 32 امبير 10*38 ملم 500V </t>
  </si>
  <si>
    <t xml:space="preserve">Selaling ring سيل رينق </t>
  </si>
  <si>
    <t xml:space="preserve">CQB50 - 32 - 160 Q  Selaling ring سيل رينق </t>
  </si>
  <si>
    <t>Impeller ريشه</t>
  </si>
  <si>
    <t>monhole sead to desorption سيل</t>
  </si>
  <si>
    <t>مسامير 46 طول 12 سم</t>
  </si>
  <si>
    <t>مسامير 46 طول 38 سم مستطيلة</t>
  </si>
  <si>
    <t>مسامير 46 طول 43 سم مستطيلة</t>
  </si>
  <si>
    <t xml:space="preserve">بنز موتور هزاز الكسارة الاولية </t>
  </si>
  <si>
    <t xml:space="preserve">مسامير موتور الكسارة الاولية </t>
  </si>
  <si>
    <t>خرطوش مشحمة الطواحين الرئيسية</t>
  </si>
  <si>
    <t>خرطوش هايدورليك 1/2"</t>
  </si>
  <si>
    <t xml:space="preserve">خرطوش هايدورليك 1" </t>
  </si>
  <si>
    <t xml:space="preserve">خرطوش هايدورليك 3/4 </t>
  </si>
  <si>
    <t xml:space="preserve">خرطوش هايدورليك 1" ا </t>
  </si>
  <si>
    <t xml:space="preserve">مسامير 34 طول 31 سم </t>
  </si>
  <si>
    <t>مسامير طواحين مربعه طول 14</t>
  </si>
  <si>
    <t>مسامير طواحين مستطيله طول 44</t>
  </si>
  <si>
    <t>مسامير طواحين مستطيله طول40</t>
  </si>
  <si>
    <t>مسامير طواحين مستطيله طول22</t>
  </si>
  <si>
    <t xml:space="preserve">Large Liner    64 بلته طواحين </t>
  </si>
  <si>
    <t xml:space="preserve">MiddLe Liner   59  بلته طواحين </t>
  </si>
  <si>
    <t>طبلون   (الطاقة) 3.7</t>
  </si>
  <si>
    <t>بلتات فك الكسارة 100*80 سم</t>
  </si>
  <si>
    <t xml:space="preserve">بلف عادي </t>
  </si>
  <si>
    <t xml:space="preserve">DN125/16 بلف عادي </t>
  </si>
  <si>
    <t xml:space="preserve">DN125 بلف بلية  </t>
  </si>
  <si>
    <t>DN125 بلف سايكلون</t>
  </si>
  <si>
    <t>C - 2240 Li</t>
  </si>
  <si>
    <t xml:space="preserve"> سير C - 2240 Li</t>
  </si>
  <si>
    <t xml:space="preserve">مريلة لحام </t>
  </si>
  <si>
    <t>10 كيلوا طفاية حريق</t>
  </si>
  <si>
    <t>موتور  37kw</t>
  </si>
  <si>
    <t xml:space="preserve">منظم اسطوانات غاز طعام </t>
  </si>
  <si>
    <t xml:space="preserve">فرش بوهية </t>
  </si>
  <si>
    <t>باكن قلاند ( الثكنر )</t>
  </si>
  <si>
    <t>جربوكس التنوكة</t>
  </si>
  <si>
    <t>جربوكس دائري  ( صغير )</t>
  </si>
  <si>
    <t>جربوكس دائري ( كبيرة )</t>
  </si>
  <si>
    <t xml:space="preserve">ترس الثكنر </t>
  </si>
  <si>
    <t xml:space="preserve">عمود ثكنر </t>
  </si>
  <si>
    <t xml:space="preserve">كون الكسارة </t>
  </si>
  <si>
    <t xml:space="preserve">مبادل حراري الكسارة </t>
  </si>
  <si>
    <t xml:space="preserve">عمود الكسارة </t>
  </si>
  <si>
    <t xml:space="preserve">كيس بلي هزاز الكسارة </t>
  </si>
  <si>
    <t>جلب طلمبة الثكنر 3/2C- AH</t>
  </si>
  <si>
    <t>اميتر 75-0</t>
  </si>
  <si>
    <t>فيوزات بريكر سكين 400 امبير</t>
  </si>
  <si>
    <t>فيوزات بريكر سكين 100 امبير</t>
  </si>
  <si>
    <t>فيوزات بريكر سكين 200 امبير</t>
  </si>
  <si>
    <t xml:space="preserve">صاج / بلته </t>
  </si>
  <si>
    <t>ريلي 8 ارجل 24 V</t>
  </si>
  <si>
    <t>ريلي 8 ارجل 220 V</t>
  </si>
  <si>
    <t>مفتاح  ايقاف ضاغط احمر 10</t>
  </si>
  <si>
    <t>ريلي 14 ارجل 220VAC</t>
  </si>
  <si>
    <t>فولتميتر ( طبلون كهرباء )</t>
  </si>
  <si>
    <t>اميتر 300/5 امبير</t>
  </si>
  <si>
    <t>اميتر 600/5 امبير</t>
  </si>
  <si>
    <t>اميتر 800/5 امبير</t>
  </si>
  <si>
    <t>اميتر 750/5 امبير</t>
  </si>
  <si>
    <t>بريكر 32 امبير</t>
  </si>
  <si>
    <t xml:space="preserve">مسطرة بلته الفلتر </t>
  </si>
  <si>
    <t>مراوح موتورات 8.6.4-280</t>
  </si>
  <si>
    <t>مراوح موتورات 8.6.4-250</t>
  </si>
  <si>
    <t>مراوح موتورات .6.4-200</t>
  </si>
  <si>
    <t>مراوح موتورات 2-90</t>
  </si>
  <si>
    <t>مراوح موتورات 2-112</t>
  </si>
  <si>
    <t>مراوح موتورات 2.4-180</t>
  </si>
  <si>
    <t>مراوح موتورات 4.6-132</t>
  </si>
  <si>
    <t>مراوح موتورات 4.8-160</t>
  </si>
  <si>
    <t>اوفرلود 3.2-2 A</t>
  </si>
  <si>
    <t>ثارثتر ( تراياك )</t>
  </si>
  <si>
    <t>اميتر75/5 امبير</t>
  </si>
  <si>
    <t>اميتر كبير 5 امبير 220 V</t>
  </si>
  <si>
    <t>كونتاكر  50 KW</t>
  </si>
  <si>
    <t>بريكر 225 A</t>
  </si>
  <si>
    <t xml:space="preserve">22322CA/W33C33 بلي </t>
  </si>
  <si>
    <t>22238CA/W33C3 بلي</t>
  </si>
  <si>
    <t>NU318 بلي</t>
  </si>
  <si>
    <t>بلي 3636</t>
  </si>
  <si>
    <t>بلي 8320</t>
  </si>
  <si>
    <t>6210 بلي</t>
  </si>
  <si>
    <t>6215 بلي</t>
  </si>
  <si>
    <t>6224 بلي</t>
  </si>
  <si>
    <t>6405 بلي</t>
  </si>
  <si>
    <t>بلي 6409</t>
  </si>
  <si>
    <t xml:space="preserve">23122 بلي </t>
  </si>
  <si>
    <t>502309 بلي</t>
  </si>
  <si>
    <t>502222 بلي</t>
  </si>
  <si>
    <t>RN307 بلي</t>
  </si>
  <si>
    <t>130*160*15</t>
  </si>
  <si>
    <t>55*80*12</t>
  </si>
  <si>
    <t>130*160*12</t>
  </si>
  <si>
    <t>65*90*12</t>
  </si>
  <si>
    <t>50*72*12</t>
  </si>
  <si>
    <t>مفتاح طبلون كهرباء ( باب طبلون )</t>
  </si>
  <si>
    <t>فلنشة ضغط DN80</t>
  </si>
  <si>
    <t>فلنشة ضغط DN150</t>
  </si>
  <si>
    <t xml:space="preserve">فلتر بلور </t>
  </si>
  <si>
    <t>ياي بلور ( بلف بلور )</t>
  </si>
  <si>
    <t>انفيرتر 15KW</t>
  </si>
  <si>
    <t>انفيرتر 3.7KW</t>
  </si>
  <si>
    <t xml:space="preserve">جهاز لقراءة ضغط الخلية </t>
  </si>
  <si>
    <t>ترس عربة تحكم الفلتر ( فرول )</t>
  </si>
  <si>
    <t xml:space="preserve">بلته دائرية الطواحين </t>
  </si>
  <si>
    <t>ريشة مروحة التنوكة كبيرة</t>
  </si>
  <si>
    <t xml:space="preserve">ريشة مروحة التنوكة صغيرة </t>
  </si>
  <si>
    <t xml:space="preserve">جربوكس سيور الكسارة </t>
  </si>
  <si>
    <t>عمود التنوكة ( عمود ريشة التنوكة  )</t>
  </si>
  <si>
    <t>ريشه طلمبات غاطسة 40</t>
  </si>
  <si>
    <t>ريشه طلمبات غاطسة 65</t>
  </si>
  <si>
    <t>ريشه طلمبات غاطسة 100</t>
  </si>
  <si>
    <t>بور سبلاى (ترانس DC24V )</t>
  </si>
  <si>
    <t>مسامير 46 طول 18</t>
  </si>
  <si>
    <t xml:space="preserve">مسامير مستطيلة طول 27 سم </t>
  </si>
  <si>
    <t>Filter  press 360 أسيال كبيرة ( سيل زيت )</t>
  </si>
  <si>
    <t>درايف 2.2KW</t>
  </si>
  <si>
    <t xml:space="preserve">عمود جربوكس التنوكة </t>
  </si>
  <si>
    <t>محول 30KW -   57A</t>
  </si>
  <si>
    <t xml:space="preserve">جهاز كهربائي فرن الصهر </t>
  </si>
  <si>
    <t xml:space="preserve">انفيرتر </t>
  </si>
  <si>
    <t>انفيرتر - 2.2KW</t>
  </si>
  <si>
    <t>انفيرتر  (الطاقة)</t>
  </si>
  <si>
    <t>انفيرتر الطاقة الشمسية (المصنع</t>
  </si>
  <si>
    <t xml:space="preserve">مسطرة قياس ضغط الخلية </t>
  </si>
  <si>
    <t>تايمر 220V</t>
  </si>
  <si>
    <t>تايمر 120S</t>
  </si>
  <si>
    <t>مكثف -300 - 250</t>
  </si>
  <si>
    <t>بريكرسكين  200 امبير</t>
  </si>
  <si>
    <t>تايمر  0-10</t>
  </si>
  <si>
    <t>كونتاكتر + نقاط 50KW</t>
  </si>
  <si>
    <t>بريكر سكين 100A</t>
  </si>
  <si>
    <t xml:space="preserve">سكين بريكر </t>
  </si>
  <si>
    <t xml:space="preserve">ترس كبير الطواحين </t>
  </si>
  <si>
    <t>رولة سير كبيرة ( الكسارة + الفلتر )</t>
  </si>
  <si>
    <t>طلمبة الفرش</t>
  </si>
  <si>
    <t>موتور جربوكس الفلتر 1.5kw</t>
  </si>
  <si>
    <t xml:space="preserve">جلب نحاس ( الكسارة ) </t>
  </si>
  <si>
    <t xml:space="preserve">طلمبة ضغط عالي الخلية ( راسية ) </t>
  </si>
  <si>
    <t xml:space="preserve">ريشة طلمبة (الطواحين </t>
  </si>
  <si>
    <t xml:space="preserve">  كبير fortex findar</t>
  </si>
  <si>
    <t xml:space="preserve"> صغير fortex findar</t>
  </si>
  <si>
    <t xml:space="preserve">  بلاستيك fortex findar</t>
  </si>
  <si>
    <t>مسامير 19 طول 16 سم</t>
  </si>
  <si>
    <t>مسامير  قواعد</t>
  </si>
  <si>
    <t xml:space="preserve">مسامير  + صامولة - نحاس </t>
  </si>
  <si>
    <t>مسامير  10</t>
  </si>
  <si>
    <t xml:space="preserve">مسامير  13 الكسارة </t>
  </si>
  <si>
    <t>مسامير  16</t>
  </si>
  <si>
    <t xml:space="preserve">مسامير 19 طول 4 سم </t>
  </si>
  <si>
    <t>مسامير 30 طول 11 سم</t>
  </si>
  <si>
    <t>مسامير 30 طول 51 سم</t>
  </si>
  <si>
    <t>مسامير 30 طول 8سم</t>
  </si>
  <si>
    <t>مسامير 30 طول9 سم</t>
  </si>
  <si>
    <t>مسامير 32</t>
  </si>
  <si>
    <t xml:space="preserve">مسامير 36 طول 10 سم </t>
  </si>
  <si>
    <t>مسامير 36 طول 200سم</t>
  </si>
  <si>
    <t xml:space="preserve">مسامير 46 طول 19 سم </t>
  </si>
  <si>
    <t>مسامير 8</t>
  </si>
  <si>
    <t>مسامير برمة  (باكو)</t>
  </si>
  <si>
    <t>مسامير شداد - سكرين</t>
  </si>
  <si>
    <t>مسامير شكل L</t>
  </si>
  <si>
    <t xml:space="preserve">مسامير صلب 2 بوصة </t>
  </si>
  <si>
    <t>مسامير محول 24 سم</t>
  </si>
  <si>
    <t xml:space="preserve">حجر نار 5 بوصة / هيتلي </t>
  </si>
  <si>
    <t xml:space="preserve">حجر نار 9 بوصة / هيتلي </t>
  </si>
  <si>
    <t>صاج بقلاوة /سمك 6ملم</t>
  </si>
  <si>
    <t>لحام ظهر مقاس 8</t>
  </si>
  <si>
    <t>بلف نحاس 1.1/4</t>
  </si>
  <si>
    <t>Measuring Cylinder ( plastic ) 100ML</t>
  </si>
  <si>
    <t>ميكانيكل سيل</t>
  </si>
  <si>
    <t xml:space="preserve">مسامير  19 طول 8 سم </t>
  </si>
  <si>
    <t>الصيانة</t>
  </si>
  <si>
    <t>بلي درداقة ( قطع عينات - الكور )</t>
  </si>
  <si>
    <t>باب حديد صغير</t>
  </si>
  <si>
    <t>مسامير زنك دربكين</t>
  </si>
  <si>
    <t>مسامير من غير راس 46 طول 55 سم</t>
  </si>
  <si>
    <t>مسامير كسارة طول 119</t>
  </si>
  <si>
    <t>89*900</t>
  </si>
  <si>
    <t>49*85</t>
  </si>
  <si>
    <t>جزم كوابل 95 ملم</t>
  </si>
  <si>
    <t>جزم كوابل 120 ملم</t>
  </si>
  <si>
    <t>بطارية ميزان الخلية 6v-4.5 A</t>
  </si>
  <si>
    <t>شمع الخلية</t>
  </si>
  <si>
    <t>بلف فراشة</t>
  </si>
  <si>
    <t>طلمبات رش مبيد حشري</t>
  </si>
  <si>
    <t xml:space="preserve">مبيدات حشرية </t>
  </si>
  <si>
    <t>عمود طلمبة الثكنر</t>
  </si>
  <si>
    <t>جرافايت طلمبة الخلية CQB50-32-160G</t>
  </si>
  <si>
    <t>الكربون</t>
  </si>
  <si>
    <t>استارتر (هولد) 660</t>
  </si>
  <si>
    <t xml:space="preserve">5" طارة قطع - وسط </t>
  </si>
  <si>
    <t>حباسات مواسير نحاس 1/16</t>
  </si>
  <si>
    <t xml:space="preserve"> فشر حديد </t>
  </si>
  <si>
    <t xml:space="preserve">موتور 1.5 حصان </t>
  </si>
  <si>
    <t>مكثف 65+5</t>
  </si>
  <si>
    <t>اوفر لود 6-4</t>
  </si>
  <si>
    <t xml:space="preserve">ريلي كونتاك ثلاجة </t>
  </si>
  <si>
    <t xml:space="preserve">ريلي دوارة 12 فولت </t>
  </si>
  <si>
    <t>ريلي 12 ECU فولت</t>
  </si>
  <si>
    <t xml:space="preserve">مسامير 13 ( بلتات الفلتر ) </t>
  </si>
  <si>
    <t xml:space="preserve"> </t>
  </si>
  <si>
    <t>مسامير 32 طول 11 سم</t>
  </si>
  <si>
    <t xml:space="preserve">لوحات تحكم  مكيفات </t>
  </si>
  <si>
    <t>متر حديد 50 متر</t>
  </si>
  <si>
    <t>شريط</t>
  </si>
  <si>
    <t>طبلون توزيع 18 خط</t>
  </si>
  <si>
    <t xml:space="preserve">اسكرين بلاستيك صغير ( هزاز الكسارة ) </t>
  </si>
  <si>
    <t>بريكر 3 خط 63 امبير</t>
  </si>
  <si>
    <t xml:space="preserve">دورق حجمي سعه 250 ملي </t>
  </si>
  <si>
    <t xml:space="preserve">كأس زجاجي سعه 300 ملي </t>
  </si>
  <si>
    <t xml:space="preserve">حافظه مياة كبيرة ( صبارة ) </t>
  </si>
  <si>
    <t xml:space="preserve"> PPR 3\4"عادي</t>
  </si>
  <si>
    <t>كيبل  (كمرات مراغبة)</t>
  </si>
  <si>
    <t>كيبل  2.5 mm(لفة)</t>
  </si>
  <si>
    <t>كيبل 1.5 mm(لفة)</t>
  </si>
  <si>
    <t>كيبل 4 خط 6ملي</t>
  </si>
  <si>
    <t>كيبل انترنت مولد 6 (متر)</t>
  </si>
  <si>
    <t>كيبل فلكسيبول 2.5ملى 2خط</t>
  </si>
  <si>
    <t xml:space="preserve">كيبل مسلح </t>
  </si>
  <si>
    <t>كيبلM6</t>
  </si>
  <si>
    <t xml:space="preserve">  C-150 - C - 3800 Li  سير</t>
  </si>
  <si>
    <t>ترنك كبيرة 38*25</t>
  </si>
  <si>
    <t>سلك المونيوم 1*185 ملم</t>
  </si>
  <si>
    <t xml:space="preserve">مفتاح كامين 800 امبير </t>
  </si>
  <si>
    <t xml:space="preserve">شاشة مشاهدة 32 بوصة </t>
  </si>
  <si>
    <t xml:space="preserve">رسيفر HD + طبق+ المبي + سلك </t>
  </si>
  <si>
    <t>سخان شاي بويلر</t>
  </si>
  <si>
    <t xml:space="preserve">محطة التحلية </t>
  </si>
  <si>
    <t>قفيص 1" حديد  (حائطى)</t>
  </si>
  <si>
    <t>HVZG190714E - XP20110(60*100</t>
  </si>
  <si>
    <t>قفيص حديد لثبيت المواسير 1.1/4 بوصة</t>
  </si>
  <si>
    <t>كنترول  بوكس</t>
  </si>
  <si>
    <t xml:space="preserve">مقياس المطر </t>
  </si>
  <si>
    <t xml:space="preserve">طلمبة محطة التحلية ( عمودية ) </t>
  </si>
  <si>
    <t xml:space="preserve">mouth ring - ماوس رينق </t>
  </si>
  <si>
    <t xml:space="preserve"> مفتاح سلكتر سويتش ( مولد صيني )</t>
  </si>
  <si>
    <t xml:space="preserve"> مفتاح سلكتر 26A</t>
  </si>
  <si>
    <t>E-0-4</t>
  </si>
  <si>
    <t>140*160*15</t>
  </si>
  <si>
    <t>مسدس مشحمة هواء  25kg</t>
  </si>
  <si>
    <t xml:space="preserve">ماصة 5ملي </t>
  </si>
  <si>
    <t>pipette</t>
  </si>
  <si>
    <t xml:space="preserve">u-tube </t>
  </si>
  <si>
    <t>tube</t>
  </si>
  <si>
    <t>drain bohle</t>
  </si>
  <si>
    <t>95*76*9</t>
  </si>
  <si>
    <t>Z-0-(29-28-8)</t>
  </si>
  <si>
    <t xml:space="preserve">NU313 EMC3 بلي </t>
  </si>
  <si>
    <t xml:space="preserve">  </t>
  </si>
  <si>
    <t>اسكرين هزاز - حديد كبير (كسارة)</t>
  </si>
  <si>
    <t>Z-0-6</t>
  </si>
  <si>
    <t>مواسير  1.1/2سلك شايك 1 ملي</t>
  </si>
  <si>
    <t>فحمات 380KW</t>
  </si>
  <si>
    <t>عمود طلمبة الخلية 50CQ-50P</t>
  </si>
  <si>
    <t>شاشه لوحة تحكم ضغط الخلية DC</t>
  </si>
  <si>
    <t>جلب طلمبة الخلية الغاطسة 40yu- 1A - 20-30</t>
  </si>
  <si>
    <t>كوبلن طلمبة الخلية الغاطسة 40yu- 1A - 20-30</t>
  </si>
  <si>
    <t>سيل ريشة طلمبة الخلية الغاطسة 40yu- 1A - 20-30</t>
  </si>
  <si>
    <t>F-4</t>
  </si>
  <si>
    <t xml:space="preserve">اوفرلود 1-5 A الفلتر </t>
  </si>
  <si>
    <t>تايمر ريلي 60s</t>
  </si>
  <si>
    <t>ريشه طلمبة الخلية  الغاطسة 40yu- 1A - 20-30</t>
  </si>
  <si>
    <t xml:space="preserve">1"نبل حديد </t>
  </si>
  <si>
    <t xml:space="preserve">1"-3\4" جلب  حديد  </t>
  </si>
  <si>
    <t>جلب سنة داخلية حديد</t>
  </si>
  <si>
    <t xml:space="preserve"> crusher (sk-100) طاحونة   (المعمل)</t>
  </si>
  <si>
    <t>1"بلف حديد  بلية</t>
  </si>
  <si>
    <t xml:space="preserve">لمبه UV الاشعة فوق البنفسجية </t>
  </si>
  <si>
    <t>مسامير 13النكي</t>
  </si>
  <si>
    <t>مسامير 19 طول 10 سم</t>
  </si>
  <si>
    <t>مسامير 17 طول 10 سم</t>
  </si>
  <si>
    <t>خرطوش بلاستكك 10 بار 3/4</t>
  </si>
  <si>
    <t>استارتر ريلي 12 فولت</t>
  </si>
  <si>
    <t>جربوكس طاحونة المعمل (صيانة )</t>
  </si>
  <si>
    <t>جونتي كيميائي</t>
  </si>
  <si>
    <t>صناديق اسعافات اولية</t>
  </si>
  <si>
    <t>فطعة</t>
  </si>
  <si>
    <t>كدوس pvc</t>
  </si>
  <si>
    <t>كدوس 4بوصة pvc</t>
  </si>
  <si>
    <t>كوع pvc</t>
  </si>
  <si>
    <t>كوع 4بوصة pvc زاوية قائمة</t>
  </si>
  <si>
    <t>كوع 6بوصة pvc زاوية قائمة</t>
  </si>
  <si>
    <t>تي pvc</t>
  </si>
  <si>
    <t>تي 4بوصة pvc</t>
  </si>
  <si>
    <t>تي 6 بوصة pvc</t>
  </si>
  <si>
    <t>غرف تفتيش منهولات pvc</t>
  </si>
  <si>
    <t>غرف تفتيش منهولات 6 بوصة pvc</t>
  </si>
  <si>
    <t>ماسورة pvc</t>
  </si>
  <si>
    <t>ماسورة 4 بوصة pvc</t>
  </si>
  <si>
    <t>ماسورة 6 بوصة pvc</t>
  </si>
  <si>
    <t xml:space="preserve">بيبا كاملة </t>
  </si>
  <si>
    <t>لمبة زهب</t>
  </si>
  <si>
    <t xml:space="preserve">لمبة فلورسنت شمعه 4 قدم </t>
  </si>
  <si>
    <t xml:space="preserve">شمعة  فلبس  4 قدم </t>
  </si>
  <si>
    <t xml:space="preserve">شمعة  فلبس  2 قدم </t>
  </si>
  <si>
    <t xml:space="preserve">لمبة فلورسنت شمعه 2 قدم </t>
  </si>
  <si>
    <t>90*600</t>
  </si>
  <si>
    <t>فلتر جاز 4816635</t>
  </si>
  <si>
    <t xml:space="preserve">فلتر جاز </t>
  </si>
  <si>
    <t xml:space="preserve">فلتر  </t>
  </si>
  <si>
    <t>فلتر  15432</t>
  </si>
  <si>
    <t>بريكر 1250A</t>
  </si>
  <si>
    <t>بريكر 630A</t>
  </si>
  <si>
    <t xml:space="preserve">بوهية </t>
  </si>
  <si>
    <t xml:space="preserve">علبة </t>
  </si>
  <si>
    <t xml:space="preserve">وجنات 3 بوصة </t>
  </si>
  <si>
    <t>اوفرلود 6-10</t>
  </si>
  <si>
    <t>اوفرلود 13-18</t>
  </si>
  <si>
    <t xml:space="preserve"> لحام ستلين</t>
  </si>
  <si>
    <t xml:space="preserve">سراير دبل طابفين </t>
  </si>
  <si>
    <t xml:space="preserve">مراتب </t>
  </si>
  <si>
    <t>بلف رداخ 4"</t>
  </si>
  <si>
    <t>بلتة بلاستيك (الفلتر)</t>
  </si>
  <si>
    <t>B - 2</t>
  </si>
  <si>
    <t xml:space="preserve">AVR 120  منظم جهد </t>
  </si>
  <si>
    <t>بريكر  250 A</t>
  </si>
  <si>
    <t>1.1\2  بلف بلية PPR</t>
  </si>
  <si>
    <t xml:space="preserve">1.1\2"  ماسورة  PPR </t>
  </si>
  <si>
    <t>صاج سماكه 8 ملي مقاس 120*140</t>
  </si>
  <si>
    <t>علامات إرشاديه كبيرة</t>
  </si>
  <si>
    <t xml:space="preserve">علامات إرشاديه صغيرة </t>
  </si>
  <si>
    <t>C.T 1600/5</t>
  </si>
  <si>
    <t>نقاط مساعدة  0.95A</t>
  </si>
  <si>
    <t>توفبن</t>
  </si>
  <si>
    <t>25*38</t>
  </si>
  <si>
    <t xml:space="preserve"> بلف نحاس </t>
  </si>
  <si>
    <t xml:space="preserve">3/4" بلف نحاس </t>
  </si>
  <si>
    <t xml:space="preserve">سيخ 5 لينيا </t>
  </si>
  <si>
    <t xml:space="preserve">سيخه </t>
  </si>
  <si>
    <t xml:space="preserve">50*75*12  </t>
  </si>
  <si>
    <t xml:space="preserve">2"-1.1\4" جلب لحام مخفض  PPR </t>
  </si>
  <si>
    <t xml:space="preserve">طبل خابور كبيرة </t>
  </si>
  <si>
    <t xml:space="preserve">طبل خابور وسط </t>
  </si>
  <si>
    <t xml:space="preserve">طبل خابور صغيرة </t>
  </si>
  <si>
    <t xml:space="preserve">باب مصفح حديد </t>
  </si>
  <si>
    <t>باب جرار ( سحاب )</t>
  </si>
  <si>
    <t>مولد صغير كانم صوت ( كوفاكس )</t>
  </si>
  <si>
    <t xml:space="preserve">مايك </t>
  </si>
  <si>
    <t xml:space="preserve">مكبر صوت +  سماعه </t>
  </si>
  <si>
    <t>H-0-8</t>
  </si>
  <si>
    <t xml:space="preserve">   3"  قفيص حائطى حديد  </t>
  </si>
  <si>
    <t xml:space="preserve">الكربون </t>
  </si>
  <si>
    <t>P-12</t>
  </si>
  <si>
    <t>P-11</t>
  </si>
  <si>
    <t>529 / K522</t>
  </si>
  <si>
    <t xml:space="preserve">NU 311 </t>
  </si>
  <si>
    <t>55*72*10</t>
  </si>
  <si>
    <t>50*68*9</t>
  </si>
  <si>
    <t>كوع حديد لحام 5 بوصة</t>
  </si>
  <si>
    <t>Welding Iron elbow 5"</t>
  </si>
  <si>
    <t>DZS0918</t>
  </si>
  <si>
    <t>P-5</t>
  </si>
  <si>
    <t>P-4</t>
  </si>
  <si>
    <t>P-6</t>
  </si>
  <si>
    <t>P-10</t>
  </si>
  <si>
    <t>فلتر رطوبه Se429B/4</t>
  </si>
  <si>
    <t>P-13</t>
  </si>
  <si>
    <t xml:space="preserve">كيس  قلب طلمبة الخلية   CQB50-32-160Q  </t>
  </si>
  <si>
    <t xml:space="preserve">كيس قلب طلمبة الخلية   CQB50-32-160Q  </t>
  </si>
  <si>
    <t>ماوس رينق حديد طلمبة الخلية  CQB50-32-160Q</t>
  </si>
  <si>
    <t xml:space="preserve">كيس طلمبة الخلية   CQB50-32-160Q  </t>
  </si>
  <si>
    <t>بلف ضغط حرارة ( الكسارة ) J13w- 160P</t>
  </si>
  <si>
    <t>قلب طلمبة الخلية   CQB50-32-160Q</t>
  </si>
  <si>
    <t xml:space="preserve">0-1.6    ساعة ضغط الخلية </t>
  </si>
  <si>
    <t xml:space="preserve">0-1.6     ساعة ضغط </t>
  </si>
  <si>
    <t xml:space="preserve">0-1   ساعة ضغط </t>
  </si>
  <si>
    <t xml:space="preserve"> ابر انجكترات  2645K612</t>
  </si>
  <si>
    <t>ابر انجكترات  2645K612</t>
  </si>
  <si>
    <t xml:space="preserve">مراوح  بلاستيك </t>
  </si>
  <si>
    <t xml:space="preserve"> مراوح  بلاستيك ربر </t>
  </si>
  <si>
    <t>مراوح استاند +مروحة حائط</t>
  </si>
  <si>
    <t xml:space="preserve">مراوح تبريد طبلون ( صغيرة ) </t>
  </si>
  <si>
    <t xml:space="preserve">مراوح تبريد طبلون (كبيرة )24 V </t>
  </si>
  <si>
    <t>مراوح ثلاجة LG  مربعة (3-5)وات  خارجية</t>
  </si>
  <si>
    <t xml:space="preserve">مراوح حديد </t>
  </si>
  <si>
    <t xml:space="preserve">مراوح سقف </t>
  </si>
  <si>
    <t xml:space="preserve">مفتاح مراوح </t>
  </si>
  <si>
    <t>P-8</t>
  </si>
  <si>
    <t>سير AV12.5*1325LA  /  2614B554</t>
  </si>
  <si>
    <t xml:space="preserve">مكنيك سيل 35-1527/ 10U-35SSF </t>
  </si>
  <si>
    <t xml:space="preserve">ميكانيكل سيل 35-1527/ 10U-35SSF </t>
  </si>
  <si>
    <t xml:space="preserve">JLP500X750-24 </t>
  </si>
  <si>
    <t xml:space="preserve">اوشاش  ربر </t>
  </si>
  <si>
    <t xml:space="preserve">25*38 توفلن </t>
  </si>
  <si>
    <t>ثيرموستات 2.5</t>
  </si>
  <si>
    <t>ثيرموستات الفرن</t>
  </si>
  <si>
    <t>ثيرموستات KPR1645</t>
  </si>
  <si>
    <t>يد طلمبة  لعربة توزيع الجاز</t>
  </si>
  <si>
    <t>يد طلمبة جاز</t>
  </si>
  <si>
    <t xml:space="preserve">مراوح بلاستيك موتورات </t>
  </si>
  <si>
    <t>A-13</t>
  </si>
  <si>
    <t>D-1</t>
  </si>
  <si>
    <t>D-5/Z-0-15-18-19</t>
  </si>
  <si>
    <t>D-10/C-2</t>
  </si>
  <si>
    <t>G-0-1</t>
  </si>
  <si>
    <t>G-0-12</t>
  </si>
  <si>
    <t>G-0-14</t>
  </si>
  <si>
    <t>H-0-5</t>
  </si>
  <si>
    <t>Z-0-13-14</t>
  </si>
  <si>
    <t>Z-0-17</t>
  </si>
  <si>
    <t>مخزنالكربون</t>
  </si>
  <si>
    <t>مخزنالموادالخام-الصودا</t>
  </si>
  <si>
    <t>كيلو</t>
  </si>
  <si>
    <t>صامولة حبس  4"</t>
  </si>
  <si>
    <t>صامولة حبس  6"</t>
  </si>
  <si>
    <t xml:space="preserve">ساعة ضغط الكسارة </t>
  </si>
  <si>
    <t xml:space="preserve">0-25    ساعة ضغط الكسارة </t>
  </si>
  <si>
    <t>بوستك لحام كبس PVC  ( شلاك )</t>
  </si>
  <si>
    <t xml:space="preserve">خرطوش شفاط قصير </t>
  </si>
  <si>
    <t xml:space="preserve">خرطوش شفاط طويل </t>
  </si>
  <si>
    <t xml:space="preserve">جلبة مخفض pvc  </t>
  </si>
  <si>
    <t xml:space="preserve"> جلبة مخفض 6" - 4 " pvc</t>
  </si>
  <si>
    <t xml:space="preserve"> PPR 2"عادي</t>
  </si>
  <si>
    <t>خرطوش ماء 1"</t>
  </si>
  <si>
    <t>1.1/2" PPR يونية</t>
  </si>
  <si>
    <t>يونية PPR "2</t>
  </si>
  <si>
    <t>ROCKWOOL PCPA  قطن  حرارى (الخلية)</t>
  </si>
  <si>
    <t>F-16</t>
  </si>
  <si>
    <t>C.T 600/5 (نيوترن)</t>
  </si>
  <si>
    <t xml:space="preserve"> مفتاح سلكتر صغير 16 A</t>
  </si>
  <si>
    <t>خرطوش هيدوروليك كبس صغير - 630</t>
  </si>
  <si>
    <t>خرطوش هيدوروليك كبس كبير - 4000</t>
  </si>
  <si>
    <t>خرطوش هيدوروليك كبس متوسط</t>
  </si>
  <si>
    <t xml:space="preserve">خرطوش هيدوروليك كبس متوسط -   750 </t>
  </si>
  <si>
    <t>مقبض + خرطوش (حمامات</t>
  </si>
  <si>
    <t>من 1.1/2 الى 1"</t>
  </si>
  <si>
    <t xml:space="preserve">تي مخفض  PVC </t>
  </si>
  <si>
    <t xml:space="preserve">2"-1.1\2" جلب لحام مخفض  PPR </t>
  </si>
  <si>
    <t xml:space="preserve">1.1\2"-1" جلب لحام مخفض  PPR </t>
  </si>
  <si>
    <t>RELLY 24VDC  (8)</t>
  </si>
  <si>
    <t>مولد   660kv / 700</t>
  </si>
  <si>
    <t>طلمبه جاز CH10340 مولد 660</t>
  </si>
  <si>
    <t>كمبيوتر ECM</t>
  </si>
  <si>
    <t>الموادات</t>
  </si>
  <si>
    <t>فلتر هواء CH11038</t>
  </si>
  <si>
    <t>استارتر (هولد) 350</t>
  </si>
  <si>
    <t>طلمبة موية مولد 660</t>
  </si>
  <si>
    <t>طلمبة موية مولد 350</t>
  </si>
  <si>
    <t>المولدات</t>
  </si>
  <si>
    <t>حساس ضفيرة 940-996</t>
  </si>
  <si>
    <t>طقم اوشاش عمره(725-997)</t>
  </si>
  <si>
    <t>فلتر هواء CH11127</t>
  </si>
  <si>
    <t>فلتر هواء CH11127 ( طقم )</t>
  </si>
  <si>
    <t>الخدامات</t>
  </si>
  <si>
    <t xml:space="preserve">مكيف 12 وحدة </t>
  </si>
  <si>
    <t xml:space="preserve">جهاز لاسلكي </t>
  </si>
  <si>
    <t xml:space="preserve">درايف kw 3.7 </t>
  </si>
  <si>
    <t>استارتر  7 kw</t>
  </si>
  <si>
    <t>0-1  ساعة مؤشر</t>
  </si>
  <si>
    <t>Z-0-27</t>
  </si>
  <si>
    <t xml:space="preserve">سيرC95  - 22*2425 Li </t>
  </si>
  <si>
    <t xml:space="preserve">9.5"  Rubber جلب  </t>
  </si>
  <si>
    <t>غسالة</t>
  </si>
  <si>
    <t>غسالة 10 k</t>
  </si>
  <si>
    <t>حزام امان</t>
  </si>
  <si>
    <t>راس لحام غاز تبريد</t>
  </si>
  <si>
    <t>مكثف 60+5</t>
  </si>
  <si>
    <t>صحون تجفيف عينات 5*40*60</t>
  </si>
  <si>
    <t>فاليود طلمبة الثكنر 3/2</t>
  </si>
  <si>
    <t>امبلر طلمية الثكنر 3/2</t>
  </si>
  <si>
    <t>ريش طلمبة الثكنر 3/2</t>
  </si>
  <si>
    <t>لمبة كشافة 100 W</t>
  </si>
  <si>
    <t>بالطو ثقيل</t>
  </si>
  <si>
    <t xml:space="preserve">بوستك  230 ML    </t>
  </si>
  <si>
    <t xml:space="preserve">بوستك     </t>
  </si>
  <si>
    <t>wash prusher</t>
  </si>
  <si>
    <t>feller bump 10.ML</t>
  </si>
  <si>
    <t>feller bump 5.ML</t>
  </si>
  <si>
    <t>wash patle 500.ML</t>
  </si>
  <si>
    <t>spoon 5q</t>
  </si>
  <si>
    <t>حنفية ماسورة حوض غسيل 1/2</t>
  </si>
  <si>
    <t>وش ربر 2 ملي</t>
  </si>
  <si>
    <t>كاميرت مراقبة SD- Card</t>
  </si>
  <si>
    <t>كاميرت مراقبة NormaL</t>
  </si>
  <si>
    <t>سلك توصيل كاميرات</t>
  </si>
  <si>
    <t>جهاز Nvr dahua 32 ch</t>
  </si>
  <si>
    <t>هارديسك تخزين سعة 10 تيرا</t>
  </si>
  <si>
    <t>زاكرة 128 QB</t>
  </si>
  <si>
    <t>شاشة 32 بوصة اسكاي</t>
  </si>
  <si>
    <t>طبلون كهرباء رئيسي</t>
  </si>
  <si>
    <t>شمعة كشافة (فانوس )  400W</t>
  </si>
  <si>
    <t>شمعة كشافة (فانوس )  1000W</t>
  </si>
  <si>
    <t xml:space="preserve">قناع لحام ( واقي ) </t>
  </si>
  <si>
    <t xml:space="preserve"> انتي اسكيلن مانعة للتكلس (محلول )</t>
  </si>
  <si>
    <t>مانعة للتكلس ( محلول )</t>
  </si>
  <si>
    <t>فلوميتر 3/4 ( محطة التحلية )</t>
  </si>
  <si>
    <t>جلب سنه داخية 1" PPR</t>
  </si>
  <si>
    <t xml:space="preserve">موتور الطاحونة الرئيسي </t>
  </si>
  <si>
    <t xml:space="preserve">اير ليفتر صغير (AIRLIFTER) - التنوكة </t>
  </si>
  <si>
    <t xml:space="preserve">مكبس هيدورليك </t>
  </si>
  <si>
    <t>قاعدة اسكرينات دائرية</t>
  </si>
  <si>
    <t>هزاز الطواحين ( كامل )</t>
  </si>
  <si>
    <t xml:space="preserve">ماسورة 2" - 5 ملي </t>
  </si>
  <si>
    <t xml:space="preserve">ماسورة 4" - 5 ملي </t>
  </si>
  <si>
    <t xml:space="preserve">ماسورة 6" - 8 ملي </t>
  </si>
  <si>
    <t xml:space="preserve">ماسورة 8" - 8 ملي </t>
  </si>
  <si>
    <t>صاج 16 ملي - 228 سم * 555 سم</t>
  </si>
  <si>
    <t>كمر  ( الكسارة )</t>
  </si>
  <si>
    <t xml:space="preserve">DN25 بلف بلية </t>
  </si>
  <si>
    <t xml:space="preserve">DN15 بلف بلية </t>
  </si>
  <si>
    <t>ماكينه لحام PPR (ماكيتا )mm 20-32</t>
  </si>
  <si>
    <t>ماكينه لحام PPR (ماكيتا ) 32-63 mm</t>
  </si>
  <si>
    <t>ماكينه لحام PPR (ماكيتا )75-110 mm</t>
  </si>
  <si>
    <t>ميزان 150 كيلو</t>
  </si>
  <si>
    <t xml:space="preserve">ميزان 300 كيلو </t>
  </si>
  <si>
    <t xml:space="preserve">ميزان 150 كيلو </t>
  </si>
  <si>
    <t>فلوميتر  DN80</t>
  </si>
  <si>
    <t>فلوميتر السيانيد  DN50</t>
  </si>
  <si>
    <t xml:space="preserve">ميزان 5 كيلو </t>
  </si>
  <si>
    <t xml:space="preserve">ميزان 15 كيلو </t>
  </si>
  <si>
    <t xml:space="preserve">ميزان 30 كيلو </t>
  </si>
  <si>
    <t>بدل مواد كيميائية</t>
  </si>
  <si>
    <t>فلنشة حديد DN80</t>
  </si>
  <si>
    <t>فلنشة استيل DN80</t>
  </si>
  <si>
    <t>فلنشة حديد DN50</t>
  </si>
  <si>
    <t>فلنشة استيل DN50</t>
  </si>
  <si>
    <t>فلنشة حديد DN40</t>
  </si>
  <si>
    <t>فلنشة استيل DN40</t>
  </si>
  <si>
    <t>فلنشة حديد DN65</t>
  </si>
  <si>
    <t>فلنشة استيل DN65</t>
  </si>
  <si>
    <t>فلنشة حديد DN20</t>
  </si>
  <si>
    <t>فلنشة استيل DN20</t>
  </si>
  <si>
    <t>89*760</t>
  </si>
  <si>
    <t>89*305</t>
  </si>
  <si>
    <t xml:space="preserve">18 Mish  اسكرين ( نملي ) طول 30 </t>
  </si>
  <si>
    <t>كبير 150</t>
  </si>
  <si>
    <t>صغير 80</t>
  </si>
  <si>
    <t xml:space="preserve">ربر اسكرين </t>
  </si>
  <si>
    <t xml:space="preserve">Rubber </t>
  </si>
  <si>
    <t>توفلن عازل ( اقطاب الخلية )</t>
  </si>
  <si>
    <t>اميتر  100A</t>
  </si>
  <si>
    <t>C.T 500/5</t>
  </si>
  <si>
    <t>كونتاكتر 115KW</t>
  </si>
  <si>
    <t xml:space="preserve"> كونتاكتر KW80/220V </t>
  </si>
  <si>
    <t xml:space="preserve"> كونتاكتر KW48/220V </t>
  </si>
  <si>
    <t>اوفرلود 30-A40</t>
  </si>
  <si>
    <t>اوفرلود 10-A16</t>
  </si>
  <si>
    <t>اوفرلود 12-A18</t>
  </si>
  <si>
    <t>اوفرلود 17-A25</t>
  </si>
  <si>
    <t xml:space="preserve">اوفرلود 3.2-A5 </t>
  </si>
  <si>
    <t>اوفرلود 5.5-A8</t>
  </si>
  <si>
    <t>اوفرلود 9-A13</t>
  </si>
  <si>
    <t>اوفرلود 20-A25</t>
  </si>
  <si>
    <t>اوفرلود 4-A6 خارجي</t>
  </si>
  <si>
    <t xml:space="preserve"> كونتاكتر KW175/220V </t>
  </si>
  <si>
    <t>طلمبة الثكنر ( طلمبة + موتور )</t>
  </si>
  <si>
    <t xml:space="preserve">طنمبور كبير ( الكسارة ) </t>
  </si>
  <si>
    <t>عمود خلاط + ريشه + طنمبور</t>
  </si>
  <si>
    <t>مسامير 30 طول 17 سم</t>
  </si>
  <si>
    <t>مسامير 27 طول 10 سم</t>
  </si>
  <si>
    <t>هاوزن طلمبة الفلتر 4/3</t>
  </si>
  <si>
    <t>5.5KW طلمبة الخلية</t>
  </si>
  <si>
    <t>كيس قلب طلمبة الخلية  32CQ-25</t>
  </si>
  <si>
    <t>مراية طلمبة الخلية  32CQ-25</t>
  </si>
  <si>
    <t>عمود طلمبة الخلية 32CQ-25</t>
  </si>
  <si>
    <t xml:space="preserve">عمود طلمبة الخلية CQB50-32-162Q  </t>
  </si>
  <si>
    <t>ريشة طلمبة الخلية 50CQ-50P</t>
  </si>
  <si>
    <t>كيس  طلمبة الخلية  32CQ-25</t>
  </si>
  <si>
    <t xml:space="preserve">Selaling ring(توفلن) سيل رينق </t>
  </si>
  <si>
    <t xml:space="preserve">  32CQ-25  Selaling ring(توفلن) سيل رينق </t>
  </si>
  <si>
    <t xml:space="preserve"> 50CQ-50P Selaling ring(توفلن) سيل رينق </t>
  </si>
  <si>
    <t>جرافايت 32CQ-25</t>
  </si>
  <si>
    <t xml:space="preserve">  32CQ-25 ring  (رينق جرافايت (ابيض </t>
  </si>
  <si>
    <t xml:space="preserve">  32CQ-25 ring  (رينق جرافايت (اسود </t>
  </si>
  <si>
    <t xml:space="preserve"> قلب طلمبة الخلية  32CQ-25</t>
  </si>
  <si>
    <t xml:space="preserve">Selaling ring سيل رينق رباط توفلن </t>
  </si>
  <si>
    <t>سيل رينق رباط توفلن 40yu- 1A - 20-30</t>
  </si>
  <si>
    <t xml:space="preserve"> جلب توفلن 40yu- 1A - 20-30</t>
  </si>
  <si>
    <t>40yu- 1A - 20-30 عمود ثانوي</t>
  </si>
  <si>
    <t xml:space="preserve">ريشة طلمبة الفرش </t>
  </si>
  <si>
    <t>توفلن عمود نحاس الخلية (بسبار )</t>
  </si>
  <si>
    <t xml:space="preserve"> وردة توفلن عمود نحاس الخلية (بسبار )</t>
  </si>
  <si>
    <t xml:space="preserve">كنترول ضغط هايدورليك ( الفلتر ) </t>
  </si>
  <si>
    <t xml:space="preserve">مسمار شداد  + ياي  اسكرينات التنوكة </t>
  </si>
  <si>
    <t>كيس خارجي طلمبة الفلتر 4/3</t>
  </si>
  <si>
    <t>مرايا طلمبة الفلتر 4/3</t>
  </si>
  <si>
    <t>كيس خارجي طلمبة الطواحين 6/4</t>
  </si>
  <si>
    <t>مرايا طلمبة الطواحين 6/4</t>
  </si>
  <si>
    <t>كيس خارجي طلمبة الثكنر  3/2</t>
  </si>
  <si>
    <t>مرايا طلمبة الثكنر  3/2</t>
  </si>
  <si>
    <t>عمود is80-50-200 ( طلمبه الفرش )</t>
  </si>
  <si>
    <t xml:space="preserve">جلب عمود is80-50-200 ( طلمبة الفرش ) </t>
  </si>
  <si>
    <t>كوبلن is80-50-200  طلمبة الفرش</t>
  </si>
  <si>
    <t xml:space="preserve">ريشة طلمبة is80-50-200  الفرش </t>
  </si>
  <si>
    <t>عمود is80-100-200 ( طلمبه الفرش )</t>
  </si>
  <si>
    <t>جلب كوبلن  الفرش is125-100-200B</t>
  </si>
  <si>
    <t>جلب كوبلن  الفرش is80-50-200</t>
  </si>
  <si>
    <t xml:space="preserve">جلب عمود  is125-100-200B ( طلمبة الفرش ) </t>
  </si>
  <si>
    <t xml:space="preserve">ريشة طلمبة iis125-100-200B  الفرش </t>
  </si>
  <si>
    <t>سيل قلاند (الثكنر)</t>
  </si>
  <si>
    <t>طارة نظافة 9 بوصة</t>
  </si>
  <si>
    <t xml:space="preserve">صوف كاثود فلتر الخلية ( استيل ) </t>
  </si>
  <si>
    <t>fiber stainless steel screen for filter in ablue circle</t>
  </si>
  <si>
    <t>مسامير كسارة  46 طول 150 سم</t>
  </si>
  <si>
    <t>كوع حديد لحام 8" DN200</t>
  </si>
  <si>
    <t>كوع حديد لحام 6 بوصة  DN150</t>
  </si>
  <si>
    <t>كوع حديد لحام 4 بوصة DN100</t>
  </si>
  <si>
    <t>كوع حديد لحام 3 بوصة DN65</t>
  </si>
  <si>
    <t>كوع حديد لحام 1 بوصة DN40</t>
  </si>
  <si>
    <t>كوع حديد لحام 2" DN50</t>
  </si>
  <si>
    <t>كوع حديد لحام 3/4" DN25</t>
  </si>
  <si>
    <t>CB-B63 طلمبة زيت</t>
  </si>
  <si>
    <t xml:space="preserve">  ساعة ضغط الكسارة</t>
  </si>
  <si>
    <t>0-0.25  ساعة ضغط الكسارة</t>
  </si>
  <si>
    <t xml:space="preserve">بلف تحكم الثكنر </t>
  </si>
  <si>
    <t>بلف تحكم الثكنر DN200</t>
  </si>
  <si>
    <t>مساميركسارة 46 طول56 سم</t>
  </si>
  <si>
    <t>مسمار كسارة 38 طول 56سم</t>
  </si>
  <si>
    <t>كوبلن طلمبة الفلوك Ih50-32-125</t>
  </si>
  <si>
    <t>سيل رينق طلمبة الفلوك Ih50-32-125</t>
  </si>
  <si>
    <t>سيل قلاند طلمبة الفلوك Ih50-32-125</t>
  </si>
  <si>
    <t>امبلير طلمبة الفلوك Ih50-32-125</t>
  </si>
  <si>
    <t>ميكانيكل طلمبة الفلوك Ih50-32-125</t>
  </si>
  <si>
    <t>عمود طلمبة الفلوك Ih50-32-125</t>
  </si>
  <si>
    <t xml:space="preserve"> جلب عمود طلمبة الفلوك Ih50-32-125</t>
  </si>
  <si>
    <t>غطاء بلي  طلمبة الفلوك Ih50-32-125</t>
  </si>
  <si>
    <t>مراية الطلمبة الغاطسة 40PV-SP</t>
  </si>
  <si>
    <t>طنبور موتور طلمبة الثكنر 3/2</t>
  </si>
  <si>
    <t>مراية الطلمبة الغاطسة 65PV-SP</t>
  </si>
  <si>
    <t>كيس داخلي طلمبة الطواحين 6/4</t>
  </si>
  <si>
    <t>كيس خارجي طلمبة الغاطسة  100RV-SP</t>
  </si>
  <si>
    <t>مرايا طلمبة الغاطسة  100RV-SP</t>
  </si>
  <si>
    <t>System Free valve بلف تحكم الكسارة الكون</t>
  </si>
  <si>
    <t>بلف ضغط  ( الكسارة ) DN20-304SS</t>
  </si>
  <si>
    <t>high pressure overfall valve</t>
  </si>
  <si>
    <t xml:space="preserve"> بلف ضفط الكسارة الكون high pressure overfall valve pyz1200</t>
  </si>
  <si>
    <t>Direction valve</t>
  </si>
  <si>
    <t>بلف توجية الكسارة الكون 34S0-L10H-W-GZ( هايدورليك ) pyz1200</t>
  </si>
  <si>
    <t>مسامير شداد الكسارة 53 سم</t>
  </si>
  <si>
    <t>هاوزن + عمود طلمبة الغاطسة 65QV-SP</t>
  </si>
  <si>
    <t>هاوزن + عمود طلمبة الغاطسة 40PV-SP</t>
  </si>
  <si>
    <t>مشحمة يد صغيرة +  وصله</t>
  </si>
  <si>
    <t>Rubber  جلب  ربر</t>
  </si>
  <si>
    <t xml:space="preserve">مفتاح لانكي عادي </t>
  </si>
  <si>
    <t xml:space="preserve">مفتاح لانكي شرشر </t>
  </si>
  <si>
    <t>حبة 65</t>
  </si>
  <si>
    <t>بلانكو 3 طن</t>
  </si>
  <si>
    <t xml:space="preserve">0.75KWموتور هزاز اسكرينات </t>
  </si>
  <si>
    <t>K-11</t>
  </si>
  <si>
    <t>K-14</t>
  </si>
  <si>
    <t>K-17</t>
  </si>
  <si>
    <t>K-9</t>
  </si>
  <si>
    <t>K-10</t>
  </si>
  <si>
    <t>K-15</t>
  </si>
  <si>
    <t>k-15</t>
  </si>
  <si>
    <t>K-8</t>
  </si>
  <si>
    <t>K-2</t>
  </si>
  <si>
    <t>K-5</t>
  </si>
  <si>
    <t>K-4</t>
  </si>
  <si>
    <t>K-3</t>
  </si>
  <si>
    <t>G-0-4</t>
  </si>
  <si>
    <t>مراوح موتورات 4.6-160</t>
  </si>
  <si>
    <t>K-18</t>
  </si>
  <si>
    <t>بلف رداخ نحاس</t>
  </si>
  <si>
    <t>بلف رداخ نحاس 3/4"</t>
  </si>
  <si>
    <t>وصلة ستلين ( خرطوش )</t>
  </si>
  <si>
    <t>25*50*10</t>
  </si>
  <si>
    <t>الوحدة</t>
  </si>
  <si>
    <t>2.2KW   2840</t>
  </si>
  <si>
    <t>2.2KW   940</t>
  </si>
  <si>
    <t>11KW  1470</t>
  </si>
  <si>
    <t>11KW  1465</t>
  </si>
  <si>
    <t>15KW  2950</t>
  </si>
  <si>
    <t>15KW 1460</t>
  </si>
  <si>
    <t>15KW 970</t>
  </si>
  <si>
    <t>15KW 1470</t>
  </si>
  <si>
    <t>15KW 1465</t>
  </si>
  <si>
    <t>15KW  980</t>
  </si>
  <si>
    <t>18.5KW  1470</t>
  </si>
  <si>
    <t>18.5KW  1477</t>
  </si>
  <si>
    <t>30KW  730</t>
  </si>
  <si>
    <t>30KW  735</t>
  </si>
  <si>
    <t>30KW  2950</t>
  </si>
  <si>
    <t>45KW  980</t>
  </si>
  <si>
    <t>55KW 1480</t>
  </si>
  <si>
    <t>55KW 1485</t>
  </si>
  <si>
    <t xml:space="preserve">  KW5.5   2925</t>
  </si>
  <si>
    <t xml:space="preserve">  KW5.5   2900</t>
  </si>
  <si>
    <t xml:space="preserve">  KW5.5  970</t>
  </si>
  <si>
    <t xml:space="preserve"> 7.5 KW   1465</t>
  </si>
  <si>
    <t>4 KW  1455</t>
  </si>
  <si>
    <t xml:space="preserve"> 1.5KW  1435</t>
  </si>
  <si>
    <t xml:space="preserve">  37KW 1480</t>
  </si>
  <si>
    <t xml:space="preserve"> 3KW 1450 جربوكس الفلتر </t>
  </si>
  <si>
    <t xml:space="preserve"> 3KW 1430  موتور جربوكس  </t>
  </si>
  <si>
    <t>1.1 KW   2830</t>
  </si>
  <si>
    <t xml:space="preserve"> 1.1 KW   1390</t>
  </si>
  <si>
    <t xml:space="preserve"> 7.5 KW   1440 موتور جربوكس </t>
  </si>
  <si>
    <t xml:space="preserve"> 1.5KW  1390 موتور جربوكس </t>
  </si>
  <si>
    <t>30KW 2930</t>
  </si>
  <si>
    <t xml:space="preserve">موتور  </t>
  </si>
  <si>
    <t>220KW  992</t>
  </si>
  <si>
    <t>11KW-Y63-RP  1470</t>
  </si>
  <si>
    <t>طلمبة زيت+ موتور  Y63-R طلمبة زيت ( الفلتر )</t>
  </si>
  <si>
    <t xml:space="preserve">وردة مساحة ( عمود الكسارة الاولية ) </t>
  </si>
  <si>
    <t>وردة مساحة ( عمود الكسارة الاولية )  500*750</t>
  </si>
  <si>
    <t xml:space="preserve">وردة مساحة ( عمود الكسارة الثانوية  ) </t>
  </si>
  <si>
    <t>وردة مساحة ( عمود الكسارة الثانوية  )  1200</t>
  </si>
  <si>
    <t xml:space="preserve">بلتة الكسارة الاولية </t>
  </si>
  <si>
    <t>بلتة الكسارة الاولية 500*750</t>
  </si>
  <si>
    <t xml:space="preserve">بلتة الكسارة الثانوية  </t>
  </si>
  <si>
    <t>بلتة الكسارة الثانوية  1200</t>
  </si>
  <si>
    <t>ماسورة حديد 4*8</t>
  </si>
  <si>
    <t xml:space="preserve">ماسورة سلك شايك </t>
  </si>
  <si>
    <t xml:space="preserve">جهاز تحكم ضغط </t>
  </si>
  <si>
    <t>0-1    ساعة ضغط الخلية</t>
  </si>
  <si>
    <t>K -1</t>
  </si>
  <si>
    <t xml:space="preserve">B - 10 </t>
  </si>
  <si>
    <t>K - 17</t>
  </si>
  <si>
    <t>K - 12</t>
  </si>
  <si>
    <t>B- 9</t>
  </si>
  <si>
    <t>K - 11</t>
  </si>
  <si>
    <t>16.*3.5</t>
  </si>
  <si>
    <t xml:space="preserve"> امبلير  طلمبة الخلية 50CQ-50P</t>
  </si>
  <si>
    <t>مراوح موتورات4.6.8-280</t>
  </si>
  <si>
    <t xml:space="preserve">الرصيد </t>
  </si>
  <si>
    <t>16.*3</t>
  </si>
  <si>
    <t>مفتاح 14</t>
  </si>
  <si>
    <t>لمبه70W</t>
  </si>
  <si>
    <t>لمبه30W</t>
  </si>
  <si>
    <t xml:space="preserve">F210 </t>
  </si>
  <si>
    <t>K- 4</t>
  </si>
  <si>
    <t xml:space="preserve">جلبه عمود طلمبة الخلية 50CQ-50P  </t>
  </si>
  <si>
    <t>جلب كوبلن طلمبة الريسايكل HRC130</t>
  </si>
  <si>
    <t>مقعد حمام بلدي</t>
  </si>
  <si>
    <t>C - 1</t>
  </si>
  <si>
    <t xml:space="preserve">D-5 </t>
  </si>
  <si>
    <t>K-16</t>
  </si>
  <si>
    <t xml:space="preserve">جنزير فلتر </t>
  </si>
  <si>
    <t>Z</t>
  </si>
  <si>
    <t xml:space="preserve">3" PPR  ماسورة </t>
  </si>
  <si>
    <t xml:space="preserve">H - 3 </t>
  </si>
  <si>
    <t>F - 16</t>
  </si>
  <si>
    <t>K - 13</t>
  </si>
  <si>
    <t>مسامير 30 طول 9سم</t>
  </si>
  <si>
    <t>E - 17</t>
  </si>
  <si>
    <t xml:space="preserve">  ( 40yu- 1A - 20-30 )     1209</t>
  </si>
  <si>
    <t xml:space="preserve">امبلير طلمبة الخلية    CQB50-32-160Q  </t>
  </si>
  <si>
    <t>امبلير طلمبة الخلية 32CQ-25</t>
  </si>
  <si>
    <t>عمود is125-100-200 ( طلمبه الفرش )</t>
  </si>
  <si>
    <t>سيل قلاند  is125-100-200</t>
  </si>
  <si>
    <t>مسامير شداد ( فك الكسارة )</t>
  </si>
  <si>
    <t xml:space="preserve">مسامير لانكي 8 ملي طول 4 سم * صلابة 8.8 مقاسات مختلفه </t>
  </si>
  <si>
    <t>22244CA/W33 - 22244MBW33</t>
  </si>
  <si>
    <t>22340CA/W33 - 22340 MBW 33</t>
  </si>
  <si>
    <t>7209 AC</t>
  </si>
  <si>
    <t>A - 17</t>
  </si>
  <si>
    <t xml:space="preserve">Check valve بلف تأكيد الكسارة </t>
  </si>
  <si>
    <t xml:space="preserve">BYZ1200 Check valve بلف تأكيد الكسارة </t>
  </si>
  <si>
    <t>BYZ1200 System Free valve بلف تحكم الكسارة الكون</t>
  </si>
  <si>
    <t>كشافة 500w عاديه</t>
  </si>
  <si>
    <t>خيط عصب</t>
  </si>
  <si>
    <t>"1" PPR جلبة سنة خارجية</t>
  </si>
  <si>
    <t>مفتاح 27</t>
  </si>
  <si>
    <t>حبة 24</t>
  </si>
  <si>
    <t>حبة 19</t>
  </si>
  <si>
    <t>حبة 18</t>
  </si>
  <si>
    <t>مسامير 24 طول 6 سم</t>
  </si>
  <si>
    <t>مسامير 24 طول 6سم</t>
  </si>
  <si>
    <t>مسامير 19 طول 6سم</t>
  </si>
  <si>
    <t xml:space="preserve">مسامير 17 طول 6 سم </t>
  </si>
  <si>
    <t>فلاش 32 قيقا</t>
  </si>
  <si>
    <t>جلب سنة خارجية PPR  من 2- 1.1/2</t>
  </si>
  <si>
    <t>ايبوكسي ابيض</t>
  </si>
  <si>
    <t>ايبوكسي شفاف</t>
  </si>
  <si>
    <t>سنر</t>
  </si>
  <si>
    <t>جالون</t>
  </si>
  <si>
    <t>شنطة مفاتيح بلديه</t>
  </si>
  <si>
    <t>شنطة مفاتيح استاندر</t>
  </si>
  <si>
    <t>كيس داخلي طلمبه الثكنر 3/2</t>
  </si>
  <si>
    <t xml:space="preserve">طمبور طلمبة  الفلتر 3/4 </t>
  </si>
  <si>
    <t xml:space="preserve"> طمبور طلمبة الطواحين 6/4</t>
  </si>
  <si>
    <t xml:space="preserve"> طمبورهزاز الكسارة  2yA1842</t>
  </si>
  <si>
    <t xml:space="preserve">12"طمبور كبير </t>
  </si>
  <si>
    <t xml:space="preserve">طمبور كبير </t>
  </si>
  <si>
    <t>طمبور طلمبة الثكنر 3/2</t>
  </si>
  <si>
    <t>طمبور موتور طلمبة الثكنر 3/2</t>
  </si>
  <si>
    <t>طمبور الطلمبة الغاطسة 40PV-SP</t>
  </si>
  <si>
    <t>طمبور الطلمبة الغاطسة 65QV-SP</t>
  </si>
  <si>
    <t>طمبور الطلمبة الغاطسة 100RV-SP</t>
  </si>
  <si>
    <t>NU224M</t>
  </si>
  <si>
    <t>متر قياس</t>
  </si>
  <si>
    <t xml:space="preserve">جزم كوابل 240-16 ملي </t>
  </si>
  <si>
    <t>DN 100/16 بلف عادي</t>
  </si>
  <si>
    <t>امبلير (طلمبة الطواحين) 6/4</t>
  </si>
  <si>
    <t>امبلير (طلمبة الفلتر) 4/3</t>
  </si>
  <si>
    <t>ميزان مويه</t>
  </si>
  <si>
    <t>مفتاح 17</t>
  </si>
  <si>
    <t xml:space="preserve">خرطوش تبريد </t>
  </si>
  <si>
    <t>جهاز قياس كوبلن</t>
  </si>
  <si>
    <t>k-7</t>
  </si>
  <si>
    <t>كاوية لحام 800A</t>
  </si>
  <si>
    <t xml:space="preserve">خوص حديد "4" طول 6 متر </t>
  </si>
  <si>
    <t xml:space="preserve">ماسورة حديد 1 بوصه طول 6 متر </t>
  </si>
  <si>
    <t xml:space="preserve">ماسورة حديد 3/4 بوصه طول 6 متر </t>
  </si>
  <si>
    <t>اوفرلود 53-A85</t>
  </si>
  <si>
    <t>منظم اوكسجين</t>
  </si>
  <si>
    <t xml:space="preserve">بلك 2 خط 10 امبير </t>
  </si>
  <si>
    <t xml:space="preserve">شريط كهرباء مقاوم للماء </t>
  </si>
  <si>
    <t xml:space="preserve">رولة بوماستيك </t>
  </si>
  <si>
    <t>بوهية ( جالون )</t>
  </si>
  <si>
    <t xml:space="preserve">شحم </t>
  </si>
  <si>
    <t>شحم</t>
  </si>
  <si>
    <t xml:space="preserve">ورق قراءات ميزان مارسي </t>
  </si>
  <si>
    <t>بكت</t>
  </si>
  <si>
    <t>MARCY - DIRECT READING PULP DENSITY SCALE</t>
  </si>
  <si>
    <t xml:space="preserve">كاوية لحام الكترونية </t>
  </si>
  <si>
    <t>ي</t>
  </si>
  <si>
    <t>10 " شمعة</t>
  </si>
  <si>
    <t xml:space="preserve">خرطوش 1/2 </t>
  </si>
  <si>
    <t>دربكين 13 ملم</t>
  </si>
  <si>
    <t>17*1375Li  B54</t>
  </si>
  <si>
    <t xml:space="preserve">كمر اتش </t>
  </si>
  <si>
    <t>كمر اتش تقيل</t>
  </si>
  <si>
    <t>صبان</t>
  </si>
  <si>
    <t>مفتاح  بلدي استاندر 60</t>
  </si>
  <si>
    <t>خرطوش غاز</t>
  </si>
  <si>
    <t>تورش بي فنيه</t>
  </si>
  <si>
    <t>تورش ستلين</t>
  </si>
  <si>
    <t>سلك طبق دجتال</t>
  </si>
  <si>
    <t>مفتاح فرنسي</t>
  </si>
  <si>
    <t>22322MBW33C3</t>
  </si>
  <si>
    <t>قياس ملوحة مياة TDS</t>
  </si>
  <si>
    <t>رايات قماش حمراء</t>
  </si>
  <si>
    <t>عازل مائي+مثبت</t>
  </si>
  <si>
    <t>جركانه</t>
  </si>
  <si>
    <t>مؤشر محلول الخلية</t>
  </si>
  <si>
    <t>MANERIC FLAP LEVEL</t>
  </si>
  <si>
    <t>غاز تكيف 410A</t>
  </si>
  <si>
    <t>اسطوانه</t>
  </si>
  <si>
    <t>كلبسة سير ناقل 2بوصة</t>
  </si>
  <si>
    <t>عداد اوكسجين</t>
  </si>
  <si>
    <t xml:space="preserve">جزم كوابل حديد 12 -150 </t>
  </si>
  <si>
    <t>دفار غاز 3عيون</t>
  </si>
  <si>
    <t>خوذ خضراء</t>
  </si>
  <si>
    <t>رمل</t>
  </si>
  <si>
    <t>ميديا</t>
  </si>
  <si>
    <t>جوال 25k.g</t>
  </si>
  <si>
    <t xml:space="preserve">كيس ممبرين </t>
  </si>
  <si>
    <t>خوذ حمراء</t>
  </si>
  <si>
    <t xml:space="preserve">كشافة 200 W </t>
  </si>
  <si>
    <t>طقم مفكات</t>
  </si>
  <si>
    <t>طقم مفاتيح</t>
  </si>
  <si>
    <t>حبة 52</t>
  </si>
  <si>
    <t>حبة 63</t>
  </si>
  <si>
    <t>غطاء فلتر رمل</t>
  </si>
  <si>
    <t>جربوكس غسالة</t>
  </si>
  <si>
    <t>بلي درداقه</t>
  </si>
  <si>
    <t>حامل LNB طبق دجتال</t>
  </si>
  <si>
    <t>حبة 52+يد</t>
  </si>
  <si>
    <t>حبة 63+يد</t>
  </si>
  <si>
    <t>جونتي قماش عادي(عمل)</t>
  </si>
  <si>
    <t>عفريتة 20 طن</t>
  </si>
  <si>
    <t>ولاعه (زناد)</t>
  </si>
  <si>
    <t>طفاية حريق فوم 9 لتير</t>
  </si>
  <si>
    <t>طفاية حريق فوم 25 لتير</t>
  </si>
  <si>
    <t>هرم تحزير عاكس مع جنزير</t>
  </si>
  <si>
    <t>ترابيز مكتب</t>
  </si>
  <si>
    <t>كرسي دوار</t>
  </si>
  <si>
    <t>دولاب حديد-مكتبي</t>
  </si>
  <si>
    <t>صواميل 24</t>
  </si>
  <si>
    <t>جونتي مضاد للكهرباء</t>
  </si>
  <si>
    <t>مسدس غاز(ولاعه)</t>
  </si>
  <si>
    <t>مكثف مروحه 2.5</t>
  </si>
  <si>
    <t>برميل</t>
  </si>
  <si>
    <t>مخزن الصيانه</t>
  </si>
  <si>
    <t>شحم براميل</t>
  </si>
  <si>
    <t>كراسي مكتبيه</t>
  </si>
  <si>
    <t>بيبا 4 بوصة</t>
  </si>
  <si>
    <t>مقاعد ريلي 24v</t>
  </si>
  <si>
    <t>سبورة حائط</t>
  </si>
  <si>
    <t>بطاريه 70 امبير</t>
  </si>
  <si>
    <t>نوكرين</t>
  </si>
  <si>
    <t>كرتونه</t>
  </si>
  <si>
    <t>طبشير شمعي</t>
  </si>
  <si>
    <t>جنزير</t>
  </si>
  <si>
    <t>63062 -RSبلي</t>
  </si>
  <si>
    <t>جنزير-الفلتر</t>
  </si>
  <si>
    <t>فيرنيا 0-300</t>
  </si>
  <si>
    <t>كيبل فلكسيبول 50ملى 1خط</t>
  </si>
  <si>
    <t>هوفر 800w 50HZ</t>
  </si>
  <si>
    <t xml:space="preserve">هوفر 800w </t>
  </si>
  <si>
    <t>مكنة غسيل ضغط عالي 1800wتصريف6لتر</t>
  </si>
  <si>
    <t xml:space="preserve"> ميكانيكال سيل مقاس 36</t>
  </si>
  <si>
    <t>بريكر 100A ثلاثة خط</t>
  </si>
  <si>
    <t xml:space="preserve"> مفتاح سلكتر 24A</t>
  </si>
  <si>
    <t>مقاعد لمبه قلوز</t>
  </si>
  <si>
    <t>مسامير صلب</t>
  </si>
  <si>
    <t>مكيفات 24000 وحة اسبليت</t>
  </si>
  <si>
    <t>شنط اقفال (كروت سلامه)</t>
  </si>
  <si>
    <t>بلف ضغط الكسارة</t>
  </si>
  <si>
    <t>بطارية منظم ups</t>
  </si>
  <si>
    <t>طبل اقفال خاصه بالسلامه</t>
  </si>
  <si>
    <t>المكتب -زهير</t>
  </si>
  <si>
    <t xml:space="preserve">مشمع تربال ( اخضر ) </t>
  </si>
  <si>
    <t>32228J</t>
  </si>
  <si>
    <t xml:space="preserve">بلانكو  10 طن </t>
  </si>
  <si>
    <t>طلمبة سحب عربة الجاز</t>
  </si>
  <si>
    <t>مغسلة</t>
  </si>
  <si>
    <t>2" PPR فلنشة</t>
  </si>
  <si>
    <t>فيتش شحن غاز فريون</t>
  </si>
  <si>
    <t>خرطوش ستلين</t>
  </si>
  <si>
    <t>ساعة ضغط اوكسجين</t>
  </si>
  <si>
    <t>فلير ماكينة فريو المخرطه</t>
  </si>
  <si>
    <t>راس لحام ستلين</t>
  </si>
  <si>
    <t>فاكم سحب وتفريغ</t>
  </si>
  <si>
    <t>بدرة نحاس</t>
  </si>
  <si>
    <t>لابتوب توشيبا</t>
  </si>
  <si>
    <t>طابعه HP LASER JET</t>
  </si>
  <si>
    <t>سماعه amplifiers</t>
  </si>
  <si>
    <t xml:space="preserve">طلمبة ضغط عالي + ( خلاط ) </t>
  </si>
  <si>
    <t>سير A1270 LI</t>
  </si>
  <si>
    <t>ترس حجر نار 9 بوصه</t>
  </si>
  <si>
    <t>مشط سن قلوظ</t>
  </si>
  <si>
    <t>مفتاح استاندر 32</t>
  </si>
  <si>
    <t>كشافات طاقه شمسيه بمستشعر حركه 200 واط</t>
  </si>
  <si>
    <t>زمبه مخرطه متحركه</t>
  </si>
  <si>
    <t>زيت تبريد المخرطه</t>
  </si>
  <si>
    <t>عمود نحاس خام 50 ملي</t>
  </si>
  <si>
    <t>مفتاح استاندر 44</t>
  </si>
  <si>
    <t>مفتاح بلدي 44</t>
  </si>
  <si>
    <t>مفتاح استاندر 46</t>
  </si>
  <si>
    <t>49*200</t>
  </si>
  <si>
    <t xml:space="preserve">وش حراري 3 ملي </t>
  </si>
  <si>
    <t>ظرف زمبه متحركه</t>
  </si>
  <si>
    <t>ماظ لحام (للمخرطه)</t>
  </si>
  <si>
    <t>قلم قطع صلب</t>
  </si>
  <si>
    <t xml:space="preserve">ماظ رباط </t>
  </si>
  <si>
    <t>قلم قطع صلب HSS14*14</t>
  </si>
  <si>
    <t>الصيانه</t>
  </si>
  <si>
    <t>volumetric50ml</t>
  </si>
  <si>
    <t>volumetric100ml</t>
  </si>
  <si>
    <t>pipette5ml</t>
  </si>
  <si>
    <t>pipette10ml</t>
  </si>
  <si>
    <t>mash bottle500ml</t>
  </si>
  <si>
    <t>مثقاب 46</t>
  </si>
  <si>
    <t>قلم قطع صلب 25*25</t>
  </si>
  <si>
    <t>بطانيه حريق blanket fire</t>
  </si>
  <si>
    <t xml:space="preserve">1.1\4"  ماسورة  PPR </t>
  </si>
  <si>
    <t xml:space="preserve">1.1\4 بلف لحام PPR </t>
  </si>
  <si>
    <t>الابار</t>
  </si>
  <si>
    <t>لمبة DEUTERIU-HOWOW</t>
  </si>
  <si>
    <t>شاشة كمبيوترHP</t>
  </si>
  <si>
    <t>الجيلوجيا</t>
  </si>
  <si>
    <t>مسامير ترس الطاحونه 36*215</t>
  </si>
  <si>
    <t>بنز 36*150</t>
  </si>
  <si>
    <t>بنز 42</t>
  </si>
  <si>
    <t xml:space="preserve"> PPR 3\4" بلف بلية   </t>
  </si>
  <si>
    <t>70*95*10</t>
  </si>
  <si>
    <t xml:space="preserve"> خرطوش حلقوم  3 بوصة</t>
  </si>
  <si>
    <t xml:space="preserve">بلك 2 خط 16 امبير </t>
  </si>
  <si>
    <t>نبل بلاستيك 4 بوصه</t>
  </si>
  <si>
    <t>قفيص 3"  خاتم حديد</t>
  </si>
  <si>
    <t>قفيص حديد 1.1/4 حائطي</t>
  </si>
  <si>
    <t>قفيص 2"  خاتم حديد</t>
  </si>
  <si>
    <t>خرطوش حراري 1/2</t>
  </si>
  <si>
    <t xml:space="preserve">كنترول بوكس ( طلمبة الابار ) </t>
  </si>
  <si>
    <t>مسدس شطاف ( حمامات )</t>
  </si>
  <si>
    <t>خرطوش حراري 1/4</t>
  </si>
  <si>
    <t>DN50/16 /  DN50/25     CF8</t>
  </si>
  <si>
    <t>22322EMA/W33YB</t>
  </si>
  <si>
    <t>شنكل شداد ( مقاسات مختلفه )</t>
  </si>
  <si>
    <t>فرشه سلك - دربكين</t>
  </si>
  <si>
    <t>فرشه سلك - يدوية</t>
  </si>
  <si>
    <t>6204 - 2RS</t>
  </si>
  <si>
    <t>70*95*12</t>
  </si>
  <si>
    <t>K- 3</t>
  </si>
  <si>
    <t>K-12</t>
  </si>
  <si>
    <t xml:space="preserve"> Spigot.steeL. SheLL    حديد </t>
  </si>
  <si>
    <t>حديد  Over fLow. Ben</t>
  </si>
  <si>
    <t>حديد    كبير fortex findar</t>
  </si>
  <si>
    <t>بلاستيك  Spigot</t>
  </si>
  <si>
    <t>بلاستيك  lower cone line</t>
  </si>
  <si>
    <t>22*2240 li C 88</t>
  </si>
  <si>
    <t>موتور 2.2 KW  ( مستعمل )</t>
  </si>
  <si>
    <t>كيس ( داخلي ) ضاغط طلمبه الفلتر 4/3</t>
  </si>
  <si>
    <t>مسطرة بلته الفلتر ( مغلقه )  Slide upper</t>
  </si>
  <si>
    <t>مسطرة بلته الفلتر  ( فاتحة )  Slide down</t>
  </si>
  <si>
    <t>متوسط 100 DN</t>
  </si>
  <si>
    <t>باكن قلاند طلمبة الفرش is125-100-200</t>
  </si>
  <si>
    <t>2.2KW   2905</t>
  </si>
  <si>
    <t xml:space="preserve">4 KW 2915 موتور جربوكس  </t>
  </si>
  <si>
    <t xml:space="preserve">بلي 2RZ-6308  </t>
  </si>
  <si>
    <t xml:space="preserve"> 2RZ-6308  </t>
  </si>
  <si>
    <t xml:space="preserve">الصيانة </t>
  </si>
  <si>
    <t>جلبة كوبلن مقاس 77</t>
  </si>
  <si>
    <t xml:space="preserve"> وش ربر دائري 6 بوصه</t>
  </si>
  <si>
    <t>اسكرين بلاستك كبير  (هذاذ الكسارة)</t>
  </si>
  <si>
    <t>خرسانة</t>
  </si>
  <si>
    <t>بلتة طواحين صغيرة - شبك</t>
  </si>
  <si>
    <t>بلتة طواحين كبيرة - شبك</t>
  </si>
  <si>
    <t>ماسورة حديد 12 متر 10 بوصة</t>
  </si>
  <si>
    <t>مسامير كسارة 36 طول 50سم</t>
  </si>
  <si>
    <t xml:space="preserve">طلمبة ضغط الفرش </t>
  </si>
  <si>
    <t>بلتات فك الكسارة 120*80 سم</t>
  </si>
  <si>
    <t xml:space="preserve">كتلة مثلثه الكسارة الاولية </t>
  </si>
  <si>
    <t xml:space="preserve">كوبلن عمود التنوكة </t>
  </si>
  <si>
    <t xml:space="preserve">مبرد مثلث </t>
  </si>
  <si>
    <t xml:space="preserve">مبرد مسطح </t>
  </si>
  <si>
    <t>مفتاح بلدي استاندر 52</t>
  </si>
  <si>
    <t>مفتاح دق 72</t>
  </si>
  <si>
    <t>مفتاح استاندر دق 85</t>
  </si>
  <si>
    <t>مفتاح بلدي استاندر62</t>
  </si>
  <si>
    <t>مفتاح فرنسي 24</t>
  </si>
  <si>
    <t>مقاس 32</t>
  </si>
  <si>
    <t xml:space="preserve">نقالة </t>
  </si>
  <si>
    <t xml:space="preserve">محول فلتر </t>
  </si>
  <si>
    <t xml:space="preserve">EO50638  جهاز مساحة </t>
  </si>
  <si>
    <t>خرطوش 12*16 ملي حراري</t>
  </si>
  <si>
    <t xml:space="preserve">طين حراري </t>
  </si>
  <si>
    <t>خرطوش 2 بوصة اسود</t>
  </si>
  <si>
    <t xml:space="preserve">عجلات مكيف متحركة </t>
  </si>
  <si>
    <t xml:space="preserve">موقد دفار </t>
  </si>
  <si>
    <t>حجر مسن كهربائي</t>
  </si>
  <si>
    <t xml:space="preserve">قلم فريزة 10 ملي </t>
  </si>
  <si>
    <t xml:space="preserve">قلم فريزة 12 ملي </t>
  </si>
  <si>
    <t xml:space="preserve">قلم فريزة 14 ملي </t>
  </si>
  <si>
    <t xml:space="preserve">2"  ماسورة حديد  </t>
  </si>
  <si>
    <t xml:space="preserve">جكت عاكس </t>
  </si>
  <si>
    <t>جونتي 300</t>
  </si>
  <si>
    <t>محول كهربي من 0 - 0.24 V</t>
  </si>
  <si>
    <t>قلم قلوز داخلي</t>
  </si>
  <si>
    <t xml:space="preserve">ماسورة  سور 1.1/2 طول 6 متر </t>
  </si>
  <si>
    <t>ماسورة  بلاستيك كبيره -الابار</t>
  </si>
  <si>
    <t>ماسورة  بلاستيك صغيره -الابار</t>
  </si>
  <si>
    <t xml:space="preserve">ماسورة حديد 3/4 بوصه  </t>
  </si>
  <si>
    <t xml:space="preserve">ماسورة حديد 3/4 بوصه </t>
  </si>
  <si>
    <t>ماسورة حديد  قلوز (طول 6 متر)</t>
  </si>
  <si>
    <t xml:space="preserve">   1.1\4" ماسورة حديد  قلوز طول 6 متر</t>
  </si>
  <si>
    <t xml:space="preserve">   1.1\4" ماسورة حديد قلوز  طول 3 متر</t>
  </si>
  <si>
    <t xml:space="preserve">   1.1\4" ماسورة حديد  طول 6 متر</t>
  </si>
  <si>
    <t xml:space="preserve">ماسورة حديد 1/2 ( طول 6 متر ) </t>
  </si>
  <si>
    <t>ماسورة فلتر (بلاستك) 6 بوصة طول 6متر</t>
  </si>
  <si>
    <t>قالب دهب 3 كيلو</t>
  </si>
  <si>
    <t xml:space="preserve">طلمبة ابار  (طاقة شمسية )  2.2 kw </t>
  </si>
  <si>
    <t>طلمبة ابار (خاصه بالابار ) KW 2.2 طلمبة</t>
  </si>
  <si>
    <t>علب دش (حمامات صغيرة)</t>
  </si>
  <si>
    <t>علب دش(حمامات كبيرة)</t>
  </si>
  <si>
    <t>دش شور</t>
  </si>
  <si>
    <t>1\2" قفيص حديد خاتم</t>
  </si>
  <si>
    <t>قفيص حديد خاتم 1.1/4"</t>
  </si>
  <si>
    <t>Iron Clamp  1.1/4"</t>
  </si>
  <si>
    <t>المواسير</t>
  </si>
  <si>
    <t>G-0-5+D-13</t>
  </si>
  <si>
    <t xml:space="preserve">موتور 7.5جربوكس KW </t>
  </si>
  <si>
    <t>علبه</t>
  </si>
  <si>
    <t>خرطوش 1 بوصه</t>
  </si>
  <si>
    <t>F-5</t>
  </si>
  <si>
    <t>الدرج</t>
  </si>
  <si>
    <t>الكهربا</t>
  </si>
  <si>
    <t>مخزن الاسمنت الجديد</t>
  </si>
  <si>
    <t>الساحة"2"</t>
  </si>
  <si>
    <t>الساحة"1"</t>
  </si>
  <si>
    <t>غطاء بلور امامي</t>
  </si>
  <si>
    <t>غطاء بلور خلفي</t>
  </si>
  <si>
    <t xml:space="preserve">اغطية فك بلالي الكسارة الاولية </t>
  </si>
  <si>
    <t>مخزن الاسمنت القديم</t>
  </si>
  <si>
    <t>الرئسي</t>
  </si>
  <si>
    <t>عريشة الكسارة</t>
  </si>
  <si>
    <t>مخزن الصودا</t>
  </si>
  <si>
    <t>طمبور مكسور</t>
  </si>
  <si>
    <t xml:space="preserve">مقاعد ريلى ( 8 )ارجل </t>
  </si>
  <si>
    <t>PORT RELLY (8)</t>
  </si>
  <si>
    <t>فلترهواء SEV551F/4</t>
  </si>
  <si>
    <t>وردة تيله</t>
  </si>
  <si>
    <t>B-0-5</t>
  </si>
  <si>
    <t>سير A-35</t>
  </si>
  <si>
    <t>E-0-3</t>
  </si>
  <si>
    <t>كود الصنف</t>
  </si>
  <si>
    <t>موتور جربوكس الفلتر2800 1.5kw</t>
  </si>
  <si>
    <t xml:space="preserve"> 15KW  2930</t>
  </si>
  <si>
    <t xml:space="preserve">بلف منظم ضغط الكسارة </t>
  </si>
  <si>
    <t>k-3</t>
  </si>
  <si>
    <t>جلب حديد هزاز الكساره</t>
  </si>
  <si>
    <t>k-12</t>
  </si>
  <si>
    <t>جلب حديد هزاز الكساره Z100-19</t>
  </si>
  <si>
    <t>جلب نحاس الثكنر</t>
  </si>
  <si>
    <t>جلبة نحاس الثكنر</t>
  </si>
  <si>
    <t>جلبه نحاس الكسارة</t>
  </si>
  <si>
    <t>جلبه نحاس الكسارة PYD-1200</t>
  </si>
  <si>
    <t>6403 2RS</t>
  </si>
  <si>
    <t>UCP 210</t>
  </si>
  <si>
    <t>اسطوانة ضغط الكسارة</t>
  </si>
  <si>
    <t>موتور درداقة سير 2.2KW</t>
  </si>
  <si>
    <t>مدخل طواحيين (قوقع)</t>
  </si>
  <si>
    <t>ترانس الطاحونه الكبيرة 380KW</t>
  </si>
  <si>
    <t>مصيده</t>
  </si>
  <si>
    <t>جلب نحاس الكسارة الكون</t>
  </si>
  <si>
    <t xml:space="preserve"> المخازن  2025</t>
  </si>
  <si>
    <t>صاج سماكة 3 ملي</t>
  </si>
  <si>
    <t xml:space="preserve">وش توفلن </t>
  </si>
  <si>
    <t>بلف نحاس 1.1/2</t>
  </si>
  <si>
    <t>بلف نحاس</t>
  </si>
  <si>
    <t>برقل تاب فلوز</t>
  </si>
  <si>
    <t xml:space="preserve">سير  </t>
  </si>
  <si>
    <t>سير A-36</t>
  </si>
  <si>
    <t>مسامير 30 طول 20 سم</t>
  </si>
  <si>
    <t>جوينتى بلاستك كيمائي</t>
  </si>
  <si>
    <t>بلي 6000RS</t>
  </si>
  <si>
    <t>يونيه نحاس 3/4</t>
  </si>
  <si>
    <t>نبل نحاس 3/4</t>
  </si>
  <si>
    <t>جلبة كوبلين 110 H P C</t>
  </si>
  <si>
    <t>مكثف 30</t>
  </si>
  <si>
    <t>طبلو ن الفلتر PLC</t>
  </si>
  <si>
    <t>طبلون البلور</t>
  </si>
  <si>
    <t xml:space="preserve">ساحه 1 </t>
  </si>
  <si>
    <t>طبلون مغنطيس الكساره الثانويه</t>
  </si>
  <si>
    <t>محطه التحليه</t>
  </si>
  <si>
    <t>الانشاءات</t>
  </si>
  <si>
    <t>المعالجه</t>
  </si>
  <si>
    <t>متر(7 متر)</t>
  </si>
  <si>
    <t>متر (7 متر)</t>
  </si>
  <si>
    <t>المساحه</t>
  </si>
  <si>
    <t>الخدمات</t>
  </si>
  <si>
    <t>فحمات ( حجر نار+دربكين )</t>
  </si>
  <si>
    <t>جهاز خاص بالمعمل</t>
  </si>
  <si>
    <t>سيل كبير T434716</t>
  </si>
  <si>
    <t>بريكر مولد صغير M S 116</t>
  </si>
  <si>
    <t>ريلي 24VDC</t>
  </si>
  <si>
    <t>مقنيته  CH12876</t>
  </si>
  <si>
    <t>طلمبه CH 12314</t>
  </si>
  <si>
    <t>استارتر T400304</t>
  </si>
  <si>
    <t>طلمبه T433853</t>
  </si>
  <si>
    <t>طلمبه CH 10860</t>
  </si>
  <si>
    <t>تيربو CH 12036</t>
  </si>
  <si>
    <t>طلمبه KRP 1715</t>
  </si>
  <si>
    <t>فلتر هواء 5458596</t>
  </si>
  <si>
    <t>طلمبه T435895</t>
  </si>
  <si>
    <t xml:space="preserve">مولد PERKINS 400KVA </t>
  </si>
  <si>
    <t>بوكلين 330GC 2021</t>
  </si>
  <si>
    <t>لودر 966GC 2021</t>
  </si>
  <si>
    <t xml:space="preserve">سير الفلتر </t>
  </si>
  <si>
    <t>قصافه</t>
  </si>
  <si>
    <t>كمبرسون هواء 300لتر</t>
  </si>
  <si>
    <t xml:space="preserve">3"PPR بلف بلية </t>
  </si>
  <si>
    <t>مفتاح لانكي مقاس 12</t>
  </si>
  <si>
    <t xml:space="preserve">طقم مفتاح لانكي </t>
  </si>
  <si>
    <t>كشافات 1000 واط</t>
  </si>
  <si>
    <t>بريكر 1خط  32A</t>
  </si>
  <si>
    <t>خرطوش حلقوم 2 بوصة</t>
  </si>
  <si>
    <t>بوري مقاس2"</t>
  </si>
  <si>
    <t>حافظة مياة صغيره</t>
  </si>
  <si>
    <t>فحمات توليد مولد7.5</t>
  </si>
  <si>
    <t>فحمات توليد مولد 7.5</t>
  </si>
  <si>
    <t>كرت منظم جهد AVR 7.5</t>
  </si>
  <si>
    <t xml:space="preserve">ماسورة حديد 1.1/2 دائرية </t>
  </si>
  <si>
    <t>وردة توفلن بلاستيك للتسريب</t>
  </si>
  <si>
    <t>عازل مواسيرهيتر الخليه+تيله</t>
  </si>
  <si>
    <t>وردة توفلن حرارية 50*28.5*5</t>
  </si>
  <si>
    <t>عازل كهربائي مواسير الخليه</t>
  </si>
  <si>
    <t>مولد STAMFORD 7.2KW</t>
  </si>
  <si>
    <t>استارتر CH 11441</t>
  </si>
  <si>
    <t>ضفيرة مولد CH 10974</t>
  </si>
  <si>
    <t>ضفيرة مولد CH 2042</t>
  </si>
  <si>
    <t>ضفيرة مولد CH 11985</t>
  </si>
  <si>
    <t>جربوكس طلمبه مولد CH10592</t>
  </si>
  <si>
    <t>تيربو T403582</t>
  </si>
  <si>
    <t>فلنشة مولد كبيرة CH 12388</t>
  </si>
  <si>
    <t>فلنشة مولد صغيرةCH 12387</t>
  </si>
  <si>
    <t xml:space="preserve">6206 بلي كسارة المعمل </t>
  </si>
  <si>
    <t xml:space="preserve">51105 بلي كسارة المعمل </t>
  </si>
  <si>
    <t>سيل ابيض طاحونة المعمل</t>
  </si>
  <si>
    <t>سيل اسود طاحونة المعمل</t>
  </si>
  <si>
    <t>صحن طحن كسارة المعمل</t>
  </si>
  <si>
    <t>كوبلن كسارة المعمل</t>
  </si>
  <si>
    <t>فلنشة حديد كسارة المعمل</t>
  </si>
  <si>
    <t>جلبة بلاستيك كسارة المعمل</t>
  </si>
  <si>
    <t>بلتة حديد كسارة المعمل</t>
  </si>
  <si>
    <t>سلك حراري فرن المعمل</t>
  </si>
  <si>
    <t>صحن غربال المعمل</t>
  </si>
  <si>
    <t>الكتروت مقاس PH</t>
  </si>
  <si>
    <t>ايادي طاحونة</t>
  </si>
  <si>
    <t>سير غساله M25</t>
  </si>
  <si>
    <t>حوض غسيل استيل</t>
  </si>
  <si>
    <t xml:space="preserve">خرطوش حلقوم لاحواض الغسيل </t>
  </si>
  <si>
    <t>لمبه شريط LED 2 قدم</t>
  </si>
  <si>
    <t>فاليود (كيس) طلمبة الطواحين 4/6</t>
  </si>
  <si>
    <t>فاليود (كيس)طلمبة الفلتر 3/4</t>
  </si>
  <si>
    <t>كيبلM4 مزدوج</t>
  </si>
  <si>
    <t>سلك صبان ( واير ) ( ماكينة الكور )</t>
  </si>
  <si>
    <t>ماسورة حديد 3"</t>
  </si>
  <si>
    <t xml:space="preserve">زرديه تيل - داخلية </t>
  </si>
  <si>
    <t xml:space="preserve">زرديه تيل - خارجية </t>
  </si>
  <si>
    <t>220*250*15</t>
  </si>
  <si>
    <t>80*100*10</t>
  </si>
  <si>
    <t xml:space="preserve">حجر مسن  </t>
  </si>
  <si>
    <t>سيل ring seal  gmm</t>
  </si>
  <si>
    <t xml:space="preserve">علبه هندسة </t>
  </si>
  <si>
    <t>ماسورة حديد 3*6</t>
  </si>
  <si>
    <t>اكياس عينات 3 كيلو</t>
  </si>
  <si>
    <t>مسامير 14 طول 10 سم</t>
  </si>
  <si>
    <t xml:space="preserve">اختام ( اسيال قفل ) </t>
  </si>
  <si>
    <t>علامات ( المنجم تحت التفجير )</t>
  </si>
  <si>
    <t xml:space="preserve">اعلام عاكسة </t>
  </si>
  <si>
    <t xml:space="preserve">الابار </t>
  </si>
  <si>
    <t xml:space="preserve">موزع صابون سائل </t>
  </si>
  <si>
    <t xml:space="preserve">بلف ppr مخفض 2" - 4" </t>
  </si>
  <si>
    <t xml:space="preserve">الرئيسي </t>
  </si>
  <si>
    <t>قفيص خاتم 1.1/2</t>
  </si>
  <si>
    <t>سير B - 85</t>
  </si>
  <si>
    <t xml:space="preserve">مادة كاشف لحام </t>
  </si>
  <si>
    <t>سير A-38</t>
  </si>
  <si>
    <t>89*750</t>
  </si>
  <si>
    <t>89*300</t>
  </si>
  <si>
    <t>مسامير طواحين 42 سم مستطيلة</t>
  </si>
  <si>
    <t>مسامير 46 طول 14 سم</t>
  </si>
  <si>
    <t>BOLT "46/14"</t>
  </si>
  <si>
    <t>مفتاح دق 85</t>
  </si>
  <si>
    <t>مفتاح دق 80</t>
  </si>
  <si>
    <t>مفتاح دق 70</t>
  </si>
  <si>
    <t>مفتاح دق 65</t>
  </si>
  <si>
    <t>مفتاح دق 60</t>
  </si>
  <si>
    <t>مفتاح دق 55</t>
  </si>
  <si>
    <t>مفتاح دق 52</t>
  </si>
  <si>
    <t>مفتاح دق 46</t>
  </si>
  <si>
    <t>مفتاح دق 42</t>
  </si>
  <si>
    <t>مفتاح دق 41</t>
  </si>
  <si>
    <t>فيرنيا ديقتل ( الكترونية ) 0-600</t>
  </si>
  <si>
    <t>فيرنيا ديقتل ( الكترونية ) 0-200</t>
  </si>
  <si>
    <t>عفريتة هايدورليك  100 طن</t>
  </si>
  <si>
    <t>عفريتة هايدورليك  30 طن</t>
  </si>
  <si>
    <t>بلف ضغط حرارة ( الكسارة ) J21w- 160P</t>
  </si>
  <si>
    <t>12.*2</t>
  </si>
  <si>
    <t>12*2 مسطره فلتر</t>
  </si>
  <si>
    <t>مراية طلمبة الخلية  50CQ-50P</t>
  </si>
  <si>
    <t xml:space="preserve"> جلب كوبلن طلمبة الفلوك Ih50-32-125</t>
  </si>
  <si>
    <t xml:space="preserve">ترس الثكنر صغير </t>
  </si>
  <si>
    <t xml:space="preserve">جربوكس الثكنر + ترس </t>
  </si>
  <si>
    <t xml:space="preserve">كمر اتش كبير </t>
  </si>
  <si>
    <t xml:space="preserve">حجر كسارة متحرك  </t>
  </si>
  <si>
    <t xml:space="preserve">ترس طواحين صغير + كوبلن </t>
  </si>
  <si>
    <t xml:space="preserve">ترس طواحين صغير + كوبلن + كراسي </t>
  </si>
  <si>
    <t xml:space="preserve">كراسي ترس الطواحين </t>
  </si>
  <si>
    <t>جربوكس التنوكة تنك  ( 1)</t>
  </si>
  <si>
    <t xml:space="preserve">جلب عمود جربوكس التنوكة الكبيرة </t>
  </si>
  <si>
    <t>هاوزن + عمود طلمبة الغاطسة RV - 100</t>
  </si>
  <si>
    <t>تي ppr مخفض</t>
  </si>
  <si>
    <t>1.3\4 - 1"  تي ppr مخفض</t>
  </si>
  <si>
    <t xml:space="preserve"> بطانه داخلية الطواحين ( كتل )</t>
  </si>
  <si>
    <t xml:space="preserve">تورش ستلين تسخين </t>
  </si>
  <si>
    <t>تايمر ريلي 30s - 220v</t>
  </si>
  <si>
    <t xml:space="preserve">مادة حرارية متجانسة عالية الجودة </t>
  </si>
  <si>
    <t xml:space="preserve">جردل </t>
  </si>
  <si>
    <t xml:space="preserve">لتر كثافة </t>
  </si>
  <si>
    <t>محول DC الخلية ( كبسولة )</t>
  </si>
  <si>
    <t xml:space="preserve">1.1 KWموتور هزاز اسكرينات </t>
  </si>
  <si>
    <t>عمود طلمبة الفلتر 4/3</t>
  </si>
  <si>
    <t xml:space="preserve">بطانة الطواحين </t>
  </si>
  <si>
    <t xml:space="preserve">الكون 2( الكسارة ) </t>
  </si>
  <si>
    <t>وش توفلن الكبسولة ( الخلية )</t>
  </si>
  <si>
    <t>Rubber balt 500</t>
  </si>
  <si>
    <t>سير الطواحين 500</t>
  </si>
  <si>
    <t xml:space="preserve">ترس جربوكس التنوكة </t>
  </si>
  <si>
    <t>محول الطواحين 320 KW</t>
  </si>
  <si>
    <t xml:space="preserve"> عمود طلمبة الغاطسة 65QV-SP</t>
  </si>
  <si>
    <t xml:space="preserve">0-1.6    ساعة ضغط الكسارة </t>
  </si>
  <si>
    <t xml:space="preserve">الرءيسي </t>
  </si>
  <si>
    <t>بريكرسكين  250 امبير</t>
  </si>
  <si>
    <t>Breaker  250a</t>
  </si>
  <si>
    <t>اوفرلود 45-A28</t>
  </si>
  <si>
    <t>Thermal   relay28-45 A</t>
  </si>
  <si>
    <t xml:space="preserve">اوفرلود  A 20-100  التنوكة  </t>
  </si>
  <si>
    <t>تايمر ريلي 30s - 380 v</t>
  </si>
  <si>
    <t>2.2KW   2960</t>
  </si>
  <si>
    <t>طبلون كهرباء البلور</t>
  </si>
  <si>
    <t>مولد STAMFORD 16.5KW</t>
  </si>
  <si>
    <t xml:space="preserve"> STAMFORD 16.5KW</t>
  </si>
  <si>
    <t xml:space="preserve">مواسير بلته الفلتر </t>
  </si>
  <si>
    <t>فريمات المونيوم</t>
  </si>
  <si>
    <t>زجاج 5 ملي سادة</t>
  </si>
  <si>
    <t xml:space="preserve">حجر بطارية ( جهاز حرارة ) </t>
  </si>
  <si>
    <t>المنجم</t>
  </si>
  <si>
    <t xml:space="preserve">ميزان 50 كيلو </t>
  </si>
  <si>
    <t xml:space="preserve">ميزان الكتروني 25 كيلو </t>
  </si>
  <si>
    <t>مفتاح طقطاق 1/2بوصه</t>
  </si>
  <si>
    <t>طقم حبوب 1/2بوصه</t>
  </si>
  <si>
    <t>فلتر زيت 4461492</t>
  </si>
  <si>
    <t>مفتاح انجليزي 36</t>
  </si>
  <si>
    <t>مبيد حشرات - ظرف</t>
  </si>
  <si>
    <t>قارورة</t>
  </si>
  <si>
    <t>مبيدات حشرية -قارورة</t>
  </si>
  <si>
    <t>تيربو T430120</t>
  </si>
  <si>
    <t xml:space="preserve">50 متر </t>
  </si>
  <si>
    <t>جوال فارغ 50ك للنترات</t>
  </si>
  <si>
    <t>مضخه جاز ثابته 500w</t>
  </si>
  <si>
    <t>المخازن</t>
  </si>
  <si>
    <t xml:space="preserve">KW 2.2 طلمبة تفريغ وقود </t>
  </si>
  <si>
    <t>DISPENSER 10 ML</t>
  </si>
  <si>
    <t xml:space="preserve">جونتي حراري </t>
  </si>
  <si>
    <t>مراتب 15سم</t>
  </si>
  <si>
    <t>اسبير لجهاز الاتوميك TRANS .AA7000</t>
  </si>
  <si>
    <t xml:space="preserve">لحام قصدير + شمع </t>
  </si>
  <si>
    <t xml:space="preserve">بكرة </t>
  </si>
  <si>
    <t xml:space="preserve">جلب مراوح السقف </t>
  </si>
  <si>
    <t xml:space="preserve">بلي مراوح السقف </t>
  </si>
  <si>
    <t xml:space="preserve">لقم حديد لستك درداقة </t>
  </si>
  <si>
    <t xml:space="preserve">كمشة كبيرة </t>
  </si>
  <si>
    <t>قلم قطع 6*20*200</t>
  </si>
  <si>
    <t>قلم قطع 16*16*200</t>
  </si>
  <si>
    <t>قلم قطع 20*20*200</t>
  </si>
  <si>
    <t>قلم قلوز خارجي 25*25</t>
  </si>
  <si>
    <t>خرطوش 2 بوصة 4 سلك</t>
  </si>
  <si>
    <t>صاج سماكة 2 ملي</t>
  </si>
  <si>
    <t>طبلة مقاس كبير</t>
  </si>
  <si>
    <t>طبلة مقاس صفير</t>
  </si>
  <si>
    <t>مكثف 10 ( مكيفات مربع )</t>
  </si>
  <si>
    <t>مكثف 5 ( مكيفات مربع )</t>
  </si>
  <si>
    <t>مكثف 4 ( مكيفات مربع )</t>
  </si>
  <si>
    <t>مكثف 3.5 ( مكيفات مربع )</t>
  </si>
  <si>
    <t>مكثف 2.5 ( مكيفات مربع )</t>
  </si>
  <si>
    <t>مكثف 1 ( مكيفات مربع )</t>
  </si>
  <si>
    <t>مكيفات 18000 وحدة اسبليت ( وحدة داخلية + وحدة خارجية  )</t>
  </si>
  <si>
    <t>جونتى بلاستك كيمائي</t>
  </si>
  <si>
    <t>صاج سماكة 1 ملي</t>
  </si>
  <si>
    <t xml:space="preserve">ماسورة حديد 1.1/4 دائرية </t>
  </si>
  <si>
    <t xml:space="preserve">زاوية 1" بوصة </t>
  </si>
  <si>
    <t xml:space="preserve">مسامير زنك 1" بوصة </t>
  </si>
  <si>
    <t xml:space="preserve">مسامير زنك 2" بوصة </t>
  </si>
  <si>
    <t xml:space="preserve"> حبة دربكين مقاس 10 مسامير زنك </t>
  </si>
  <si>
    <t>زاوية 2" بوصة 4 ملي</t>
  </si>
  <si>
    <t xml:space="preserve">1" كوع استيل سنة داخلية </t>
  </si>
  <si>
    <t xml:space="preserve">1/2" كوع حديد سنة داخلية </t>
  </si>
  <si>
    <t xml:space="preserve">3/4" كوع حديد سنة داخلية </t>
  </si>
  <si>
    <t>موتور غسالة</t>
  </si>
  <si>
    <t>لمبه شريط 4 LED قدم</t>
  </si>
  <si>
    <t>سوكت 16 امبير</t>
  </si>
  <si>
    <t>بريكر 3 خط  20A</t>
  </si>
  <si>
    <t>BREAKER LINE  3 - 20A</t>
  </si>
  <si>
    <t xml:space="preserve">شنطه حبوب - شرشر </t>
  </si>
  <si>
    <t>ريلي مولدات VDC- 8A 250V - AC</t>
  </si>
  <si>
    <t>خرطوش حلقوم 4 بوصة مقوي بسلك</t>
  </si>
  <si>
    <t xml:space="preserve">كيلون ابواب كامله + مفاتيح </t>
  </si>
  <si>
    <t>مفتاح بلدي + استاندر 19</t>
  </si>
  <si>
    <t>مفتاح بلدي + استاندر 30</t>
  </si>
  <si>
    <t>قفيص خاتم 3/4</t>
  </si>
  <si>
    <t>كاوية لحام 1000A</t>
  </si>
  <si>
    <t>نبل استيل 1"</t>
  </si>
  <si>
    <t>يونية استيل 1"</t>
  </si>
  <si>
    <t>كوع استيل 1"</t>
  </si>
  <si>
    <t>وصلة كيبل نت RG45</t>
  </si>
  <si>
    <t>تاب M12*1.5 شمال</t>
  </si>
  <si>
    <t>ريلي مولدات  RT 424024/24 VDC-8A 250 VAC</t>
  </si>
  <si>
    <t>عمود جربوكس التنوكه (لولبي)</t>
  </si>
  <si>
    <t>A-1/A-7</t>
  </si>
  <si>
    <t>ذ</t>
  </si>
  <si>
    <t>Qualitative filter paper  10ml/15ml</t>
  </si>
  <si>
    <t>لستك درداقه مع عجل حديد</t>
  </si>
  <si>
    <t>كمر يو U</t>
  </si>
  <si>
    <t xml:space="preserve">3\4   PPR كوع سنة داخلية </t>
  </si>
  <si>
    <t>نبل نحاس 1/2 (بوري)</t>
  </si>
  <si>
    <t>3" PPR فلنشة</t>
  </si>
  <si>
    <t>بلانكو 5 طن</t>
  </si>
  <si>
    <t>خرطوش 1.5بوصة</t>
  </si>
  <si>
    <t>A-0-6</t>
  </si>
  <si>
    <t>A-0-7</t>
  </si>
  <si>
    <t>فرعي (2)</t>
  </si>
  <si>
    <t>فرعي (1)</t>
  </si>
  <si>
    <t>كرت</t>
  </si>
  <si>
    <t>فعلي</t>
  </si>
  <si>
    <t>K-6</t>
  </si>
  <si>
    <t>الحاوية</t>
  </si>
  <si>
    <t>45KW  990</t>
  </si>
  <si>
    <t xml:space="preserve">طمبور موتور طلمبة  الفلتر 3/4 </t>
  </si>
  <si>
    <t xml:space="preserve">stailess wiring screen استيل ول </t>
  </si>
  <si>
    <t>رداخ DN125/16HT800"</t>
  </si>
  <si>
    <t>One-way Valve"</t>
  </si>
  <si>
    <t>Electronics(ملحقات بريكر)</t>
  </si>
  <si>
    <t>ABB-KT5AS-AUX-C(ملحقات بريكر)</t>
  </si>
  <si>
    <t>A000001</t>
  </si>
  <si>
    <t>A000002</t>
  </si>
  <si>
    <t>A000003</t>
  </si>
  <si>
    <t>A000004</t>
  </si>
  <si>
    <t>A000005</t>
  </si>
  <si>
    <t>A000006</t>
  </si>
  <si>
    <t>A000007</t>
  </si>
  <si>
    <t>A000008</t>
  </si>
  <si>
    <t>A000009</t>
  </si>
  <si>
    <t>A000010</t>
  </si>
  <si>
    <t>A000011</t>
  </si>
  <si>
    <t>A000012</t>
  </si>
  <si>
    <t>A000013</t>
  </si>
  <si>
    <t>A000014</t>
  </si>
  <si>
    <t>A000015</t>
  </si>
  <si>
    <t>A000016</t>
  </si>
  <si>
    <t>A000017</t>
  </si>
  <si>
    <t>A000018</t>
  </si>
  <si>
    <t>A000019</t>
  </si>
  <si>
    <t>A000020</t>
  </si>
  <si>
    <t>A000021</t>
  </si>
  <si>
    <t>A000022</t>
  </si>
  <si>
    <t>A000023</t>
  </si>
  <si>
    <t>A000024</t>
  </si>
  <si>
    <t>A000025</t>
  </si>
  <si>
    <t>A000026</t>
  </si>
  <si>
    <t>A000027</t>
  </si>
  <si>
    <t>A000028</t>
  </si>
  <si>
    <t>A000029</t>
  </si>
  <si>
    <t>A000030</t>
  </si>
  <si>
    <t>A000031</t>
  </si>
  <si>
    <t>A000032</t>
  </si>
  <si>
    <t>A000033</t>
  </si>
  <si>
    <t>A000034</t>
  </si>
  <si>
    <t>A000035</t>
  </si>
  <si>
    <t>A000036</t>
  </si>
  <si>
    <t>A000037</t>
  </si>
  <si>
    <t>A000038</t>
  </si>
  <si>
    <t>A000039</t>
  </si>
  <si>
    <t>A000040</t>
  </si>
  <si>
    <t>A000041</t>
  </si>
  <si>
    <t>A000042</t>
  </si>
  <si>
    <t>A000043</t>
  </si>
  <si>
    <t>A000044</t>
  </si>
  <si>
    <t>A000045</t>
  </si>
  <si>
    <t>A000046</t>
  </si>
  <si>
    <t>A000047</t>
  </si>
  <si>
    <t>A000048</t>
  </si>
  <si>
    <t>A000049</t>
  </si>
  <si>
    <t>A000050</t>
  </si>
  <si>
    <t>A000051</t>
  </si>
  <si>
    <t>A000052</t>
  </si>
  <si>
    <t>A000053</t>
  </si>
  <si>
    <t>A000054</t>
  </si>
  <si>
    <t>A000055</t>
  </si>
  <si>
    <t>A000056</t>
  </si>
  <si>
    <t>A000057</t>
  </si>
  <si>
    <t>A000058</t>
  </si>
  <si>
    <t>A000059</t>
  </si>
  <si>
    <t>A000060</t>
  </si>
  <si>
    <t>A000061</t>
  </si>
  <si>
    <t>A000062</t>
  </si>
  <si>
    <t>A000063</t>
  </si>
  <si>
    <t>A000064</t>
  </si>
  <si>
    <t>A000065</t>
  </si>
  <si>
    <t>A000066</t>
  </si>
  <si>
    <t>A000067</t>
  </si>
  <si>
    <t>A000068</t>
  </si>
  <si>
    <t>A000069</t>
  </si>
  <si>
    <t>A000070</t>
  </si>
  <si>
    <t>A000071</t>
  </si>
  <si>
    <t>A000072</t>
  </si>
  <si>
    <t>A000073</t>
  </si>
  <si>
    <t>A000074</t>
  </si>
  <si>
    <t>A000075</t>
  </si>
  <si>
    <t>A000076</t>
  </si>
  <si>
    <t>A000077</t>
  </si>
  <si>
    <t>A000078</t>
  </si>
  <si>
    <t>A000079</t>
  </si>
  <si>
    <t>A000080</t>
  </si>
  <si>
    <t>A000081</t>
  </si>
  <si>
    <t>A000082</t>
  </si>
  <si>
    <t>A000083</t>
  </si>
  <si>
    <t>A000084</t>
  </si>
  <si>
    <t>A000085</t>
  </si>
  <si>
    <t>A000086</t>
  </si>
  <si>
    <t>A000087</t>
  </si>
  <si>
    <t>A000088</t>
  </si>
  <si>
    <t>A000089</t>
  </si>
  <si>
    <t>A000090</t>
  </si>
  <si>
    <t>A000091</t>
  </si>
  <si>
    <t>A000092</t>
  </si>
  <si>
    <t>A000093</t>
  </si>
  <si>
    <t>A000094</t>
  </si>
  <si>
    <t>A000095</t>
  </si>
  <si>
    <t>A000096</t>
  </si>
  <si>
    <t>A000097</t>
  </si>
  <si>
    <t>A000098</t>
  </si>
  <si>
    <t>A000099</t>
  </si>
  <si>
    <t>A000100</t>
  </si>
  <si>
    <t>A000101</t>
  </si>
  <si>
    <t>A000102</t>
  </si>
  <si>
    <t>A000103</t>
  </si>
  <si>
    <t>A000104</t>
  </si>
  <si>
    <t>A000105</t>
  </si>
  <si>
    <t>A000106</t>
  </si>
  <si>
    <t>A000107</t>
  </si>
  <si>
    <t>A000108</t>
  </si>
  <si>
    <t>A000109</t>
  </si>
  <si>
    <t>A000110</t>
  </si>
  <si>
    <t>A000111</t>
  </si>
  <si>
    <t>A000112</t>
  </si>
  <si>
    <t>A000113</t>
  </si>
  <si>
    <t>A000114</t>
  </si>
  <si>
    <t>A000115</t>
  </si>
  <si>
    <t>A000116</t>
  </si>
  <si>
    <t>A000117</t>
  </si>
  <si>
    <t>A000118</t>
  </si>
  <si>
    <t>A000119</t>
  </si>
  <si>
    <t>A000120</t>
  </si>
  <si>
    <t>A000121</t>
  </si>
  <si>
    <t>A000122</t>
  </si>
  <si>
    <t>A000123</t>
  </si>
  <si>
    <t>A000124</t>
  </si>
  <si>
    <t>A000125</t>
  </si>
  <si>
    <t>A000126</t>
  </si>
  <si>
    <t>A000127</t>
  </si>
  <si>
    <t>A000128</t>
  </si>
  <si>
    <t>A000129</t>
  </si>
  <si>
    <t>A000130</t>
  </si>
  <si>
    <t>A000131</t>
  </si>
  <si>
    <t>A000132</t>
  </si>
  <si>
    <t>A000133</t>
  </si>
  <si>
    <t>A000134</t>
  </si>
  <si>
    <t>A000135</t>
  </si>
  <si>
    <t>A000136</t>
  </si>
  <si>
    <t>A000137</t>
  </si>
  <si>
    <t>A000138</t>
  </si>
  <si>
    <t>A000139</t>
  </si>
  <si>
    <t>A000140</t>
  </si>
  <si>
    <t>A000141</t>
  </si>
  <si>
    <t>A000142</t>
  </si>
  <si>
    <t>A000143</t>
  </si>
  <si>
    <t>A000144</t>
  </si>
  <si>
    <t>A000145</t>
  </si>
  <si>
    <t>A000146</t>
  </si>
  <si>
    <t>A000147</t>
  </si>
  <si>
    <t>A000148</t>
  </si>
  <si>
    <t>A000149</t>
  </si>
  <si>
    <t>A000150</t>
  </si>
  <si>
    <t>A000151</t>
  </si>
  <si>
    <t>A000152</t>
  </si>
  <si>
    <t>A000153</t>
  </si>
  <si>
    <t>A000154</t>
  </si>
  <si>
    <t>A000155</t>
  </si>
  <si>
    <t>A000156</t>
  </si>
  <si>
    <t>A000157</t>
  </si>
  <si>
    <t>A000158</t>
  </si>
  <si>
    <t>A000159</t>
  </si>
  <si>
    <t>A000160</t>
  </si>
  <si>
    <t>A000161</t>
  </si>
  <si>
    <t>A000162</t>
  </si>
  <si>
    <t>A000163</t>
  </si>
  <si>
    <t>A000164</t>
  </si>
  <si>
    <t>A000165</t>
  </si>
  <si>
    <t>A000166</t>
  </si>
  <si>
    <t>A000167</t>
  </si>
  <si>
    <t>A000168</t>
  </si>
  <si>
    <t>A000169</t>
  </si>
  <si>
    <t>A000170</t>
  </si>
  <si>
    <t>A000171</t>
  </si>
  <si>
    <t>A000172</t>
  </si>
  <si>
    <t>A000173</t>
  </si>
  <si>
    <t>A000174</t>
  </si>
  <si>
    <t>A000175</t>
  </si>
  <si>
    <t>A000176</t>
  </si>
  <si>
    <t>A000177</t>
  </si>
  <si>
    <t>A000178</t>
  </si>
  <si>
    <t>A000179</t>
  </si>
  <si>
    <t>A000180</t>
  </si>
  <si>
    <t>A000181</t>
  </si>
  <si>
    <t>A000182</t>
  </si>
  <si>
    <t>A000183</t>
  </si>
  <si>
    <t>A000184</t>
  </si>
  <si>
    <t>A000185</t>
  </si>
  <si>
    <t>A000186</t>
  </si>
  <si>
    <t>A000187</t>
  </si>
  <si>
    <t>A000188</t>
  </si>
  <si>
    <t>A000189</t>
  </si>
  <si>
    <t>A000190</t>
  </si>
  <si>
    <t>A000191</t>
  </si>
  <si>
    <t>A000192</t>
  </si>
  <si>
    <t>A000193</t>
  </si>
  <si>
    <t>A000194</t>
  </si>
  <si>
    <t>A000195</t>
  </si>
  <si>
    <t>A000196</t>
  </si>
  <si>
    <t>A000197</t>
  </si>
  <si>
    <t>A000198</t>
  </si>
  <si>
    <t>A000199</t>
  </si>
  <si>
    <t>A000200</t>
  </si>
  <si>
    <t>A000201</t>
  </si>
  <si>
    <t>A000202</t>
  </si>
  <si>
    <t>A000203</t>
  </si>
  <si>
    <t>A000204</t>
  </si>
  <si>
    <t>A000205</t>
  </si>
  <si>
    <t>A000206</t>
  </si>
  <si>
    <t>A000207</t>
  </si>
  <si>
    <t>A000208</t>
  </si>
  <si>
    <t>A000209</t>
  </si>
  <si>
    <t>A000210</t>
  </si>
  <si>
    <t>A000211</t>
  </si>
  <si>
    <t>A000212</t>
  </si>
  <si>
    <t>A000213</t>
  </si>
  <si>
    <t>A000214</t>
  </si>
  <si>
    <t>A000215</t>
  </si>
  <si>
    <t>A000216</t>
  </si>
  <si>
    <t>A000217</t>
  </si>
  <si>
    <t>A000218</t>
  </si>
  <si>
    <t>A000219</t>
  </si>
  <si>
    <t>A000220</t>
  </si>
  <si>
    <t>A000221</t>
  </si>
  <si>
    <t>A000222</t>
  </si>
  <si>
    <t>A000223</t>
  </si>
  <si>
    <t>A000224</t>
  </si>
  <si>
    <t>A000225</t>
  </si>
  <si>
    <t>A000226</t>
  </si>
  <si>
    <t>A000227</t>
  </si>
  <si>
    <t>A000228</t>
  </si>
  <si>
    <t>A000229</t>
  </si>
  <si>
    <t>A000230</t>
  </si>
  <si>
    <t>A000231</t>
  </si>
  <si>
    <t>A000232</t>
  </si>
  <si>
    <t>A000233</t>
  </si>
  <si>
    <t>A000234</t>
  </si>
  <si>
    <t>A000235</t>
  </si>
  <si>
    <t>A000236</t>
  </si>
  <si>
    <t>A000237</t>
  </si>
  <si>
    <t>A000238</t>
  </si>
  <si>
    <t>A000239</t>
  </si>
  <si>
    <t>A000240</t>
  </si>
  <si>
    <t>A000241</t>
  </si>
  <si>
    <t>A000242</t>
  </si>
  <si>
    <t>A000243</t>
  </si>
  <si>
    <t>A000244</t>
  </si>
  <si>
    <t>A000245</t>
  </si>
  <si>
    <t>A000246</t>
  </si>
  <si>
    <t>A000247</t>
  </si>
  <si>
    <t>A000248</t>
  </si>
  <si>
    <t>A000249</t>
  </si>
  <si>
    <t>A000250</t>
  </si>
  <si>
    <t>A000251</t>
  </si>
  <si>
    <t>A000252</t>
  </si>
  <si>
    <t>A000253</t>
  </si>
  <si>
    <t>A000254</t>
  </si>
  <si>
    <t>A000255</t>
  </si>
  <si>
    <t>A000256</t>
  </si>
  <si>
    <t>A000257</t>
  </si>
  <si>
    <t>A000258</t>
  </si>
  <si>
    <t>A000259</t>
  </si>
  <si>
    <t>A000260</t>
  </si>
  <si>
    <t>A000261</t>
  </si>
  <si>
    <t>A000262</t>
  </si>
  <si>
    <t>A000263</t>
  </si>
  <si>
    <t>A000264</t>
  </si>
  <si>
    <t>A000265</t>
  </si>
  <si>
    <t>A000266</t>
  </si>
  <si>
    <t>A000267</t>
  </si>
  <si>
    <t>A000268</t>
  </si>
  <si>
    <t>A000269</t>
  </si>
  <si>
    <t>A000270</t>
  </si>
  <si>
    <t>A000271</t>
  </si>
  <si>
    <t>A000272</t>
  </si>
  <si>
    <t>A000273</t>
  </si>
  <si>
    <t>A000274</t>
  </si>
  <si>
    <t>A000275</t>
  </si>
  <si>
    <t>A000276</t>
  </si>
  <si>
    <t>A000277</t>
  </si>
  <si>
    <t>A000278</t>
  </si>
  <si>
    <t>A000279</t>
  </si>
  <si>
    <t>A000280</t>
  </si>
  <si>
    <t>A000281</t>
  </si>
  <si>
    <t>A000282</t>
  </si>
  <si>
    <t>A000283</t>
  </si>
  <si>
    <t>A000284</t>
  </si>
  <si>
    <t>A000285</t>
  </si>
  <si>
    <t>A000286</t>
  </si>
  <si>
    <t>A000287</t>
  </si>
  <si>
    <t>A000288</t>
  </si>
  <si>
    <t>A000289</t>
  </si>
  <si>
    <t>A000290</t>
  </si>
  <si>
    <t>A000291</t>
  </si>
  <si>
    <t>A000292</t>
  </si>
  <si>
    <t>A000293</t>
  </si>
  <si>
    <t>A000294</t>
  </si>
  <si>
    <t>A000295</t>
  </si>
  <si>
    <t>A000296</t>
  </si>
  <si>
    <t>A000297</t>
  </si>
  <si>
    <t>A000298</t>
  </si>
  <si>
    <t>A000299</t>
  </si>
  <si>
    <t>A000300</t>
  </si>
  <si>
    <t>A000301</t>
  </si>
  <si>
    <t>A000302</t>
  </si>
  <si>
    <t>A000303</t>
  </si>
  <si>
    <t>A000304</t>
  </si>
  <si>
    <t>A000305</t>
  </si>
  <si>
    <t>A000306</t>
  </si>
  <si>
    <t>A000307</t>
  </si>
  <si>
    <t>A000308</t>
  </si>
  <si>
    <t>A000309</t>
  </si>
  <si>
    <t>A000310</t>
  </si>
  <si>
    <t>A000311</t>
  </si>
  <si>
    <t>A000312</t>
  </si>
  <si>
    <t>A000313</t>
  </si>
  <si>
    <t>A000314</t>
  </si>
  <si>
    <t>A000315</t>
  </si>
  <si>
    <t>A000316</t>
  </si>
  <si>
    <t>A000317</t>
  </si>
  <si>
    <t>A000318</t>
  </si>
  <si>
    <t>A000319</t>
  </si>
  <si>
    <t>A000320</t>
  </si>
  <si>
    <t>A000321</t>
  </si>
  <si>
    <t>A000322</t>
  </si>
  <si>
    <t>A000323</t>
  </si>
  <si>
    <t>A000324</t>
  </si>
  <si>
    <t>A000325</t>
  </si>
  <si>
    <t>A000326</t>
  </si>
  <si>
    <t>A000327</t>
  </si>
  <si>
    <t>A000328</t>
  </si>
  <si>
    <t>A000329</t>
  </si>
  <si>
    <t>A000330</t>
  </si>
  <si>
    <t>A000331</t>
  </si>
  <si>
    <t>A000332</t>
  </si>
  <si>
    <t>A000333</t>
  </si>
  <si>
    <t>A000334</t>
  </si>
  <si>
    <t>A000335</t>
  </si>
  <si>
    <t>A000336</t>
  </si>
  <si>
    <t>A000337</t>
  </si>
  <si>
    <t>A000338</t>
  </si>
  <si>
    <t>A000339</t>
  </si>
  <si>
    <t>A000340</t>
  </si>
  <si>
    <t>A000341</t>
  </si>
  <si>
    <t>A000342</t>
  </si>
  <si>
    <t>A000343</t>
  </si>
  <si>
    <t>A000344</t>
  </si>
  <si>
    <t>A000345</t>
  </si>
  <si>
    <t>A000346</t>
  </si>
  <si>
    <t>A000347</t>
  </si>
  <si>
    <t>A000348</t>
  </si>
  <si>
    <t>A000349</t>
  </si>
  <si>
    <t>A000350</t>
  </si>
  <si>
    <t>A000351</t>
  </si>
  <si>
    <t>A000352</t>
  </si>
  <si>
    <t>A000353</t>
  </si>
  <si>
    <t>A000354</t>
  </si>
  <si>
    <t>A000355</t>
  </si>
  <si>
    <t>A000356</t>
  </si>
  <si>
    <t>A000357</t>
  </si>
  <si>
    <t>A000358</t>
  </si>
  <si>
    <t>A000359</t>
  </si>
  <si>
    <t>A000360</t>
  </si>
  <si>
    <t>A000361</t>
  </si>
  <si>
    <t>A000362</t>
  </si>
  <si>
    <t>A000363</t>
  </si>
  <si>
    <t>A000364</t>
  </si>
  <si>
    <t>A000365</t>
  </si>
  <si>
    <t>A000366</t>
  </si>
  <si>
    <t>A000367</t>
  </si>
  <si>
    <t>A000368</t>
  </si>
  <si>
    <t>A000369</t>
  </si>
  <si>
    <t>A000370</t>
  </si>
  <si>
    <t>A000371</t>
  </si>
  <si>
    <t>A000372</t>
  </si>
  <si>
    <t>A000373</t>
  </si>
  <si>
    <t>A000374</t>
  </si>
  <si>
    <t>A000375</t>
  </si>
  <si>
    <t>A000376</t>
  </si>
  <si>
    <t>A000377</t>
  </si>
  <si>
    <t>A000378</t>
  </si>
  <si>
    <t>A000379</t>
  </si>
  <si>
    <t>A000380</t>
  </si>
  <si>
    <t>A000381</t>
  </si>
  <si>
    <t>A000382</t>
  </si>
  <si>
    <t>A000383</t>
  </si>
  <si>
    <t>A000384</t>
  </si>
  <si>
    <t>A000385</t>
  </si>
  <si>
    <t>A000386</t>
  </si>
  <si>
    <t>A000387</t>
  </si>
  <si>
    <t>A000388</t>
  </si>
  <si>
    <t>A000389</t>
  </si>
  <si>
    <t>A000390</t>
  </si>
  <si>
    <t>A000391</t>
  </si>
  <si>
    <t>A000392</t>
  </si>
  <si>
    <t>A000393</t>
  </si>
  <si>
    <t>A000394</t>
  </si>
  <si>
    <t>A000395</t>
  </si>
  <si>
    <t>A000396</t>
  </si>
  <si>
    <t>A000397</t>
  </si>
  <si>
    <t>A000398</t>
  </si>
  <si>
    <t>A000399</t>
  </si>
  <si>
    <t>A000400</t>
  </si>
  <si>
    <t>A000401</t>
  </si>
  <si>
    <t>A000402</t>
  </si>
  <si>
    <t>A000403</t>
  </si>
  <si>
    <t>A000404</t>
  </si>
  <si>
    <t>A000405</t>
  </si>
  <si>
    <t>A000406</t>
  </si>
  <si>
    <t>A000407</t>
  </si>
  <si>
    <t>A000408</t>
  </si>
  <si>
    <t>A000409</t>
  </si>
  <si>
    <t>A000410</t>
  </si>
  <si>
    <t>A000411</t>
  </si>
  <si>
    <t>A000412</t>
  </si>
  <si>
    <t>A000413</t>
  </si>
  <si>
    <t>A000414</t>
  </si>
  <si>
    <t>A000415</t>
  </si>
  <si>
    <t>A000416</t>
  </si>
  <si>
    <t>A000417</t>
  </si>
  <si>
    <t>A000418</t>
  </si>
  <si>
    <t>A000419</t>
  </si>
  <si>
    <t>A000420</t>
  </si>
  <si>
    <t>A000421</t>
  </si>
  <si>
    <t>A000422</t>
  </si>
  <si>
    <t>A000423</t>
  </si>
  <si>
    <t>A000424</t>
  </si>
  <si>
    <t>A000425</t>
  </si>
  <si>
    <t>A000426</t>
  </si>
  <si>
    <t>A000427</t>
  </si>
  <si>
    <t>A000428</t>
  </si>
  <si>
    <t>A000429</t>
  </si>
  <si>
    <t>A000430</t>
  </si>
  <si>
    <t>A000431</t>
  </si>
  <si>
    <t>A000432</t>
  </si>
  <si>
    <t>A000433</t>
  </si>
  <si>
    <t>A000434</t>
  </si>
  <si>
    <t>A000435</t>
  </si>
  <si>
    <t>A000436</t>
  </si>
  <si>
    <t>A000437</t>
  </si>
  <si>
    <t>A000438</t>
  </si>
  <si>
    <t>A000439</t>
  </si>
  <si>
    <t>A000440</t>
  </si>
  <si>
    <t>A000441</t>
  </si>
  <si>
    <t>A000442</t>
  </si>
  <si>
    <t>A000443</t>
  </si>
  <si>
    <t>A000444</t>
  </si>
  <si>
    <t>A000445</t>
  </si>
  <si>
    <t>A000446</t>
  </si>
  <si>
    <t>A000447</t>
  </si>
  <si>
    <t>A000448</t>
  </si>
  <si>
    <t>A000449</t>
  </si>
  <si>
    <t>A000450</t>
  </si>
  <si>
    <t>A000451</t>
  </si>
  <si>
    <t>A000452</t>
  </si>
  <si>
    <t>A000453</t>
  </si>
  <si>
    <t>A000454</t>
  </si>
  <si>
    <t>A000455</t>
  </si>
  <si>
    <t>A000456</t>
  </si>
  <si>
    <t>A000457</t>
  </si>
  <si>
    <t>A000458</t>
  </si>
  <si>
    <t>A000459</t>
  </si>
  <si>
    <t>A000460</t>
  </si>
  <si>
    <t>A000461</t>
  </si>
  <si>
    <t>A000462</t>
  </si>
  <si>
    <t>A000463</t>
  </si>
  <si>
    <t>A000464</t>
  </si>
  <si>
    <t>A000465</t>
  </si>
  <si>
    <t>A000466</t>
  </si>
  <si>
    <t>A000467</t>
  </si>
  <si>
    <t>A000468</t>
  </si>
  <si>
    <t>A000469</t>
  </si>
  <si>
    <t>A000470</t>
  </si>
  <si>
    <t>A000471</t>
  </si>
  <si>
    <t>A000472</t>
  </si>
  <si>
    <t>A000473</t>
  </si>
  <si>
    <t>A000474</t>
  </si>
  <si>
    <t>A000475</t>
  </si>
  <si>
    <t>A000476</t>
  </si>
  <si>
    <t>A000477</t>
  </si>
  <si>
    <t>A000478</t>
  </si>
  <si>
    <t>A000479</t>
  </si>
  <si>
    <t>A000480</t>
  </si>
  <si>
    <t>A000481</t>
  </si>
  <si>
    <t>A000482</t>
  </si>
  <si>
    <t>A000483</t>
  </si>
  <si>
    <t>A000484</t>
  </si>
  <si>
    <t>A000485</t>
  </si>
  <si>
    <t>A000486</t>
  </si>
  <si>
    <t>A000487</t>
  </si>
  <si>
    <t>A000488</t>
  </si>
  <si>
    <t>A000489</t>
  </si>
  <si>
    <t>A000490</t>
  </si>
  <si>
    <t>A000491</t>
  </si>
  <si>
    <t>A000492</t>
  </si>
  <si>
    <t>A000493</t>
  </si>
  <si>
    <t>A000494</t>
  </si>
  <si>
    <t>A000495</t>
  </si>
  <si>
    <t>A000496</t>
  </si>
  <si>
    <t>A000497</t>
  </si>
  <si>
    <t>A000498</t>
  </si>
  <si>
    <t>A000499</t>
  </si>
  <si>
    <t>A000500</t>
  </si>
  <si>
    <t>A000501</t>
  </si>
  <si>
    <t>A000502</t>
  </si>
  <si>
    <t>A000503</t>
  </si>
  <si>
    <t>A000504</t>
  </si>
  <si>
    <t>A000505</t>
  </si>
  <si>
    <t>A000506</t>
  </si>
  <si>
    <t>A000507</t>
  </si>
  <si>
    <t>A000508</t>
  </si>
  <si>
    <t>A000509</t>
  </si>
  <si>
    <t>A000510</t>
  </si>
  <si>
    <t>A000511</t>
  </si>
  <si>
    <t>A000512</t>
  </si>
  <si>
    <t>A000513</t>
  </si>
  <si>
    <t>A000514</t>
  </si>
  <si>
    <t>A000515</t>
  </si>
  <si>
    <t>A000516</t>
  </si>
  <si>
    <t>A000517</t>
  </si>
  <si>
    <t>A000518</t>
  </si>
  <si>
    <t>A000519</t>
  </si>
  <si>
    <t>A000520</t>
  </si>
  <si>
    <t>A000521</t>
  </si>
  <si>
    <t>A000522</t>
  </si>
  <si>
    <t>A000523</t>
  </si>
  <si>
    <t>A000524</t>
  </si>
  <si>
    <t>A000525</t>
  </si>
  <si>
    <t>A000526</t>
  </si>
  <si>
    <t>A000527</t>
  </si>
  <si>
    <t>A000528</t>
  </si>
  <si>
    <t>A000529</t>
  </si>
  <si>
    <t>A000530</t>
  </si>
  <si>
    <t>A000531</t>
  </si>
  <si>
    <t>A000532</t>
  </si>
  <si>
    <t>A000533</t>
  </si>
  <si>
    <t>A000534</t>
  </si>
  <si>
    <t>A000535</t>
  </si>
  <si>
    <t>A000536</t>
  </si>
  <si>
    <t>A000537</t>
  </si>
  <si>
    <t>A000538</t>
  </si>
  <si>
    <t>A000539</t>
  </si>
  <si>
    <t>A000540</t>
  </si>
  <si>
    <t>A000541</t>
  </si>
  <si>
    <t>A000542</t>
  </si>
  <si>
    <t>A000543</t>
  </si>
  <si>
    <t>A000544</t>
  </si>
  <si>
    <t>A000545</t>
  </si>
  <si>
    <t>A000546</t>
  </si>
  <si>
    <t>A000547</t>
  </si>
  <si>
    <t>A000548</t>
  </si>
  <si>
    <t>A000549</t>
  </si>
  <si>
    <t>A000550</t>
  </si>
  <si>
    <t>A000551</t>
  </si>
  <si>
    <t>A000552</t>
  </si>
  <si>
    <t>A000553</t>
  </si>
  <si>
    <t>A000554</t>
  </si>
  <si>
    <t>A000555</t>
  </si>
  <si>
    <t>A000556</t>
  </si>
  <si>
    <t>A000557</t>
  </si>
  <si>
    <t>A000558</t>
  </si>
  <si>
    <t>A000559</t>
  </si>
  <si>
    <t>A000560</t>
  </si>
  <si>
    <t>A000561</t>
  </si>
  <si>
    <t>A000562</t>
  </si>
  <si>
    <t>A000563</t>
  </si>
  <si>
    <t>A000564</t>
  </si>
  <si>
    <t>A000565</t>
  </si>
  <si>
    <t>A000566</t>
  </si>
  <si>
    <t>A000567</t>
  </si>
  <si>
    <t>A000568</t>
  </si>
  <si>
    <t>A000569</t>
  </si>
  <si>
    <t>A000570</t>
  </si>
  <si>
    <t>A000571</t>
  </si>
  <si>
    <t>A000572</t>
  </si>
  <si>
    <t>A000573</t>
  </si>
  <si>
    <t>A000574</t>
  </si>
  <si>
    <t>A000575</t>
  </si>
  <si>
    <t>A000576</t>
  </si>
  <si>
    <t>A000577</t>
  </si>
  <si>
    <t>A000578</t>
  </si>
  <si>
    <t>A000579</t>
  </si>
  <si>
    <t>A000580</t>
  </si>
  <si>
    <t>A000581</t>
  </si>
  <si>
    <t>A000582</t>
  </si>
  <si>
    <t>A000583</t>
  </si>
  <si>
    <t>A000584</t>
  </si>
  <si>
    <t>A000585</t>
  </si>
  <si>
    <t>A000586</t>
  </si>
  <si>
    <t>A000587</t>
  </si>
  <si>
    <t>A000588</t>
  </si>
  <si>
    <t>A000589</t>
  </si>
  <si>
    <t>A000590</t>
  </si>
  <si>
    <t>A000591</t>
  </si>
  <si>
    <t>A000592</t>
  </si>
  <si>
    <t>A000593</t>
  </si>
  <si>
    <t>A000594</t>
  </si>
  <si>
    <t>A000595</t>
  </si>
  <si>
    <t>A000596</t>
  </si>
  <si>
    <t>A000597</t>
  </si>
  <si>
    <t>A000598</t>
  </si>
  <si>
    <t>A000599</t>
  </si>
  <si>
    <t>A000600</t>
  </si>
  <si>
    <t>A000601</t>
  </si>
  <si>
    <t>A000602</t>
  </si>
  <si>
    <t>A000603</t>
  </si>
  <si>
    <t>A000604</t>
  </si>
  <si>
    <t>A000605</t>
  </si>
  <si>
    <t>A000606</t>
  </si>
  <si>
    <t>A000607</t>
  </si>
  <si>
    <t>A000608</t>
  </si>
  <si>
    <t>A000609</t>
  </si>
  <si>
    <t>A000610</t>
  </si>
  <si>
    <t>A000611</t>
  </si>
  <si>
    <t>A000612</t>
  </si>
  <si>
    <t>A000613</t>
  </si>
  <si>
    <t>A000614</t>
  </si>
  <si>
    <t>A000615</t>
  </si>
  <si>
    <t>A000616</t>
  </si>
  <si>
    <t>A000617</t>
  </si>
  <si>
    <t>A000618</t>
  </si>
  <si>
    <t>A000619</t>
  </si>
  <si>
    <t>A000620</t>
  </si>
  <si>
    <t>A000621</t>
  </si>
  <si>
    <t>A000622</t>
  </si>
  <si>
    <t>A000623</t>
  </si>
  <si>
    <t>A000624</t>
  </si>
  <si>
    <t>A000625</t>
  </si>
  <si>
    <t>A000626</t>
  </si>
  <si>
    <t>A000627</t>
  </si>
  <si>
    <t>A000628</t>
  </si>
  <si>
    <t>A000629</t>
  </si>
  <si>
    <t>A000630</t>
  </si>
  <si>
    <t>A000631</t>
  </si>
  <si>
    <t>A000632</t>
  </si>
  <si>
    <t>A000633</t>
  </si>
  <si>
    <t>A000634</t>
  </si>
  <si>
    <t>A000635</t>
  </si>
  <si>
    <t>A000636</t>
  </si>
  <si>
    <t>A000637</t>
  </si>
  <si>
    <t>A000638</t>
  </si>
  <si>
    <t>A000639</t>
  </si>
  <si>
    <t>A000640</t>
  </si>
  <si>
    <t>A000641</t>
  </si>
  <si>
    <t>A000642</t>
  </si>
  <si>
    <t>A000643</t>
  </si>
  <si>
    <t>A000644</t>
  </si>
  <si>
    <t>A000645</t>
  </si>
  <si>
    <t>A000646</t>
  </si>
  <si>
    <t>A000647</t>
  </si>
  <si>
    <t>A000648</t>
  </si>
  <si>
    <t>A000649</t>
  </si>
  <si>
    <t>A000650</t>
  </si>
  <si>
    <t>A000651</t>
  </si>
  <si>
    <t>A000652</t>
  </si>
  <si>
    <t>A000653</t>
  </si>
  <si>
    <t>A000654</t>
  </si>
  <si>
    <t>A000655</t>
  </si>
  <si>
    <t>A000656</t>
  </si>
  <si>
    <t>A000657</t>
  </si>
  <si>
    <t>A000658</t>
  </si>
  <si>
    <t>A000659</t>
  </si>
  <si>
    <t>A000660</t>
  </si>
  <si>
    <t>A000661</t>
  </si>
  <si>
    <t>A000662</t>
  </si>
  <si>
    <t>A000663</t>
  </si>
  <si>
    <t>A000664</t>
  </si>
  <si>
    <t>A000665</t>
  </si>
  <si>
    <t>A000666</t>
  </si>
  <si>
    <t>A000667</t>
  </si>
  <si>
    <t>A000668</t>
  </si>
  <si>
    <t>A000669</t>
  </si>
  <si>
    <t>A000670</t>
  </si>
  <si>
    <t>A000671</t>
  </si>
  <si>
    <t>A000672</t>
  </si>
  <si>
    <t>A000673</t>
  </si>
  <si>
    <t>A000674</t>
  </si>
  <si>
    <t>A000675</t>
  </si>
  <si>
    <t>A000676</t>
  </si>
  <si>
    <t>A000677</t>
  </si>
  <si>
    <t>A000678</t>
  </si>
  <si>
    <t>A000679</t>
  </si>
  <si>
    <t>A000680</t>
  </si>
  <si>
    <t>A000681</t>
  </si>
  <si>
    <t>A000682</t>
  </si>
  <si>
    <t>A000683</t>
  </si>
  <si>
    <t>A000684</t>
  </si>
  <si>
    <t>A000685</t>
  </si>
  <si>
    <t>A000686</t>
  </si>
  <si>
    <t>A000687</t>
  </si>
  <si>
    <t>A000688</t>
  </si>
  <si>
    <t>A000689</t>
  </si>
  <si>
    <t>A000690</t>
  </si>
  <si>
    <t>A000691</t>
  </si>
  <si>
    <t>A000692</t>
  </si>
  <si>
    <t>A000693</t>
  </si>
  <si>
    <t>A000694</t>
  </si>
  <si>
    <t>A000695</t>
  </si>
  <si>
    <t>A000696</t>
  </si>
  <si>
    <t>A000697</t>
  </si>
  <si>
    <t>A000698</t>
  </si>
  <si>
    <t>A000699</t>
  </si>
  <si>
    <t>A000700</t>
  </si>
  <si>
    <t>A000701</t>
  </si>
  <si>
    <t>A000702</t>
  </si>
  <si>
    <t>A000703</t>
  </si>
  <si>
    <t>A000704</t>
  </si>
  <si>
    <t>A000705</t>
  </si>
  <si>
    <t>A000706</t>
  </si>
  <si>
    <t>A000707</t>
  </si>
  <si>
    <t>A000708</t>
  </si>
  <si>
    <t>A000709</t>
  </si>
  <si>
    <t>A000710</t>
  </si>
  <si>
    <t>A000711</t>
  </si>
  <si>
    <t>A000712</t>
  </si>
  <si>
    <t>A000713</t>
  </si>
  <si>
    <t>A000714</t>
  </si>
  <si>
    <t>A000715</t>
  </si>
  <si>
    <t>A000716</t>
  </si>
  <si>
    <t>A000717</t>
  </si>
  <si>
    <t>A000718</t>
  </si>
  <si>
    <t>A000719</t>
  </si>
  <si>
    <t>A000720</t>
  </si>
  <si>
    <t>A000721</t>
  </si>
  <si>
    <t>A000722</t>
  </si>
  <si>
    <t>A000723</t>
  </si>
  <si>
    <t>A000724</t>
  </si>
  <si>
    <t>A000725</t>
  </si>
  <si>
    <t>A000726</t>
  </si>
  <si>
    <t>A000727</t>
  </si>
  <si>
    <t>A000728</t>
  </si>
  <si>
    <t>A000729</t>
  </si>
  <si>
    <t>A000730</t>
  </si>
  <si>
    <t>A000731</t>
  </si>
  <si>
    <t>A000732</t>
  </si>
  <si>
    <t>A000733</t>
  </si>
  <si>
    <t>A000734</t>
  </si>
  <si>
    <t>A000735</t>
  </si>
  <si>
    <t>A000736</t>
  </si>
  <si>
    <t>A000737</t>
  </si>
  <si>
    <t>A000738</t>
  </si>
  <si>
    <t>A000739</t>
  </si>
  <si>
    <t>A000740</t>
  </si>
  <si>
    <t>A000741</t>
  </si>
  <si>
    <t>A000742</t>
  </si>
  <si>
    <t>A000743</t>
  </si>
  <si>
    <t>A000744</t>
  </si>
  <si>
    <t>A000745</t>
  </si>
  <si>
    <t>A000746</t>
  </si>
  <si>
    <t>A000747</t>
  </si>
  <si>
    <t>A000748</t>
  </si>
  <si>
    <t>A000749</t>
  </si>
  <si>
    <t>A000750</t>
  </si>
  <si>
    <t>A000751</t>
  </si>
  <si>
    <t>A000752</t>
  </si>
  <si>
    <t>A000753</t>
  </si>
  <si>
    <t>A000754</t>
  </si>
  <si>
    <t>A000755</t>
  </si>
  <si>
    <t>A000756</t>
  </si>
  <si>
    <t>A000757</t>
  </si>
  <si>
    <t>A000758</t>
  </si>
  <si>
    <t>A000759</t>
  </si>
  <si>
    <t>A000760</t>
  </si>
  <si>
    <t>A000761</t>
  </si>
  <si>
    <t>A000762</t>
  </si>
  <si>
    <t>A000763</t>
  </si>
  <si>
    <t>A000764</t>
  </si>
  <si>
    <t>A000765</t>
  </si>
  <si>
    <t>A000766</t>
  </si>
  <si>
    <t>A000767</t>
  </si>
  <si>
    <t>A000768</t>
  </si>
  <si>
    <t>A000769</t>
  </si>
  <si>
    <t>A000770</t>
  </si>
  <si>
    <t>A000771</t>
  </si>
  <si>
    <t>A000772</t>
  </si>
  <si>
    <t>A000773</t>
  </si>
  <si>
    <t>A000774</t>
  </si>
  <si>
    <t>A000775</t>
  </si>
  <si>
    <t>A000776</t>
  </si>
  <si>
    <t>A000777</t>
  </si>
  <si>
    <t>A000778</t>
  </si>
  <si>
    <t>A000779</t>
  </si>
  <si>
    <t>A000780</t>
  </si>
  <si>
    <t>A000781</t>
  </si>
  <si>
    <t>A000782</t>
  </si>
  <si>
    <t>A000783</t>
  </si>
  <si>
    <t>A000784</t>
  </si>
  <si>
    <t>A000785</t>
  </si>
  <si>
    <t>A000786</t>
  </si>
  <si>
    <t>A000787</t>
  </si>
  <si>
    <t>A000788</t>
  </si>
  <si>
    <t>A000789</t>
  </si>
  <si>
    <t>A000790</t>
  </si>
  <si>
    <t>A000791</t>
  </si>
  <si>
    <t>A000792</t>
  </si>
  <si>
    <t>A000793</t>
  </si>
  <si>
    <t>A000794</t>
  </si>
  <si>
    <t>A000795</t>
  </si>
  <si>
    <t>A000796</t>
  </si>
  <si>
    <t>A000797</t>
  </si>
  <si>
    <t>A000798</t>
  </si>
  <si>
    <t>A000799</t>
  </si>
  <si>
    <t>A000800</t>
  </si>
  <si>
    <t>A000801</t>
  </si>
  <si>
    <t>A000802</t>
  </si>
  <si>
    <t>A000803</t>
  </si>
  <si>
    <t>A000804</t>
  </si>
  <si>
    <t>A000805</t>
  </si>
  <si>
    <t>A000806</t>
  </si>
  <si>
    <t>A000807</t>
  </si>
  <si>
    <t>A000808</t>
  </si>
  <si>
    <t>A000809</t>
  </si>
  <si>
    <t>A000810</t>
  </si>
  <si>
    <t>A000811</t>
  </si>
  <si>
    <t>A000812</t>
  </si>
  <si>
    <t>A000813</t>
  </si>
  <si>
    <t>A000814</t>
  </si>
  <si>
    <t>A000815</t>
  </si>
  <si>
    <t>A000816</t>
  </si>
  <si>
    <t>A000817</t>
  </si>
  <si>
    <t>A000818</t>
  </si>
  <si>
    <t>A000819</t>
  </si>
  <si>
    <t>A000820</t>
  </si>
  <si>
    <t>A000821</t>
  </si>
  <si>
    <t>A000822</t>
  </si>
  <si>
    <t>A000823</t>
  </si>
  <si>
    <t>A000824</t>
  </si>
  <si>
    <t>A000825</t>
  </si>
  <si>
    <t>A000826</t>
  </si>
  <si>
    <t>A000827</t>
  </si>
  <si>
    <t>A000828</t>
  </si>
  <si>
    <t>A000829</t>
  </si>
  <si>
    <t>A000830</t>
  </si>
  <si>
    <t>A000831</t>
  </si>
  <si>
    <t>A000832</t>
  </si>
  <si>
    <t>A000833</t>
  </si>
  <si>
    <t>A000834</t>
  </si>
  <si>
    <t>A000835</t>
  </si>
  <si>
    <t>A000836</t>
  </si>
  <si>
    <t>A000837</t>
  </si>
  <si>
    <t>A000838</t>
  </si>
  <si>
    <t>A000839</t>
  </si>
  <si>
    <t>A000840</t>
  </si>
  <si>
    <t>A000841</t>
  </si>
  <si>
    <t>A000842</t>
  </si>
  <si>
    <t>A000843</t>
  </si>
  <si>
    <t>A000844</t>
  </si>
  <si>
    <t>A000845</t>
  </si>
  <si>
    <t>A000846</t>
  </si>
  <si>
    <t>A000847</t>
  </si>
  <si>
    <t>A000848</t>
  </si>
  <si>
    <t>A000849</t>
  </si>
  <si>
    <t>A000850</t>
  </si>
  <si>
    <t>A000851</t>
  </si>
  <si>
    <t>A000852</t>
  </si>
  <si>
    <t>A000853</t>
  </si>
  <si>
    <t>A000854</t>
  </si>
  <si>
    <t>A000855</t>
  </si>
  <si>
    <t>A000856</t>
  </si>
  <si>
    <t>A000857</t>
  </si>
  <si>
    <t>A000858</t>
  </si>
  <si>
    <t>A000859</t>
  </si>
  <si>
    <t>A000860</t>
  </si>
  <si>
    <t>A000861</t>
  </si>
  <si>
    <t>A000862</t>
  </si>
  <si>
    <t>A000863</t>
  </si>
  <si>
    <t>A000864</t>
  </si>
  <si>
    <t>A000865</t>
  </si>
  <si>
    <t>A000866</t>
  </si>
  <si>
    <t>A000867</t>
  </si>
  <si>
    <t>A000868</t>
  </si>
  <si>
    <t>A000869</t>
  </si>
  <si>
    <t>A000870</t>
  </si>
  <si>
    <t>A000871</t>
  </si>
  <si>
    <t>A000872</t>
  </si>
  <si>
    <t>A000873</t>
  </si>
  <si>
    <t>A000874</t>
  </si>
  <si>
    <t>A000875</t>
  </si>
  <si>
    <t>A000876</t>
  </si>
  <si>
    <t>A000877</t>
  </si>
  <si>
    <t>A000878</t>
  </si>
  <si>
    <t>A000879</t>
  </si>
  <si>
    <t>A000880</t>
  </si>
  <si>
    <t>A000881</t>
  </si>
  <si>
    <t>A000882</t>
  </si>
  <si>
    <t>A000883</t>
  </si>
  <si>
    <t>A000884</t>
  </si>
  <si>
    <t>A000885</t>
  </si>
  <si>
    <t>A000886</t>
  </si>
  <si>
    <t>A000887</t>
  </si>
  <si>
    <t>A000888</t>
  </si>
  <si>
    <t>A000889</t>
  </si>
  <si>
    <t>A000890</t>
  </si>
  <si>
    <t>A000891</t>
  </si>
  <si>
    <t>A000892</t>
  </si>
  <si>
    <t>A000893</t>
  </si>
  <si>
    <t>A000894</t>
  </si>
  <si>
    <t>A000895</t>
  </si>
  <si>
    <t>A000896</t>
  </si>
  <si>
    <t>A000897</t>
  </si>
  <si>
    <t>A000898</t>
  </si>
  <si>
    <t>A000899</t>
  </si>
  <si>
    <t>A000900</t>
  </si>
  <si>
    <t>A000901</t>
  </si>
  <si>
    <t>A000902</t>
  </si>
  <si>
    <t>A000903</t>
  </si>
  <si>
    <t>A000904</t>
  </si>
  <si>
    <t>A000905</t>
  </si>
  <si>
    <t>A000906</t>
  </si>
  <si>
    <t>A000907</t>
  </si>
  <si>
    <t>A000908</t>
  </si>
  <si>
    <t>A000909</t>
  </si>
  <si>
    <t>A000910</t>
  </si>
  <si>
    <t>A000911</t>
  </si>
  <si>
    <t>A000912</t>
  </si>
  <si>
    <t>A000913</t>
  </si>
  <si>
    <t>A000914</t>
  </si>
  <si>
    <t>A000915</t>
  </si>
  <si>
    <t>A000916</t>
  </si>
  <si>
    <t>A000917</t>
  </si>
  <si>
    <t>A000918</t>
  </si>
  <si>
    <t>A000919</t>
  </si>
  <si>
    <t>A000920</t>
  </si>
  <si>
    <t>A000921</t>
  </si>
  <si>
    <t>A000922</t>
  </si>
  <si>
    <t>A000923</t>
  </si>
  <si>
    <t>A000924</t>
  </si>
  <si>
    <t>A000925</t>
  </si>
  <si>
    <t>A000926</t>
  </si>
  <si>
    <t>A000927</t>
  </si>
  <si>
    <t>A000928</t>
  </si>
  <si>
    <t>A000929</t>
  </si>
  <si>
    <t>A000930</t>
  </si>
  <si>
    <t>A000931</t>
  </si>
  <si>
    <t>A000932</t>
  </si>
  <si>
    <t>A000933</t>
  </si>
  <si>
    <t>A000934</t>
  </si>
  <si>
    <t>A000935</t>
  </si>
  <si>
    <t>A000936</t>
  </si>
  <si>
    <t>A000937</t>
  </si>
  <si>
    <t>A000938</t>
  </si>
  <si>
    <t>A000939</t>
  </si>
  <si>
    <t>A000940</t>
  </si>
  <si>
    <t>A000941</t>
  </si>
  <si>
    <t>A000942</t>
  </si>
  <si>
    <t>A000943</t>
  </si>
  <si>
    <t>A000944</t>
  </si>
  <si>
    <t>A000945</t>
  </si>
  <si>
    <t>A000946</t>
  </si>
  <si>
    <t>A000947</t>
  </si>
  <si>
    <t>A000948</t>
  </si>
  <si>
    <t>A000949</t>
  </si>
  <si>
    <t>A000950</t>
  </si>
  <si>
    <t>A000951</t>
  </si>
  <si>
    <t>A000952</t>
  </si>
  <si>
    <t>A000953</t>
  </si>
  <si>
    <t>A000954</t>
  </si>
  <si>
    <t>A000955</t>
  </si>
  <si>
    <t>A000956</t>
  </si>
  <si>
    <t>A000957</t>
  </si>
  <si>
    <t>A000958</t>
  </si>
  <si>
    <t>A000959</t>
  </si>
  <si>
    <t>A000960</t>
  </si>
  <si>
    <t>A000961</t>
  </si>
  <si>
    <t>A000962</t>
  </si>
  <si>
    <t>A000963</t>
  </si>
  <si>
    <t>A000964</t>
  </si>
  <si>
    <t>A000965</t>
  </si>
  <si>
    <t>A000966</t>
  </si>
  <si>
    <t>A000967</t>
  </si>
  <si>
    <t>A000968</t>
  </si>
  <si>
    <t>A000969</t>
  </si>
  <si>
    <t>A000970</t>
  </si>
  <si>
    <t>A000971</t>
  </si>
  <si>
    <t>A000972</t>
  </si>
  <si>
    <t>A000973</t>
  </si>
  <si>
    <t>A000974</t>
  </si>
  <si>
    <t>A000975</t>
  </si>
  <si>
    <t>A000976</t>
  </si>
  <si>
    <t>A000977</t>
  </si>
  <si>
    <t>A000978</t>
  </si>
  <si>
    <t>A000979</t>
  </si>
  <si>
    <t>A000980</t>
  </si>
  <si>
    <t>A000981</t>
  </si>
  <si>
    <t>A000982</t>
  </si>
  <si>
    <t>A000983</t>
  </si>
  <si>
    <t>A000984</t>
  </si>
  <si>
    <t>A000985</t>
  </si>
  <si>
    <t>A000986</t>
  </si>
  <si>
    <t>A000987</t>
  </si>
  <si>
    <t>A000988</t>
  </si>
  <si>
    <t>A000989</t>
  </si>
  <si>
    <t>A000990</t>
  </si>
  <si>
    <t>A000991</t>
  </si>
  <si>
    <t>A000992</t>
  </si>
  <si>
    <t>A000993</t>
  </si>
  <si>
    <t>A000994</t>
  </si>
  <si>
    <t>A000995</t>
  </si>
  <si>
    <t>A000996</t>
  </si>
  <si>
    <t>A000997</t>
  </si>
  <si>
    <t>A000998</t>
  </si>
  <si>
    <t>A000999</t>
  </si>
  <si>
    <t>A001000</t>
  </si>
  <si>
    <t>A001001</t>
  </si>
  <si>
    <t>A001002</t>
  </si>
  <si>
    <t>A001003</t>
  </si>
  <si>
    <t>A001004</t>
  </si>
  <si>
    <t>A001005</t>
  </si>
  <si>
    <t>A001006</t>
  </si>
  <si>
    <t>A001007</t>
  </si>
  <si>
    <t>A001008</t>
  </si>
  <si>
    <t>A001009</t>
  </si>
  <si>
    <t>A001010</t>
  </si>
  <si>
    <t>A001011</t>
  </si>
  <si>
    <t>A001012</t>
  </si>
  <si>
    <t>A001013</t>
  </si>
  <si>
    <t>A001014</t>
  </si>
  <si>
    <t>A001015</t>
  </si>
  <si>
    <t>A001016</t>
  </si>
  <si>
    <t>A001017</t>
  </si>
  <si>
    <t>A001018</t>
  </si>
  <si>
    <t>A001019</t>
  </si>
  <si>
    <t>A001020</t>
  </si>
  <si>
    <t>A001021</t>
  </si>
  <si>
    <t>A001022</t>
  </si>
  <si>
    <t>A001023</t>
  </si>
  <si>
    <t>A001024</t>
  </si>
  <si>
    <t>A001025</t>
  </si>
  <si>
    <t>A001026</t>
  </si>
  <si>
    <t>A001027</t>
  </si>
  <si>
    <t>A001028</t>
  </si>
  <si>
    <t>A001029</t>
  </si>
  <si>
    <t>A001030</t>
  </si>
  <si>
    <t>A001031</t>
  </si>
  <si>
    <t>A001032</t>
  </si>
  <si>
    <t>A001033</t>
  </si>
  <si>
    <t>A001034</t>
  </si>
  <si>
    <t>A001035</t>
  </si>
  <si>
    <t>A001036</t>
  </si>
  <si>
    <t>A001037</t>
  </si>
  <si>
    <t>A001038</t>
  </si>
  <si>
    <t>A001039</t>
  </si>
  <si>
    <t>A001040</t>
  </si>
  <si>
    <t>A001041</t>
  </si>
  <si>
    <t>A001042</t>
  </si>
  <si>
    <t>A001043</t>
  </si>
  <si>
    <t>A001044</t>
  </si>
  <si>
    <t>A001045</t>
  </si>
  <si>
    <t>A001046</t>
  </si>
  <si>
    <t>A001047</t>
  </si>
  <si>
    <t>A001048</t>
  </si>
  <si>
    <t>A001049</t>
  </si>
  <si>
    <t>A001050</t>
  </si>
  <si>
    <t>A001051</t>
  </si>
  <si>
    <t>A001052</t>
  </si>
  <si>
    <t>A001053</t>
  </si>
  <si>
    <t>A001054</t>
  </si>
  <si>
    <t>A001055</t>
  </si>
  <si>
    <t>A001056</t>
  </si>
  <si>
    <t>A001057</t>
  </si>
  <si>
    <t>A001058</t>
  </si>
  <si>
    <t>A001059</t>
  </si>
  <si>
    <t>A001060</t>
  </si>
  <si>
    <t>A001061</t>
  </si>
  <si>
    <t>A001062</t>
  </si>
  <si>
    <t>A001063</t>
  </si>
  <si>
    <t>A001064</t>
  </si>
  <si>
    <t>A001065</t>
  </si>
  <si>
    <t>A001066</t>
  </si>
  <si>
    <t>A001067</t>
  </si>
  <si>
    <t>A001068</t>
  </si>
  <si>
    <t>A001069</t>
  </si>
  <si>
    <t>A001070</t>
  </si>
  <si>
    <t>A001071</t>
  </si>
  <si>
    <t>A001072</t>
  </si>
  <si>
    <t>A001073</t>
  </si>
  <si>
    <t>A001074</t>
  </si>
  <si>
    <t>A001075</t>
  </si>
  <si>
    <t>A001076</t>
  </si>
  <si>
    <t>A001077</t>
  </si>
  <si>
    <t>A001078</t>
  </si>
  <si>
    <t>A001079</t>
  </si>
  <si>
    <t>A001080</t>
  </si>
  <si>
    <t>A001081</t>
  </si>
  <si>
    <t>A001082</t>
  </si>
  <si>
    <t>A001083</t>
  </si>
  <si>
    <t>A001084</t>
  </si>
  <si>
    <t>A001085</t>
  </si>
  <si>
    <t>A001086</t>
  </si>
  <si>
    <t>A001087</t>
  </si>
  <si>
    <t>A001088</t>
  </si>
  <si>
    <t>A001089</t>
  </si>
  <si>
    <t>A001090</t>
  </si>
  <si>
    <t>A001091</t>
  </si>
  <si>
    <t>A001092</t>
  </si>
  <si>
    <t>A001093</t>
  </si>
  <si>
    <t>A001094</t>
  </si>
  <si>
    <t>A001095</t>
  </si>
  <si>
    <t>A001096</t>
  </si>
  <si>
    <t>A001097</t>
  </si>
  <si>
    <t>A001098</t>
  </si>
  <si>
    <t>A001099</t>
  </si>
  <si>
    <t>A001100</t>
  </si>
  <si>
    <t>A001101</t>
  </si>
  <si>
    <t>A001102</t>
  </si>
  <si>
    <t>A001103</t>
  </si>
  <si>
    <t>A001104</t>
  </si>
  <si>
    <t>A001105</t>
  </si>
  <si>
    <t>A001106</t>
  </si>
  <si>
    <t>A001107</t>
  </si>
  <si>
    <t>A001108</t>
  </si>
  <si>
    <t>A001109</t>
  </si>
  <si>
    <t>A001110</t>
  </si>
  <si>
    <t>A001111</t>
  </si>
  <si>
    <t>A001112</t>
  </si>
  <si>
    <t>A001113</t>
  </si>
  <si>
    <t>A001114</t>
  </si>
  <si>
    <t>A001115</t>
  </si>
  <si>
    <t>A001116</t>
  </si>
  <si>
    <t>A001117</t>
  </si>
  <si>
    <t>A001118</t>
  </si>
  <si>
    <t>A001119</t>
  </si>
  <si>
    <t>A001120</t>
  </si>
  <si>
    <t>A001121</t>
  </si>
  <si>
    <t>A001122</t>
  </si>
  <si>
    <t>A001123</t>
  </si>
  <si>
    <t>A001124</t>
  </si>
  <si>
    <t>A001125</t>
  </si>
  <si>
    <t>A001126</t>
  </si>
  <si>
    <t>A001127</t>
  </si>
  <si>
    <t>A001128</t>
  </si>
  <si>
    <t>A001129</t>
  </si>
  <si>
    <t>A001130</t>
  </si>
  <si>
    <t>A001131</t>
  </si>
  <si>
    <t>A001132</t>
  </si>
  <si>
    <t>A001133</t>
  </si>
  <si>
    <t>A001134</t>
  </si>
  <si>
    <t>A001135</t>
  </si>
  <si>
    <t>A001136</t>
  </si>
  <si>
    <t>A001137</t>
  </si>
  <si>
    <t>A001138</t>
  </si>
  <si>
    <t>A001139</t>
  </si>
  <si>
    <t>A001140</t>
  </si>
  <si>
    <t>A001141</t>
  </si>
  <si>
    <t>A001142</t>
  </si>
  <si>
    <t>A001143</t>
  </si>
  <si>
    <t>A001144</t>
  </si>
  <si>
    <t>A001145</t>
  </si>
  <si>
    <t>A001146</t>
  </si>
  <si>
    <t>A001147</t>
  </si>
  <si>
    <t>A001148</t>
  </si>
  <si>
    <t>A001149</t>
  </si>
  <si>
    <t>A001150</t>
  </si>
  <si>
    <t>A001151</t>
  </si>
  <si>
    <t>A001152</t>
  </si>
  <si>
    <t>A001153</t>
  </si>
  <si>
    <t>A001154</t>
  </si>
  <si>
    <t>A001155</t>
  </si>
  <si>
    <t>A001156</t>
  </si>
  <si>
    <t>A001157</t>
  </si>
  <si>
    <t>A001158</t>
  </si>
  <si>
    <t>A001159</t>
  </si>
  <si>
    <t>A001160</t>
  </si>
  <si>
    <t>A001161</t>
  </si>
  <si>
    <t>A001162</t>
  </si>
  <si>
    <t>A001163</t>
  </si>
  <si>
    <t>A001164</t>
  </si>
  <si>
    <t>A001165</t>
  </si>
  <si>
    <t>A001166</t>
  </si>
  <si>
    <t>A001167</t>
  </si>
  <si>
    <t>A001168</t>
  </si>
  <si>
    <t>A001169</t>
  </si>
  <si>
    <t>A001170</t>
  </si>
  <si>
    <t>A001171</t>
  </si>
  <si>
    <t>A001172</t>
  </si>
  <si>
    <t>A001173</t>
  </si>
  <si>
    <t>A001174</t>
  </si>
  <si>
    <t>A001175</t>
  </si>
  <si>
    <t>A001176</t>
  </si>
  <si>
    <t>A001177</t>
  </si>
  <si>
    <t>A001178</t>
  </si>
  <si>
    <t>A001179</t>
  </si>
  <si>
    <t>A001180</t>
  </si>
  <si>
    <t>A001181</t>
  </si>
  <si>
    <t>A001182</t>
  </si>
  <si>
    <t>A001183</t>
  </si>
  <si>
    <t>A001184</t>
  </si>
  <si>
    <t>A001185</t>
  </si>
  <si>
    <t>A001186</t>
  </si>
  <si>
    <t>A001187</t>
  </si>
  <si>
    <t>A001188</t>
  </si>
  <si>
    <t>A001189</t>
  </si>
  <si>
    <t>A001190</t>
  </si>
  <si>
    <t>A001191</t>
  </si>
  <si>
    <t>A001192</t>
  </si>
  <si>
    <t>A001193</t>
  </si>
  <si>
    <t>A001194</t>
  </si>
  <si>
    <t>A001195</t>
  </si>
  <si>
    <t>A001196</t>
  </si>
  <si>
    <t>A001197</t>
  </si>
  <si>
    <t>A001198</t>
  </si>
  <si>
    <t>A001199</t>
  </si>
  <si>
    <t>A001200</t>
  </si>
  <si>
    <t>A001201</t>
  </si>
  <si>
    <t>A001202</t>
  </si>
  <si>
    <t>A001203</t>
  </si>
  <si>
    <t>A001204</t>
  </si>
  <si>
    <t>A001205</t>
  </si>
  <si>
    <t>A001206</t>
  </si>
  <si>
    <t>A001207</t>
  </si>
  <si>
    <t>A001208</t>
  </si>
  <si>
    <t>A001209</t>
  </si>
  <si>
    <t>A001210</t>
  </si>
  <si>
    <t>A001211</t>
  </si>
  <si>
    <t>A001212</t>
  </si>
  <si>
    <t>A001213</t>
  </si>
  <si>
    <t>A001214</t>
  </si>
  <si>
    <t>A001215</t>
  </si>
  <si>
    <t>A001216</t>
  </si>
  <si>
    <t>A001217</t>
  </si>
  <si>
    <t>A001218</t>
  </si>
  <si>
    <t>A001219</t>
  </si>
  <si>
    <t>A001220</t>
  </si>
  <si>
    <t>A001221</t>
  </si>
  <si>
    <t>A001222</t>
  </si>
  <si>
    <t>A001223</t>
  </si>
  <si>
    <t>A001224</t>
  </si>
  <si>
    <t>A001225</t>
  </si>
  <si>
    <t>A001226</t>
  </si>
  <si>
    <t>A001227</t>
  </si>
  <si>
    <t>A001228</t>
  </si>
  <si>
    <t>A001229</t>
  </si>
  <si>
    <t>A001230</t>
  </si>
  <si>
    <t>A001231</t>
  </si>
  <si>
    <t>A001232</t>
  </si>
  <si>
    <t>A001233</t>
  </si>
  <si>
    <t>A001234</t>
  </si>
  <si>
    <t>A001235</t>
  </si>
  <si>
    <t>A001236</t>
  </si>
  <si>
    <t>A001237</t>
  </si>
  <si>
    <t>A001238</t>
  </si>
  <si>
    <t>A001239</t>
  </si>
  <si>
    <t>A001240</t>
  </si>
  <si>
    <t>A001241</t>
  </si>
  <si>
    <t>A001242</t>
  </si>
  <si>
    <t>A001243</t>
  </si>
  <si>
    <t>A001244</t>
  </si>
  <si>
    <t>A001245</t>
  </si>
  <si>
    <t>A001246</t>
  </si>
  <si>
    <t>A001247</t>
  </si>
  <si>
    <t>A001248</t>
  </si>
  <si>
    <t>A001249</t>
  </si>
  <si>
    <t>A001250</t>
  </si>
  <si>
    <t>A001251</t>
  </si>
  <si>
    <t>A001252</t>
  </si>
  <si>
    <t>A001253</t>
  </si>
  <si>
    <t>A001254</t>
  </si>
  <si>
    <t>A001255</t>
  </si>
  <si>
    <t>A001256</t>
  </si>
  <si>
    <t>A001257</t>
  </si>
  <si>
    <t>A001258</t>
  </si>
  <si>
    <t>A001259</t>
  </si>
  <si>
    <t>A001260</t>
  </si>
  <si>
    <t>A001261</t>
  </si>
  <si>
    <t>A001262</t>
  </si>
  <si>
    <t>A001263</t>
  </si>
  <si>
    <t>A001264</t>
  </si>
  <si>
    <t>A001265</t>
  </si>
  <si>
    <t>A001266</t>
  </si>
  <si>
    <t>A001267</t>
  </si>
  <si>
    <t>A001268</t>
  </si>
  <si>
    <t>A001269</t>
  </si>
  <si>
    <t>A001270</t>
  </si>
  <si>
    <t>A001271</t>
  </si>
  <si>
    <t>A001272</t>
  </si>
  <si>
    <t>A001273</t>
  </si>
  <si>
    <t>A001274</t>
  </si>
  <si>
    <t>A001275</t>
  </si>
  <si>
    <t>A001276</t>
  </si>
  <si>
    <t>A001277</t>
  </si>
  <si>
    <t>A001278</t>
  </si>
  <si>
    <t>A001279</t>
  </si>
  <si>
    <t>A001280</t>
  </si>
  <si>
    <t>A001281</t>
  </si>
  <si>
    <t>A001282</t>
  </si>
  <si>
    <t>A001283</t>
  </si>
  <si>
    <t>A001284</t>
  </si>
  <si>
    <t>A001285</t>
  </si>
  <si>
    <t>A001286</t>
  </si>
  <si>
    <t>A001287</t>
  </si>
  <si>
    <t>A001288</t>
  </si>
  <si>
    <t>A001289</t>
  </si>
  <si>
    <t>A001290</t>
  </si>
  <si>
    <t>A001291</t>
  </si>
  <si>
    <t>A001292</t>
  </si>
  <si>
    <t>A001293</t>
  </si>
  <si>
    <t>A001294</t>
  </si>
  <si>
    <t>A001295</t>
  </si>
  <si>
    <t>A001296</t>
  </si>
  <si>
    <t>A001297</t>
  </si>
  <si>
    <t>A001298</t>
  </si>
  <si>
    <t>A001299</t>
  </si>
  <si>
    <t>A001300</t>
  </si>
  <si>
    <t>A001301</t>
  </si>
  <si>
    <t>A001302</t>
  </si>
  <si>
    <t>A001303</t>
  </si>
  <si>
    <t>A001304</t>
  </si>
  <si>
    <t>A001305</t>
  </si>
  <si>
    <t>A001306</t>
  </si>
  <si>
    <t>A001307</t>
  </si>
  <si>
    <t>A001308</t>
  </si>
  <si>
    <t>A001309</t>
  </si>
  <si>
    <t>A001310</t>
  </si>
  <si>
    <t>A001311</t>
  </si>
  <si>
    <t>A001312</t>
  </si>
  <si>
    <t>A001313</t>
  </si>
  <si>
    <t>A001314</t>
  </si>
  <si>
    <t>A001315</t>
  </si>
  <si>
    <t>A001316</t>
  </si>
  <si>
    <t>A001317</t>
  </si>
  <si>
    <t>A001318</t>
  </si>
  <si>
    <t>A001319</t>
  </si>
  <si>
    <t>A001320</t>
  </si>
  <si>
    <t>A001321</t>
  </si>
  <si>
    <t>A001322</t>
  </si>
  <si>
    <t>A001323</t>
  </si>
  <si>
    <t>A001324</t>
  </si>
  <si>
    <t>A001325</t>
  </si>
  <si>
    <t>A001326</t>
  </si>
  <si>
    <t>A001327</t>
  </si>
  <si>
    <t>A001328</t>
  </si>
  <si>
    <t>A001329</t>
  </si>
  <si>
    <t>A001330</t>
  </si>
  <si>
    <t>A001331</t>
  </si>
  <si>
    <t>A001332</t>
  </si>
  <si>
    <t>A001333</t>
  </si>
  <si>
    <t>A001334</t>
  </si>
  <si>
    <t>A001335</t>
  </si>
  <si>
    <t>A001336</t>
  </si>
  <si>
    <t>A001337</t>
  </si>
  <si>
    <t>A001338</t>
  </si>
  <si>
    <t>A001339</t>
  </si>
  <si>
    <t>A001340</t>
  </si>
  <si>
    <t>A001341</t>
  </si>
  <si>
    <t>A001342</t>
  </si>
  <si>
    <t>A001343</t>
  </si>
  <si>
    <t>A001344</t>
  </si>
  <si>
    <t>A001345</t>
  </si>
  <si>
    <t>A001346</t>
  </si>
  <si>
    <t>A001347</t>
  </si>
  <si>
    <t>A001348</t>
  </si>
  <si>
    <t>A001349</t>
  </si>
  <si>
    <t>A001350</t>
  </si>
  <si>
    <t>A001351</t>
  </si>
  <si>
    <t>A001352</t>
  </si>
  <si>
    <t>A001353</t>
  </si>
  <si>
    <t>A001354</t>
  </si>
  <si>
    <t>A001355</t>
  </si>
  <si>
    <t>A001356</t>
  </si>
  <si>
    <t>A001357</t>
  </si>
  <si>
    <t>A001358</t>
  </si>
  <si>
    <t>A001359</t>
  </si>
  <si>
    <t>A001360</t>
  </si>
  <si>
    <t>A001361</t>
  </si>
  <si>
    <t>A001362</t>
  </si>
  <si>
    <t>A001363</t>
  </si>
  <si>
    <t>A001364</t>
  </si>
  <si>
    <t>A001365</t>
  </si>
  <si>
    <t>A001366</t>
  </si>
  <si>
    <t>A001367</t>
  </si>
  <si>
    <t>A001368</t>
  </si>
  <si>
    <t>A001369</t>
  </si>
  <si>
    <t>A001370</t>
  </si>
  <si>
    <t>A001371</t>
  </si>
  <si>
    <t>A001372</t>
  </si>
  <si>
    <t>A001373</t>
  </si>
  <si>
    <t>A001374</t>
  </si>
  <si>
    <t>A001375</t>
  </si>
  <si>
    <t>A001376</t>
  </si>
  <si>
    <t>A001377</t>
  </si>
  <si>
    <t>A001378</t>
  </si>
  <si>
    <t>A001379</t>
  </si>
  <si>
    <t>A001380</t>
  </si>
  <si>
    <t>A001381</t>
  </si>
  <si>
    <t>A001382</t>
  </si>
  <si>
    <t>A001383</t>
  </si>
  <si>
    <t>A001384</t>
  </si>
  <si>
    <t>A001385</t>
  </si>
  <si>
    <t>A001386</t>
  </si>
  <si>
    <t>A001387</t>
  </si>
  <si>
    <t>A001388</t>
  </si>
  <si>
    <t>A001389</t>
  </si>
  <si>
    <t>A001390</t>
  </si>
  <si>
    <t>A001391</t>
  </si>
  <si>
    <t>A001392</t>
  </si>
  <si>
    <t>A001393</t>
  </si>
  <si>
    <t>A001394</t>
  </si>
  <si>
    <t>A001395</t>
  </si>
  <si>
    <t>A001396</t>
  </si>
  <si>
    <t>A001397</t>
  </si>
  <si>
    <t>A001398</t>
  </si>
  <si>
    <t>A001399</t>
  </si>
  <si>
    <t>A001400</t>
  </si>
  <si>
    <t>A001401</t>
  </si>
  <si>
    <t>A001402</t>
  </si>
  <si>
    <t>A001403</t>
  </si>
  <si>
    <t>A001404</t>
  </si>
  <si>
    <t>A001405</t>
  </si>
  <si>
    <t>A001406</t>
  </si>
  <si>
    <t>A001407</t>
  </si>
  <si>
    <t>A001408</t>
  </si>
  <si>
    <t>A001409</t>
  </si>
  <si>
    <t>A001410</t>
  </si>
  <si>
    <t>A001411</t>
  </si>
  <si>
    <t>A001412</t>
  </si>
  <si>
    <t>A001413</t>
  </si>
  <si>
    <t>A001414</t>
  </si>
  <si>
    <t>A001415</t>
  </si>
  <si>
    <t>A001416</t>
  </si>
  <si>
    <t>A001417</t>
  </si>
  <si>
    <t>A001418</t>
  </si>
  <si>
    <t>A001419</t>
  </si>
  <si>
    <t>A001420</t>
  </si>
  <si>
    <t>A001421</t>
  </si>
  <si>
    <t>A001422</t>
  </si>
  <si>
    <t>A001423</t>
  </si>
  <si>
    <t>A001424</t>
  </si>
  <si>
    <t>A001425</t>
  </si>
  <si>
    <t>A001426</t>
  </si>
  <si>
    <t>A001427</t>
  </si>
  <si>
    <t>A001428</t>
  </si>
  <si>
    <t>A001429</t>
  </si>
  <si>
    <t>A001430</t>
  </si>
  <si>
    <t>A001431</t>
  </si>
  <si>
    <t>A001432</t>
  </si>
  <si>
    <t>A001433</t>
  </si>
  <si>
    <t>A001434</t>
  </si>
  <si>
    <t>A001435</t>
  </si>
  <si>
    <t>A001436</t>
  </si>
  <si>
    <t>A001437</t>
  </si>
  <si>
    <t>A001438</t>
  </si>
  <si>
    <t>A001439</t>
  </si>
  <si>
    <t>A001440</t>
  </si>
  <si>
    <t>A001441</t>
  </si>
  <si>
    <t>A001442</t>
  </si>
  <si>
    <t>A001443</t>
  </si>
  <si>
    <t>A001444</t>
  </si>
  <si>
    <t>A001445</t>
  </si>
  <si>
    <t>A001446</t>
  </si>
  <si>
    <t>A001447</t>
  </si>
  <si>
    <t>A001448</t>
  </si>
  <si>
    <t>A001449</t>
  </si>
  <si>
    <t>A001450</t>
  </si>
  <si>
    <t>A001451</t>
  </si>
  <si>
    <t>A001452</t>
  </si>
  <si>
    <t>A001453</t>
  </si>
  <si>
    <t>A001454</t>
  </si>
  <si>
    <t>A001455</t>
  </si>
  <si>
    <t>A001456</t>
  </si>
  <si>
    <t>A001457</t>
  </si>
  <si>
    <t>A001458</t>
  </si>
  <si>
    <t>A001459</t>
  </si>
  <si>
    <t>A001460</t>
  </si>
  <si>
    <t>A001461</t>
  </si>
  <si>
    <t>A001462</t>
  </si>
  <si>
    <t>A001463</t>
  </si>
  <si>
    <t>A001464</t>
  </si>
  <si>
    <t>A001465</t>
  </si>
  <si>
    <t>A001466</t>
  </si>
  <si>
    <t>A001467</t>
  </si>
  <si>
    <t>A001468</t>
  </si>
  <si>
    <t>A001469</t>
  </si>
  <si>
    <t>A001470</t>
  </si>
  <si>
    <t>A001471</t>
  </si>
  <si>
    <t>A001472</t>
  </si>
  <si>
    <t>A001473</t>
  </si>
  <si>
    <t>A001474</t>
  </si>
  <si>
    <t>A001475</t>
  </si>
  <si>
    <t>A001476</t>
  </si>
  <si>
    <t>A001477</t>
  </si>
  <si>
    <t>A001478</t>
  </si>
  <si>
    <t>A001479</t>
  </si>
  <si>
    <t>A001480</t>
  </si>
  <si>
    <t>A001481</t>
  </si>
  <si>
    <t>A001482</t>
  </si>
  <si>
    <t>A001483</t>
  </si>
  <si>
    <t>A001484</t>
  </si>
  <si>
    <t>A001485</t>
  </si>
  <si>
    <t>A001486</t>
  </si>
  <si>
    <t>A001487</t>
  </si>
  <si>
    <t>A001488</t>
  </si>
  <si>
    <t>A001489</t>
  </si>
  <si>
    <t>A001490</t>
  </si>
  <si>
    <t>A001491</t>
  </si>
  <si>
    <t>A001492</t>
  </si>
  <si>
    <t>A001493</t>
  </si>
  <si>
    <t>A001494</t>
  </si>
  <si>
    <t>A001495</t>
  </si>
  <si>
    <t>A001496</t>
  </si>
  <si>
    <t>A001497</t>
  </si>
  <si>
    <t>A001498</t>
  </si>
  <si>
    <t>A001499</t>
  </si>
  <si>
    <t>A001500</t>
  </si>
  <si>
    <t>A001501</t>
  </si>
  <si>
    <t>A001502</t>
  </si>
  <si>
    <t>A001503</t>
  </si>
  <si>
    <t>A001504</t>
  </si>
  <si>
    <t>A001505</t>
  </si>
  <si>
    <t>A001506</t>
  </si>
  <si>
    <t>A001507</t>
  </si>
  <si>
    <t>A001508</t>
  </si>
  <si>
    <t>A001509</t>
  </si>
  <si>
    <t>A001510</t>
  </si>
  <si>
    <t>A001511</t>
  </si>
  <si>
    <t>A001512</t>
  </si>
  <si>
    <t>A001513</t>
  </si>
  <si>
    <t>A001514</t>
  </si>
  <si>
    <t>A001515</t>
  </si>
  <si>
    <t>A001516</t>
  </si>
  <si>
    <t>A001517</t>
  </si>
  <si>
    <t>A001518</t>
  </si>
  <si>
    <t>A001519</t>
  </si>
  <si>
    <t>A001520</t>
  </si>
  <si>
    <t>A001521</t>
  </si>
  <si>
    <t>A001522</t>
  </si>
  <si>
    <t>A001523</t>
  </si>
  <si>
    <t>A001524</t>
  </si>
  <si>
    <t>A001525</t>
  </si>
  <si>
    <t>A001526</t>
  </si>
  <si>
    <t>A001527</t>
  </si>
  <si>
    <t>A001528</t>
  </si>
  <si>
    <t>A001529</t>
  </si>
  <si>
    <t>A001530</t>
  </si>
  <si>
    <t>A001531</t>
  </si>
  <si>
    <t>A001532</t>
  </si>
  <si>
    <t>A001533</t>
  </si>
  <si>
    <t>A001534</t>
  </si>
  <si>
    <t>A001535</t>
  </si>
  <si>
    <t>A001536</t>
  </si>
  <si>
    <t>A001537</t>
  </si>
  <si>
    <t>A001538</t>
  </si>
  <si>
    <t>A001539</t>
  </si>
  <si>
    <t>A001540</t>
  </si>
  <si>
    <t>A001541</t>
  </si>
  <si>
    <t>A001542</t>
  </si>
  <si>
    <t>A001543</t>
  </si>
  <si>
    <t>A001544</t>
  </si>
  <si>
    <t>A001545</t>
  </si>
  <si>
    <t>A001546</t>
  </si>
  <si>
    <t>A001547</t>
  </si>
  <si>
    <t>A001548</t>
  </si>
  <si>
    <t>A001549</t>
  </si>
  <si>
    <t>A001550</t>
  </si>
  <si>
    <t>A001551</t>
  </si>
  <si>
    <t>A001552</t>
  </si>
  <si>
    <t>A001553</t>
  </si>
  <si>
    <t>A001554</t>
  </si>
  <si>
    <t>A001555</t>
  </si>
  <si>
    <t>A001556</t>
  </si>
  <si>
    <t>A001557</t>
  </si>
  <si>
    <t>A001558</t>
  </si>
  <si>
    <t>A001559</t>
  </si>
  <si>
    <t>A001560</t>
  </si>
  <si>
    <t>A001561</t>
  </si>
  <si>
    <t>A001562</t>
  </si>
  <si>
    <t>A001563</t>
  </si>
  <si>
    <t>A001564</t>
  </si>
  <si>
    <t>A001565</t>
  </si>
  <si>
    <t>A001566</t>
  </si>
  <si>
    <t>A001567</t>
  </si>
  <si>
    <t>A001568</t>
  </si>
  <si>
    <t>A001569</t>
  </si>
  <si>
    <t>A001570</t>
  </si>
  <si>
    <t>A001571</t>
  </si>
  <si>
    <t>A001572</t>
  </si>
  <si>
    <t>A001573</t>
  </si>
  <si>
    <t>A001574</t>
  </si>
  <si>
    <t>A001575</t>
  </si>
  <si>
    <t>A001576</t>
  </si>
  <si>
    <t>A001577</t>
  </si>
  <si>
    <t>A001578</t>
  </si>
  <si>
    <t>A001579</t>
  </si>
  <si>
    <t>A001580</t>
  </si>
  <si>
    <t>A001581</t>
  </si>
  <si>
    <t>A001582</t>
  </si>
  <si>
    <t>A001583</t>
  </si>
  <si>
    <t>A001584</t>
  </si>
  <si>
    <t>A001585</t>
  </si>
  <si>
    <t>A001586</t>
  </si>
  <si>
    <t>A001587</t>
  </si>
  <si>
    <t>A001588</t>
  </si>
  <si>
    <t>A001589</t>
  </si>
  <si>
    <t>A001590</t>
  </si>
  <si>
    <t>A001591</t>
  </si>
  <si>
    <t>A001592</t>
  </si>
  <si>
    <t>A001593</t>
  </si>
  <si>
    <t>A001594</t>
  </si>
  <si>
    <t>A001595</t>
  </si>
  <si>
    <t>A001596</t>
  </si>
  <si>
    <t>A001597</t>
  </si>
  <si>
    <t>A001598</t>
  </si>
  <si>
    <t>A001599</t>
  </si>
  <si>
    <t>A001600</t>
  </si>
  <si>
    <t>A001601</t>
  </si>
  <si>
    <t>A001602</t>
  </si>
  <si>
    <t>A001603</t>
  </si>
  <si>
    <t>A001604</t>
  </si>
  <si>
    <t>A001605</t>
  </si>
  <si>
    <t>A001606</t>
  </si>
  <si>
    <t>A001607</t>
  </si>
  <si>
    <t>A001608</t>
  </si>
  <si>
    <t>A001609</t>
  </si>
  <si>
    <t>A001610</t>
  </si>
  <si>
    <t>A001611</t>
  </si>
  <si>
    <t>A001612</t>
  </si>
  <si>
    <t>A001613</t>
  </si>
  <si>
    <t>A001614</t>
  </si>
  <si>
    <t>A001615</t>
  </si>
  <si>
    <t>A001616</t>
  </si>
  <si>
    <t>A001617</t>
  </si>
  <si>
    <t>A001618</t>
  </si>
  <si>
    <t>A001619</t>
  </si>
  <si>
    <t>A001620</t>
  </si>
  <si>
    <t>A001621</t>
  </si>
  <si>
    <t>A001622</t>
  </si>
  <si>
    <t>A001623</t>
  </si>
  <si>
    <t>A001624</t>
  </si>
  <si>
    <t>A001625</t>
  </si>
  <si>
    <t>A001626</t>
  </si>
  <si>
    <t>A001627</t>
  </si>
  <si>
    <t>A001628</t>
  </si>
  <si>
    <t>A001629</t>
  </si>
  <si>
    <t>A001630</t>
  </si>
  <si>
    <t>A001631</t>
  </si>
  <si>
    <t>A001632</t>
  </si>
  <si>
    <t>A001633</t>
  </si>
  <si>
    <t>A001634</t>
  </si>
  <si>
    <t>A001635</t>
  </si>
  <si>
    <t>A001636</t>
  </si>
  <si>
    <t>A001637</t>
  </si>
  <si>
    <t>A001638</t>
  </si>
  <si>
    <t>A001639</t>
  </si>
  <si>
    <t>A001640</t>
  </si>
  <si>
    <t>A001641</t>
  </si>
  <si>
    <t>A001642</t>
  </si>
  <si>
    <t>A001643</t>
  </si>
  <si>
    <t>A001644</t>
  </si>
  <si>
    <t>A001645</t>
  </si>
  <si>
    <t>A001646</t>
  </si>
  <si>
    <t>A001647</t>
  </si>
  <si>
    <t>A001648</t>
  </si>
  <si>
    <t>A001649</t>
  </si>
  <si>
    <t>A001650</t>
  </si>
  <si>
    <t>A001651</t>
  </si>
  <si>
    <t>A001652</t>
  </si>
  <si>
    <t>A001653</t>
  </si>
  <si>
    <t>A001654</t>
  </si>
  <si>
    <t>A001655</t>
  </si>
  <si>
    <t>A001656</t>
  </si>
  <si>
    <t>A001657</t>
  </si>
  <si>
    <t>A001658</t>
  </si>
  <si>
    <t>A001659</t>
  </si>
  <si>
    <t>A001660</t>
  </si>
  <si>
    <t>A001661</t>
  </si>
  <si>
    <t>A001662</t>
  </si>
  <si>
    <t>A001663</t>
  </si>
  <si>
    <t>A001664</t>
  </si>
  <si>
    <t>A001665</t>
  </si>
  <si>
    <t>A001666</t>
  </si>
  <si>
    <t>A001667</t>
  </si>
  <si>
    <t>A001668</t>
  </si>
  <si>
    <t>A001669</t>
  </si>
  <si>
    <t>A001670</t>
  </si>
  <si>
    <t>A001671</t>
  </si>
  <si>
    <t>A001672</t>
  </si>
  <si>
    <t>A001673</t>
  </si>
  <si>
    <t>A001674</t>
  </si>
  <si>
    <t>A001675</t>
  </si>
  <si>
    <t>A001676</t>
  </si>
  <si>
    <t>A001677</t>
  </si>
  <si>
    <t>A001678</t>
  </si>
  <si>
    <t>A001679</t>
  </si>
  <si>
    <t>A001680</t>
  </si>
  <si>
    <t>A001681</t>
  </si>
  <si>
    <t>A001682</t>
  </si>
  <si>
    <t>A001683</t>
  </si>
  <si>
    <t>A001684</t>
  </si>
  <si>
    <t>A001685</t>
  </si>
  <si>
    <t>A001686</t>
  </si>
  <si>
    <t>A001687</t>
  </si>
  <si>
    <t>A001688</t>
  </si>
  <si>
    <t>A001689</t>
  </si>
  <si>
    <t>A001690</t>
  </si>
  <si>
    <t>A001691</t>
  </si>
  <si>
    <t>A001692</t>
  </si>
  <si>
    <t>A001693</t>
  </si>
  <si>
    <t>A001694</t>
  </si>
  <si>
    <t>A001695</t>
  </si>
  <si>
    <t>A001696</t>
  </si>
  <si>
    <t>A001697</t>
  </si>
  <si>
    <t>A001698</t>
  </si>
  <si>
    <t>A001699</t>
  </si>
  <si>
    <t>A001700</t>
  </si>
  <si>
    <t>A001701</t>
  </si>
  <si>
    <t>A001702</t>
  </si>
  <si>
    <t>A001703</t>
  </si>
  <si>
    <t>A001704</t>
  </si>
  <si>
    <t>A001705</t>
  </si>
  <si>
    <t>A001706</t>
  </si>
  <si>
    <t>A001707</t>
  </si>
  <si>
    <t>A001708</t>
  </si>
  <si>
    <t>A001709</t>
  </si>
  <si>
    <t>A001710</t>
  </si>
  <si>
    <t>A001711</t>
  </si>
  <si>
    <t>A001712</t>
  </si>
  <si>
    <t>A001713</t>
  </si>
  <si>
    <t>A001714</t>
  </si>
  <si>
    <t>A001715</t>
  </si>
  <si>
    <t>A001716</t>
  </si>
  <si>
    <t>A001717</t>
  </si>
  <si>
    <t>A001718</t>
  </si>
  <si>
    <t>A001719</t>
  </si>
  <si>
    <t>A001720</t>
  </si>
  <si>
    <t>A001721</t>
  </si>
  <si>
    <t>A001722</t>
  </si>
  <si>
    <t>A001723</t>
  </si>
  <si>
    <t>A001724</t>
  </si>
  <si>
    <t>A001725</t>
  </si>
  <si>
    <t>A001726</t>
  </si>
  <si>
    <t>A001727</t>
  </si>
  <si>
    <t>A001728</t>
  </si>
  <si>
    <t>A001729</t>
  </si>
  <si>
    <t>A001730</t>
  </si>
  <si>
    <t>A001731</t>
  </si>
  <si>
    <t>A001732</t>
  </si>
  <si>
    <t>A001733</t>
  </si>
  <si>
    <t>A001734</t>
  </si>
  <si>
    <t>A001735</t>
  </si>
  <si>
    <t>A001736</t>
  </si>
  <si>
    <t>A001737</t>
  </si>
  <si>
    <t>A001738</t>
  </si>
  <si>
    <t>A001739</t>
  </si>
  <si>
    <t>A001740</t>
  </si>
  <si>
    <t>A001741</t>
  </si>
  <si>
    <t>A001742</t>
  </si>
  <si>
    <t>A001743</t>
  </si>
  <si>
    <t>A001744</t>
  </si>
  <si>
    <t>A001745</t>
  </si>
  <si>
    <t>A001746</t>
  </si>
  <si>
    <t>A001747</t>
  </si>
  <si>
    <t>A001748</t>
  </si>
  <si>
    <t>A001749</t>
  </si>
  <si>
    <t>A001750</t>
  </si>
  <si>
    <t>A001751</t>
  </si>
  <si>
    <t>A001752</t>
  </si>
  <si>
    <t>A001753</t>
  </si>
  <si>
    <t>A001754</t>
  </si>
  <si>
    <t>A001755</t>
  </si>
  <si>
    <t>A001756</t>
  </si>
  <si>
    <t>A001757</t>
  </si>
  <si>
    <t>A001758</t>
  </si>
  <si>
    <t>A001759</t>
  </si>
  <si>
    <t>A001760</t>
  </si>
  <si>
    <t>A001761</t>
  </si>
  <si>
    <t>A001762</t>
  </si>
  <si>
    <t>A001763</t>
  </si>
  <si>
    <t>A001764</t>
  </si>
  <si>
    <t>A001765</t>
  </si>
  <si>
    <t>A001766</t>
  </si>
  <si>
    <t>A001767</t>
  </si>
  <si>
    <t>A001768</t>
  </si>
  <si>
    <t>A001769</t>
  </si>
  <si>
    <t>A001770</t>
  </si>
  <si>
    <t>A001771</t>
  </si>
  <si>
    <t>A001772</t>
  </si>
  <si>
    <t>A001773</t>
  </si>
  <si>
    <t>A001774</t>
  </si>
  <si>
    <t>A001775</t>
  </si>
  <si>
    <t>A001776</t>
  </si>
  <si>
    <t>A001777</t>
  </si>
  <si>
    <t>A001778</t>
  </si>
  <si>
    <t>A001779</t>
  </si>
  <si>
    <t>A001780</t>
  </si>
  <si>
    <t>A001781</t>
  </si>
  <si>
    <t>A001782</t>
  </si>
  <si>
    <t>A001783</t>
  </si>
  <si>
    <t>A001784</t>
  </si>
  <si>
    <t>A001785</t>
  </si>
  <si>
    <t>A001786</t>
  </si>
  <si>
    <t>A001787</t>
  </si>
  <si>
    <t>A001788</t>
  </si>
  <si>
    <t>A001789</t>
  </si>
  <si>
    <t>A001790</t>
  </si>
  <si>
    <t>A001791</t>
  </si>
  <si>
    <t>A001792</t>
  </si>
  <si>
    <t>A001793</t>
  </si>
  <si>
    <t>A001794</t>
  </si>
  <si>
    <t>A001795</t>
  </si>
  <si>
    <t>A001796</t>
  </si>
  <si>
    <t>A001797</t>
  </si>
  <si>
    <t>A001798</t>
  </si>
  <si>
    <t>A001799</t>
  </si>
  <si>
    <t>A001800</t>
  </si>
  <si>
    <t>A001801</t>
  </si>
  <si>
    <t>A001802</t>
  </si>
  <si>
    <t>A001803</t>
  </si>
  <si>
    <t>A001804</t>
  </si>
  <si>
    <t>A001805</t>
  </si>
  <si>
    <t>A001806</t>
  </si>
  <si>
    <t>A001807</t>
  </si>
  <si>
    <t>A001808</t>
  </si>
  <si>
    <t>A001809</t>
  </si>
  <si>
    <t>A001810</t>
  </si>
  <si>
    <t>A001811</t>
  </si>
  <si>
    <t>A001812</t>
  </si>
  <si>
    <t>A001813</t>
  </si>
  <si>
    <t>A001814</t>
  </si>
  <si>
    <t>A001815</t>
  </si>
  <si>
    <t>A001816</t>
  </si>
  <si>
    <t>A001817</t>
  </si>
  <si>
    <t>A001818</t>
  </si>
  <si>
    <t>A001819</t>
  </si>
  <si>
    <t>A001820</t>
  </si>
  <si>
    <t>A001821</t>
  </si>
  <si>
    <t>A001822</t>
  </si>
  <si>
    <t>A001823</t>
  </si>
  <si>
    <t>A001824</t>
  </si>
  <si>
    <t>A001825</t>
  </si>
  <si>
    <t>A001826</t>
  </si>
  <si>
    <t>A001827</t>
  </si>
  <si>
    <t>A001828</t>
  </si>
  <si>
    <t>A001829</t>
  </si>
  <si>
    <t>A001830</t>
  </si>
  <si>
    <t>A001831</t>
  </si>
  <si>
    <t>A001832</t>
  </si>
  <si>
    <t>A001833</t>
  </si>
  <si>
    <t>A001834</t>
  </si>
  <si>
    <t>A001835</t>
  </si>
  <si>
    <t>A001836</t>
  </si>
  <si>
    <t>A001837</t>
  </si>
  <si>
    <t>A001838</t>
  </si>
  <si>
    <t>A001839</t>
  </si>
  <si>
    <t>A001840</t>
  </si>
  <si>
    <t>A001841</t>
  </si>
  <si>
    <t>A001842</t>
  </si>
  <si>
    <t>A001843</t>
  </si>
  <si>
    <t>A001844</t>
  </si>
  <si>
    <t>A001845</t>
  </si>
  <si>
    <t>A001846</t>
  </si>
  <si>
    <t>A001847</t>
  </si>
  <si>
    <t>A001848</t>
  </si>
  <si>
    <t>A001849</t>
  </si>
  <si>
    <t>A001850</t>
  </si>
  <si>
    <t>A001851</t>
  </si>
  <si>
    <t>A001852</t>
  </si>
  <si>
    <t>A001853</t>
  </si>
  <si>
    <t>A001854</t>
  </si>
  <si>
    <t>A001855</t>
  </si>
  <si>
    <t>A001856</t>
  </si>
  <si>
    <t>A001857</t>
  </si>
  <si>
    <t>A001858</t>
  </si>
  <si>
    <t>A001859</t>
  </si>
  <si>
    <t>A001860</t>
  </si>
  <si>
    <t>A001861</t>
  </si>
  <si>
    <t>A001862</t>
  </si>
  <si>
    <t>A001863</t>
  </si>
  <si>
    <t>A001864</t>
  </si>
  <si>
    <t>A001865</t>
  </si>
  <si>
    <t>A001866</t>
  </si>
  <si>
    <t>A001867</t>
  </si>
  <si>
    <t>A001868</t>
  </si>
  <si>
    <t>A001869</t>
  </si>
  <si>
    <t>A001870</t>
  </si>
  <si>
    <t>A001871</t>
  </si>
  <si>
    <t>A001872</t>
  </si>
  <si>
    <t>A001873</t>
  </si>
  <si>
    <t>A001874</t>
  </si>
  <si>
    <t>A001875</t>
  </si>
  <si>
    <t>A001876</t>
  </si>
  <si>
    <t>A001877</t>
  </si>
  <si>
    <t>A001878</t>
  </si>
  <si>
    <t>A001879</t>
  </si>
  <si>
    <t>A001880</t>
  </si>
  <si>
    <t>A001881</t>
  </si>
  <si>
    <t>A001882</t>
  </si>
  <si>
    <t>A001883</t>
  </si>
  <si>
    <t>A001884</t>
  </si>
  <si>
    <t>A001885</t>
  </si>
  <si>
    <t>A001886</t>
  </si>
  <si>
    <t>A001887</t>
  </si>
  <si>
    <t>A001888</t>
  </si>
  <si>
    <t>A001889</t>
  </si>
  <si>
    <t>A001890</t>
  </si>
  <si>
    <t>A001891</t>
  </si>
  <si>
    <t>A001892</t>
  </si>
  <si>
    <t>A001893</t>
  </si>
  <si>
    <t>A001894</t>
  </si>
  <si>
    <t>A001895</t>
  </si>
  <si>
    <t>A001896</t>
  </si>
  <si>
    <t>A001897</t>
  </si>
  <si>
    <t>A001898</t>
  </si>
  <si>
    <t>A001899</t>
  </si>
  <si>
    <t>A001900</t>
  </si>
  <si>
    <t>A001901</t>
  </si>
  <si>
    <t>A001902</t>
  </si>
  <si>
    <t>A001903</t>
  </si>
  <si>
    <t>A001904</t>
  </si>
  <si>
    <t>A001905</t>
  </si>
  <si>
    <t>A001906</t>
  </si>
  <si>
    <t>A001907</t>
  </si>
  <si>
    <t>A001908</t>
  </si>
  <si>
    <t>A001909</t>
  </si>
  <si>
    <t>A001910</t>
  </si>
  <si>
    <t>A001911</t>
  </si>
  <si>
    <t>A001912</t>
  </si>
  <si>
    <t>A001913</t>
  </si>
  <si>
    <t>A001914</t>
  </si>
  <si>
    <t>A001915</t>
  </si>
  <si>
    <t>A001916</t>
  </si>
  <si>
    <t>A001917</t>
  </si>
  <si>
    <t>A001918</t>
  </si>
  <si>
    <t>A001919</t>
  </si>
  <si>
    <t>A001920</t>
  </si>
  <si>
    <t>A001921</t>
  </si>
  <si>
    <t>A001922</t>
  </si>
  <si>
    <t>A001923</t>
  </si>
  <si>
    <t>A001924</t>
  </si>
  <si>
    <t>A001925</t>
  </si>
  <si>
    <t>A001926</t>
  </si>
  <si>
    <t>A001927</t>
  </si>
  <si>
    <t>A001928</t>
  </si>
  <si>
    <t>A001929</t>
  </si>
  <si>
    <t>A001930</t>
  </si>
  <si>
    <t>A001931</t>
  </si>
  <si>
    <t>A001932</t>
  </si>
  <si>
    <t>A001933</t>
  </si>
  <si>
    <t>A001934</t>
  </si>
  <si>
    <t>A001935</t>
  </si>
  <si>
    <t>A001936</t>
  </si>
  <si>
    <t>A001937</t>
  </si>
  <si>
    <t>A001938</t>
  </si>
  <si>
    <t>A001939</t>
  </si>
  <si>
    <t>A001940</t>
  </si>
  <si>
    <t>A001941</t>
  </si>
  <si>
    <t>A001942</t>
  </si>
  <si>
    <t>A001943</t>
  </si>
  <si>
    <t>A001944</t>
  </si>
  <si>
    <t>A001945</t>
  </si>
  <si>
    <t>A001946</t>
  </si>
  <si>
    <t>A001947</t>
  </si>
  <si>
    <t>A001948</t>
  </si>
  <si>
    <t>A001949</t>
  </si>
  <si>
    <t>A001950</t>
  </si>
  <si>
    <t>A001951</t>
  </si>
  <si>
    <t>A001952</t>
  </si>
  <si>
    <t>A001953</t>
  </si>
  <si>
    <t>A001954</t>
  </si>
  <si>
    <t>A001955</t>
  </si>
  <si>
    <t>A001956</t>
  </si>
  <si>
    <t>A001957</t>
  </si>
  <si>
    <t>A001958</t>
  </si>
  <si>
    <t>A001959</t>
  </si>
  <si>
    <t>A001960</t>
  </si>
  <si>
    <t>A001961</t>
  </si>
  <si>
    <t>A001962</t>
  </si>
  <si>
    <t>A001963</t>
  </si>
  <si>
    <t>A001964</t>
  </si>
  <si>
    <t>A001965</t>
  </si>
  <si>
    <t>A001966</t>
  </si>
  <si>
    <t>A001967</t>
  </si>
  <si>
    <t>A001968</t>
  </si>
  <si>
    <t>A001969</t>
  </si>
  <si>
    <t>A001970</t>
  </si>
  <si>
    <t>A001971</t>
  </si>
  <si>
    <t>A001972</t>
  </si>
  <si>
    <t>A001973</t>
  </si>
  <si>
    <t>A001974</t>
  </si>
  <si>
    <t>A001975</t>
  </si>
  <si>
    <t>A001976</t>
  </si>
  <si>
    <t>A001977</t>
  </si>
  <si>
    <t>A001978</t>
  </si>
  <si>
    <t>A001979</t>
  </si>
  <si>
    <t>A001980</t>
  </si>
  <si>
    <t>A001981</t>
  </si>
  <si>
    <t>A001982</t>
  </si>
  <si>
    <t>A001983</t>
  </si>
  <si>
    <t>A001984</t>
  </si>
  <si>
    <t>A001985</t>
  </si>
  <si>
    <t>A001986</t>
  </si>
  <si>
    <t>A001987</t>
  </si>
  <si>
    <t>A001988</t>
  </si>
  <si>
    <t>A001989</t>
  </si>
  <si>
    <t>A001990</t>
  </si>
  <si>
    <t>A001991</t>
  </si>
  <si>
    <t>A001992</t>
  </si>
  <si>
    <t>A001993</t>
  </si>
  <si>
    <t>A001994</t>
  </si>
  <si>
    <t>A001995</t>
  </si>
  <si>
    <t>A001996</t>
  </si>
  <si>
    <t>A001997</t>
  </si>
  <si>
    <t>A001998</t>
  </si>
  <si>
    <t>A001999</t>
  </si>
  <si>
    <t>A002000</t>
  </si>
  <si>
    <t>A002001</t>
  </si>
  <si>
    <t>A002002</t>
  </si>
  <si>
    <t>A002003</t>
  </si>
  <si>
    <t>A002004</t>
  </si>
  <si>
    <t>A002005</t>
  </si>
  <si>
    <t>A002006</t>
  </si>
  <si>
    <t>A002007</t>
  </si>
  <si>
    <t>A002008</t>
  </si>
  <si>
    <t>A002009</t>
  </si>
  <si>
    <t>A002010</t>
  </si>
  <si>
    <t>A002011</t>
  </si>
  <si>
    <t>A002012</t>
  </si>
  <si>
    <t>A002013</t>
  </si>
  <si>
    <t>A002014</t>
  </si>
  <si>
    <t>A002015</t>
  </si>
  <si>
    <t>A002016</t>
  </si>
  <si>
    <t>A002017</t>
  </si>
  <si>
    <t>A002018</t>
  </si>
  <si>
    <t>A002019</t>
  </si>
  <si>
    <t>A002020</t>
  </si>
  <si>
    <t>A002021</t>
  </si>
  <si>
    <t>A002022</t>
  </si>
  <si>
    <t>A002023</t>
  </si>
  <si>
    <t>A002024</t>
  </si>
  <si>
    <t>A002025</t>
  </si>
  <si>
    <t>A002026</t>
  </si>
  <si>
    <t>A002027</t>
  </si>
  <si>
    <t>A002028</t>
  </si>
  <si>
    <t>A002029</t>
  </si>
  <si>
    <t>A002030</t>
  </si>
  <si>
    <t>A002031</t>
  </si>
  <si>
    <t>A002032</t>
  </si>
  <si>
    <t>A002033</t>
  </si>
  <si>
    <t>A002034</t>
  </si>
  <si>
    <t>A002035</t>
  </si>
  <si>
    <t>A002036</t>
  </si>
  <si>
    <t>A002037</t>
  </si>
  <si>
    <t>A002038</t>
  </si>
  <si>
    <t>A002039</t>
  </si>
  <si>
    <t>A002040</t>
  </si>
  <si>
    <t>A002041</t>
  </si>
  <si>
    <t>A002042</t>
  </si>
  <si>
    <t>A002043</t>
  </si>
  <si>
    <t>A002044</t>
  </si>
  <si>
    <t>A002045</t>
  </si>
  <si>
    <t>A002046</t>
  </si>
  <si>
    <t>A002047</t>
  </si>
  <si>
    <t>A002048</t>
  </si>
  <si>
    <t>A002049</t>
  </si>
  <si>
    <t>A002050</t>
  </si>
  <si>
    <t>A002051</t>
  </si>
  <si>
    <t>A002052</t>
  </si>
  <si>
    <t>A002053</t>
  </si>
  <si>
    <t>A002054</t>
  </si>
  <si>
    <t>A002055</t>
  </si>
  <si>
    <t>A002056</t>
  </si>
  <si>
    <t>A002057</t>
  </si>
  <si>
    <t>A002058</t>
  </si>
  <si>
    <t>A002059</t>
  </si>
  <si>
    <t>A002060</t>
  </si>
  <si>
    <t>A002061</t>
  </si>
  <si>
    <t>A002062</t>
  </si>
  <si>
    <t>A002063</t>
  </si>
  <si>
    <t>A002064</t>
  </si>
  <si>
    <t>A002065</t>
  </si>
  <si>
    <t>A002066</t>
  </si>
  <si>
    <t>A002067</t>
  </si>
  <si>
    <t>A002068</t>
  </si>
  <si>
    <t>A002069</t>
  </si>
  <si>
    <t>A002070</t>
  </si>
  <si>
    <t>A002071</t>
  </si>
  <si>
    <t>A002072</t>
  </si>
  <si>
    <t>A002073</t>
  </si>
  <si>
    <t>A002074</t>
  </si>
  <si>
    <t>A002075</t>
  </si>
  <si>
    <t>A002076</t>
  </si>
  <si>
    <t>A002077</t>
  </si>
  <si>
    <t>A002078</t>
  </si>
  <si>
    <t>A002079</t>
  </si>
  <si>
    <t>A002080</t>
  </si>
  <si>
    <t>A002081</t>
  </si>
  <si>
    <t>A002082</t>
  </si>
  <si>
    <t>A002083</t>
  </si>
  <si>
    <t>A002084</t>
  </si>
  <si>
    <t>A002085</t>
  </si>
  <si>
    <t>A002086</t>
  </si>
  <si>
    <t>A002087</t>
  </si>
  <si>
    <t>A002088</t>
  </si>
  <si>
    <t>A002089</t>
  </si>
  <si>
    <t>A002090</t>
  </si>
  <si>
    <t>A002091</t>
  </si>
  <si>
    <t>A002092</t>
  </si>
  <si>
    <t>A002093</t>
  </si>
  <si>
    <t>A002094</t>
  </si>
  <si>
    <t>A002095</t>
  </si>
  <si>
    <t>A002096</t>
  </si>
  <si>
    <t>A002097</t>
  </si>
  <si>
    <t>A002098</t>
  </si>
  <si>
    <t>A002099</t>
  </si>
  <si>
    <t>A002100</t>
  </si>
  <si>
    <t>A002101</t>
  </si>
  <si>
    <t>A002102</t>
  </si>
  <si>
    <t>A002103</t>
  </si>
  <si>
    <t>A002104</t>
  </si>
  <si>
    <t>A002105</t>
  </si>
  <si>
    <t>A002106</t>
  </si>
  <si>
    <t>A002107</t>
  </si>
  <si>
    <t>A002108</t>
  </si>
  <si>
    <t>A002109</t>
  </si>
  <si>
    <t>A002110</t>
  </si>
  <si>
    <t>A002111</t>
  </si>
  <si>
    <t>A002112</t>
  </si>
  <si>
    <t>A002113</t>
  </si>
  <si>
    <t>A002114</t>
  </si>
  <si>
    <t>A002115</t>
  </si>
  <si>
    <t>A002116</t>
  </si>
  <si>
    <t>A002117</t>
  </si>
  <si>
    <t>A002118</t>
  </si>
  <si>
    <t>A002119</t>
  </si>
  <si>
    <t>A002120</t>
  </si>
  <si>
    <t>A002121</t>
  </si>
  <si>
    <t>A002122</t>
  </si>
  <si>
    <t>A002123</t>
  </si>
  <si>
    <t>A002124</t>
  </si>
  <si>
    <t>A002125</t>
  </si>
  <si>
    <t>A002126</t>
  </si>
  <si>
    <t>A002127</t>
  </si>
  <si>
    <t>A002128</t>
  </si>
  <si>
    <t>A002129</t>
  </si>
  <si>
    <t>A002130</t>
  </si>
  <si>
    <t>A002131</t>
  </si>
  <si>
    <t>A002132</t>
  </si>
  <si>
    <t>A002133</t>
  </si>
  <si>
    <t>A002134</t>
  </si>
  <si>
    <t>A002135</t>
  </si>
  <si>
    <t>A002136</t>
  </si>
  <si>
    <t>A002137</t>
  </si>
  <si>
    <t>A002138</t>
  </si>
  <si>
    <t>A002139</t>
  </si>
  <si>
    <t>A002140</t>
  </si>
  <si>
    <t>A002141</t>
  </si>
  <si>
    <t>A002142</t>
  </si>
  <si>
    <t>A002143</t>
  </si>
  <si>
    <t>A002144</t>
  </si>
  <si>
    <t>A002145</t>
  </si>
  <si>
    <t>A002146</t>
  </si>
  <si>
    <t>A002147</t>
  </si>
  <si>
    <t>A002148</t>
  </si>
  <si>
    <t>A002149</t>
  </si>
  <si>
    <t>A002150</t>
  </si>
  <si>
    <t>A002151</t>
  </si>
  <si>
    <t>A002152</t>
  </si>
  <si>
    <t>A002153</t>
  </si>
  <si>
    <t>A002154</t>
  </si>
  <si>
    <t>A002155</t>
  </si>
  <si>
    <t>A002156</t>
  </si>
  <si>
    <t>A002157</t>
  </si>
  <si>
    <t>A002158</t>
  </si>
  <si>
    <t>A002159</t>
  </si>
  <si>
    <t>A002160</t>
  </si>
  <si>
    <t>A002161</t>
  </si>
  <si>
    <t>A002162</t>
  </si>
  <si>
    <t>A002163</t>
  </si>
  <si>
    <t>A002164</t>
  </si>
  <si>
    <t>A002165</t>
  </si>
  <si>
    <t>A002166</t>
  </si>
  <si>
    <t>A002167</t>
  </si>
  <si>
    <t>A002168</t>
  </si>
  <si>
    <t>A002169</t>
  </si>
  <si>
    <t>A002170</t>
  </si>
  <si>
    <t>A002171</t>
  </si>
  <si>
    <t>A002172</t>
  </si>
  <si>
    <t>A002173</t>
  </si>
  <si>
    <t>A002174</t>
  </si>
  <si>
    <t>A002175</t>
  </si>
  <si>
    <t>A002176</t>
  </si>
  <si>
    <t>A002177</t>
  </si>
  <si>
    <t>A002178</t>
  </si>
  <si>
    <t>A002179</t>
  </si>
  <si>
    <t>A002180</t>
  </si>
  <si>
    <t>A002181</t>
  </si>
  <si>
    <t>A002182</t>
  </si>
  <si>
    <t>A002183</t>
  </si>
  <si>
    <t>A002184</t>
  </si>
  <si>
    <t>A002185</t>
  </si>
  <si>
    <t>A002186</t>
  </si>
  <si>
    <t>A002187</t>
  </si>
  <si>
    <t>A002188</t>
  </si>
  <si>
    <t>A002189</t>
  </si>
  <si>
    <t>A002190</t>
  </si>
  <si>
    <t>A002191</t>
  </si>
  <si>
    <t>A002192</t>
  </si>
  <si>
    <t>A002193</t>
  </si>
  <si>
    <t>A002194</t>
  </si>
  <si>
    <t>A002195</t>
  </si>
  <si>
    <t>A002196</t>
  </si>
  <si>
    <t>A002197</t>
  </si>
  <si>
    <t>A002198</t>
  </si>
  <si>
    <t>A002199</t>
  </si>
  <si>
    <t>A002200</t>
  </si>
  <si>
    <t>A002201</t>
  </si>
  <si>
    <t>A002202</t>
  </si>
  <si>
    <t>A002203</t>
  </si>
  <si>
    <t>A002204</t>
  </si>
  <si>
    <t>A002205</t>
  </si>
  <si>
    <t>A002206</t>
  </si>
  <si>
    <t>A002207</t>
  </si>
  <si>
    <t>A002208</t>
  </si>
  <si>
    <t>A002209</t>
  </si>
  <si>
    <t>A002210</t>
  </si>
  <si>
    <t>A002211</t>
  </si>
  <si>
    <t>A002212</t>
  </si>
  <si>
    <t>A002213</t>
  </si>
  <si>
    <t>A002214</t>
  </si>
  <si>
    <t>A002215</t>
  </si>
  <si>
    <t>A002216</t>
  </si>
  <si>
    <t>A002217</t>
  </si>
  <si>
    <t>A002218</t>
  </si>
  <si>
    <t>A002219</t>
  </si>
  <si>
    <t>A002220</t>
  </si>
  <si>
    <t>A002221</t>
  </si>
  <si>
    <t>A002222</t>
  </si>
  <si>
    <t>A002223</t>
  </si>
  <si>
    <t>A002224</t>
  </si>
  <si>
    <t>A002225</t>
  </si>
  <si>
    <t>A002226</t>
  </si>
  <si>
    <t>A002227</t>
  </si>
  <si>
    <t>A002228</t>
  </si>
  <si>
    <t>A002229</t>
  </si>
  <si>
    <t>A002230</t>
  </si>
  <si>
    <t>A002231</t>
  </si>
  <si>
    <t>A002232</t>
  </si>
  <si>
    <t>A002233</t>
  </si>
  <si>
    <t>A002234</t>
  </si>
  <si>
    <t>A002235</t>
  </si>
  <si>
    <t>A002236</t>
  </si>
  <si>
    <t>A002237</t>
  </si>
  <si>
    <t>A002238</t>
  </si>
  <si>
    <t>A002239</t>
  </si>
  <si>
    <t>A002240</t>
  </si>
  <si>
    <t>A002241</t>
  </si>
  <si>
    <t>A002242</t>
  </si>
  <si>
    <t>A002243</t>
  </si>
  <si>
    <t>A002244</t>
  </si>
  <si>
    <t>A002245</t>
  </si>
  <si>
    <t>A002246</t>
  </si>
  <si>
    <t>A002247</t>
  </si>
  <si>
    <t>A002248</t>
  </si>
  <si>
    <t>A002249</t>
  </si>
  <si>
    <t>A002250</t>
  </si>
  <si>
    <t>A002251</t>
  </si>
  <si>
    <t>A002252</t>
  </si>
  <si>
    <t>A002253</t>
  </si>
  <si>
    <t>A002254</t>
  </si>
  <si>
    <t>A002255</t>
  </si>
  <si>
    <t>A002256</t>
  </si>
  <si>
    <t>A002257</t>
  </si>
  <si>
    <t>A002258</t>
  </si>
  <si>
    <t>A002259</t>
  </si>
  <si>
    <t>A002260</t>
  </si>
  <si>
    <t>A002261</t>
  </si>
  <si>
    <t>A002262</t>
  </si>
  <si>
    <t>A002263</t>
  </si>
  <si>
    <t>A002264</t>
  </si>
  <si>
    <t>A002265</t>
  </si>
  <si>
    <t>A002266</t>
  </si>
  <si>
    <t>A002267</t>
  </si>
  <si>
    <t>A002268</t>
  </si>
  <si>
    <t>A002269</t>
  </si>
  <si>
    <t>A002270</t>
  </si>
  <si>
    <t>A002271</t>
  </si>
  <si>
    <t>A002272</t>
  </si>
  <si>
    <t>A002273</t>
  </si>
  <si>
    <t>A002274</t>
  </si>
  <si>
    <t>A002275</t>
  </si>
  <si>
    <t>A002276</t>
  </si>
  <si>
    <t>A002277</t>
  </si>
  <si>
    <t>A002278</t>
  </si>
  <si>
    <t>A002279</t>
  </si>
  <si>
    <t>A002280</t>
  </si>
  <si>
    <t>A002281</t>
  </si>
  <si>
    <t>A002282</t>
  </si>
  <si>
    <t>A002283</t>
  </si>
  <si>
    <t>A002284</t>
  </si>
  <si>
    <t>A002285</t>
  </si>
  <si>
    <t>A002286</t>
  </si>
  <si>
    <t>A002287</t>
  </si>
  <si>
    <t>A002288</t>
  </si>
  <si>
    <t>A002289</t>
  </si>
  <si>
    <t>A002290</t>
  </si>
  <si>
    <t>A002291</t>
  </si>
  <si>
    <t>A002292</t>
  </si>
  <si>
    <t>A002293</t>
  </si>
  <si>
    <t>A002294</t>
  </si>
  <si>
    <t>A002295</t>
  </si>
  <si>
    <t>A002296</t>
  </si>
  <si>
    <t>A002297</t>
  </si>
  <si>
    <t>A002298</t>
  </si>
  <si>
    <t>A002299</t>
  </si>
  <si>
    <t>A002300</t>
  </si>
  <si>
    <t>A002301</t>
  </si>
  <si>
    <t>A002302</t>
  </si>
  <si>
    <t>A002303</t>
  </si>
  <si>
    <t>A002304</t>
  </si>
  <si>
    <t>A002305</t>
  </si>
  <si>
    <t>A002306</t>
  </si>
  <si>
    <t>A002307</t>
  </si>
  <si>
    <t>A002308</t>
  </si>
  <si>
    <t>A002309</t>
  </si>
  <si>
    <t>A002310</t>
  </si>
  <si>
    <t>A002311</t>
  </si>
  <si>
    <t>A002312</t>
  </si>
  <si>
    <t>A002313</t>
  </si>
  <si>
    <t>A002314</t>
  </si>
  <si>
    <t>A002315</t>
  </si>
  <si>
    <t>A002316</t>
  </si>
  <si>
    <t>A002317</t>
  </si>
  <si>
    <t>A002318</t>
  </si>
  <si>
    <t>A002319</t>
  </si>
  <si>
    <t>A002320</t>
  </si>
  <si>
    <t>A002321</t>
  </si>
  <si>
    <t>A002322</t>
  </si>
  <si>
    <t>A002323</t>
  </si>
  <si>
    <t>A002324</t>
  </si>
  <si>
    <t>A002325</t>
  </si>
  <si>
    <t>A002326</t>
  </si>
  <si>
    <t>A002327</t>
  </si>
  <si>
    <t>A002328</t>
  </si>
  <si>
    <t>A002329</t>
  </si>
  <si>
    <t>A002330</t>
  </si>
  <si>
    <t>A002331</t>
  </si>
  <si>
    <t>A002332</t>
  </si>
  <si>
    <t>A002333</t>
  </si>
  <si>
    <t>A002334</t>
  </si>
  <si>
    <t>A002335</t>
  </si>
  <si>
    <t>A002336</t>
  </si>
  <si>
    <t>A002337</t>
  </si>
  <si>
    <t>A002338</t>
  </si>
  <si>
    <t>A002339</t>
  </si>
  <si>
    <t>A002340</t>
  </si>
  <si>
    <t>A002341</t>
  </si>
  <si>
    <t>A002342</t>
  </si>
  <si>
    <t>A002343</t>
  </si>
  <si>
    <t>A002344</t>
  </si>
  <si>
    <t>A002345</t>
  </si>
  <si>
    <t>A002346</t>
  </si>
  <si>
    <t>A002347</t>
  </si>
  <si>
    <t>A002348</t>
  </si>
  <si>
    <t>A002349</t>
  </si>
  <si>
    <t>A002350</t>
  </si>
  <si>
    <t>A002351</t>
  </si>
  <si>
    <t>A002352</t>
  </si>
  <si>
    <t>A002353</t>
  </si>
  <si>
    <t>A002354</t>
  </si>
  <si>
    <t>A002355</t>
  </si>
  <si>
    <t>A002356</t>
  </si>
  <si>
    <t>A002357</t>
  </si>
  <si>
    <t>A002358</t>
  </si>
  <si>
    <t>A002359</t>
  </si>
  <si>
    <t>A002360</t>
  </si>
  <si>
    <t>A002361</t>
  </si>
  <si>
    <t>A002362</t>
  </si>
  <si>
    <t>A002363</t>
  </si>
  <si>
    <t>A002364</t>
  </si>
  <si>
    <t>A002365</t>
  </si>
  <si>
    <t>A002366</t>
  </si>
  <si>
    <t>A002367</t>
  </si>
  <si>
    <t>A002368</t>
  </si>
  <si>
    <t>A002369</t>
  </si>
  <si>
    <t>A002370</t>
  </si>
  <si>
    <t>A002371</t>
  </si>
  <si>
    <t>A002372</t>
  </si>
  <si>
    <t>A002373</t>
  </si>
  <si>
    <t>A002374</t>
  </si>
  <si>
    <t>A002375</t>
  </si>
  <si>
    <t>A002376</t>
  </si>
  <si>
    <t>A002377</t>
  </si>
  <si>
    <t>A002378</t>
  </si>
  <si>
    <t>A002379</t>
  </si>
  <si>
    <t>A002380</t>
  </si>
  <si>
    <t>A002381</t>
  </si>
  <si>
    <t>A002382</t>
  </si>
  <si>
    <t>A002383</t>
  </si>
  <si>
    <t>A002384</t>
  </si>
  <si>
    <t>A002385</t>
  </si>
  <si>
    <t>A002386</t>
  </si>
  <si>
    <t>A002387</t>
  </si>
  <si>
    <t>A002388</t>
  </si>
  <si>
    <t>A002389</t>
  </si>
  <si>
    <t>A002390</t>
  </si>
  <si>
    <t>A002391</t>
  </si>
  <si>
    <t>A002392</t>
  </si>
  <si>
    <t>A002393</t>
  </si>
  <si>
    <t>A002394</t>
  </si>
  <si>
    <t>A002395</t>
  </si>
  <si>
    <t>A002396</t>
  </si>
  <si>
    <t>A002397</t>
  </si>
  <si>
    <t>A002398</t>
  </si>
  <si>
    <t>A002399</t>
  </si>
  <si>
    <t>A002400</t>
  </si>
  <si>
    <t>A002401</t>
  </si>
  <si>
    <t>A002402</t>
  </si>
  <si>
    <t>A002403</t>
  </si>
  <si>
    <t>A002404</t>
  </si>
  <si>
    <t>A002405</t>
  </si>
  <si>
    <t>A002406</t>
  </si>
  <si>
    <t>A002407</t>
  </si>
  <si>
    <t>A002408</t>
  </si>
  <si>
    <t>A002409</t>
  </si>
  <si>
    <t>A002410</t>
  </si>
  <si>
    <t>A002411</t>
  </si>
  <si>
    <t>A002412</t>
  </si>
  <si>
    <t>A002413</t>
  </si>
  <si>
    <t>A002414</t>
  </si>
  <si>
    <t>A002415</t>
  </si>
  <si>
    <t>A002416</t>
  </si>
  <si>
    <t>A002417</t>
  </si>
  <si>
    <t>A002418</t>
  </si>
  <si>
    <t>A002419</t>
  </si>
  <si>
    <t>A002420</t>
  </si>
  <si>
    <t>A002421</t>
  </si>
  <si>
    <t>A002422</t>
  </si>
  <si>
    <t>A002423</t>
  </si>
  <si>
    <t>A002424</t>
  </si>
  <si>
    <t>A002425</t>
  </si>
  <si>
    <t>A002426</t>
  </si>
  <si>
    <t>A002427</t>
  </si>
  <si>
    <t>A002428</t>
  </si>
  <si>
    <t>A002429</t>
  </si>
  <si>
    <t>A002430</t>
  </si>
  <si>
    <t>A002431</t>
  </si>
  <si>
    <t>A002432</t>
  </si>
  <si>
    <t>A002433</t>
  </si>
  <si>
    <t>A002434</t>
  </si>
  <si>
    <t>A002435</t>
  </si>
  <si>
    <t>A002436</t>
  </si>
  <si>
    <t>A002437</t>
  </si>
  <si>
    <t>A002438</t>
  </si>
  <si>
    <t>A002439</t>
  </si>
  <si>
    <t>A002440</t>
  </si>
  <si>
    <t>A002441</t>
  </si>
  <si>
    <t>A002442</t>
  </si>
  <si>
    <t>A002443</t>
  </si>
  <si>
    <t>A002444</t>
  </si>
  <si>
    <t>A002445</t>
  </si>
  <si>
    <t>A002446</t>
  </si>
  <si>
    <t>A002447</t>
  </si>
  <si>
    <t>A002448</t>
  </si>
  <si>
    <t>A002449</t>
  </si>
  <si>
    <t>A002450</t>
  </si>
  <si>
    <t>A002451</t>
  </si>
  <si>
    <t>A002452</t>
  </si>
  <si>
    <t>A002453</t>
  </si>
  <si>
    <t>A002454</t>
  </si>
  <si>
    <t>A002455</t>
  </si>
  <si>
    <t>A002456</t>
  </si>
  <si>
    <t>A002457</t>
  </si>
  <si>
    <t>A002458</t>
  </si>
  <si>
    <t>A002459</t>
  </si>
  <si>
    <t>A002460</t>
  </si>
  <si>
    <t>A002461</t>
  </si>
  <si>
    <t>A002462</t>
  </si>
  <si>
    <t>A002463</t>
  </si>
  <si>
    <t>A002464</t>
  </si>
  <si>
    <t>A002465</t>
  </si>
  <si>
    <t>A002466</t>
  </si>
  <si>
    <t>A002467</t>
  </si>
  <si>
    <t>A002468</t>
  </si>
  <si>
    <t>A002469</t>
  </si>
  <si>
    <t>A002470</t>
  </si>
  <si>
    <t>A002471</t>
  </si>
  <si>
    <t>A002472</t>
  </si>
  <si>
    <t>A002473</t>
  </si>
  <si>
    <t>A002474</t>
  </si>
  <si>
    <t>A002475</t>
  </si>
  <si>
    <t>A002476</t>
  </si>
  <si>
    <t>A002477</t>
  </si>
  <si>
    <t>A002478</t>
  </si>
  <si>
    <t>A002479</t>
  </si>
  <si>
    <t>A002480</t>
  </si>
  <si>
    <t>A002481</t>
  </si>
  <si>
    <t>A002482</t>
  </si>
  <si>
    <t>A002483</t>
  </si>
  <si>
    <t>A002484</t>
  </si>
  <si>
    <t>A002485</t>
  </si>
  <si>
    <t>A002486</t>
  </si>
  <si>
    <t>A002487</t>
  </si>
  <si>
    <t>A002488</t>
  </si>
  <si>
    <t>A002489</t>
  </si>
  <si>
    <t>A002490</t>
  </si>
  <si>
    <t>A002491</t>
  </si>
  <si>
    <t>A002492</t>
  </si>
  <si>
    <t>A002493</t>
  </si>
  <si>
    <t>A002494</t>
  </si>
  <si>
    <t>A002495</t>
  </si>
  <si>
    <t>A002496</t>
  </si>
  <si>
    <t>A002497</t>
  </si>
  <si>
    <t>A002498</t>
  </si>
  <si>
    <t>A002499</t>
  </si>
  <si>
    <t>A002500</t>
  </si>
  <si>
    <t>A002501</t>
  </si>
  <si>
    <t>A002502</t>
  </si>
  <si>
    <t>A002503</t>
  </si>
  <si>
    <t>A002504</t>
  </si>
  <si>
    <t>A002505</t>
  </si>
  <si>
    <t>A002506</t>
  </si>
  <si>
    <t>A002507</t>
  </si>
  <si>
    <t>A002508</t>
  </si>
  <si>
    <t>A002509</t>
  </si>
  <si>
    <t>A002510</t>
  </si>
  <si>
    <t>A002511</t>
  </si>
  <si>
    <t>A002512</t>
  </si>
  <si>
    <t>A002513</t>
  </si>
  <si>
    <t>A002514</t>
  </si>
  <si>
    <t>A002515</t>
  </si>
  <si>
    <t>A002516</t>
  </si>
  <si>
    <t>A002517</t>
  </si>
  <si>
    <t>A002518</t>
  </si>
  <si>
    <t>A002519</t>
  </si>
  <si>
    <t>A002520</t>
  </si>
  <si>
    <t>A002521</t>
  </si>
  <si>
    <t>A002522</t>
  </si>
  <si>
    <t>A002523</t>
  </si>
  <si>
    <t>A002524</t>
  </si>
  <si>
    <t>A002525</t>
  </si>
  <si>
    <t>A002526</t>
  </si>
  <si>
    <t>A002527</t>
  </si>
  <si>
    <t>A002528</t>
  </si>
  <si>
    <t>A002529</t>
  </si>
  <si>
    <t>A002530</t>
  </si>
  <si>
    <t>A002531</t>
  </si>
  <si>
    <t>A002532</t>
  </si>
  <si>
    <t>A002533</t>
  </si>
  <si>
    <t>A002534</t>
  </si>
  <si>
    <t>A002535</t>
  </si>
  <si>
    <t>A002536</t>
  </si>
  <si>
    <t>A002537</t>
  </si>
  <si>
    <t>A002538</t>
  </si>
  <si>
    <t>A002539</t>
  </si>
  <si>
    <t>A002540</t>
  </si>
  <si>
    <t>A002541</t>
  </si>
  <si>
    <t>A002542</t>
  </si>
  <si>
    <t>A002543</t>
  </si>
  <si>
    <t>A002544</t>
  </si>
  <si>
    <t>A002545</t>
  </si>
  <si>
    <t>A002546</t>
  </si>
  <si>
    <t>A002547</t>
  </si>
  <si>
    <t>A002548</t>
  </si>
  <si>
    <t>A002549</t>
  </si>
  <si>
    <t>A002550</t>
  </si>
  <si>
    <t>A002551</t>
  </si>
  <si>
    <t>A002552</t>
  </si>
  <si>
    <t>A002553</t>
  </si>
  <si>
    <t>A002554</t>
  </si>
  <si>
    <t>A002555</t>
  </si>
  <si>
    <t>A002556</t>
  </si>
  <si>
    <t>A002557</t>
  </si>
  <si>
    <t>A002558</t>
  </si>
  <si>
    <t>A002559</t>
  </si>
  <si>
    <t>A002560</t>
  </si>
  <si>
    <t>A002561</t>
  </si>
  <si>
    <t>A002562</t>
  </si>
  <si>
    <t>A002563</t>
  </si>
  <si>
    <t>A002564</t>
  </si>
  <si>
    <t>A002565</t>
  </si>
  <si>
    <t>A002566</t>
  </si>
  <si>
    <t>A002567</t>
  </si>
  <si>
    <t>A002568</t>
  </si>
  <si>
    <t>A002569</t>
  </si>
  <si>
    <t>A002570</t>
  </si>
  <si>
    <t>A002571</t>
  </si>
  <si>
    <t>A002572</t>
  </si>
  <si>
    <t>A002573</t>
  </si>
  <si>
    <t>A002574</t>
  </si>
  <si>
    <t>A002575</t>
  </si>
  <si>
    <t>A002576</t>
  </si>
  <si>
    <t>A002577</t>
  </si>
  <si>
    <t>A002578</t>
  </si>
  <si>
    <t>A002579</t>
  </si>
  <si>
    <t>A002580</t>
  </si>
  <si>
    <t>A002581</t>
  </si>
  <si>
    <t>A002582</t>
  </si>
  <si>
    <t>A002583</t>
  </si>
  <si>
    <t>A002584</t>
  </si>
  <si>
    <t>A002585</t>
  </si>
  <si>
    <t>A002586</t>
  </si>
  <si>
    <t>A002587</t>
  </si>
  <si>
    <t>A002588</t>
  </si>
  <si>
    <t>A002589</t>
  </si>
  <si>
    <t>A002590</t>
  </si>
  <si>
    <t>A002591</t>
  </si>
  <si>
    <t>A002592</t>
  </si>
  <si>
    <t>A002593</t>
  </si>
  <si>
    <t>A002594</t>
  </si>
  <si>
    <t>A002595</t>
  </si>
  <si>
    <t>A002596</t>
  </si>
  <si>
    <t>A002597</t>
  </si>
  <si>
    <t>A002598</t>
  </si>
  <si>
    <t>A002599</t>
  </si>
  <si>
    <t>A002600</t>
  </si>
  <si>
    <t>A002601</t>
  </si>
  <si>
    <t>A002602</t>
  </si>
  <si>
    <t>A002603</t>
  </si>
  <si>
    <t>A002604</t>
  </si>
  <si>
    <t>A002605</t>
  </si>
  <si>
    <t>A002606</t>
  </si>
  <si>
    <t>A002607</t>
  </si>
  <si>
    <t>A002608</t>
  </si>
  <si>
    <t>A002609</t>
  </si>
  <si>
    <t>A002610</t>
  </si>
  <si>
    <t>A002611</t>
  </si>
  <si>
    <t>A002612</t>
  </si>
  <si>
    <t>A002613</t>
  </si>
  <si>
    <t>A002614</t>
  </si>
  <si>
    <t>A002615</t>
  </si>
  <si>
    <t>A002616</t>
  </si>
  <si>
    <t>A002617</t>
  </si>
  <si>
    <t>A002618</t>
  </si>
  <si>
    <t>A002619</t>
  </si>
  <si>
    <t>A002620</t>
  </si>
  <si>
    <t>A002621</t>
  </si>
  <si>
    <t>A002622</t>
  </si>
  <si>
    <t>A002623</t>
  </si>
  <si>
    <t>A002624</t>
  </si>
  <si>
    <t>A002625</t>
  </si>
  <si>
    <t>A002626</t>
  </si>
  <si>
    <t>A002627</t>
  </si>
  <si>
    <t>A002628</t>
  </si>
  <si>
    <t>A002629</t>
  </si>
  <si>
    <t>A002630</t>
  </si>
  <si>
    <t>A002631</t>
  </si>
  <si>
    <t>A002632</t>
  </si>
  <si>
    <t>A002633</t>
  </si>
  <si>
    <t>A002634</t>
  </si>
  <si>
    <t>A002635</t>
  </si>
  <si>
    <t>A002636</t>
  </si>
  <si>
    <t>A002637</t>
  </si>
  <si>
    <t>A002638</t>
  </si>
  <si>
    <t>A002639</t>
  </si>
  <si>
    <t>A002640</t>
  </si>
  <si>
    <t>A002641</t>
  </si>
  <si>
    <t>A002642</t>
  </si>
  <si>
    <t>A002643</t>
  </si>
  <si>
    <t>A002644</t>
  </si>
  <si>
    <t>A002645</t>
  </si>
  <si>
    <t>A002646</t>
  </si>
  <si>
    <t>A002647</t>
  </si>
  <si>
    <t>A002648</t>
  </si>
  <si>
    <t>A002649</t>
  </si>
  <si>
    <t>A002650</t>
  </si>
  <si>
    <t>A002651</t>
  </si>
  <si>
    <t>A002652</t>
  </si>
  <si>
    <t>A002653</t>
  </si>
  <si>
    <t>A002654</t>
  </si>
  <si>
    <t>A002655</t>
  </si>
  <si>
    <t>A002656</t>
  </si>
  <si>
    <t>A002657</t>
  </si>
  <si>
    <t>A002658</t>
  </si>
  <si>
    <t>A002659</t>
  </si>
  <si>
    <t>A002660</t>
  </si>
  <si>
    <t>A002661</t>
  </si>
  <si>
    <t>A002662</t>
  </si>
  <si>
    <t>A002663</t>
  </si>
  <si>
    <t>A002664</t>
  </si>
  <si>
    <t>A002665</t>
  </si>
  <si>
    <t>A002666</t>
  </si>
  <si>
    <t>A002667</t>
  </si>
  <si>
    <t>A002668</t>
  </si>
  <si>
    <t>A002669</t>
  </si>
  <si>
    <t>A002670</t>
  </si>
  <si>
    <t>A002671</t>
  </si>
  <si>
    <t>A002672</t>
  </si>
  <si>
    <t>A002673</t>
  </si>
  <si>
    <t>A002674</t>
  </si>
  <si>
    <t>A002675</t>
  </si>
  <si>
    <t>A002676</t>
  </si>
  <si>
    <t>A002677</t>
  </si>
  <si>
    <t>A002678</t>
  </si>
  <si>
    <t>A002679</t>
  </si>
  <si>
    <t>A002680</t>
  </si>
  <si>
    <t>A002681</t>
  </si>
  <si>
    <t>A002682</t>
  </si>
  <si>
    <t>A002683</t>
  </si>
  <si>
    <t>A002684</t>
  </si>
  <si>
    <t>A002685</t>
  </si>
  <si>
    <t>A002686</t>
  </si>
  <si>
    <t>A002687</t>
  </si>
  <si>
    <t>A002688</t>
  </si>
  <si>
    <t>A002689</t>
  </si>
  <si>
    <t>A002690</t>
  </si>
  <si>
    <t>A002691</t>
  </si>
  <si>
    <t>A002692</t>
  </si>
  <si>
    <t>A002693</t>
  </si>
  <si>
    <t>A002694</t>
  </si>
  <si>
    <t>A002695</t>
  </si>
  <si>
    <t>A002696</t>
  </si>
  <si>
    <t>A002697</t>
  </si>
  <si>
    <t>A002698</t>
  </si>
  <si>
    <t>A002699</t>
  </si>
  <si>
    <t>A002700</t>
  </si>
  <si>
    <t>A002701</t>
  </si>
  <si>
    <t>A002702</t>
  </si>
  <si>
    <t>A002703</t>
  </si>
  <si>
    <t>A002704</t>
  </si>
  <si>
    <t>A002705</t>
  </si>
  <si>
    <t>A002706</t>
  </si>
  <si>
    <t>A002707</t>
  </si>
  <si>
    <t>A002708</t>
  </si>
  <si>
    <t>A002709</t>
  </si>
  <si>
    <t>A002710</t>
  </si>
  <si>
    <t>A002711</t>
  </si>
  <si>
    <t>A002712</t>
  </si>
  <si>
    <t>A002713</t>
  </si>
  <si>
    <t>A002714</t>
  </si>
  <si>
    <t>A002715</t>
  </si>
  <si>
    <t>A002716</t>
  </si>
  <si>
    <t>A002717</t>
  </si>
  <si>
    <t>A002718</t>
  </si>
  <si>
    <t>A002719</t>
  </si>
  <si>
    <t>A002720</t>
  </si>
  <si>
    <t>A002721</t>
  </si>
  <si>
    <t>A002722</t>
  </si>
  <si>
    <t>A002723</t>
  </si>
  <si>
    <t>A002724</t>
  </si>
  <si>
    <t>A002725</t>
  </si>
  <si>
    <t>A002726</t>
  </si>
  <si>
    <t>A002727</t>
  </si>
  <si>
    <t>A002728</t>
  </si>
  <si>
    <t>A002729</t>
  </si>
  <si>
    <t>A002730</t>
  </si>
  <si>
    <t>A002731</t>
  </si>
  <si>
    <t>A002732</t>
  </si>
  <si>
    <t>A002733</t>
  </si>
  <si>
    <t>A002734</t>
  </si>
  <si>
    <t>A002735</t>
  </si>
  <si>
    <t>A002736</t>
  </si>
  <si>
    <t>A002737</t>
  </si>
  <si>
    <t>A002738</t>
  </si>
  <si>
    <t>A002739</t>
  </si>
  <si>
    <t>A002740</t>
  </si>
  <si>
    <t>A002741</t>
  </si>
  <si>
    <t>A002742</t>
  </si>
  <si>
    <t>A002743</t>
  </si>
  <si>
    <t>A002744</t>
  </si>
  <si>
    <t>A002745</t>
  </si>
  <si>
    <t>A002746</t>
  </si>
  <si>
    <t>A002747</t>
  </si>
  <si>
    <t>A002748</t>
  </si>
  <si>
    <t>A002749</t>
  </si>
  <si>
    <t>A002750</t>
  </si>
  <si>
    <t>A002751</t>
  </si>
  <si>
    <t>A002752</t>
  </si>
  <si>
    <t>A002753</t>
  </si>
  <si>
    <t>A002754</t>
  </si>
  <si>
    <t>A002755</t>
  </si>
  <si>
    <t>A002756</t>
  </si>
  <si>
    <t>A002757</t>
  </si>
  <si>
    <t>A002758</t>
  </si>
  <si>
    <t>A002759</t>
  </si>
  <si>
    <t>A002760</t>
  </si>
  <si>
    <t>A002761</t>
  </si>
  <si>
    <t>A002762</t>
  </si>
  <si>
    <t>A002763</t>
  </si>
  <si>
    <t>A002764</t>
  </si>
  <si>
    <t>A002765</t>
  </si>
  <si>
    <t>A002766</t>
  </si>
  <si>
    <t>A002767</t>
  </si>
  <si>
    <t>A002768</t>
  </si>
  <si>
    <t>A002769</t>
  </si>
  <si>
    <t>A002770</t>
  </si>
  <si>
    <t>A002771</t>
  </si>
  <si>
    <t>A002772</t>
  </si>
  <si>
    <t>A002773</t>
  </si>
  <si>
    <t>A002774</t>
  </si>
  <si>
    <t>A002775</t>
  </si>
  <si>
    <t>A002776</t>
  </si>
  <si>
    <t>A002777</t>
  </si>
  <si>
    <t>A002778</t>
  </si>
  <si>
    <t>A002779</t>
  </si>
  <si>
    <t>A002780</t>
  </si>
  <si>
    <t>A002781</t>
  </si>
  <si>
    <t>A002782</t>
  </si>
  <si>
    <t>A002783</t>
  </si>
  <si>
    <t>A002784</t>
  </si>
  <si>
    <t>A002785</t>
  </si>
  <si>
    <t>A002786</t>
  </si>
  <si>
    <t>A002787</t>
  </si>
  <si>
    <t>A002788</t>
  </si>
  <si>
    <t>A002789</t>
  </si>
  <si>
    <t>A002790</t>
  </si>
  <si>
    <t>A002791</t>
  </si>
  <si>
    <t>A002792</t>
  </si>
  <si>
    <t>A002793</t>
  </si>
  <si>
    <t>A002794</t>
  </si>
  <si>
    <t>A002795</t>
  </si>
  <si>
    <t>A002796</t>
  </si>
  <si>
    <t>A002797</t>
  </si>
  <si>
    <t>A002798</t>
  </si>
  <si>
    <t>A002799</t>
  </si>
  <si>
    <t>A002800</t>
  </si>
  <si>
    <t>A002801</t>
  </si>
  <si>
    <t>A002802</t>
  </si>
  <si>
    <t>A002803</t>
  </si>
  <si>
    <t>A002804</t>
  </si>
  <si>
    <t>A002805</t>
  </si>
  <si>
    <t>A002806</t>
  </si>
  <si>
    <t>A002807</t>
  </si>
  <si>
    <t>A002808</t>
  </si>
  <si>
    <t>A002809</t>
  </si>
  <si>
    <t>A002810</t>
  </si>
  <si>
    <t>A002811</t>
  </si>
  <si>
    <t>A002812</t>
  </si>
  <si>
    <t>A002813</t>
  </si>
  <si>
    <t>A002814</t>
  </si>
  <si>
    <t>A002815</t>
  </si>
  <si>
    <t>A002816</t>
  </si>
  <si>
    <t>A002817</t>
  </si>
  <si>
    <t>A002818</t>
  </si>
  <si>
    <t>A002819</t>
  </si>
  <si>
    <t>A002820</t>
  </si>
  <si>
    <t>A002821</t>
  </si>
  <si>
    <t>A002822</t>
  </si>
  <si>
    <t>A002823</t>
  </si>
  <si>
    <t>A002824</t>
  </si>
  <si>
    <t>A002825</t>
  </si>
  <si>
    <t>A002826</t>
  </si>
  <si>
    <t>A002827</t>
  </si>
  <si>
    <t>A002828</t>
  </si>
  <si>
    <t>A002829</t>
  </si>
  <si>
    <t>A002830</t>
  </si>
  <si>
    <t>A002831</t>
  </si>
  <si>
    <t>A002832</t>
  </si>
  <si>
    <t>A002833</t>
  </si>
  <si>
    <t>A002834</t>
  </si>
  <si>
    <t>A002835</t>
  </si>
  <si>
    <t>A002836</t>
  </si>
  <si>
    <t>A002837</t>
  </si>
  <si>
    <t>A002838</t>
  </si>
  <si>
    <t>A002839</t>
  </si>
  <si>
    <t>A002840</t>
  </si>
  <si>
    <t>A002841</t>
  </si>
  <si>
    <t>A002842</t>
  </si>
  <si>
    <t>A002843</t>
  </si>
  <si>
    <t>A002844</t>
  </si>
  <si>
    <t>A002845</t>
  </si>
  <si>
    <t>A002846</t>
  </si>
  <si>
    <t>A002847</t>
  </si>
  <si>
    <t>A002848</t>
  </si>
  <si>
    <t>A002849</t>
  </si>
  <si>
    <t>A002850</t>
  </si>
  <si>
    <t>A002851</t>
  </si>
  <si>
    <t>A002852</t>
  </si>
  <si>
    <t>A002853</t>
  </si>
  <si>
    <t>A002854</t>
  </si>
  <si>
    <t>A002855</t>
  </si>
  <si>
    <t>A002856</t>
  </si>
  <si>
    <t>A002857</t>
  </si>
  <si>
    <t>A002858</t>
  </si>
  <si>
    <t>A002859</t>
  </si>
  <si>
    <t>A002860</t>
  </si>
  <si>
    <t>A002861</t>
  </si>
  <si>
    <t>A002862</t>
  </si>
  <si>
    <t>A002863</t>
  </si>
  <si>
    <t>A002864</t>
  </si>
  <si>
    <t>A002865</t>
  </si>
  <si>
    <t>A002866</t>
  </si>
  <si>
    <t>A002867</t>
  </si>
  <si>
    <t>A002868</t>
  </si>
  <si>
    <t>A002869</t>
  </si>
  <si>
    <t>A002870</t>
  </si>
  <si>
    <t>A002871</t>
  </si>
  <si>
    <t>A002872</t>
  </si>
  <si>
    <t>A002873</t>
  </si>
  <si>
    <t>A002874</t>
  </si>
  <si>
    <t>A002875</t>
  </si>
  <si>
    <t>A002876</t>
  </si>
  <si>
    <t>A002877</t>
  </si>
  <si>
    <t>A002878</t>
  </si>
  <si>
    <t>A002879</t>
  </si>
  <si>
    <t>A002880</t>
  </si>
  <si>
    <t>A002881</t>
  </si>
  <si>
    <t>A002882</t>
  </si>
  <si>
    <t>A002883</t>
  </si>
  <si>
    <t>A002884</t>
  </si>
  <si>
    <t>A002885</t>
  </si>
  <si>
    <t>A002886</t>
  </si>
  <si>
    <t>A002887</t>
  </si>
  <si>
    <t>A002888</t>
  </si>
  <si>
    <t>A002889</t>
  </si>
  <si>
    <t>A002890</t>
  </si>
  <si>
    <t>A002891</t>
  </si>
  <si>
    <t>A002892</t>
  </si>
  <si>
    <t>A002893</t>
  </si>
  <si>
    <t>A002894</t>
  </si>
  <si>
    <t>A002895</t>
  </si>
  <si>
    <t>A002896</t>
  </si>
  <si>
    <t>A002897</t>
  </si>
  <si>
    <t>A002898</t>
  </si>
  <si>
    <t>A002899</t>
  </si>
  <si>
    <t>A002900</t>
  </si>
  <si>
    <t>A002901</t>
  </si>
  <si>
    <t>A002902</t>
  </si>
  <si>
    <t>A002903</t>
  </si>
  <si>
    <t>A002904</t>
  </si>
  <si>
    <t>A002905</t>
  </si>
  <si>
    <t>A002906</t>
  </si>
  <si>
    <t>A002907</t>
  </si>
  <si>
    <t>A002908</t>
  </si>
  <si>
    <t>A002909</t>
  </si>
  <si>
    <t>A002910</t>
  </si>
  <si>
    <t>A002911</t>
  </si>
  <si>
    <t>A002912</t>
  </si>
  <si>
    <t>A002913</t>
  </si>
  <si>
    <t>A002914</t>
  </si>
  <si>
    <t>A002915</t>
  </si>
  <si>
    <t>A002916</t>
  </si>
  <si>
    <t>A002917</t>
  </si>
  <si>
    <t>A002918</t>
  </si>
  <si>
    <t>A002919</t>
  </si>
  <si>
    <t>A002920</t>
  </si>
  <si>
    <t>A002921</t>
  </si>
  <si>
    <t>A002922</t>
  </si>
  <si>
    <t>A002923</t>
  </si>
  <si>
    <t>A002924</t>
  </si>
  <si>
    <t>A002925</t>
  </si>
  <si>
    <t>A002926</t>
  </si>
  <si>
    <t>A002927</t>
  </si>
  <si>
    <t>A002928</t>
  </si>
  <si>
    <t>A002929</t>
  </si>
  <si>
    <t>A002930</t>
  </si>
  <si>
    <t>A002931</t>
  </si>
  <si>
    <t>A002932</t>
  </si>
  <si>
    <t>A002933</t>
  </si>
  <si>
    <t>A002934</t>
  </si>
  <si>
    <t>A002935</t>
  </si>
  <si>
    <t>A002936</t>
  </si>
  <si>
    <t>A002937</t>
  </si>
  <si>
    <t>A002938</t>
  </si>
  <si>
    <t>A002939</t>
  </si>
  <si>
    <t>A002940</t>
  </si>
  <si>
    <t>A002941</t>
  </si>
  <si>
    <t>A002942</t>
  </si>
  <si>
    <t>A002943</t>
  </si>
  <si>
    <t>A002944</t>
  </si>
  <si>
    <t>A002945</t>
  </si>
  <si>
    <t>A002946</t>
  </si>
  <si>
    <t>A002947</t>
  </si>
  <si>
    <t>A002948</t>
  </si>
  <si>
    <t>A002949</t>
  </si>
  <si>
    <t>A002950</t>
  </si>
  <si>
    <t>A002951</t>
  </si>
  <si>
    <t>A002952</t>
  </si>
  <si>
    <t>A002953</t>
  </si>
  <si>
    <t>A002954</t>
  </si>
  <si>
    <t>A002955</t>
  </si>
  <si>
    <t>A002956</t>
  </si>
  <si>
    <t>A002957</t>
  </si>
  <si>
    <t>A002958</t>
  </si>
  <si>
    <t>A002959</t>
  </si>
  <si>
    <t>A002960</t>
  </si>
  <si>
    <t>A002961</t>
  </si>
  <si>
    <t>A002962</t>
  </si>
  <si>
    <t>A002963</t>
  </si>
  <si>
    <t>A002964</t>
  </si>
  <si>
    <t>A002965</t>
  </si>
  <si>
    <t>A002966</t>
  </si>
  <si>
    <t>A002967</t>
  </si>
  <si>
    <t>A002968</t>
  </si>
  <si>
    <t>A002969</t>
  </si>
  <si>
    <t>A002970</t>
  </si>
  <si>
    <t>A002971</t>
  </si>
  <si>
    <t>B000001</t>
  </si>
  <si>
    <t>B000002</t>
  </si>
  <si>
    <t>B000003</t>
  </si>
  <si>
    <t>B000004</t>
  </si>
  <si>
    <t>B000005</t>
  </si>
  <si>
    <t>B000006</t>
  </si>
  <si>
    <t>B000007</t>
  </si>
  <si>
    <t>B000008</t>
  </si>
  <si>
    <t>B000009</t>
  </si>
  <si>
    <t>B000010</t>
  </si>
  <si>
    <t>B000011</t>
  </si>
  <si>
    <t>B000012</t>
  </si>
  <si>
    <t>B000013</t>
  </si>
  <si>
    <t>B000014</t>
  </si>
  <si>
    <t>B000015</t>
  </si>
  <si>
    <t>B000016</t>
  </si>
  <si>
    <t>B000017</t>
  </si>
  <si>
    <t>B000018</t>
  </si>
  <si>
    <t>B000019</t>
  </si>
  <si>
    <t>B000020</t>
  </si>
  <si>
    <t>B000021</t>
  </si>
  <si>
    <t>B000022</t>
  </si>
  <si>
    <t>B000023</t>
  </si>
  <si>
    <t>B000024</t>
  </si>
  <si>
    <t>B000025</t>
  </si>
  <si>
    <t>B000026</t>
  </si>
  <si>
    <t>B000027</t>
  </si>
  <si>
    <t>B000028</t>
  </si>
  <si>
    <t>B000029</t>
  </si>
  <si>
    <t>B000030</t>
  </si>
  <si>
    <t>B000031</t>
  </si>
  <si>
    <t>B000032</t>
  </si>
  <si>
    <t>B000033</t>
  </si>
  <si>
    <t>B000034</t>
  </si>
  <si>
    <t>B000035</t>
  </si>
  <si>
    <t>B000036</t>
  </si>
  <si>
    <t>B000037</t>
  </si>
  <si>
    <t>B000038</t>
  </si>
  <si>
    <t>B000039</t>
  </si>
  <si>
    <t>B000040</t>
  </si>
  <si>
    <t>B000041</t>
  </si>
  <si>
    <t>B000042</t>
  </si>
  <si>
    <t>B000043</t>
  </si>
  <si>
    <t>B000044</t>
  </si>
  <si>
    <t>B000045</t>
  </si>
  <si>
    <t>B000046</t>
  </si>
  <si>
    <t>B000047</t>
  </si>
  <si>
    <t>B000048</t>
  </si>
  <si>
    <t>B000049</t>
  </si>
  <si>
    <t>B000050</t>
  </si>
  <si>
    <t>B000051</t>
  </si>
  <si>
    <t>B000052</t>
  </si>
  <si>
    <t>B000053</t>
  </si>
  <si>
    <t>B000054</t>
  </si>
  <si>
    <t>B000055</t>
  </si>
  <si>
    <t>B000056</t>
  </si>
  <si>
    <t>B000057</t>
  </si>
  <si>
    <t>B000058</t>
  </si>
  <si>
    <t>B000059</t>
  </si>
  <si>
    <t>B000060</t>
  </si>
  <si>
    <t>B000061</t>
  </si>
  <si>
    <t>B000062</t>
  </si>
  <si>
    <t>B000063</t>
  </si>
  <si>
    <t>B000064</t>
  </si>
  <si>
    <t>B000065</t>
  </si>
  <si>
    <t>B000066</t>
  </si>
  <si>
    <t>B000067</t>
  </si>
  <si>
    <t>B000068</t>
  </si>
  <si>
    <t>B000069</t>
  </si>
  <si>
    <t>B000070</t>
  </si>
  <si>
    <t>B000071</t>
  </si>
  <si>
    <t>B000072</t>
  </si>
  <si>
    <t>B000073</t>
  </si>
  <si>
    <t>B000074</t>
  </si>
  <si>
    <t>B000075</t>
  </si>
  <si>
    <t>B000076</t>
  </si>
  <si>
    <t>B000077</t>
  </si>
  <si>
    <t>B000078</t>
  </si>
  <si>
    <t>B000079</t>
  </si>
  <si>
    <t>B000080</t>
  </si>
  <si>
    <t>B000081</t>
  </si>
  <si>
    <t>B000082</t>
  </si>
  <si>
    <t>B000083</t>
  </si>
  <si>
    <t>B000084</t>
  </si>
  <si>
    <t>B000085</t>
  </si>
  <si>
    <t>B000086</t>
  </si>
  <si>
    <t>B000087</t>
  </si>
  <si>
    <t>B000088</t>
  </si>
  <si>
    <t>B000089</t>
  </si>
  <si>
    <t>B000090</t>
  </si>
  <si>
    <t>B000091</t>
  </si>
  <si>
    <t>B000092</t>
  </si>
  <si>
    <t>B000093</t>
  </si>
  <si>
    <t>B000094</t>
  </si>
  <si>
    <t>B000095</t>
  </si>
  <si>
    <t>B000096</t>
  </si>
  <si>
    <t>B000097</t>
  </si>
  <si>
    <t>B000098</t>
  </si>
  <si>
    <t>B000099</t>
  </si>
  <si>
    <t>B000100</t>
  </si>
  <si>
    <t>B000101</t>
  </si>
  <si>
    <t>B000102</t>
  </si>
  <si>
    <t>B000103</t>
  </si>
  <si>
    <t>B000104</t>
  </si>
  <si>
    <t>B000105</t>
  </si>
  <si>
    <t>B000106</t>
  </si>
  <si>
    <t>B000107</t>
  </si>
  <si>
    <t>B000108</t>
  </si>
  <si>
    <t>B000109</t>
  </si>
  <si>
    <t>B000110</t>
  </si>
  <si>
    <t>B000111</t>
  </si>
  <si>
    <t>B000112</t>
  </si>
  <si>
    <t>B000113</t>
  </si>
  <si>
    <t>B000114</t>
  </si>
  <si>
    <t>B000115</t>
  </si>
  <si>
    <t>B000116</t>
  </si>
  <si>
    <t>B000117</t>
  </si>
  <si>
    <t>B000118</t>
  </si>
  <si>
    <t>B000119</t>
  </si>
  <si>
    <t>B000120</t>
  </si>
  <si>
    <t>B000121</t>
  </si>
  <si>
    <t>B000122</t>
  </si>
  <si>
    <t>B000123</t>
  </si>
  <si>
    <t>B000124</t>
  </si>
  <si>
    <t>B000125</t>
  </si>
  <si>
    <t>B000126</t>
  </si>
  <si>
    <t>B000127</t>
  </si>
  <si>
    <t>B000128</t>
  </si>
  <si>
    <t>B000129</t>
  </si>
  <si>
    <t>B000130</t>
  </si>
  <si>
    <t>B000131</t>
  </si>
  <si>
    <t>B000132</t>
  </si>
  <si>
    <t>B000133</t>
  </si>
  <si>
    <t>B000134</t>
  </si>
  <si>
    <t>B000135</t>
  </si>
  <si>
    <t>B000136</t>
  </si>
  <si>
    <t>B000137</t>
  </si>
  <si>
    <t>B000138</t>
  </si>
  <si>
    <t>B000139</t>
  </si>
  <si>
    <t>B000140</t>
  </si>
  <si>
    <t>B000141</t>
  </si>
  <si>
    <t>B000142</t>
  </si>
  <si>
    <t>B000143</t>
  </si>
  <si>
    <t>B000144</t>
  </si>
  <si>
    <t>B000145</t>
  </si>
  <si>
    <t>B000146</t>
  </si>
  <si>
    <t>B000147</t>
  </si>
  <si>
    <t>B000148</t>
  </si>
  <si>
    <t>B000149</t>
  </si>
  <si>
    <t>B000150</t>
  </si>
  <si>
    <t>B000151</t>
  </si>
  <si>
    <t>B000152</t>
  </si>
  <si>
    <t>B000153</t>
  </si>
  <si>
    <t>B000154</t>
  </si>
  <si>
    <t>B000155</t>
  </si>
  <si>
    <t>B000156</t>
  </si>
  <si>
    <t>B000157</t>
  </si>
  <si>
    <t>B000158</t>
  </si>
  <si>
    <t>B000159</t>
  </si>
  <si>
    <t>B000160</t>
  </si>
  <si>
    <t>B000161</t>
  </si>
  <si>
    <t>B000162</t>
  </si>
  <si>
    <t>B000163</t>
  </si>
  <si>
    <t>B000164</t>
  </si>
  <si>
    <t>B000165</t>
  </si>
  <si>
    <t>B000166</t>
  </si>
  <si>
    <t>B000167</t>
  </si>
  <si>
    <t>B000168</t>
  </si>
  <si>
    <t>B000169</t>
  </si>
  <si>
    <t>B000170</t>
  </si>
  <si>
    <t>B000171</t>
  </si>
  <si>
    <t>B000172</t>
  </si>
  <si>
    <t>B000173</t>
  </si>
  <si>
    <t>B000174</t>
  </si>
  <si>
    <t>B000175</t>
  </si>
  <si>
    <t>B000176</t>
  </si>
  <si>
    <t>B000177</t>
  </si>
  <si>
    <t>B000178</t>
  </si>
  <si>
    <t>B000179</t>
  </si>
  <si>
    <t>B000180</t>
  </si>
  <si>
    <t>B000181</t>
  </si>
  <si>
    <t>B000182</t>
  </si>
  <si>
    <t>B000183</t>
  </si>
  <si>
    <t>B000184</t>
  </si>
  <si>
    <t>B000185</t>
  </si>
  <si>
    <t>B000186</t>
  </si>
  <si>
    <t>B000187</t>
  </si>
  <si>
    <t>B000188</t>
  </si>
  <si>
    <t>B000189</t>
  </si>
  <si>
    <t>B000190</t>
  </si>
  <si>
    <t>B000191</t>
  </si>
  <si>
    <t>B000192</t>
  </si>
  <si>
    <t>B000193</t>
  </si>
  <si>
    <t>B000194</t>
  </si>
  <si>
    <t>B000195</t>
  </si>
  <si>
    <t>B000196</t>
  </si>
  <si>
    <t>B000197</t>
  </si>
  <si>
    <t>B000198</t>
  </si>
  <si>
    <t>B000199</t>
  </si>
  <si>
    <t>B000200</t>
  </si>
  <si>
    <t>B000201</t>
  </si>
  <si>
    <t>B000202</t>
  </si>
  <si>
    <t>B000203</t>
  </si>
  <si>
    <t>B000204</t>
  </si>
  <si>
    <t>B000205</t>
  </si>
  <si>
    <t>B000206</t>
  </si>
  <si>
    <t>B000207</t>
  </si>
  <si>
    <t>B000208</t>
  </si>
  <si>
    <t>B000209</t>
  </si>
  <si>
    <t>B000210</t>
  </si>
  <si>
    <t>B000211</t>
  </si>
  <si>
    <t>B000212</t>
  </si>
  <si>
    <t>B000213</t>
  </si>
  <si>
    <t>B000214</t>
  </si>
  <si>
    <t>B000215</t>
  </si>
  <si>
    <t>B000216</t>
  </si>
  <si>
    <t>B000217</t>
  </si>
  <si>
    <t>B000218</t>
  </si>
  <si>
    <t>B000219</t>
  </si>
  <si>
    <t>B000220</t>
  </si>
  <si>
    <t>B000221</t>
  </si>
  <si>
    <t>B000222</t>
  </si>
  <si>
    <t>B000223</t>
  </si>
  <si>
    <t>B000224</t>
  </si>
  <si>
    <t>B000225</t>
  </si>
  <si>
    <t>B000226</t>
  </si>
  <si>
    <t>B000227</t>
  </si>
  <si>
    <t>B000228</t>
  </si>
  <si>
    <t>B000229</t>
  </si>
  <si>
    <t>B000230</t>
  </si>
  <si>
    <t>B000231</t>
  </si>
  <si>
    <t>B000232</t>
  </si>
  <si>
    <t>B000233</t>
  </si>
  <si>
    <t>B000234</t>
  </si>
  <si>
    <t>B000235</t>
  </si>
  <si>
    <t>B000236</t>
  </si>
  <si>
    <t>B000237</t>
  </si>
  <si>
    <t>B000238</t>
  </si>
  <si>
    <t>B000239</t>
  </si>
  <si>
    <t>B000240</t>
  </si>
  <si>
    <t>B000241</t>
  </si>
  <si>
    <t>B000242</t>
  </si>
  <si>
    <t>B000243</t>
  </si>
  <si>
    <t>B000244</t>
  </si>
  <si>
    <t>B000245</t>
  </si>
  <si>
    <t>B000246</t>
  </si>
  <si>
    <t>B000247</t>
  </si>
  <si>
    <t>B000248</t>
  </si>
  <si>
    <t>B000249</t>
  </si>
  <si>
    <t>B000250</t>
  </si>
  <si>
    <t>B000251</t>
  </si>
  <si>
    <t>B000252</t>
  </si>
  <si>
    <t>B000253</t>
  </si>
  <si>
    <t>B000254</t>
  </si>
  <si>
    <t>B000255</t>
  </si>
  <si>
    <t>B000256</t>
  </si>
  <si>
    <t>B000257</t>
  </si>
  <si>
    <t>B000258</t>
  </si>
  <si>
    <t>B000259</t>
  </si>
  <si>
    <t>B000260</t>
  </si>
  <si>
    <t>B000261</t>
  </si>
  <si>
    <t>B000262</t>
  </si>
  <si>
    <t>B000263</t>
  </si>
  <si>
    <t>B000264</t>
  </si>
  <si>
    <t>B000265</t>
  </si>
  <si>
    <t>B000266</t>
  </si>
  <si>
    <t>B000267</t>
  </si>
  <si>
    <t>B000268</t>
  </si>
  <si>
    <t>B000269</t>
  </si>
  <si>
    <t>B000270</t>
  </si>
  <si>
    <t>B000271</t>
  </si>
  <si>
    <t>B000272</t>
  </si>
  <si>
    <t>B000273</t>
  </si>
  <si>
    <t>B000274</t>
  </si>
  <si>
    <t>B000275</t>
  </si>
  <si>
    <t>B000276</t>
  </si>
  <si>
    <t>B000277</t>
  </si>
  <si>
    <t>B000278</t>
  </si>
  <si>
    <t>B000279</t>
  </si>
  <si>
    <t>B000280</t>
  </si>
  <si>
    <t>B000281</t>
  </si>
  <si>
    <t>B000282</t>
  </si>
  <si>
    <t>B000283</t>
  </si>
  <si>
    <t>B000284</t>
  </si>
  <si>
    <t>B000285</t>
  </si>
  <si>
    <t>B000286</t>
  </si>
  <si>
    <t>B000287</t>
  </si>
  <si>
    <t>B000288</t>
  </si>
  <si>
    <t>B000289</t>
  </si>
  <si>
    <t>B000290</t>
  </si>
  <si>
    <t>B000291</t>
  </si>
  <si>
    <t>B000292</t>
  </si>
  <si>
    <t>B000293</t>
  </si>
  <si>
    <t>B000294</t>
  </si>
  <si>
    <t>B000295</t>
  </si>
  <si>
    <t>B000296</t>
  </si>
  <si>
    <t>B000297</t>
  </si>
  <si>
    <t>B000298</t>
  </si>
  <si>
    <t>B000299</t>
  </si>
  <si>
    <t>B000300</t>
  </si>
  <si>
    <t>B000301</t>
  </si>
  <si>
    <t>B000302</t>
  </si>
  <si>
    <t>B000303</t>
  </si>
  <si>
    <t>B000304</t>
  </si>
  <si>
    <t>B000305</t>
  </si>
  <si>
    <t>B000306</t>
  </si>
  <si>
    <t>B000307</t>
  </si>
  <si>
    <t>B000308</t>
  </si>
  <si>
    <t>B000309</t>
  </si>
  <si>
    <t>B000310</t>
  </si>
  <si>
    <t>B000311</t>
  </si>
  <si>
    <t>B000312</t>
  </si>
  <si>
    <t>B000313</t>
  </si>
  <si>
    <t>B000314</t>
  </si>
  <si>
    <t>B000315</t>
  </si>
  <si>
    <t>B000316</t>
  </si>
  <si>
    <t>B000317</t>
  </si>
  <si>
    <t>B000318</t>
  </si>
  <si>
    <t>B000319</t>
  </si>
  <si>
    <t>B000320</t>
  </si>
  <si>
    <t>B000321</t>
  </si>
  <si>
    <t>B000322</t>
  </si>
  <si>
    <t>B000323</t>
  </si>
  <si>
    <t>B000324</t>
  </si>
  <si>
    <t>B000325</t>
  </si>
  <si>
    <t>B000326</t>
  </si>
  <si>
    <t>B000327</t>
  </si>
  <si>
    <t>B000328</t>
  </si>
  <si>
    <t>B000329</t>
  </si>
  <si>
    <t>B000330</t>
  </si>
  <si>
    <t>B000331</t>
  </si>
  <si>
    <t>B000332</t>
  </si>
  <si>
    <t>B000333</t>
  </si>
  <si>
    <t>B000334</t>
  </si>
  <si>
    <t>B000335</t>
  </si>
  <si>
    <t>B000336</t>
  </si>
  <si>
    <t>B000337</t>
  </si>
  <si>
    <t>B000338</t>
  </si>
  <si>
    <t>B000339</t>
  </si>
  <si>
    <t>B000340</t>
  </si>
  <si>
    <t>B000341</t>
  </si>
  <si>
    <t>B000342</t>
  </si>
  <si>
    <t>B000343</t>
  </si>
  <si>
    <t>B000344</t>
  </si>
  <si>
    <t>B000345</t>
  </si>
  <si>
    <t>B000346</t>
  </si>
  <si>
    <t>B000347</t>
  </si>
  <si>
    <t>B000348</t>
  </si>
  <si>
    <t>B000349</t>
  </si>
  <si>
    <t>B000350</t>
  </si>
  <si>
    <t>B000351</t>
  </si>
  <si>
    <t>B000352</t>
  </si>
  <si>
    <t>B000353</t>
  </si>
  <si>
    <t>B000354</t>
  </si>
  <si>
    <t>B000355</t>
  </si>
  <si>
    <t>B000356</t>
  </si>
  <si>
    <t>B000357</t>
  </si>
  <si>
    <t>B000358</t>
  </si>
  <si>
    <t>B000359</t>
  </si>
  <si>
    <t>B000360</t>
  </si>
  <si>
    <t>B000361</t>
  </si>
  <si>
    <t>B000362</t>
  </si>
  <si>
    <t>B000363</t>
  </si>
  <si>
    <t>B000364</t>
  </si>
  <si>
    <t>B000365</t>
  </si>
  <si>
    <t>B000366</t>
  </si>
  <si>
    <t>B000367</t>
  </si>
  <si>
    <t>B000368</t>
  </si>
  <si>
    <t>B000369</t>
  </si>
  <si>
    <t>B000370</t>
  </si>
  <si>
    <t>B000371</t>
  </si>
  <si>
    <t>B000372</t>
  </si>
  <si>
    <t>B000373</t>
  </si>
  <si>
    <t>B000374</t>
  </si>
  <si>
    <t>B000375</t>
  </si>
  <si>
    <t>B000376</t>
  </si>
  <si>
    <t>B000377</t>
  </si>
  <si>
    <t>B000378</t>
  </si>
  <si>
    <t>B000379</t>
  </si>
  <si>
    <t>B000380</t>
  </si>
  <si>
    <t>B000381</t>
  </si>
  <si>
    <t>B000382</t>
  </si>
  <si>
    <t>B000383</t>
  </si>
  <si>
    <t>B000384</t>
  </si>
  <si>
    <t>B000385</t>
  </si>
  <si>
    <t>B000386</t>
  </si>
  <si>
    <t>B000387</t>
  </si>
  <si>
    <t>B000388</t>
  </si>
  <si>
    <t>B000389</t>
  </si>
  <si>
    <t>B000390</t>
  </si>
  <si>
    <t>B000391</t>
  </si>
  <si>
    <t>B000392</t>
  </si>
  <si>
    <t>B000393</t>
  </si>
  <si>
    <t>B000394</t>
  </si>
  <si>
    <t>B000395</t>
  </si>
  <si>
    <t>B000396</t>
  </si>
  <si>
    <t>B000397</t>
  </si>
  <si>
    <t>B000398</t>
  </si>
  <si>
    <t>B000399</t>
  </si>
  <si>
    <t>B000400</t>
  </si>
  <si>
    <t>B000401</t>
  </si>
  <si>
    <t>B000402</t>
  </si>
  <si>
    <t>B000403</t>
  </si>
  <si>
    <t>B000404</t>
  </si>
  <si>
    <t>B000405</t>
  </si>
  <si>
    <t>B000406</t>
  </si>
  <si>
    <t>B000407</t>
  </si>
  <si>
    <t>B000408</t>
  </si>
  <si>
    <t>B000409</t>
  </si>
  <si>
    <t>B000410</t>
  </si>
  <si>
    <t>B000411</t>
  </si>
  <si>
    <t>B000412</t>
  </si>
  <si>
    <t>B000413</t>
  </si>
  <si>
    <t>B000414</t>
  </si>
  <si>
    <t>B000415</t>
  </si>
  <si>
    <t>B000416</t>
  </si>
  <si>
    <t>B000417</t>
  </si>
  <si>
    <t>B000418</t>
  </si>
  <si>
    <t>B000419</t>
  </si>
  <si>
    <t>B000420</t>
  </si>
  <si>
    <t>B000421</t>
  </si>
  <si>
    <t>B000422</t>
  </si>
  <si>
    <t>B000423</t>
  </si>
  <si>
    <t>B000424</t>
  </si>
  <si>
    <t>B000425</t>
  </si>
  <si>
    <t>B000426</t>
  </si>
  <si>
    <t>B000427</t>
  </si>
  <si>
    <t>B000428</t>
  </si>
  <si>
    <t>B000429</t>
  </si>
  <si>
    <t>B000430</t>
  </si>
  <si>
    <t>B000431</t>
  </si>
  <si>
    <t>B000432</t>
  </si>
  <si>
    <t>B000433</t>
  </si>
  <si>
    <t>B000434</t>
  </si>
  <si>
    <t>B000435</t>
  </si>
  <si>
    <t>B000436</t>
  </si>
  <si>
    <t>B000437</t>
  </si>
  <si>
    <t>B000438</t>
  </si>
  <si>
    <t>B000439</t>
  </si>
  <si>
    <t>B000440</t>
  </si>
  <si>
    <t>B000441</t>
  </si>
  <si>
    <t>B000442</t>
  </si>
  <si>
    <t>B000443</t>
  </si>
  <si>
    <t>B000444</t>
  </si>
  <si>
    <t>B000445</t>
  </si>
  <si>
    <t>B000446</t>
  </si>
  <si>
    <t>B000447</t>
  </si>
  <si>
    <t>B000448</t>
  </si>
  <si>
    <t>B000449</t>
  </si>
  <si>
    <t>B000450</t>
  </si>
  <si>
    <t>B000451</t>
  </si>
  <si>
    <t>B000452</t>
  </si>
  <si>
    <t>B000453</t>
  </si>
  <si>
    <t>B000454</t>
  </si>
  <si>
    <t>B000455</t>
  </si>
  <si>
    <t>B000456</t>
  </si>
  <si>
    <t>B000457</t>
  </si>
  <si>
    <t>B000458</t>
  </si>
  <si>
    <t>B000459</t>
  </si>
  <si>
    <t>B000460</t>
  </si>
  <si>
    <t>B000461</t>
  </si>
  <si>
    <t>B000462</t>
  </si>
  <si>
    <t>B000463</t>
  </si>
  <si>
    <t>B000464</t>
  </si>
  <si>
    <t>B000465</t>
  </si>
  <si>
    <t>B000466</t>
  </si>
  <si>
    <t>B000467</t>
  </si>
  <si>
    <t>B000468</t>
  </si>
  <si>
    <t>B000469</t>
  </si>
  <si>
    <t>B000470</t>
  </si>
  <si>
    <t>B000471</t>
  </si>
  <si>
    <t>B000472</t>
  </si>
  <si>
    <t>B000473</t>
  </si>
  <si>
    <t>B000474</t>
  </si>
  <si>
    <t>B000475</t>
  </si>
  <si>
    <t>B000476</t>
  </si>
  <si>
    <t>B000477</t>
  </si>
  <si>
    <t>B000478</t>
  </si>
  <si>
    <t>B000479</t>
  </si>
  <si>
    <t>B000480</t>
  </si>
  <si>
    <t>B000481</t>
  </si>
  <si>
    <t>B000482</t>
  </si>
  <si>
    <t>B000483</t>
  </si>
  <si>
    <t>B000484</t>
  </si>
  <si>
    <t>B000485</t>
  </si>
  <si>
    <t>B000486</t>
  </si>
  <si>
    <t>B000487</t>
  </si>
  <si>
    <t>B000488</t>
  </si>
  <si>
    <t>B000489</t>
  </si>
  <si>
    <t>B000490</t>
  </si>
  <si>
    <t>B000491</t>
  </si>
  <si>
    <t>B000492</t>
  </si>
  <si>
    <t>B000493</t>
  </si>
  <si>
    <t>B000494</t>
  </si>
  <si>
    <t>B000495</t>
  </si>
  <si>
    <t>B000496</t>
  </si>
  <si>
    <t>B000497</t>
  </si>
  <si>
    <t>B000498</t>
  </si>
  <si>
    <t>B000499</t>
  </si>
  <si>
    <t>B000500</t>
  </si>
  <si>
    <t>B000501</t>
  </si>
  <si>
    <t>B000502</t>
  </si>
  <si>
    <t>B000503</t>
  </si>
  <si>
    <t>B000504</t>
  </si>
  <si>
    <t>B000505</t>
  </si>
  <si>
    <t>B000506</t>
  </si>
  <si>
    <t>B000507</t>
  </si>
  <si>
    <t>B000508</t>
  </si>
  <si>
    <t>B000509</t>
  </si>
  <si>
    <t>B000510</t>
  </si>
  <si>
    <t>B000511</t>
  </si>
  <si>
    <t>B000512</t>
  </si>
  <si>
    <t>B000513</t>
  </si>
  <si>
    <t>B000514</t>
  </si>
  <si>
    <t>B000515</t>
  </si>
  <si>
    <t>B000516</t>
  </si>
  <si>
    <t>B000517</t>
  </si>
  <si>
    <t>B000518</t>
  </si>
  <si>
    <t>B000519</t>
  </si>
  <si>
    <t>B000520</t>
  </si>
  <si>
    <t>B000521</t>
  </si>
  <si>
    <t>B000522</t>
  </si>
  <si>
    <t>B000523</t>
  </si>
  <si>
    <t>B000524</t>
  </si>
  <si>
    <t>B000525</t>
  </si>
  <si>
    <t>B000526</t>
  </si>
  <si>
    <t>B000527</t>
  </si>
  <si>
    <t>B000528</t>
  </si>
  <si>
    <t>B000529</t>
  </si>
  <si>
    <t>B000530</t>
  </si>
  <si>
    <t>B000531</t>
  </si>
  <si>
    <t>B000532</t>
  </si>
  <si>
    <t>B000533</t>
  </si>
  <si>
    <t>B000534</t>
  </si>
  <si>
    <t>B000535</t>
  </si>
  <si>
    <t>B000536</t>
  </si>
  <si>
    <t>B000537</t>
  </si>
  <si>
    <t>B000538</t>
  </si>
  <si>
    <t>B000539</t>
  </si>
  <si>
    <t>B000540</t>
  </si>
  <si>
    <t>B000541</t>
  </si>
  <si>
    <t>B000542</t>
  </si>
  <si>
    <t>B000543</t>
  </si>
  <si>
    <t>B000544</t>
  </si>
  <si>
    <t>B000545</t>
  </si>
  <si>
    <t>B000546</t>
  </si>
  <si>
    <t>B000547</t>
  </si>
  <si>
    <t>B000548</t>
  </si>
  <si>
    <t>B000549</t>
  </si>
  <si>
    <t>B000550</t>
  </si>
  <si>
    <t>B000551</t>
  </si>
  <si>
    <t>B000552</t>
  </si>
  <si>
    <t>B000553</t>
  </si>
  <si>
    <t>B000554</t>
  </si>
  <si>
    <t>B000555</t>
  </si>
  <si>
    <t>B000556</t>
  </si>
  <si>
    <t>B000557</t>
  </si>
  <si>
    <t>B000558</t>
  </si>
  <si>
    <t>B000559</t>
  </si>
  <si>
    <t>B000560</t>
  </si>
  <si>
    <t>B000561</t>
  </si>
  <si>
    <t>B000562</t>
  </si>
  <si>
    <t>B000563</t>
  </si>
  <si>
    <t>B000564</t>
  </si>
  <si>
    <t>B000565</t>
  </si>
  <si>
    <t>B000566</t>
  </si>
  <si>
    <t>B000567</t>
  </si>
  <si>
    <t>B000568</t>
  </si>
  <si>
    <t>B000569</t>
  </si>
  <si>
    <t>B000570</t>
  </si>
  <si>
    <t>B000571</t>
  </si>
  <si>
    <t>B000572</t>
  </si>
  <si>
    <t>B000573</t>
  </si>
  <si>
    <t>B000574</t>
  </si>
  <si>
    <t>B000575</t>
  </si>
  <si>
    <t>B000576</t>
  </si>
  <si>
    <t>B000577</t>
  </si>
  <si>
    <t>B000578</t>
  </si>
  <si>
    <t>B000579</t>
  </si>
  <si>
    <t>B000580</t>
  </si>
  <si>
    <t>B000581</t>
  </si>
  <si>
    <t>B000582</t>
  </si>
  <si>
    <t>B000583</t>
  </si>
  <si>
    <t>B000584</t>
  </si>
  <si>
    <t>B000585</t>
  </si>
  <si>
    <t>B000586</t>
  </si>
  <si>
    <t>B000587</t>
  </si>
  <si>
    <t>B000588</t>
  </si>
  <si>
    <t>B000589</t>
  </si>
  <si>
    <t>B000590</t>
  </si>
  <si>
    <t>B000591</t>
  </si>
  <si>
    <t>B000592</t>
  </si>
  <si>
    <t>B000593</t>
  </si>
  <si>
    <t>B000594</t>
  </si>
  <si>
    <t>B000595</t>
  </si>
  <si>
    <t>B000596</t>
  </si>
  <si>
    <t>B000597</t>
  </si>
  <si>
    <t>B000598</t>
  </si>
  <si>
    <t>B000599</t>
  </si>
  <si>
    <t>B000600</t>
  </si>
  <si>
    <t>B000601</t>
  </si>
  <si>
    <t>B000602</t>
  </si>
  <si>
    <t>B000603</t>
  </si>
  <si>
    <t>B000604</t>
  </si>
  <si>
    <t>B000605</t>
  </si>
  <si>
    <t>B000606</t>
  </si>
  <si>
    <t>B000607</t>
  </si>
  <si>
    <t>B000608</t>
  </si>
  <si>
    <t>B000609</t>
  </si>
  <si>
    <t>B000610</t>
  </si>
  <si>
    <t>B000611</t>
  </si>
  <si>
    <t>B000612</t>
  </si>
  <si>
    <t>B000613</t>
  </si>
  <si>
    <t>B000614</t>
  </si>
  <si>
    <t>B000615</t>
  </si>
  <si>
    <t>B000616</t>
  </si>
  <si>
    <t>B000617</t>
  </si>
  <si>
    <t>B000618</t>
  </si>
  <si>
    <t>B000619</t>
  </si>
  <si>
    <t>B000620</t>
  </si>
  <si>
    <t>B000621</t>
  </si>
  <si>
    <t>B000622</t>
  </si>
  <si>
    <t>B000623</t>
  </si>
  <si>
    <t>B000624</t>
  </si>
  <si>
    <t>C000001</t>
  </si>
  <si>
    <t>C000002</t>
  </si>
  <si>
    <t>C000003</t>
  </si>
  <si>
    <t>C000004</t>
  </si>
  <si>
    <t>C000005</t>
  </si>
  <si>
    <t>C000006</t>
  </si>
  <si>
    <t>C000007</t>
  </si>
  <si>
    <t>C000008</t>
  </si>
  <si>
    <t>C000009</t>
  </si>
  <si>
    <t>C000010</t>
  </si>
  <si>
    <t>C000011</t>
  </si>
  <si>
    <t>C000012</t>
  </si>
  <si>
    <t>C000013</t>
  </si>
  <si>
    <t>C000014</t>
  </si>
  <si>
    <t>C000015</t>
  </si>
  <si>
    <t>C000016</t>
  </si>
  <si>
    <t>C000017</t>
  </si>
  <si>
    <t>C000018</t>
  </si>
  <si>
    <t>C000019</t>
  </si>
  <si>
    <t>C000020</t>
  </si>
  <si>
    <t>C000021</t>
  </si>
  <si>
    <t>C000022</t>
  </si>
  <si>
    <t>C000023</t>
  </si>
  <si>
    <t>C000024</t>
  </si>
  <si>
    <t>C000025</t>
  </si>
  <si>
    <t>C000026</t>
  </si>
  <si>
    <t>C000027</t>
  </si>
  <si>
    <t>C000028</t>
  </si>
  <si>
    <t>C000029</t>
  </si>
  <si>
    <t>C000030</t>
  </si>
  <si>
    <t>C000031</t>
  </si>
  <si>
    <t>C000032</t>
  </si>
  <si>
    <t>C000033</t>
  </si>
  <si>
    <t>C000034</t>
  </si>
  <si>
    <t>C000035</t>
  </si>
  <si>
    <t>C000036</t>
  </si>
  <si>
    <t>C000037</t>
  </si>
  <si>
    <t>C000038</t>
  </si>
  <si>
    <t>C000039</t>
  </si>
  <si>
    <t>C000040</t>
  </si>
  <si>
    <t>C000041</t>
  </si>
  <si>
    <t>C000042</t>
  </si>
  <si>
    <t>C000043</t>
  </si>
  <si>
    <t>C000044</t>
  </si>
  <si>
    <t>C000045</t>
  </si>
  <si>
    <t>C000046</t>
  </si>
  <si>
    <t>C000047</t>
  </si>
  <si>
    <t>C000048</t>
  </si>
  <si>
    <t>C000049</t>
  </si>
  <si>
    <t>C000050</t>
  </si>
  <si>
    <t>C000051</t>
  </si>
  <si>
    <t>C000052</t>
  </si>
  <si>
    <t>C000053</t>
  </si>
  <si>
    <t>C000054</t>
  </si>
  <si>
    <t>C000055</t>
  </si>
  <si>
    <t>C000056</t>
  </si>
  <si>
    <t>C000057</t>
  </si>
  <si>
    <t>C000058</t>
  </si>
  <si>
    <t>C000059</t>
  </si>
  <si>
    <t>C000060</t>
  </si>
  <si>
    <t>C000061</t>
  </si>
  <si>
    <t>C000062</t>
  </si>
  <si>
    <t>C000063</t>
  </si>
  <si>
    <t>C000064</t>
  </si>
  <si>
    <t>C000065</t>
  </si>
  <si>
    <t>C000066</t>
  </si>
  <si>
    <t>C000067</t>
  </si>
  <si>
    <t>C000068</t>
  </si>
  <si>
    <t>C000069</t>
  </si>
  <si>
    <t>C000070</t>
  </si>
  <si>
    <t>C000071</t>
  </si>
  <si>
    <t>C000072</t>
  </si>
  <si>
    <t>C000073</t>
  </si>
  <si>
    <t>C000074</t>
  </si>
  <si>
    <t>C000075</t>
  </si>
  <si>
    <t>C000076</t>
  </si>
  <si>
    <t>C000077</t>
  </si>
  <si>
    <t>C000078</t>
  </si>
  <si>
    <t>C000079</t>
  </si>
  <si>
    <t>C000080</t>
  </si>
  <si>
    <t>C000081</t>
  </si>
  <si>
    <t>C000082</t>
  </si>
  <si>
    <t>C000083</t>
  </si>
  <si>
    <t>C000084</t>
  </si>
  <si>
    <t>C000085</t>
  </si>
  <si>
    <t>C000086</t>
  </si>
  <si>
    <t>C000087</t>
  </si>
  <si>
    <t>C000088</t>
  </si>
  <si>
    <t>C000089</t>
  </si>
  <si>
    <t>C000090</t>
  </si>
  <si>
    <t>C000091</t>
  </si>
  <si>
    <t>C000092</t>
  </si>
  <si>
    <t>C000093</t>
  </si>
  <si>
    <t>C000094</t>
  </si>
  <si>
    <t>C000095</t>
  </si>
  <si>
    <t>C000096</t>
  </si>
  <si>
    <t>C000097</t>
  </si>
  <si>
    <t>C000098</t>
  </si>
  <si>
    <t>C000099</t>
  </si>
  <si>
    <t>C000100</t>
  </si>
  <si>
    <t>C000101</t>
  </si>
  <si>
    <t>C000102</t>
  </si>
  <si>
    <t>C000103</t>
  </si>
  <si>
    <t>C000104</t>
  </si>
  <si>
    <t>C000105</t>
  </si>
  <si>
    <t>C000106</t>
  </si>
  <si>
    <t>C000107</t>
  </si>
  <si>
    <t>C000108</t>
  </si>
  <si>
    <t>C000109</t>
  </si>
  <si>
    <t>C000110</t>
  </si>
  <si>
    <t>C000111</t>
  </si>
  <si>
    <t>C000112</t>
  </si>
  <si>
    <t>C000113</t>
  </si>
  <si>
    <t>C000114</t>
  </si>
  <si>
    <t>C000115</t>
  </si>
  <si>
    <t>C000116</t>
  </si>
  <si>
    <t>C000117</t>
  </si>
  <si>
    <t>C000118</t>
  </si>
  <si>
    <t>C000119</t>
  </si>
  <si>
    <t>C000120</t>
  </si>
  <si>
    <t>C000121</t>
  </si>
  <si>
    <t>C000122</t>
  </si>
  <si>
    <t>C000123</t>
  </si>
  <si>
    <t>C000124</t>
  </si>
  <si>
    <t>C000125</t>
  </si>
  <si>
    <t>C000126</t>
  </si>
  <si>
    <t>C000127</t>
  </si>
  <si>
    <t>C000128</t>
  </si>
  <si>
    <t>C000129</t>
  </si>
  <si>
    <t>C000130</t>
  </si>
  <si>
    <t>C000131</t>
  </si>
  <si>
    <t>C000132</t>
  </si>
  <si>
    <t>C000133</t>
  </si>
  <si>
    <t>C000134</t>
  </si>
  <si>
    <t>C000135</t>
  </si>
  <si>
    <t>C000136</t>
  </si>
  <si>
    <t>C000137</t>
  </si>
  <si>
    <t>C000138</t>
  </si>
  <si>
    <t>C000139</t>
  </si>
  <si>
    <t>C000140</t>
  </si>
  <si>
    <t>C000141</t>
  </si>
  <si>
    <t>C000142</t>
  </si>
  <si>
    <t>C000143</t>
  </si>
  <si>
    <t>C000144</t>
  </si>
  <si>
    <t>C000145</t>
  </si>
  <si>
    <t>C000146</t>
  </si>
  <si>
    <t>C000147</t>
  </si>
  <si>
    <t>C000148</t>
  </si>
  <si>
    <t>C000149</t>
  </si>
  <si>
    <t>C000150</t>
  </si>
  <si>
    <t>C000151</t>
  </si>
  <si>
    <t>C000152</t>
  </si>
  <si>
    <t>C000153</t>
  </si>
  <si>
    <t>C000154</t>
  </si>
  <si>
    <t>C000155</t>
  </si>
  <si>
    <t>C000156</t>
  </si>
  <si>
    <t>C000157</t>
  </si>
  <si>
    <t>C000158</t>
  </si>
  <si>
    <t>C000159</t>
  </si>
  <si>
    <t>C000160</t>
  </si>
  <si>
    <t>C000161</t>
  </si>
  <si>
    <t>C000162</t>
  </si>
  <si>
    <t>C000163</t>
  </si>
  <si>
    <t>C000164</t>
  </si>
  <si>
    <t>C000165</t>
  </si>
  <si>
    <t>C000166</t>
  </si>
  <si>
    <t>C000167</t>
  </si>
  <si>
    <t>C000168</t>
  </si>
  <si>
    <t>C000169</t>
  </si>
  <si>
    <t>C000170</t>
  </si>
  <si>
    <t>C000171</t>
  </si>
  <si>
    <t>C000172</t>
  </si>
  <si>
    <t>C000173</t>
  </si>
  <si>
    <t>C000174</t>
  </si>
  <si>
    <t>C000175</t>
  </si>
  <si>
    <t>C000176</t>
  </si>
  <si>
    <t>C000177</t>
  </si>
  <si>
    <t>C000178</t>
  </si>
  <si>
    <t>C000179</t>
  </si>
  <si>
    <t>C000180</t>
  </si>
  <si>
    <t>C000181</t>
  </si>
  <si>
    <t>C000182</t>
  </si>
  <si>
    <t>C000183</t>
  </si>
  <si>
    <t>C000184</t>
  </si>
  <si>
    <t>C000185</t>
  </si>
  <si>
    <t>C000186</t>
  </si>
  <si>
    <t>C000187</t>
  </si>
  <si>
    <t>C000188</t>
  </si>
  <si>
    <t>C000189</t>
  </si>
  <si>
    <t>C000190</t>
  </si>
  <si>
    <t>C000191</t>
  </si>
  <si>
    <t>C000192</t>
  </si>
  <si>
    <t>C000193</t>
  </si>
  <si>
    <t>C000194</t>
  </si>
  <si>
    <t>C000195</t>
  </si>
  <si>
    <t>C000196</t>
  </si>
  <si>
    <t>C000197</t>
  </si>
  <si>
    <t>C000198</t>
  </si>
  <si>
    <t>C000199</t>
  </si>
  <si>
    <t>C000200</t>
  </si>
  <si>
    <t>C000201</t>
  </si>
  <si>
    <t>C000202</t>
  </si>
  <si>
    <t>C000203</t>
  </si>
  <si>
    <t>C000204</t>
  </si>
  <si>
    <t>C000205</t>
  </si>
  <si>
    <t>C000206</t>
  </si>
  <si>
    <t>C000207</t>
  </si>
  <si>
    <t>C000208</t>
  </si>
  <si>
    <t>C000209</t>
  </si>
  <si>
    <t>C000210</t>
  </si>
  <si>
    <t>C000211</t>
  </si>
  <si>
    <t>C000212</t>
  </si>
  <si>
    <t>C000213</t>
  </si>
  <si>
    <t>C000214</t>
  </si>
  <si>
    <t>C000215</t>
  </si>
  <si>
    <t>C000216</t>
  </si>
  <si>
    <t>C000217</t>
  </si>
  <si>
    <t>C000218</t>
  </si>
  <si>
    <t>C000219</t>
  </si>
  <si>
    <t>C000220</t>
  </si>
  <si>
    <t>C000221</t>
  </si>
  <si>
    <t>C000222</t>
  </si>
  <si>
    <t>C000223</t>
  </si>
  <si>
    <t>C000224</t>
  </si>
  <si>
    <t>C000225</t>
  </si>
  <si>
    <t>C000226</t>
  </si>
  <si>
    <t>C000227</t>
  </si>
  <si>
    <t>C000228</t>
  </si>
  <si>
    <t>C000229</t>
  </si>
  <si>
    <t>C000230</t>
  </si>
  <si>
    <t>C000231</t>
  </si>
  <si>
    <t>C000232</t>
  </si>
  <si>
    <t>C000233</t>
  </si>
  <si>
    <t>C000234</t>
  </si>
  <si>
    <t>C000235</t>
  </si>
  <si>
    <t>C000236</t>
  </si>
  <si>
    <t>C000237</t>
  </si>
  <si>
    <t>C000238</t>
  </si>
  <si>
    <t>C000239</t>
  </si>
  <si>
    <t>C000240</t>
  </si>
  <si>
    <t>C000241</t>
  </si>
  <si>
    <t>C000242</t>
  </si>
  <si>
    <t>C000243</t>
  </si>
  <si>
    <t>C000244</t>
  </si>
  <si>
    <t>C000245</t>
  </si>
  <si>
    <t>C000246</t>
  </si>
  <si>
    <t>C000247</t>
  </si>
  <si>
    <t>C000248</t>
  </si>
  <si>
    <t>C000249</t>
  </si>
  <si>
    <t>C000250</t>
  </si>
  <si>
    <t>C000251</t>
  </si>
  <si>
    <t>C000252</t>
  </si>
  <si>
    <t>C000253</t>
  </si>
  <si>
    <t>C000254</t>
  </si>
  <si>
    <t>C000255</t>
  </si>
  <si>
    <t>C000256</t>
  </si>
  <si>
    <t>C000257</t>
  </si>
  <si>
    <t>C000258</t>
  </si>
  <si>
    <t>C000259</t>
  </si>
  <si>
    <t>C000260</t>
  </si>
  <si>
    <t>C000261</t>
  </si>
  <si>
    <t>C000262</t>
  </si>
  <si>
    <t>C000263</t>
  </si>
  <si>
    <t>C000264</t>
  </si>
  <si>
    <t>C000265</t>
  </si>
  <si>
    <t>C000266</t>
  </si>
  <si>
    <t>C000267</t>
  </si>
  <si>
    <t>C000268</t>
  </si>
  <si>
    <t>C000269</t>
  </si>
  <si>
    <t>C000270</t>
  </si>
  <si>
    <t>C000271</t>
  </si>
  <si>
    <t>C000272</t>
  </si>
  <si>
    <t>C000273</t>
  </si>
  <si>
    <t>C000274</t>
  </si>
  <si>
    <t>C000275</t>
  </si>
  <si>
    <t>C000276</t>
  </si>
  <si>
    <t>C000277</t>
  </si>
  <si>
    <t>C000278</t>
  </si>
  <si>
    <t>C000279</t>
  </si>
  <si>
    <t>C000280</t>
  </si>
  <si>
    <t>C000281</t>
  </si>
  <si>
    <t>C000282</t>
  </si>
  <si>
    <t>C000283</t>
  </si>
  <si>
    <t>C000284</t>
  </si>
  <si>
    <t>C000285</t>
  </si>
  <si>
    <t>C000286</t>
  </si>
  <si>
    <t>C000287</t>
  </si>
  <si>
    <t>C000288</t>
  </si>
  <si>
    <t>C000289</t>
  </si>
  <si>
    <t>C000290</t>
  </si>
  <si>
    <t>C000291</t>
  </si>
  <si>
    <t>C000292</t>
  </si>
  <si>
    <t>D000001</t>
  </si>
  <si>
    <t>D000002</t>
  </si>
  <si>
    <t>D000003</t>
  </si>
  <si>
    <t>D000004</t>
  </si>
  <si>
    <t>D000005</t>
  </si>
  <si>
    <t>D000006</t>
  </si>
  <si>
    <t>D000007</t>
  </si>
  <si>
    <t>D000008</t>
  </si>
  <si>
    <t>D000009</t>
  </si>
  <si>
    <t>D000010</t>
  </si>
  <si>
    <t>D000011</t>
  </si>
  <si>
    <t>D000012</t>
  </si>
  <si>
    <t>D000013</t>
  </si>
  <si>
    <t>D000014</t>
  </si>
  <si>
    <t>D000015</t>
  </si>
  <si>
    <t>D000016</t>
  </si>
  <si>
    <t>D000017</t>
  </si>
  <si>
    <t>D000018</t>
  </si>
  <si>
    <t>D000019</t>
  </si>
  <si>
    <t>D000020</t>
  </si>
  <si>
    <t>D000021</t>
  </si>
  <si>
    <t>D000022</t>
  </si>
  <si>
    <t>D000023</t>
  </si>
  <si>
    <t>D000024</t>
  </si>
  <si>
    <t>D000025</t>
  </si>
  <si>
    <t>D000026</t>
  </si>
  <si>
    <t>D000027</t>
  </si>
  <si>
    <t>D000028</t>
  </si>
  <si>
    <t>D000029</t>
  </si>
  <si>
    <t>D000030</t>
  </si>
  <si>
    <t>D000031</t>
  </si>
  <si>
    <t>D000032</t>
  </si>
  <si>
    <t>D000033</t>
  </si>
  <si>
    <t>D000034</t>
  </si>
  <si>
    <t>D000035</t>
  </si>
  <si>
    <t>D000036</t>
  </si>
  <si>
    <t>D000037</t>
  </si>
  <si>
    <t>D000038</t>
  </si>
  <si>
    <t>D000039</t>
  </si>
  <si>
    <t>D000040</t>
  </si>
  <si>
    <t>D000041</t>
  </si>
  <si>
    <t>D000042</t>
  </si>
  <si>
    <t>D000043</t>
  </si>
  <si>
    <t>D000044</t>
  </si>
  <si>
    <t>D000045</t>
  </si>
  <si>
    <t>D000046</t>
  </si>
  <si>
    <t>D000047</t>
  </si>
  <si>
    <t>D000048</t>
  </si>
  <si>
    <t>D000049</t>
  </si>
  <si>
    <t>D000050</t>
  </si>
  <si>
    <t>D000051</t>
  </si>
  <si>
    <t>D000052</t>
  </si>
  <si>
    <t>D000053</t>
  </si>
  <si>
    <t>D000054</t>
  </si>
  <si>
    <t>D000055</t>
  </si>
  <si>
    <t>D000056</t>
  </si>
  <si>
    <t>D000057</t>
  </si>
  <si>
    <t>D000058</t>
  </si>
  <si>
    <t>D000059</t>
  </si>
  <si>
    <t>D000060</t>
  </si>
  <si>
    <t>D000061</t>
  </si>
  <si>
    <t>D000062</t>
  </si>
  <si>
    <t>D000063</t>
  </si>
  <si>
    <t>D000064</t>
  </si>
  <si>
    <t>D000065</t>
  </si>
  <si>
    <t>D000066</t>
  </si>
  <si>
    <t>D000067</t>
  </si>
  <si>
    <t>D000068</t>
  </si>
  <si>
    <t>D000069</t>
  </si>
  <si>
    <t>D000070</t>
  </si>
  <si>
    <t>D000071</t>
  </si>
  <si>
    <t>D000072</t>
  </si>
  <si>
    <t>D000073</t>
  </si>
  <si>
    <t>D000074</t>
  </si>
  <si>
    <t>D000075</t>
  </si>
  <si>
    <t>D000076</t>
  </si>
  <si>
    <t>D000077</t>
  </si>
  <si>
    <t>D000078</t>
  </si>
  <si>
    <t>D000079</t>
  </si>
  <si>
    <t>D000080</t>
  </si>
  <si>
    <t>D000081</t>
  </si>
  <si>
    <t>D000082</t>
  </si>
  <si>
    <t>D000083</t>
  </si>
  <si>
    <t>D000084</t>
  </si>
  <si>
    <t>D000085</t>
  </si>
  <si>
    <t>D000086</t>
  </si>
  <si>
    <t>D000087</t>
  </si>
  <si>
    <t>D000088</t>
  </si>
  <si>
    <t>D000089</t>
  </si>
  <si>
    <t>D000090</t>
  </si>
  <si>
    <t>D000091</t>
  </si>
  <si>
    <t>D000092</t>
  </si>
  <si>
    <t>D000093</t>
  </si>
  <si>
    <t>D000094</t>
  </si>
  <si>
    <t>D000095</t>
  </si>
  <si>
    <t>D000096</t>
  </si>
  <si>
    <t>D000097</t>
  </si>
  <si>
    <t>D000098</t>
  </si>
  <si>
    <t>D000099</t>
  </si>
  <si>
    <t>D000100</t>
  </si>
  <si>
    <t>D000101</t>
  </si>
  <si>
    <t>D000102</t>
  </si>
  <si>
    <t>D000103</t>
  </si>
  <si>
    <t>D000104</t>
  </si>
  <si>
    <t>D000105</t>
  </si>
  <si>
    <t>D000106</t>
  </si>
  <si>
    <t>D000107</t>
  </si>
  <si>
    <t>D000108</t>
  </si>
  <si>
    <t>D000109</t>
  </si>
  <si>
    <t>D000110</t>
  </si>
  <si>
    <t>D000111</t>
  </si>
  <si>
    <t>D000112</t>
  </si>
  <si>
    <t>D000113</t>
  </si>
  <si>
    <t>D000114</t>
  </si>
  <si>
    <t>D000115</t>
  </si>
  <si>
    <t>D000116</t>
  </si>
  <si>
    <t>D000117</t>
  </si>
  <si>
    <t>D000118</t>
  </si>
  <si>
    <t>D000119</t>
  </si>
  <si>
    <t>D000120</t>
  </si>
  <si>
    <t>D000121</t>
  </si>
  <si>
    <t>D000122</t>
  </si>
  <si>
    <t>D000123</t>
  </si>
  <si>
    <t>D000124</t>
  </si>
  <si>
    <t>D000125</t>
  </si>
  <si>
    <t>D000126</t>
  </si>
  <si>
    <t>D000127</t>
  </si>
  <si>
    <t>D000128</t>
  </si>
  <si>
    <t>D000129</t>
  </si>
  <si>
    <t>D000130</t>
  </si>
  <si>
    <t>D000131</t>
  </si>
  <si>
    <t>D000132</t>
  </si>
  <si>
    <t>D000133</t>
  </si>
  <si>
    <t>D000134</t>
  </si>
  <si>
    <t>D000135</t>
  </si>
  <si>
    <t>D000136</t>
  </si>
  <si>
    <t>D000137</t>
  </si>
  <si>
    <t>D000138</t>
  </si>
  <si>
    <t>D000139</t>
  </si>
  <si>
    <t>D000140</t>
  </si>
  <si>
    <t>D000141</t>
  </si>
  <si>
    <t>D000142</t>
  </si>
  <si>
    <t>D000143</t>
  </si>
  <si>
    <t>D000144</t>
  </si>
  <si>
    <t>D000145</t>
  </si>
  <si>
    <t>D000146</t>
  </si>
  <si>
    <t>D000147</t>
  </si>
  <si>
    <t>D000148</t>
  </si>
  <si>
    <t>D000149</t>
  </si>
  <si>
    <t>D000150</t>
  </si>
  <si>
    <t>D000151</t>
  </si>
  <si>
    <t>D000152</t>
  </si>
  <si>
    <t>D000153</t>
  </si>
  <si>
    <t>D000154</t>
  </si>
  <si>
    <t>D000155</t>
  </si>
  <si>
    <t>D000156</t>
  </si>
  <si>
    <t>D000157</t>
  </si>
  <si>
    <t>D000158</t>
  </si>
  <si>
    <t>D000159</t>
  </si>
  <si>
    <t>D000160</t>
  </si>
  <si>
    <t>D000161</t>
  </si>
  <si>
    <t>D000162</t>
  </si>
  <si>
    <t>D000163</t>
  </si>
  <si>
    <t>D000164</t>
  </si>
  <si>
    <t>D000165</t>
  </si>
  <si>
    <t>D000166</t>
  </si>
  <si>
    <t>D000167</t>
  </si>
  <si>
    <t>D000168</t>
  </si>
  <si>
    <t>D000169</t>
  </si>
  <si>
    <t>D000170</t>
  </si>
  <si>
    <t>D000171</t>
  </si>
  <si>
    <t>D000172</t>
  </si>
  <si>
    <t>D000173</t>
  </si>
  <si>
    <t>D000174</t>
  </si>
  <si>
    <t>D000175</t>
  </si>
  <si>
    <t>D000176</t>
  </si>
  <si>
    <t>D000177</t>
  </si>
  <si>
    <t>D000178</t>
  </si>
  <si>
    <t>D000179</t>
  </si>
  <si>
    <t>D000180</t>
  </si>
  <si>
    <t>D000181</t>
  </si>
  <si>
    <t>D000182</t>
  </si>
  <si>
    <t>D000183</t>
  </si>
  <si>
    <t>D000184</t>
  </si>
  <si>
    <t>D000185</t>
  </si>
  <si>
    <t>D000186</t>
  </si>
  <si>
    <t>D000187</t>
  </si>
  <si>
    <t>D000188</t>
  </si>
  <si>
    <t>D000189</t>
  </si>
  <si>
    <t>D000190</t>
  </si>
  <si>
    <t>D000191</t>
  </si>
  <si>
    <t>D000192</t>
  </si>
  <si>
    <t>D000193</t>
  </si>
  <si>
    <t>D000194</t>
  </si>
  <si>
    <t>D000195</t>
  </si>
  <si>
    <t>D000196</t>
  </si>
  <si>
    <t>D000197</t>
  </si>
  <si>
    <t>D000198</t>
  </si>
  <si>
    <t>D000199</t>
  </si>
  <si>
    <t>D000200</t>
  </si>
  <si>
    <t>D000201</t>
  </si>
  <si>
    <t>D000202</t>
  </si>
  <si>
    <t>D000203</t>
  </si>
  <si>
    <t>D000204</t>
  </si>
  <si>
    <t>D000205</t>
  </si>
  <si>
    <t>D000206</t>
  </si>
  <si>
    <t>D000207</t>
  </si>
  <si>
    <t>D000208</t>
  </si>
  <si>
    <t>D000209</t>
  </si>
  <si>
    <t>D000210</t>
  </si>
  <si>
    <t>D000211</t>
  </si>
  <si>
    <t>D000212</t>
  </si>
  <si>
    <t>D000213</t>
  </si>
  <si>
    <t>D000214</t>
  </si>
  <si>
    <t>D000215</t>
  </si>
  <si>
    <t>D000216</t>
  </si>
  <si>
    <t>D000217</t>
  </si>
  <si>
    <t>D000218</t>
  </si>
  <si>
    <t>D000219</t>
  </si>
  <si>
    <t>D000220</t>
  </si>
  <si>
    <t>D000221</t>
  </si>
  <si>
    <t>D000222</t>
  </si>
  <si>
    <t>D000223</t>
  </si>
  <si>
    <t>D000224</t>
  </si>
  <si>
    <t>D000225</t>
  </si>
  <si>
    <t>D000226</t>
  </si>
  <si>
    <t>D000227</t>
  </si>
  <si>
    <t>D000228</t>
  </si>
  <si>
    <t>D000229</t>
  </si>
  <si>
    <t>D000230</t>
  </si>
  <si>
    <t>D000231</t>
  </si>
  <si>
    <t>D000232</t>
  </si>
  <si>
    <t>D000233</t>
  </si>
  <si>
    <t>D000234</t>
  </si>
  <si>
    <t>D000235</t>
  </si>
  <si>
    <t>D000236</t>
  </si>
  <si>
    <t>D000237</t>
  </si>
  <si>
    <t>D000238</t>
  </si>
  <si>
    <t>D000239</t>
  </si>
  <si>
    <t>D000240</t>
  </si>
  <si>
    <t>D000241</t>
  </si>
  <si>
    <t>D000242</t>
  </si>
  <si>
    <t>D000243</t>
  </si>
  <si>
    <t>D000244</t>
  </si>
  <si>
    <t>D000245</t>
  </si>
  <si>
    <t>D000246</t>
  </si>
  <si>
    <t>D000247</t>
  </si>
  <si>
    <t>D000248</t>
  </si>
  <si>
    <t>D000249</t>
  </si>
  <si>
    <t>D000250</t>
  </si>
  <si>
    <t>D000251</t>
  </si>
  <si>
    <t>D000252</t>
  </si>
  <si>
    <t>D000253</t>
  </si>
  <si>
    <t>D000254</t>
  </si>
  <si>
    <t>D000255</t>
  </si>
  <si>
    <t>D000256</t>
  </si>
  <si>
    <t>D000257</t>
  </si>
  <si>
    <t>D000258</t>
  </si>
  <si>
    <t>D000259</t>
  </si>
  <si>
    <t>D000260</t>
  </si>
  <si>
    <t>D000261</t>
  </si>
  <si>
    <t>D000262</t>
  </si>
  <si>
    <t>D000263</t>
  </si>
  <si>
    <t>D000264</t>
  </si>
  <si>
    <t>D000265</t>
  </si>
  <si>
    <t>D000266</t>
  </si>
  <si>
    <t>D000267</t>
  </si>
  <si>
    <t>D000268</t>
  </si>
  <si>
    <t>D000269</t>
  </si>
  <si>
    <t>D000270</t>
  </si>
  <si>
    <t>D000271</t>
  </si>
  <si>
    <t>D000272</t>
  </si>
  <si>
    <t>D000273</t>
  </si>
  <si>
    <t>D000274</t>
  </si>
  <si>
    <t>D000275</t>
  </si>
  <si>
    <t>D000276</t>
  </si>
  <si>
    <t>D000277</t>
  </si>
  <si>
    <t>D000278</t>
  </si>
  <si>
    <t>D000279</t>
  </si>
  <si>
    <t>D000280</t>
  </si>
  <si>
    <t>D000281</t>
  </si>
  <si>
    <t>D000282</t>
  </si>
  <si>
    <t xml:space="preserve">كود الصنف </t>
  </si>
  <si>
    <t xml:space="preserve"> 2"-3" PPR مخفض</t>
  </si>
  <si>
    <t>B-16</t>
  </si>
  <si>
    <t>B-6 + F-2</t>
  </si>
  <si>
    <t>F-16 + F-12</t>
  </si>
  <si>
    <t xml:space="preserve">Ring بلف تبريد البلور </t>
  </si>
  <si>
    <t>D-20</t>
  </si>
  <si>
    <t>D-15</t>
  </si>
  <si>
    <t>P-2</t>
  </si>
  <si>
    <t>P-3</t>
  </si>
  <si>
    <t>P-7</t>
  </si>
  <si>
    <t>P-1</t>
  </si>
  <si>
    <t>80*110*19</t>
  </si>
  <si>
    <t>فلتر هواء 5458596+ch11217</t>
  </si>
  <si>
    <t>K-19</t>
  </si>
  <si>
    <t>K-23</t>
  </si>
  <si>
    <t>K-23+الساحه</t>
  </si>
  <si>
    <t>ترس مقاسات مختلفة</t>
  </si>
  <si>
    <t>محول  132KW</t>
  </si>
  <si>
    <t xml:space="preserve">طبلون الكسارة الكون   </t>
  </si>
  <si>
    <t>فلاتر كربون (شمعة)</t>
  </si>
  <si>
    <t>كتل كسارة الوسيط</t>
  </si>
  <si>
    <t xml:space="preserve"> جهاز تامين سيور المصنع</t>
  </si>
  <si>
    <t>وش راس كمبرسون (المعمل)</t>
  </si>
  <si>
    <t>ترانس 160KW</t>
  </si>
  <si>
    <t>ترانس 360A</t>
  </si>
  <si>
    <t>طلمبة هايدروليك مخرطه</t>
  </si>
  <si>
    <t xml:space="preserve">الواح طاقه شمسية </t>
  </si>
  <si>
    <t>شاشات مولد660</t>
  </si>
  <si>
    <t>A-18+R</t>
  </si>
  <si>
    <t>C-2/C-3</t>
  </si>
  <si>
    <t>بريكر 16</t>
  </si>
  <si>
    <t>D-4/D-5</t>
  </si>
  <si>
    <t>E-13</t>
  </si>
  <si>
    <t>مقاعد ريلى ( 10 -14 ) ارجل</t>
  </si>
  <si>
    <t xml:space="preserve">كيبل فلكسيبول 4ملى </t>
  </si>
  <si>
    <t>الساحه 2</t>
  </si>
  <si>
    <t>سوكت خماسي 100  -  ( 1 خط )</t>
  </si>
  <si>
    <t>خرطوش 1بوصة (عب الواطه)</t>
  </si>
  <si>
    <t>حساس موتور مياة (1-بوصه)</t>
  </si>
  <si>
    <t>نبل استيل 1.1/2"</t>
  </si>
  <si>
    <t>H913810 DB / H913849</t>
  </si>
  <si>
    <t>مسامير لانكي 7.5 طول 33 سم</t>
  </si>
  <si>
    <t>D - 15</t>
  </si>
  <si>
    <t>G - 3</t>
  </si>
  <si>
    <t>P-9</t>
  </si>
  <si>
    <t>G-0-10</t>
  </si>
  <si>
    <t>G-0-11/G-0-13</t>
  </si>
  <si>
    <t>H-0-2/B-1</t>
  </si>
  <si>
    <t>جلب نحاس الثكنر(طقم)</t>
  </si>
  <si>
    <t>K-20</t>
  </si>
  <si>
    <t>H-4</t>
  </si>
  <si>
    <t>K-22</t>
  </si>
  <si>
    <t>K-21</t>
  </si>
  <si>
    <t>K-19/K-20</t>
  </si>
  <si>
    <t>R/B-11</t>
  </si>
  <si>
    <t>اسبليت+شباك</t>
  </si>
  <si>
    <t>E1/E7/E13</t>
  </si>
  <si>
    <t xml:space="preserve"> فرن صهر(كامل)</t>
  </si>
  <si>
    <t>K-7</t>
  </si>
  <si>
    <t>اوتماتيك (محتط التحلية3/4)</t>
  </si>
  <si>
    <t>محتة التحلية</t>
  </si>
  <si>
    <t xml:space="preserve">1"-3\4 جلبة حديد مخفض </t>
  </si>
  <si>
    <t>B -9</t>
  </si>
  <si>
    <t>GG25 PN-16</t>
  </si>
  <si>
    <t>بلف فراشة وسط</t>
  </si>
  <si>
    <t>H-0-7</t>
  </si>
  <si>
    <t>فرعي1</t>
  </si>
  <si>
    <t>H-2</t>
  </si>
  <si>
    <t>فرعي2</t>
  </si>
  <si>
    <t>D-17/D21</t>
  </si>
  <si>
    <t>مكرر</t>
  </si>
  <si>
    <t>مراوح شفط 30*30</t>
  </si>
  <si>
    <t>جلبة مخفض سنه خارجية حديد 2-4</t>
  </si>
  <si>
    <t>"2" PPR جلبة سنة خارجية</t>
  </si>
  <si>
    <t>الحاويه</t>
  </si>
  <si>
    <t xml:space="preserve">سيخ 3 لينيا </t>
  </si>
  <si>
    <t xml:space="preserve">عمود هزاز الكسارة </t>
  </si>
  <si>
    <t>الساحة"1+2"</t>
  </si>
  <si>
    <t>فرعي (2+1)</t>
  </si>
  <si>
    <t xml:space="preserve">2"-3 جلبة حديد مخفض </t>
  </si>
  <si>
    <t>3"  PPR جلبة سنة داخلية</t>
  </si>
  <si>
    <t>طلمبة شفط مياة المنجم</t>
  </si>
  <si>
    <t>قضب نحاس دائري قطر 3.5cm</t>
  </si>
  <si>
    <t xml:space="preserve">  المكتب</t>
  </si>
  <si>
    <t>G-0-3</t>
  </si>
  <si>
    <t xml:space="preserve">جهاز تبريد فرن الصهر </t>
  </si>
  <si>
    <t>طلمبة دخ التحلية -12W-220VAC-50HZ</t>
  </si>
  <si>
    <t>الرئسي-الدرج</t>
  </si>
  <si>
    <t>الرئسي+الساحه 2</t>
  </si>
  <si>
    <t xml:space="preserve"> توفلن عازل ( اقطاب الخلية ) (طقم)</t>
  </si>
  <si>
    <t>سير B - 80</t>
  </si>
  <si>
    <t>رداخ 3"</t>
  </si>
  <si>
    <t xml:space="preserve"> منظم ضغط الكسارة </t>
  </si>
  <si>
    <t xml:space="preserve"> موتور 22KW   2960</t>
  </si>
  <si>
    <t>مفتاح 26 استاندر+بلدي</t>
  </si>
  <si>
    <t>مفتاح انجليزي 24</t>
  </si>
  <si>
    <t>مفتاح بلدي 20-22</t>
  </si>
  <si>
    <t xml:space="preserve">جركانة </t>
  </si>
  <si>
    <t>K-12 + R</t>
  </si>
  <si>
    <t>جلب نحاس (الكسارة الكون 2)</t>
  </si>
  <si>
    <t xml:space="preserve">جلبة نحاس حجر الكسارة المتحرك </t>
  </si>
  <si>
    <t>220*250*16</t>
  </si>
  <si>
    <t>الفعلي</t>
  </si>
  <si>
    <t>الفلي</t>
  </si>
  <si>
    <t>سنتمتر</t>
  </si>
  <si>
    <t xml:space="preserve">تقرير المخزن يناير 2026 </t>
  </si>
  <si>
    <t>يناير 2026</t>
  </si>
  <si>
    <t>2026 يناير</t>
  </si>
  <si>
    <t>25493</t>
  </si>
  <si>
    <t xml:space="preserve">الفرعي </t>
  </si>
  <si>
    <t xml:space="preserve">عصام حمد </t>
  </si>
  <si>
    <t xml:space="preserve">سايكلون الطواحين </t>
  </si>
  <si>
    <t xml:space="preserve">طلمبة الفلتر </t>
  </si>
  <si>
    <t xml:space="preserve">السكن </t>
  </si>
  <si>
    <t xml:space="preserve">التنوكة </t>
  </si>
  <si>
    <t>25494</t>
  </si>
  <si>
    <t>مهند يوسف</t>
  </si>
  <si>
    <t>الفلتر</t>
  </si>
  <si>
    <t>25495</t>
  </si>
  <si>
    <t>الكمبرسون</t>
  </si>
  <si>
    <t xml:space="preserve">خط الكسارة </t>
  </si>
  <si>
    <t>25496</t>
  </si>
  <si>
    <t xml:space="preserve">الحدادة </t>
  </si>
  <si>
    <t>25497</t>
  </si>
  <si>
    <t>طلمبة الفريش</t>
  </si>
  <si>
    <t xml:space="preserve">البلور </t>
  </si>
  <si>
    <t xml:space="preserve">مخزن الزيوت + الفريش </t>
  </si>
  <si>
    <t>25498</t>
  </si>
  <si>
    <t xml:space="preserve">الكسارة </t>
  </si>
  <si>
    <t xml:space="preserve">اسكرين التنوكة </t>
  </si>
  <si>
    <t>25499</t>
  </si>
  <si>
    <t xml:space="preserve">طلمبة الريسايكل </t>
  </si>
  <si>
    <t xml:space="preserve">مخزن الزيوت   </t>
  </si>
  <si>
    <t>25500</t>
  </si>
  <si>
    <t xml:space="preserve">طلمبة الريسايكل الغاطسة </t>
  </si>
  <si>
    <t xml:space="preserve">سير الكسارة </t>
  </si>
  <si>
    <t>مولد رقم 1</t>
  </si>
  <si>
    <t>25502</t>
  </si>
  <si>
    <t xml:space="preserve">حمامات المصنع </t>
  </si>
  <si>
    <t>25503</t>
  </si>
  <si>
    <t xml:space="preserve">الطوحين </t>
  </si>
  <si>
    <t>25504</t>
  </si>
  <si>
    <t xml:space="preserve">ورشة الاليات </t>
  </si>
  <si>
    <t>25505</t>
  </si>
  <si>
    <t>تنك 8</t>
  </si>
  <si>
    <t xml:space="preserve">الطواحين + التنوكة </t>
  </si>
  <si>
    <t xml:space="preserve">طلمبة الطواحين </t>
  </si>
  <si>
    <t xml:space="preserve">الطلمبة الغاطسة </t>
  </si>
  <si>
    <t>25506</t>
  </si>
  <si>
    <t xml:space="preserve">ابوبكر محمد </t>
  </si>
  <si>
    <t xml:space="preserve">موقد الخلية </t>
  </si>
  <si>
    <t>25507</t>
  </si>
  <si>
    <t xml:space="preserve">هاشم فتح الرحمن </t>
  </si>
  <si>
    <t xml:space="preserve">ماكينة قطع عينات الكور </t>
  </si>
  <si>
    <t>25508</t>
  </si>
  <si>
    <t xml:space="preserve">زهير الصادق </t>
  </si>
  <si>
    <t xml:space="preserve">الخدمات الادارية - عهدة شخصية </t>
  </si>
  <si>
    <t>25509</t>
  </si>
  <si>
    <t xml:space="preserve">نابغ عبدالغني </t>
  </si>
  <si>
    <t>25510</t>
  </si>
  <si>
    <t xml:space="preserve">خط الجاز </t>
  </si>
  <si>
    <t>25511</t>
  </si>
  <si>
    <t>25512</t>
  </si>
  <si>
    <t xml:space="preserve">حسن فيصل </t>
  </si>
  <si>
    <t xml:space="preserve">الانشاءات </t>
  </si>
  <si>
    <t>25513</t>
  </si>
  <si>
    <t>25514</t>
  </si>
  <si>
    <t>25515</t>
  </si>
  <si>
    <t xml:space="preserve">مولد رقم 7 </t>
  </si>
  <si>
    <t>25516</t>
  </si>
  <si>
    <t xml:space="preserve">مهند يوسف </t>
  </si>
  <si>
    <t>موتور جربوكس تنك 8</t>
  </si>
  <si>
    <t xml:space="preserve">الموتورات </t>
  </si>
  <si>
    <t>25517</t>
  </si>
  <si>
    <t xml:space="preserve">طلمبة الفريش </t>
  </si>
  <si>
    <t xml:space="preserve">خط الجاز + طلمبة الفريش </t>
  </si>
  <si>
    <t xml:space="preserve">السايكلون </t>
  </si>
  <si>
    <t xml:space="preserve">هزاز الكسارة </t>
  </si>
  <si>
    <t>25518</t>
  </si>
  <si>
    <t xml:space="preserve">جربوكس تنك 8 </t>
  </si>
  <si>
    <t>25519</t>
  </si>
  <si>
    <t xml:space="preserve">خط الفلوك </t>
  </si>
  <si>
    <t>25520</t>
  </si>
  <si>
    <t>25521</t>
  </si>
  <si>
    <t>السايكلون + جربوكس تنك 8</t>
  </si>
  <si>
    <t>25522</t>
  </si>
  <si>
    <t>توفلن هيتر الخليه</t>
  </si>
  <si>
    <t>25525</t>
  </si>
  <si>
    <t>25526</t>
  </si>
  <si>
    <t>تنك السيانيد</t>
  </si>
  <si>
    <t>25527</t>
  </si>
  <si>
    <t xml:space="preserve">الساحة </t>
  </si>
  <si>
    <t>25529</t>
  </si>
  <si>
    <t xml:space="preserve">سير الفلتر + الكسارة </t>
  </si>
  <si>
    <t xml:space="preserve">العيادة </t>
  </si>
  <si>
    <t>1267</t>
  </si>
  <si>
    <t xml:space="preserve">احمد سليمان </t>
  </si>
  <si>
    <t xml:space="preserve">المنجم + الاستكشاف </t>
  </si>
  <si>
    <t xml:space="preserve">ورد عطبرة - بوكس رقم 13574 - حسن عبدالله  ( 1400 = الاستكشاف  - 2000 = المنجم ) </t>
  </si>
  <si>
    <t>25530</t>
  </si>
  <si>
    <t>25531</t>
  </si>
  <si>
    <t xml:space="preserve">معروف طيفور </t>
  </si>
  <si>
    <t xml:space="preserve">المنجم  </t>
  </si>
  <si>
    <t>25534</t>
  </si>
  <si>
    <t>25533</t>
  </si>
  <si>
    <t xml:space="preserve">المعالجة </t>
  </si>
  <si>
    <t>25535</t>
  </si>
  <si>
    <t xml:space="preserve">الفلتر + طلمبة السكن </t>
  </si>
  <si>
    <t>25536</t>
  </si>
  <si>
    <t>25537</t>
  </si>
  <si>
    <t xml:space="preserve">عبدالرحمن يحي </t>
  </si>
  <si>
    <t xml:space="preserve">المتفجرات </t>
  </si>
  <si>
    <t>25538</t>
  </si>
  <si>
    <t xml:space="preserve">انشاءات </t>
  </si>
  <si>
    <t>25539</t>
  </si>
  <si>
    <t xml:space="preserve">طلمبة الفرش </t>
  </si>
  <si>
    <t>حوض الفريش</t>
  </si>
  <si>
    <t xml:space="preserve">الاستكشاف </t>
  </si>
  <si>
    <t xml:space="preserve">ابوحذيفه علي </t>
  </si>
  <si>
    <t xml:space="preserve">السلامة العامه </t>
  </si>
  <si>
    <t xml:space="preserve">المنجم </t>
  </si>
  <si>
    <t xml:space="preserve">طلمبة سحي مياة المنجم </t>
  </si>
  <si>
    <t>25543</t>
  </si>
  <si>
    <t xml:space="preserve">محطة المياة + التنوكة </t>
  </si>
  <si>
    <t xml:space="preserve">الطواحين  </t>
  </si>
  <si>
    <t>25544</t>
  </si>
  <si>
    <t xml:space="preserve">محمد ربيع </t>
  </si>
  <si>
    <t xml:space="preserve">مولد رقم  4 + 3 </t>
  </si>
  <si>
    <t xml:space="preserve">مولد رقم 4  </t>
  </si>
  <si>
    <t>25545</t>
  </si>
  <si>
    <t xml:space="preserve">طلمبة الجاز </t>
  </si>
  <si>
    <t>قياس الجاز</t>
  </si>
  <si>
    <t xml:space="preserve">طلمبة جاز - ثابته لورشة الاليات </t>
  </si>
  <si>
    <t>25546</t>
  </si>
  <si>
    <t xml:space="preserve">الصيانة المصنع </t>
  </si>
  <si>
    <t>وارد نواريا فاتورة 0068182</t>
  </si>
  <si>
    <t>25547</t>
  </si>
  <si>
    <t xml:space="preserve">سير الطواحين </t>
  </si>
  <si>
    <t>25548</t>
  </si>
  <si>
    <t>التنك 8</t>
  </si>
  <si>
    <t xml:space="preserve">الريسايكل </t>
  </si>
  <si>
    <t>1269</t>
  </si>
  <si>
    <t xml:space="preserve">استرداد صرف ( سند صرف 025544 ) </t>
  </si>
  <si>
    <t>25549</t>
  </si>
  <si>
    <t>25550</t>
  </si>
  <si>
    <t>سير الطواحين +الكسارة</t>
  </si>
  <si>
    <t>جونتي مطبخ</t>
  </si>
  <si>
    <t>سامي محمود وارد بوتسودلن 13587</t>
  </si>
  <si>
    <t>1270</t>
  </si>
  <si>
    <t>25601</t>
  </si>
  <si>
    <t>سير الفلتر</t>
  </si>
  <si>
    <t>25602</t>
  </si>
  <si>
    <t>25603</t>
  </si>
  <si>
    <t>طلمبه الجاز</t>
  </si>
  <si>
    <t>احمد عبدالمنعم</t>
  </si>
  <si>
    <t xml:space="preserve">كوع استيل 1" </t>
  </si>
  <si>
    <t>A</t>
  </si>
  <si>
    <t xml:space="preserve">A </t>
  </si>
</sst>
</file>

<file path=xl/styles.xml><?xml version="1.0" encoding="utf-8"?>
<styleSheet xmlns="http://schemas.openxmlformats.org/spreadsheetml/2006/main">
  <numFmts count="9">
    <numFmt numFmtId="0" formatCode="General"/>
    <numFmt numFmtId="164" formatCode="_(* #,##0_);_(* \(#,##0\);_(* &quot;-&quot;??_);_(@_)"/>
    <numFmt numFmtId="165" formatCode="_(* #,##0.0_);_(* \(#,##0.0\);_(* &quot;-&quot;??_);_(@_)"/>
    <numFmt numFmtId="16" formatCode="[$-02000401]dd\-mmm"/>
    <numFmt numFmtId="49" formatCode="@"/>
    <numFmt numFmtId="1" formatCode="0"/>
    <numFmt numFmtId="166" formatCode="[$-409]d\-mmm\-yy;@"/>
    <numFmt numFmtId="14" formatCode="dd/mm/yy"/>
    <numFmt numFmtId="167" formatCode="_(* #,##0.00_);_(* \(#,##0.00\);_(* &quot;-&quot;??_);_(@_)"/>
  </numFmts>
  <fonts count="21">
    <font>
      <name val="Arial"/>
      <sz val="11"/>
    </font>
    <font>
      <name val="Arial"/>
      <sz val="11"/>
      <color rgb="FF000000"/>
    </font>
    <font>
      <name val="Arial"/>
      <sz val="12"/>
      <color rgb="FF000000"/>
    </font>
    <font>
      <name val="Arial"/>
      <b/>
      <sz val="11"/>
      <color rgb="FF000000"/>
    </font>
    <font>
      <name val="Arial"/>
      <b/>
      <sz val="18"/>
      <color rgb="FF000000"/>
    </font>
    <font>
      <name val="Arial"/>
      <b/>
      <u val="double"/>
      <sz val="11"/>
      <color rgb="FF000000"/>
    </font>
    <font>
      <name val="Arial"/>
      <b/>
      <i/>
      <u val="double"/>
      <sz val="14"/>
      <color rgb="FF000000"/>
    </font>
    <font>
      <name val="Arial"/>
      <b/>
      <i/>
      <u val="double"/>
      <sz val="11"/>
      <color rgb="FF000000"/>
    </font>
    <font>
      <name val="Arial"/>
      <b/>
      <u val="double"/>
      <sz val="12"/>
      <color rgb="FF000000"/>
    </font>
    <font>
      <name val="Arial"/>
      <b/>
      <sz val="12"/>
      <color rgb="FF000000"/>
    </font>
    <font>
      <name val="Arial"/>
      <sz val="11"/>
      <color rgb="FFFF0000"/>
    </font>
    <font>
      <name val="Arial"/>
      <sz val="11"/>
      <color rgb="FF262626"/>
    </font>
    <font>
      <name val="Arial"/>
      <u val="double"/>
      <sz val="12"/>
      <color rgb="FF000000"/>
    </font>
    <font>
      <name val="Arial"/>
      <sz val="11"/>
      <color rgb="FF002060"/>
    </font>
    <font>
      <name val="Arial"/>
      <sz val="11"/>
    </font>
    <font>
      <name val="Arial"/>
      <sz val="14"/>
      <color rgb="FF000000"/>
    </font>
    <font>
      <name val="Arial"/>
      <sz val="20"/>
      <color rgb="FF000000"/>
    </font>
    <font>
      <name val="Arial"/>
      <b/>
      <u val="double"/>
      <sz val="14"/>
      <color rgb="FF000000"/>
    </font>
    <font>
      <name val="Arial"/>
      <b/>
      <u val="double"/>
      <sz val="20"/>
      <color rgb="FF000000"/>
    </font>
    <font>
      <name val="Arial"/>
      <b/>
      <sz val="14"/>
      <color rgb="FF000000"/>
    </font>
    <font>
      <name val="Arial"/>
      <sz val="11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FFFFFF"/>
        <bgColor indexed="64"/>
      </patternFill>
    </fill>
  </fills>
  <borders count="48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/>
      <diagonal/>
    </border>
    <border>
      <left style="thin">
        <color rgb="FF4F81BD"/>
      </left>
      <right/>
      <top style="thin">
        <color rgb="FF4F81BD"/>
      </top>
      <bottom style="thin">
        <color rgb="FF4F81BD"/>
      </bottom>
      <diagonal/>
    </border>
    <border>
      <left style="medium">
        <color indexed="64"/>
      </left>
      <right style="thin">
        <color rgb="FF4F81BD"/>
      </right>
      <top style="medium">
        <color indexed="64"/>
      </top>
      <bottom style="thin">
        <color rgb="FF4F81BD"/>
      </bottom>
      <diagonal/>
    </border>
    <border>
      <left style="thin">
        <color rgb="FF4F81BD"/>
      </left>
      <right style="medium">
        <color indexed="64"/>
      </right>
      <top style="medium">
        <color indexed="64"/>
      </top>
      <bottom style="thin">
        <color rgb="FF4F81BD"/>
      </bottom>
      <diagonal/>
    </border>
    <border>
      <left/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medium">
        <color indexed="64"/>
      </left>
      <right style="thin">
        <color rgb="FF4F81BD"/>
      </right>
      <top style="thin">
        <color rgb="FF4F81BD"/>
      </top>
      <bottom style="medium">
        <color indexed="64"/>
      </bottom>
      <diagonal/>
    </border>
    <border>
      <left style="thin">
        <color rgb="FF4F81BD"/>
      </left>
      <right style="medium">
        <color indexed="64"/>
      </right>
      <top style="thin">
        <color rgb="FF4F81BD"/>
      </top>
      <bottom style="medium">
        <color indexed="64"/>
      </bottom>
      <diagonal/>
    </border>
    <border>
      <left style="thin">
        <color rgb="FF4F81BD"/>
      </left>
      <right style="thin">
        <color rgb="FF4F81BD"/>
      </right>
      <top/>
      <bottom style="thin">
        <color rgb="FF4F81B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4F81BD"/>
      </right>
      <top/>
      <bottom style="thin">
        <color rgb="FF4F81BD"/>
      </bottom>
      <diagonal/>
    </border>
    <border>
      <left style="thin">
        <color rgb="FF4F81BD"/>
      </left>
      <right/>
      <top/>
      <bottom/>
      <diagonal/>
    </border>
    <border>
      <left style="thin">
        <color rgb="FF4F81BD"/>
      </left>
      <right style="medium">
        <color rgb="FF4F81BD"/>
      </right>
      <top/>
      <bottom/>
      <diagonal/>
    </border>
    <border>
      <left style="medium">
        <color rgb="FF4F81BD"/>
      </left>
      <right style="thin">
        <color rgb="FF4F81BD"/>
      </right>
      <top style="medium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medium">
        <color rgb="FF4F81BD"/>
      </top>
      <bottom style="thin">
        <color rgb="FF4F81BD"/>
      </bottom>
      <diagonal/>
    </border>
    <border>
      <left style="thin">
        <color rgb="FF4F81BD"/>
      </left>
      <right style="medium">
        <color rgb="FF4F81BD"/>
      </right>
      <top style="medium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/>
      <bottom style="medium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medium">
        <color rgb="FF4F81BD"/>
      </bottom>
      <diagonal/>
    </border>
    <border>
      <left style="thin">
        <color rgb="FF4F81BD"/>
      </left>
      <right/>
      <top/>
      <bottom style="medium">
        <color rgb="FF4F81BD"/>
      </bottom>
      <diagonal/>
    </border>
    <border>
      <left style="thin">
        <color rgb="FF4F81BD"/>
      </left>
      <right style="medium">
        <color rgb="FF4F81BD"/>
      </right>
      <top/>
      <bottom style="medium">
        <color rgb="FF4F81BD"/>
      </bottom>
      <diagonal/>
    </border>
    <border>
      <left style="medium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medium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/>
      <top/>
      <bottom style="thin">
        <color rgb="FF4F81BD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F81BD"/>
      </left>
      <right style="medium">
        <color rgb="FF4F81BD"/>
      </right>
      <top/>
      <bottom style="thin">
        <color rgb="FF4F81BD"/>
      </bottom>
      <diagonal/>
    </border>
    <border>
      <left/>
      <right/>
      <top style="thin">
        <color rgb="FF4F81BD"/>
      </top>
      <bottom/>
      <diagonal/>
    </border>
    <border>
      <left/>
      <right style="thin">
        <color rgb="FF4F81BD"/>
      </right>
      <top/>
      <bottom/>
      <diagonal/>
    </border>
    <border>
      <left style="thin">
        <color rgb="FF4F81BD"/>
      </left>
      <right style="medium">
        <color rgb="FF4F81BD"/>
      </right>
      <top style="thin">
        <color rgb="FF4F81BD"/>
      </top>
      <bottom/>
      <diagonal/>
    </border>
    <border>
      <left style="medium">
        <color rgb="FF4F81BD"/>
      </left>
      <right style="thin">
        <color rgb="FF4F81BD"/>
      </right>
      <top style="medium">
        <color rgb="FF4F81BD"/>
      </top>
      <bottom/>
      <diagonal/>
    </border>
    <border>
      <left/>
      <right style="thin">
        <color rgb="FF4F81BD"/>
      </right>
      <top style="medium">
        <color rgb="FF4F81BD"/>
      </top>
      <bottom/>
      <diagonal/>
    </border>
    <border>
      <left style="thin">
        <color rgb="FF4F81BD"/>
      </left>
      <right style="thin">
        <color rgb="FF4F81BD"/>
      </right>
      <top style="medium">
        <color rgb="FF4F81BD"/>
      </top>
      <bottom/>
      <diagonal/>
    </border>
    <border>
      <left style="thin">
        <color rgb="FF4F81BD"/>
      </left>
      <right style="medium">
        <color rgb="FF4F81BD"/>
      </right>
      <top style="medium">
        <color rgb="FF4F81BD"/>
      </top>
      <bottom/>
      <diagonal/>
    </border>
    <border>
      <left style="thin">
        <color rgb="FF4F81BD"/>
      </left>
      <right style="thin">
        <color rgb="FF4F81BD"/>
      </right>
      <top/>
      <bottom/>
      <diagonal/>
    </border>
    <border>
      <left/>
      <right/>
      <top/>
      <bottom style="thin">
        <color rgb="FF4F81BD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7" fontId="20" fillId="0" borderId="0">
      <alignment vertical="bottom"/>
      <protection locked="0" hidden="0"/>
    </xf>
  </cellStyleXfs>
  <cellXfs count="125">
    <xf numFmtId="0" fontId="0" fillId="0" borderId="0" xfId="0">
      <alignment vertical="center"/>
    </xf>
    <xf numFmtId="0" fontId="1" fillId="0" borderId="0" xfId="0" applyFont="1" applyFill="1" applyAlignment="1">
      <alignment vertical="bottom"/>
    </xf>
    <xf numFmtId="0" fontId="1" fillId="0" borderId="0" xfId="0" applyFont="1" applyFill="1" applyAlignment="1">
      <alignment horizontal="center" vertical="bottom"/>
    </xf>
    <xf numFmtId="0" fontId="2" fillId="0" borderId="0" xfId="0" applyFont="1" applyFill="1" applyAlignment="1">
      <alignment horizontal="center" vertical="bottom"/>
    </xf>
    <xf numFmtId="164" fontId="1" fillId="0" borderId="0" xfId="1" applyNumberFormat="1" applyFont="1" applyFill="1" applyAlignment="1">
      <alignment horizontal="center" vertical="bottom"/>
    </xf>
    <xf numFmtId="164" fontId="1" fillId="0" borderId="0" xfId="1" applyNumberFormat="1" applyFont="1" applyFill="1" applyAlignment="1">
      <alignment vertical="bottom"/>
    </xf>
    <xf numFmtId="165" fontId="1" fillId="0" borderId="0" xfId="1" applyNumberFormat="1" applyFont="1" applyFill="1" applyAlignment="1">
      <alignment vertical="bottom"/>
    </xf>
    <xf numFmtId="0" fontId="1" fillId="0" borderId="1" xfId="0" applyFont="1" applyFill="1" applyBorder="1" applyAlignment="1">
      <alignment vertical="bottom"/>
    </xf>
    <xf numFmtId="0" fontId="1" fillId="0" borderId="1" xfId="0" applyFont="1" applyFill="1" applyBorder="1" applyAlignment="1">
      <alignment horizontal="center" vertical="bottom"/>
    </xf>
    <xf numFmtId="0" fontId="3" fillId="0" borderId="1" xfId="0" applyFont="1" applyFill="1" applyBorder="1" applyAlignment="1">
      <alignment horizontal="center" vertical="bottom"/>
    </xf>
    <xf numFmtId="0" fontId="2" fillId="0" borderId="1" xfId="0" applyFont="1" applyFill="1" applyBorder="1" applyAlignment="1">
      <alignment horizontal="center" vertical="bottom"/>
    </xf>
    <xf numFmtId="164" fontId="1" fillId="0" borderId="1" xfId="1" applyNumberFormat="1" applyFont="1" applyFill="1" applyBorder="1" applyAlignment="1">
      <alignment horizontal="center" vertical="bottom"/>
    </xf>
    <xf numFmtId="164" fontId="1" fillId="0" borderId="2" xfId="1" applyNumberFormat="1" applyFont="1" applyFill="1" applyBorder="1" applyAlignment="1">
      <alignment horizontal="center" vertical="bottom"/>
    </xf>
    <xf numFmtId="164" fontId="1" fillId="0" borderId="1" xfId="1" applyNumberFormat="1" applyFont="1" applyFill="1" applyBorder="1" applyAlignment="1">
      <alignment vertical="bottom"/>
    </xf>
    <xf numFmtId="165" fontId="1" fillId="0" borderId="1" xfId="1" applyNumberFormat="1" applyFont="1" applyFill="1" applyBorder="1" applyAlignment="1">
      <alignment vertical="bottom"/>
    </xf>
    <xf numFmtId="164" fontId="1" fillId="0" borderId="3" xfId="1" applyNumberFormat="1" applyFont="1" applyFill="1" applyBorder="1" applyAlignment="1">
      <alignment horizontal="center" vertical="bottom"/>
    </xf>
    <xf numFmtId="164" fontId="4" fillId="2" borderId="4" xfId="1" applyNumberFormat="1" applyFont="1" applyFill="1" applyBorder="1" applyAlignment="1">
      <alignment horizontal="center" vertical="bottom"/>
    </xf>
    <xf numFmtId="164" fontId="4" fillId="2" borderId="5" xfId="1" applyNumberFormat="1" applyFont="1" applyFill="1" applyBorder="1" applyAlignment="1">
      <alignment horizontal="center" vertical="bottom"/>
    </xf>
    <xf numFmtId="164" fontId="1" fillId="0" borderId="6" xfId="1" applyNumberFormat="1" applyFont="1" applyFill="1" applyBorder="1" applyAlignment="1">
      <alignment horizontal="center" vertical="bottom"/>
    </xf>
    <xf numFmtId="164" fontId="4" fillId="2" borderId="7" xfId="1" applyNumberFormat="1" applyFont="1" applyFill="1" applyBorder="1" applyAlignment="1">
      <alignment horizontal="center" vertical="bottom"/>
    </xf>
    <xf numFmtId="164" fontId="4" fillId="2" borderId="8" xfId="1" applyNumberFormat="1" applyFont="1" applyFill="1" applyBorder="1" applyAlignment="1">
      <alignment horizontal="center" vertical="bottom"/>
    </xf>
    <xf numFmtId="16" fontId="1" fillId="0" borderId="1" xfId="0" applyNumberFormat="1" applyFont="1" applyFill="1" applyBorder="1" applyAlignment="1">
      <alignment horizontal="center" vertical="bottom"/>
    </xf>
    <xf numFmtId="164" fontId="1" fillId="0" borderId="9" xfId="1" applyNumberFormat="1" applyFont="1" applyFill="1" applyBorder="1" applyAlignment="1">
      <alignment horizontal="center" vertical="bottom"/>
    </xf>
    <xf numFmtId="0" fontId="1" fillId="0" borderId="2" xfId="0" applyFont="1" applyFill="1" applyBorder="1" applyAlignment="1">
      <alignment vertical="bottom"/>
    </xf>
    <xf numFmtId="0" fontId="5" fillId="0" borderId="1" xfId="0" applyFont="1" applyFill="1" applyBorder="1" applyAlignment="1">
      <alignment vertical="bottom"/>
    </xf>
    <xf numFmtId="0" fontId="1" fillId="0" borderId="3" xfId="0" applyFont="1" applyFill="1" applyBorder="1" applyAlignment="1">
      <alignment horizontal="center" vertical="bottom"/>
    </xf>
    <xf numFmtId="0" fontId="6" fillId="2" borderId="10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vertical="bottom"/>
    </xf>
    <xf numFmtId="0" fontId="7" fillId="0" borderId="1" xfId="0" applyFont="1" applyFill="1" applyBorder="1" applyAlignment="1">
      <alignment vertical="bottom"/>
    </xf>
    <xf numFmtId="0" fontId="8" fillId="0" borderId="1" xfId="0" applyFont="1" applyFill="1" applyBorder="1" applyAlignment="1">
      <alignment vertical="bottom"/>
    </xf>
    <xf numFmtId="164" fontId="5" fillId="0" borderId="1" xfId="1" applyNumberFormat="1" applyFont="1" applyFill="1" applyBorder="1" applyAlignment="1">
      <alignment horizontal="center" vertical="bottom"/>
    </xf>
    <xf numFmtId="0" fontId="5" fillId="0" borderId="1" xfId="0" applyFont="1" applyFill="1" applyBorder="1" applyAlignment="1">
      <alignment horizontal="center" vertical="bottom"/>
    </xf>
    <xf numFmtId="0" fontId="5" fillId="0" borderId="3" xfId="0" applyFont="1" applyFill="1" applyBorder="1" applyAlignment="1">
      <alignment vertical="bottom"/>
    </xf>
    <xf numFmtId="164" fontId="5" fillId="0" borderId="2" xfId="1" applyNumberFormat="1" applyFont="1" applyFill="1" applyBorder="1" applyAlignment="1">
      <alignment horizontal="center" vertical="bottom"/>
    </xf>
    <xf numFmtId="0" fontId="5" fillId="0" borderId="2" xfId="0" applyFont="1" applyFill="1" applyBorder="1" applyAlignment="1">
      <alignment horizontal="center" vertical="bottom"/>
    </xf>
    <xf numFmtId="165" fontId="1" fillId="0" borderId="1" xfId="1" applyNumberFormat="1" applyFont="1" applyFill="1" applyBorder="1" applyAlignment="1">
      <alignment horizontal="center" vertical="bottom"/>
    </xf>
    <xf numFmtId="0" fontId="1" fillId="0" borderId="9" xfId="0" applyFont="1" applyFill="1" applyBorder="1" applyAlignment="1">
      <alignment horizontal="center" vertical="bottom"/>
    </xf>
    <xf numFmtId="0" fontId="3" fillId="0" borderId="11" xfId="0" applyFont="1" applyFill="1" applyBorder="1" applyAlignment="1">
      <alignment vertical="bottom"/>
    </xf>
    <xf numFmtId="165" fontId="3" fillId="2" borderId="12" xfId="1" applyNumberFormat="1" applyFont="1" applyFill="1" applyBorder="1" applyAlignment="1">
      <alignment horizontal="center" vertical="bottom"/>
    </xf>
    <xf numFmtId="165" fontId="3" fillId="2" borderId="13" xfId="1" applyNumberFormat="1" applyFont="1" applyFill="1" applyBorder="1" applyAlignment="1">
      <alignment horizontal="center" vertical="bottom"/>
    </xf>
    <xf numFmtId="165" fontId="3" fillId="2" borderId="14" xfId="1" applyNumberFormat="1" applyFont="1" applyFill="1" applyBorder="1" applyAlignment="1">
      <alignment horizontal="center" vertical="bottom"/>
    </xf>
    <xf numFmtId="165" fontId="3" fillId="0" borderId="15" xfId="1" applyNumberFormat="1" applyFont="1" applyFill="1" applyBorder="1" applyAlignment="1">
      <alignment horizontal="center" vertical="bottom"/>
    </xf>
    <xf numFmtId="165" fontId="3" fillId="0" borderId="16" xfId="1" applyNumberFormat="1" applyFont="1" applyFill="1" applyBorder="1" applyAlignment="1">
      <alignment vertical="bottom"/>
    </xf>
    <xf numFmtId="165" fontId="3" fillId="0" borderId="17" xfId="1" applyNumberFormat="1" applyFont="1" applyFill="1" applyBorder="1" applyAlignment="1">
      <alignment horizontal="center" vertical="center"/>
    </xf>
    <xf numFmtId="0" fontId="1" fillId="0" borderId="0" xfId="0" applyFont="1" applyFill="1">
      <alignment vertical="center"/>
    </xf>
    <xf numFmtId="0" fontId="3" fillId="0" borderId="18" xfId="0" applyFont="1" applyFill="1" applyBorder="1" applyAlignment="1">
      <alignment horizontal="center" vertical="center" textRotation="90"/>
    </xf>
    <xf numFmtId="0" fontId="3" fillId="0" borderId="1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vertical="center" wrapText="1"/>
    </xf>
    <xf numFmtId="164" fontId="3" fillId="0" borderId="21" xfId="1" applyNumberFormat="1" applyFont="1" applyFill="1" applyBorder="1" applyAlignment="1">
      <alignment horizontal="center" vertical="center" wrapText="1" textRotation="90"/>
    </xf>
    <xf numFmtId="164" fontId="3" fillId="0" borderId="22" xfId="1" applyNumberFormat="1" applyFont="1" applyFill="1" applyBorder="1" applyAlignment="1">
      <alignment horizontal="center" vertical="center" wrapText="1" textRotation="90"/>
    </xf>
    <xf numFmtId="164" fontId="3" fillId="0" borderId="23" xfId="1" applyNumberFormat="1" applyFont="1" applyFill="1" applyBorder="1" applyAlignment="1">
      <alignment horizontal="center" vertical="center" wrapText="1" textRotation="90"/>
    </xf>
    <xf numFmtId="165" fontId="3" fillId="0" borderId="24" xfId="1" applyNumberFormat="1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bottom"/>
    </xf>
    <xf numFmtId="0" fontId="1" fillId="0" borderId="26" xfId="0" applyFont="1" applyFill="1" applyBorder="1" applyAlignment="1">
      <alignment horizontal="center" vertical="bottom"/>
    </xf>
    <xf numFmtId="0" fontId="2" fillId="0" borderId="9" xfId="0" applyFont="1" applyFill="1" applyBorder="1" applyAlignment="1">
      <alignment horizontal="center" vertical="bottom"/>
    </xf>
    <xf numFmtId="164" fontId="1" fillId="0" borderId="27" xfId="1" applyNumberFormat="1" applyFont="1" applyFill="1" applyBorder="1" applyAlignment="1">
      <alignment horizontal="center" vertical="bottom"/>
    </xf>
    <xf numFmtId="165" fontId="1" fillId="0" borderId="26" xfId="1" applyNumberFormat="1" applyFont="1" applyFill="1" applyBorder="1" applyAlignment="1">
      <alignment vertical="bottom"/>
    </xf>
    <xf numFmtId="164" fontId="1" fillId="0" borderId="26" xfId="1" applyNumberFormat="1" applyFont="1" applyFill="1" applyBorder="1" applyAlignment="1">
      <alignment vertical="bottom"/>
    </xf>
    <xf numFmtId="0" fontId="2" fillId="0" borderId="27" xfId="0" applyFont="1" applyFill="1" applyBorder="1" applyAlignment="1">
      <alignment horizontal="center" vertical="bottom"/>
    </xf>
    <xf numFmtId="0" fontId="10" fillId="0" borderId="1" xfId="0" applyFont="1" applyFill="1" applyBorder="1" applyAlignment="1">
      <alignment horizontal="center" vertical="bottom"/>
    </xf>
    <xf numFmtId="0" fontId="1" fillId="0" borderId="1" xfId="0" applyNumberFormat="1" applyFont="1" applyFill="1" applyBorder="1" applyAlignment="1">
      <alignment horizontal="center" vertical="bottom"/>
    </xf>
    <xf numFmtId="49" fontId="1" fillId="0" borderId="1" xfId="0" applyNumberFormat="1" applyFont="1" applyFill="1" applyBorder="1" applyAlignment="1">
      <alignment horizontal="center" vertical="bottom"/>
    </xf>
    <xf numFmtId="0" fontId="1" fillId="0" borderId="1" xfId="0" applyFont="1" applyFill="1" applyBorder="1" applyAlignment="1">
      <alignment horizontal="center" vertical="bottom" readingOrder="2"/>
    </xf>
    <xf numFmtId="1" fontId="4" fillId="2" borderId="4" xfId="1" applyNumberFormat="1" applyFont="1" applyFill="1" applyBorder="1" applyAlignment="1">
      <alignment horizontal="center" vertical="bottom"/>
    </xf>
    <xf numFmtId="1" fontId="4" fillId="2" borderId="5" xfId="1" applyNumberFormat="1" applyFont="1" applyFill="1" applyBorder="1" applyAlignment="1">
      <alignment horizontal="center" vertical="bottom"/>
    </xf>
    <xf numFmtId="1" fontId="4" fillId="2" borderId="7" xfId="1" applyNumberFormat="1" applyFont="1" applyFill="1" applyBorder="1" applyAlignment="1">
      <alignment horizontal="center" vertical="bottom"/>
    </xf>
    <xf numFmtId="1" fontId="4" fillId="2" borderId="8" xfId="1" applyNumberFormat="1" applyFont="1" applyFill="1" applyBorder="1" applyAlignment="1">
      <alignment horizontal="center" vertical="bottom"/>
    </xf>
    <xf numFmtId="165" fontId="1" fillId="0" borderId="26" xfId="1" applyNumberFormat="1" applyFont="1" applyFill="1" applyBorder="1" applyAlignment="1">
      <alignment horizontal="center" vertical="bottom"/>
    </xf>
    <xf numFmtId="0" fontId="1" fillId="0" borderId="0" xfId="0" applyFont="1" applyFill="1" applyBorder="1" applyAlignment="1">
      <alignment horizontal="center" vertical="bottom"/>
    </xf>
    <xf numFmtId="0" fontId="1" fillId="0" borderId="28" xfId="0" applyFont="1" applyFill="1" applyBorder="1" applyAlignment="1">
      <alignment horizontal="center" vertical="bottom"/>
    </xf>
    <xf numFmtId="0" fontId="11" fillId="0" borderId="1" xfId="0" applyFont="1" applyFill="1" applyBorder="1" applyAlignment="1">
      <alignment horizontal="center" vertical="bottom"/>
    </xf>
    <xf numFmtId="0" fontId="10" fillId="0" borderId="26" xfId="0" applyFont="1" applyFill="1" applyBorder="1" applyAlignment="1">
      <alignment horizontal="center" vertical="bottom"/>
    </xf>
    <xf numFmtId="0" fontId="1" fillId="0" borderId="29" xfId="0" applyFont="1" applyFill="1" applyBorder="1" applyAlignment="1">
      <alignment horizontal="center" vertical="bottom"/>
    </xf>
    <xf numFmtId="0" fontId="6" fillId="2" borderId="2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bottom"/>
    </xf>
    <xf numFmtId="0" fontId="2" fillId="0" borderId="16" xfId="0" applyFont="1" applyFill="1" applyBorder="1" applyAlignment="1">
      <alignment horizontal="center" vertical="center" wrapText="1"/>
    </xf>
    <xf numFmtId="1" fontId="2" fillId="0" borderId="27" xfId="0" applyNumberFormat="1" applyFont="1" applyFill="1" applyBorder="1" applyAlignment="1">
      <alignment horizontal="center" vertical="bottom"/>
    </xf>
    <xf numFmtId="165" fontId="1" fillId="0" borderId="30" xfId="1" applyNumberFormat="1" applyFont="1" applyFill="1" applyBorder="1" applyAlignment="1">
      <alignment horizontal="center" vertical="bottom"/>
    </xf>
    <xf numFmtId="0" fontId="1" fillId="0" borderId="31" xfId="0" applyFont="1" applyFill="1" applyBorder="1" applyAlignment="1">
      <alignment horizontal="center" vertical="bottom"/>
    </xf>
    <xf numFmtId="0" fontId="1" fillId="0" borderId="26" xfId="0" applyNumberFormat="1" applyFont="1" applyFill="1" applyBorder="1" applyAlignment="1">
      <alignment horizontal="center" vertical="bottom"/>
    </xf>
    <xf numFmtId="0" fontId="13" fillId="0" borderId="1" xfId="0" applyFont="1" applyFill="1" applyBorder="1" applyAlignment="1">
      <alignment horizontal="center" vertical="bottom"/>
    </xf>
    <xf numFmtId="0" fontId="1" fillId="0" borderId="32" xfId="0" applyFont="1" applyFill="1" applyBorder="1" applyAlignment="1">
      <alignment horizontal="center" vertical="bottom"/>
    </xf>
    <xf numFmtId="0" fontId="1" fillId="0" borderId="2" xfId="0" applyFont="1" applyFill="1" applyBorder="1" applyAlignment="1">
      <alignment horizontal="center" vertical="bottom"/>
    </xf>
    <xf numFmtId="0" fontId="1" fillId="0" borderId="33" xfId="0" applyFont="1" applyFill="1" applyBorder="1" applyAlignment="1">
      <alignment horizontal="center" vertical="bottom"/>
    </xf>
    <xf numFmtId="0" fontId="14" fillId="0" borderId="26" xfId="0" applyFont="1" applyFill="1" applyBorder="1" applyAlignment="1">
      <alignment horizontal="center" vertical="bottom"/>
    </xf>
    <xf numFmtId="0" fontId="15" fillId="0" borderId="0" xfId="0" applyFont="1" applyFill="1" applyAlignment="1">
      <alignment vertical="bottom"/>
    </xf>
    <xf numFmtId="0" fontId="15" fillId="0" borderId="0" xfId="0" applyFont="1" applyFill="1" applyAlignment="1">
      <alignment horizontal="center" vertical="bottom"/>
    </xf>
    <xf numFmtId="49" fontId="15" fillId="0" borderId="0" xfId="0" applyNumberFormat="1" applyFont="1" applyFill="1" applyAlignment="1">
      <alignment horizontal="center" vertical="bottom"/>
    </xf>
    <xf numFmtId="166" fontId="15" fillId="0" borderId="0" xfId="0" applyNumberFormat="1" applyFont="1" applyFill="1" applyAlignment="1">
      <alignment horizontal="center" vertical="bottom"/>
    </xf>
    <xf numFmtId="49" fontId="15" fillId="0" borderId="0" xfId="0" applyNumberFormat="1" applyFont="1" applyFill="1" applyAlignment="1">
      <alignment vertical="bottom"/>
    </xf>
    <xf numFmtId="0" fontId="16" fillId="0" borderId="0" xfId="0" applyFont="1" applyFill="1" applyAlignment="1">
      <alignment horizontal="center" vertical="bottom"/>
    </xf>
    <xf numFmtId="0" fontId="17" fillId="0" borderId="0" xfId="0" applyFont="1" applyFill="1" applyAlignment="1">
      <alignment vertical="bottom"/>
    </xf>
    <xf numFmtId="49" fontId="17" fillId="0" borderId="0" xfId="0" applyNumberFormat="1" applyFont="1" applyFill="1" applyAlignment="1">
      <alignment vertical="bottom"/>
    </xf>
    <xf numFmtId="0" fontId="17" fillId="0" borderId="0" xfId="0" applyFont="1" applyFill="1" applyAlignment="1">
      <alignment horizontal="center" vertical="bottom"/>
    </xf>
    <xf numFmtId="0" fontId="18" fillId="2" borderId="10" xfId="0" applyFont="1" applyFill="1" applyBorder="1" applyAlignment="1">
      <alignment horizontal="center" vertical="bottom"/>
    </xf>
    <xf numFmtId="0" fontId="19" fillId="2" borderId="12" xfId="0" applyFont="1" applyFill="1" applyBorder="1" applyAlignment="1">
      <alignment horizontal="center" vertical="bottom"/>
    </xf>
    <xf numFmtId="0" fontId="19" fillId="2" borderId="14" xfId="0" applyFont="1" applyFill="1" applyBorder="1" applyAlignment="1">
      <alignment horizontal="center" vertical="bottom"/>
    </xf>
    <xf numFmtId="0" fontId="19" fillId="0" borderId="18" xfId="0" applyFont="1" applyFill="1" applyBorder="1" applyAlignment="1">
      <alignment horizontal="center" vertical="bottom"/>
    </xf>
    <xf numFmtId="49" fontId="9" fillId="0" borderId="34" xfId="0" applyNumberFormat="1" applyFont="1" applyFill="1" applyBorder="1" applyAlignment="1">
      <alignment horizontal="center" vertical="bottom"/>
    </xf>
    <xf numFmtId="0" fontId="19" fillId="0" borderId="35" xfId="0" applyFont="1" applyFill="1" applyBorder="1" applyAlignment="1">
      <alignment horizontal="center" vertical="bottom"/>
    </xf>
    <xf numFmtId="0" fontId="19" fillId="0" borderId="36" xfId="0" applyFont="1" applyFill="1" applyBorder="1" applyAlignment="1">
      <alignment horizontal="center" vertical="bottom"/>
    </xf>
    <xf numFmtId="166" fontId="19" fillId="0" borderId="37" xfId="0" applyNumberFormat="1" applyFont="1" applyFill="1" applyBorder="1" applyAlignment="1">
      <alignment horizontal="center" vertical="bottom"/>
    </xf>
    <xf numFmtId="0" fontId="19" fillId="0" borderId="38" xfId="0" applyFont="1" applyFill="1" applyBorder="1" applyAlignment="1">
      <alignment horizontal="center" vertical="bottom"/>
    </xf>
    <xf numFmtId="0" fontId="15" fillId="0" borderId="6" xfId="0" applyFont="1" applyFill="1" applyBorder="1" applyAlignment="1">
      <alignment horizontal="center" vertical="bottom"/>
    </xf>
    <xf numFmtId="49" fontId="15" fillId="0" borderId="6" xfId="0" applyNumberFormat="1" applyFont="1" applyFill="1" applyBorder="1" applyAlignment="1">
      <alignment horizontal="center" vertical="bottom"/>
    </xf>
    <xf numFmtId="14" fontId="15" fillId="0" borderId="1" xfId="0" applyNumberFormat="1" applyFont="1" applyFill="1" applyBorder="1" applyAlignment="1">
      <alignment horizontal="center" vertical="bottom"/>
    </xf>
    <xf numFmtId="0" fontId="15" fillId="0" borderId="1" xfId="0" applyFont="1" applyFill="1" applyBorder="1" applyAlignment="1">
      <alignment horizontal="center" vertical="bottom"/>
    </xf>
    <xf numFmtId="1" fontId="2" fillId="0" borderId="39" xfId="0" applyNumberFormat="1" applyFont="1" applyFill="1" applyBorder="1" applyAlignment="1">
      <alignment horizontal="center" vertical="bottom"/>
    </xf>
    <xf numFmtId="1" fontId="1" fillId="0" borderId="27" xfId="0" applyNumberFormat="1" applyFont="1" applyFill="1" applyBorder="1" applyAlignment="1">
      <alignment horizontal="center" vertical="bottom"/>
    </xf>
    <xf numFmtId="166" fontId="15" fillId="0" borderId="26" xfId="0" applyNumberFormat="1" applyFont="1" applyFill="1" applyBorder="1" applyAlignment="1">
      <alignment horizontal="center" vertical="bottom"/>
    </xf>
    <xf numFmtId="0" fontId="3" fillId="3" borderId="40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1" fillId="0" borderId="41" xfId="0" applyBorder="1" applyAlignment="1">
      <alignment vertical="bottom"/>
    </xf>
    <xf numFmtId="0" fontId="3" fillId="3" borderId="41" xfId="0" applyFont="1" applyFill="1" applyBorder="1" applyAlignment="1">
      <alignment horizontal="center" vertical="center" wrapText="1"/>
    </xf>
    <xf numFmtId="0" fontId="1" fillId="0" borderId="42" xfId="0" applyBorder="1" applyAlignment="1">
      <alignment vertical="bottom"/>
    </xf>
    <xf numFmtId="0" fontId="1" fillId="3" borderId="43" xfId="0" applyFont="1" applyFill="1" applyBorder="1" applyAlignment="1">
      <alignment horizontal="center" vertical="bottom"/>
    </xf>
    <xf numFmtId="0" fontId="1" fillId="3" borderId="29" xfId="0" applyFont="1" applyFill="1" applyBorder="1" applyAlignment="1">
      <alignment horizontal="center" vertical="bottom"/>
    </xf>
    <xf numFmtId="164" fontId="1" fillId="3" borderId="29" xfId="1" applyNumberFormat="1" applyFont="1" applyFill="1" applyBorder="1" applyAlignment="1">
      <alignment horizontal="center" vertical="bottom"/>
    </xf>
    <xf numFmtId="164" fontId="1" fillId="3" borderId="44" xfId="1" applyNumberFormat="1" applyFont="1" applyFill="1" applyBorder="1" applyAlignment="1">
      <alignment horizontal="center" vertical="bottom"/>
    </xf>
    <xf numFmtId="0" fontId="1" fillId="3" borderId="45" xfId="0" applyFont="1" applyFill="1" applyBorder="1" applyAlignment="1">
      <alignment horizontal="center" vertical="bottom"/>
    </xf>
    <xf numFmtId="0" fontId="1" fillId="3" borderId="46" xfId="0" applyFont="1" applyFill="1" applyBorder="1" applyAlignment="1">
      <alignment horizontal="center" vertical="bottom"/>
    </xf>
    <xf numFmtId="164" fontId="1" fillId="3" borderId="46" xfId="1" applyNumberFormat="1" applyFont="1" applyFill="1" applyBorder="1" applyAlignment="1">
      <alignment horizontal="center" vertical="bottom"/>
    </xf>
    <xf numFmtId="164" fontId="1" fillId="3" borderId="47" xfId="1" applyNumberFormat="1" applyFont="1" applyFill="1" applyBorder="1" applyAlignment="1">
      <alignment horizontal="center" vertical="bottom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www.wps.cn/officeDocument/2020/cellImage" Target="cellimages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214763</xdr:colOff>
      <xdr:row>4</xdr:row>
      <xdr:rowOff>101575</xdr:rowOff>
    </xdr:from>
    <xdr:to>
      <xdr:col>16</xdr:col>
      <xdr:colOff>279149</xdr:colOff>
      <xdr:row>6</xdr:row>
      <xdr:rowOff>62879</xdr:rowOff>
    </xdr:to>
    <xdr:sp macro="" textlink="">
      <xdr:nvSpPr>
        <xdr:cNvPr id="2" name="roundRect"/>
        <xdr:cNvSpPr/>
      </xdr:nvSpPr>
      <xdr:spPr>
        <a:xfrm flipH="1">
          <a:off x="-1502467712" y="939293"/>
          <a:ext cx="4531968" cy="371928"/>
        </a:xfrm>
        <a:prstGeom prst="roundRect">
          <a:avLst/>
        </a:prstGeom>
        <a:solidFill>
          <a:srgbClr val="92cd4f"/>
        </a:solidFill>
        <a:ln w="9525" cap="flat" cmpd="sng">
          <a:solidFill>
            <a:srgbClr val="32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r"/>
          <a:r>
            <a:rPr lang="en-US" altLang="zh-CN" sz="2000">
              <a:solidFill>
                <a:srgbClr val="003366"/>
              </a:solidFill>
              <a:latin typeface="Arial" panose="" pitchFamily="0" charset="0"/>
              <a:ea typeface="Arial" panose="" pitchFamily="0" charset="0"/>
            </a:rPr>
            <a:t>ارصدة</a:t>
          </a:r>
          <a:r>
            <a:rPr lang="en-US" altLang="zh-CN" sz="2000">
              <a:solidFill>
                <a:srgbClr val="003366"/>
              </a:solidFill>
              <a:latin typeface="Arial" panose="" pitchFamily="0" charset="0"/>
              <a:ea typeface="Arial" panose="" pitchFamily="0" charset="0"/>
            </a:rPr>
            <a:t> هذه الصفحة تلقائية</a:t>
          </a:r>
        </a:p>
        <a:p>
          <a:pPr algn="r"/>
          <a:r>
            <a:rPr lang="en-US" altLang="zh-CN" sz="2000">
              <a:solidFill>
                <a:srgbClr val="003366"/>
              </a:solidFill>
              <a:latin typeface="Arial" panose="" pitchFamily="0" charset="0"/>
              <a:ea typeface="Arial" panose="" pitchFamily="0" charset="0"/>
            </a:rPr>
            <a:t>من حركة المخزون اليومي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214763</xdr:colOff>
      <xdr:row>4</xdr:row>
      <xdr:rowOff>101575</xdr:rowOff>
    </xdr:from>
    <xdr:to>
      <xdr:col>16</xdr:col>
      <xdr:colOff>279149</xdr:colOff>
      <xdr:row>6</xdr:row>
      <xdr:rowOff>62879</xdr:rowOff>
    </xdr:to>
    <xdr:sp macro="" textlink="">
      <xdr:nvSpPr>
        <xdr:cNvPr id="2" name="roundRect"/>
        <xdr:cNvSpPr/>
      </xdr:nvSpPr>
      <xdr:spPr>
        <a:xfrm flipH="1">
          <a:off x="1389752832" y="939293"/>
          <a:ext cx="3979520" cy="381453"/>
        </a:xfrm>
        <a:prstGeom prst="roundRect">
          <a:avLst/>
        </a:prstGeom>
        <a:solidFill>
          <a:srgbClr val="92cd4f"/>
        </a:solidFill>
        <a:ln w="9525" cap="flat" cmpd="sng">
          <a:solidFill>
            <a:srgbClr val="32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r"/>
          <a:r>
            <a:rPr lang="en-US" altLang="zh-CN" sz="2000">
              <a:solidFill>
                <a:srgbClr val="003366"/>
              </a:solidFill>
              <a:latin typeface="Arial" panose="" pitchFamily="0" charset="0"/>
              <a:ea typeface="Arial" panose="" pitchFamily="0" charset="0"/>
            </a:rPr>
            <a:t>ارصدة</a:t>
          </a:r>
          <a:r>
            <a:rPr lang="en-US" altLang="zh-CN" sz="2000">
              <a:solidFill>
                <a:srgbClr val="003366"/>
              </a:solidFill>
              <a:latin typeface="Arial" panose="" pitchFamily="0" charset="0"/>
              <a:ea typeface="Arial" panose="" pitchFamily="0" charset="0"/>
            </a:rPr>
            <a:t> هذه الصفحة تلقائية</a:t>
          </a:r>
        </a:p>
        <a:p>
          <a:pPr algn="r"/>
          <a:r>
            <a:rPr lang="en-US" altLang="zh-CN" sz="2000">
              <a:solidFill>
                <a:srgbClr val="003366"/>
              </a:solidFill>
              <a:latin typeface="Arial" panose="" pitchFamily="0" charset="0"/>
              <a:ea typeface="Arial" panose="" pitchFamily="0" charset="0"/>
            </a:rPr>
            <a:t>من حركة المخزون اليومي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214763</xdr:colOff>
      <xdr:row>4</xdr:row>
      <xdr:rowOff>101575</xdr:rowOff>
    </xdr:from>
    <xdr:to>
      <xdr:col>16</xdr:col>
      <xdr:colOff>279149</xdr:colOff>
      <xdr:row>6</xdr:row>
      <xdr:rowOff>62879</xdr:rowOff>
    </xdr:to>
    <xdr:sp macro="" textlink="">
      <xdr:nvSpPr>
        <xdr:cNvPr id="2" name="roundRect"/>
        <xdr:cNvSpPr/>
      </xdr:nvSpPr>
      <xdr:spPr>
        <a:xfrm>
          <a:off x="1389752832" y="939293"/>
          <a:ext cx="3979520" cy="381453"/>
        </a:xfrm>
        <a:prstGeom prst="roundRect">
          <a:avLst/>
        </a:prstGeom>
        <a:solidFill>
          <a:srgbClr val="92cd4f"/>
        </a:solidFill>
        <a:ln w="9525" cap="flat" cmpd="sng">
          <a:solidFill>
            <a:srgbClr val="32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r"/>
          <a:r>
            <a:rPr lang="en-US" altLang="zh-CN" sz="2000">
              <a:solidFill>
                <a:srgbClr val="003366"/>
              </a:solidFill>
              <a:latin typeface="Arial" panose="" pitchFamily="0" charset="0"/>
              <a:ea typeface="Arial" panose="" pitchFamily="0" charset="0"/>
            </a:rPr>
            <a:t>ارصدة</a:t>
          </a:r>
          <a:r>
            <a:rPr lang="en-US" altLang="zh-CN" sz="2000">
              <a:solidFill>
                <a:srgbClr val="003366"/>
              </a:solidFill>
              <a:latin typeface="Arial" panose="" pitchFamily="0" charset="0"/>
              <a:ea typeface="Arial" panose="" pitchFamily="0" charset="0"/>
            </a:rPr>
            <a:t> هذه الصفحة تلقائية</a:t>
          </a:r>
        </a:p>
        <a:p>
          <a:pPr algn="r"/>
          <a:r>
            <a:rPr lang="en-US" altLang="zh-CN" sz="2000">
              <a:solidFill>
                <a:srgbClr val="003366"/>
              </a:solidFill>
              <a:latin typeface="Arial" panose="" pitchFamily="0" charset="0"/>
              <a:ea typeface="Arial" panose="" pitchFamily="0" charset="0"/>
            </a:rPr>
            <a:t>من حركة المخزون اليومي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214763</xdr:colOff>
      <xdr:row>4</xdr:row>
      <xdr:rowOff>101203</xdr:rowOff>
    </xdr:from>
    <xdr:to>
      <xdr:col>16</xdr:col>
      <xdr:colOff>279149</xdr:colOff>
      <xdr:row>6</xdr:row>
      <xdr:rowOff>62879</xdr:rowOff>
    </xdr:to>
    <xdr:sp macro="" textlink="">
      <xdr:nvSpPr>
        <xdr:cNvPr id="2" name="roundRect"/>
        <xdr:cNvSpPr/>
      </xdr:nvSpPr>
      <xdr:spPr>
        <a:xfrm>
          <a:off x="1470224896" y="914712"/>
          <a:ext cx="3966976" cy="382990"/>
        </a:xfrm>
        <a:prstGeom prst="roundRect">
          <a:avLst/>
        </a:prstGeom>
        <a:solidFill>
          <a:srgbClr val="92cd4f"/>
        </a:solidFill>
        <a:ln w="9525" cap="flat" cmpd="sng">
          <a:solidFill>
            <a:srgbClr val="325d8a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r"/>
          <a:r>
            <a:rPr lang="en-US" altLang="zh-CN" sz="2000">
              <a:solidFill>
                <a:srgbClr val="003366"/>
              </a:solidFill>
              <a:latin typeface="Arial" panose="" pitchFamily="0" charset="0"/>
              <a:ea typeface="Arial" panose="" pitchFamily="0" charset="0"/>
            </a:rPr>
            <a:t>ارصدة</a:t>
          </a:r>
          <a:r>
            <a:rPr lang="en-US" altLang="zh-CN" sz="2000">
              <a:solidFill>
                <a:srgbClr val="003366"/>
              </a:solidFill>
              <a:latin typeface="Arial" panose="" pitchFamily="0" charset="0"/>
              <a:ea typeface="Arial" panose="" pitchFamily="0" charset="0"/>
            </a:rPr>
            <a:t> هذه الصفحة تلقائية</a:t>
          </a:r>
        </a:p>
        <a:p>
          <a:pPr algn="r"/>
          <a:r>
            <a:rPr lang="en-US" altLang="zh-CN" sz="2000">
              <a:solidFill>
                <a:srgbClr val="003366"/>
              </a:solidFill>
              <a:latin typeface="Arial" panose="" pitchFamily="0" charset="0"/>
              <a:ea typeface="Arial" panose="" pitchFamily="0" charset="0"/>
            </a:rPr>
            <a:t>من حركة المخزون اليومي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vmlDrawing" Target="../drawings/vmlDrawing3.vml"/><Relationship Id="rId3" Type="http://schemas.openxmlformats.org/officeDocument/2006/relationships/comments" Target="../comments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vmlDrawing" Target="../drawings/vmlDrawing4.vml"/><Relationship Id="rId3" Type="http://schemas.openxmlformats.org/officeDocument/2006/relationships/comments" Target="../comments4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FFC000"/>
    <pageSetUpPr fitToPage="1"/>
  </sheetPr>
  <dimension ref="A1:S301"/>
  <sheetViews>
    <sheetView workbookViewId="0" rightToLeft="1" zoomScale="70">
      <pane xSplit="2" ySplit="9" topLeftCell="C13" state="frozen" activePane="bottomRight"/>
      <selection pane="bottomRight" activeCell="J56" sqref="J56"/>
    </sheetView>
  </sheetViews>
  <sheetFormatPr defaultRowHeight="15.0" defaultColWidth="9"/>
  <cols>
    <col min="1" max="1" customWidth="1" width="1.375" style="1"/>
    <col min="2" max="2" customWidth="1" bestFit="1" width="10.25" style="2"/>
    <col min="3" max="3" customWidth="1" width="10.5" style="2"/>
    <col min="4" max="4" customWidth="1" width="10.625" style="2"/>
    <col min="5" max="5" customWidth="1" width="32.125" style="2"/>
    <col min="6" max="6" customWidth="1" width="10.875" style="2"/>
    <col min="7" max="7" customWidth="1" width="25.25" style="2"/>
    <col min="8" max="8" customWidth="1" bestFit="1" width="27.5" style="1"/>
    <col min="9" max="9" customWidth="1" width="16.875" style="2"/>
    <col min="10" max="10" customWidth="1" width="10.125" style="3"/>
    <col min="11" max="11" customWidth="1" width="10.625" style="4"/>
    <col min="12" max="12" customWidth="1" width="9.25" style="4"/>
    <col min="13" max="13" customWidth="1" width="9.375" style="4"/>
    <col min="14" max="14" customWidth="1" bestFit="1" width="10.875" style="4"/>
    <col min="15" max="16" customWidth="1" width="9.25" style="4"/>
    <col min="17" max="17" customWidth="1" width="11.75" style="5"/>
    <col min="18" max="18" customWidth="1" bestFit="1" width="28.0" style="6"/>
    <col min="19" max="16384" customWidth="0" width="9.125" style="1"/>
  </cols>
  <sheetData>
    <row r="1" spans="8:8" ht="16.5">
      <c r="A1" s="7"/>
      <c r="B1" s="8"/>
      <c r="C1" s="8"/>
      <c r="D1" s="8"/>
      <c r="E1" s="8"/>
      <c r="F1" s="8"/>
      <c r="G1" s="8"/>
      <c r="H1" s="9"/>
      <c r="I1" s="8"/>
      <c r="J1" s="10"/>
      <c r="K1" s="11"/>
      <c r="L1" s="11"/>
      <c r="M1" s="12"/>
      <c r="N1" s="12"/>
      <c r="O1" s="11"/>
      <c r="P1" s="11"/>
      <c r="Q1" s="13"/>
      <c r="R1" s="14"/>
    </row>
    <row r="2" spans="8:8" ht="15.75">
      <c r="A2" s="7"/>
      <c r="B2" s="8"/>
      <c r="H2" s="9"/>
      <c r="I2" s="8"/>
      <c r="J2" s="10"/>
      <c r="K2" s="11"/>
      <c r="L2" s="15"/>
      <c r="M2" s="16" t="s">
        <v>8201</v>
      </c>
      <c r="N2" s="17"/>
      <c r="O2" s="18"/>
      <c r="P2" s="11"/>
      <c r="Q2" s="13"/>
      <c r="R2" s="14"/>
    </row>
    <row r="3" spans="8:8" ht="16.5">
      <c r="A3" s="7"/>
      <c r="B3" s="8"/>
      <c r="C3" s="8"/>
      <c r="D3" s="8"/>
      <c r="F3" s="8"/>
      <c r="G3" s="8"/>
      <c r="H3" s="9"/>
      <c r="I3" s="8"/>
      <c r="J3" s="10"/>
      <c r="K3" s="11"/>
      <c r="L3" s="15"/>
      <c r="M3" s="19"/>
      <c r="N3" s="20"/>
      <c r="O3" s="18"/>
      <c r="P3" s="11"/>
      <c r="Q3" s="13"/>
      <c r="R3" s="14"/>
    </row>
    <row r="4" spans="8:8" ht="15.75">
      <c r="A4" s="7"/>
      <c r="B4" s="8"/>
      <c r="C4" s="8"/>
      <c r="D4" s="8"/>
      <c r="E4" s="8"/>
      <c r="F4" s="8"/>
      <c r="G4" s="21"/>
      <c r="H4" s="9"/>
      <c r="I4" s="8"/>
      <c r="J4" s="10"/>
      <c r="K4" s="11"/>
      <c r="L4" s="11"/>
      <c r="M4" s="22"/>
      <c r="N4" s="22"/>
      <c r="O4" s="11"/>
      <c r="P4" s="11"/>
      <c r="Q4" s="11"/>
      <c r="R4" s="14"/>
    </row>
    <row r="5" spans="8:8" ht="15.75">
      <c r="A5" s="7"/>
      <c r="B5" s="7"/>
      <c r="C5" s="7"/>
      <c r="D5" s="7"/>
      <c r="E5" s="23"/>
      <c r="F5" s="7" t="s">
        <v>1436</v>
      </c>
      <c r="G5" s="7"/>
      <c r="H5" s="8"/>
      <c r="I5" s="8"/>
      <c r="J5" s="10"/>
      <c r="K5" s="11"/>
      <c r="L5" s="11"/>
      <c r="M5" s="11"/>
      <c r="N5" s="11"/>
      <c r="O5" s="11"/>
      <c r="P5" s="11"/>
      <c r="Q5" s="13"/>
      <c r="R5" s="14"/>
    </row>
    <row r="6" spans="8:8" ht="19.5">
      <c r="A6" s="7"/>
      <c r="B6" s="24"/>
      <c r="C6" s="8"/>
      <c r="D6" s="25"/>
      <c r="E6" s="26" t="s">
        <v>1542</v>
      </c>
      <c r="F6" s="27"/>
      <c r="G6" s="28"/>
      <c r="H6" s="9"/>
      <c r="I6" s="24"/>
      <c r="J6" s="29"/>
      <c r="K6" s="30"/>
      <c r="L6" s="31"/>
      <c r="M6" s="31"/>
      <c r="N6" s="31"/>
      <c r="O6" s="31"/>
      <c r="P6" s="31"/>
      <c r="Q6" s="24"/>
      <c r="R6" s="14"/>
    </row>
    <row r="7" spans="8:8" ht="19.5">
      <c r="A7" s="7"/>
      <c r="B7" s="24"/>
      <c r="C7" s="24"/>
      <c r="D7" s="32"/>
      <c r="E7" s="26" t="s">
        <v>3645</v>
      </c>
      <c r="F7" s="27"/>
      <c r="G7" s="28"/>
      <c r="H7" s="9"/>
      <c r="I7" s="24"/>
      <c r="J7" s="29"/>
      <c r="K7" s="33"/>
      <c r="L7" s="34"/>
      <c r="M7" s="34"/>
      <c r="N7" s="34"/>
      <c r="O7" s="34"/>
      <c r="P7" s="31"/>
      <c r="Q7" s="24"/>
      <c r="R7" s="35"/>
    </row>
    <row r="8" spans="8:8" ht="16.5">
      <c r="E8" s="36"/>
      <c r="H8" s="37"/>
      <c r="K8" s="38" t="s">
        <v>1</v>
      </c>
      <c r="L8" s="39"/>
      <c r="M8" s="39"/>
      <c r="N8" s="39"/>
      <c r="O8" s="40"/>
      <c r="P8" s="41"/>
      <c r="Q8" s="42"/>
      <c r="R8" s="43"/>
    </row>
    <row r="9" spans="8:8" ht="48.75" customHeight="1">
      <c r="A9" s="44"/>
      <c r="B9" s="45" t="s">
        <v>8</v>
      </c>
      <c r="C9" s="45" t="s">
        <v>18</v>
      </c>
      <c r="D9" s="45" t="s">
        <v>653</v>
      </c>
      <c r="E9" s="46" t="s">
        <v>1678</v>
      </c>
      <c r="F9" s="46" t="s">
        <v>874</v>
      </c>
      <c r="G9" s="46" t="s">
        <v>1679</v>
      </c>
      <c r="H9" s="47" t="s">
        <v>1872</v>
      </c>
      <c r="I9" s="48" t="s">
        <v>4</v>
      </c>
      <c r="J9" s="49" t="s">
        <v>3625</v>
      </c>
      <c r="K9" s="50" t="s">
        <v>10</v>
      </c>
      <c r="L9" s="50" t="s">
        <v>1441</v>
      </c>
      <c r="M9" s="50" t="s">
        <v>7</v>
      </c>
      <c r="N9" s="50" t="s">
        <v>1015</v>
      </c>
      <c r="O9" s="50" t="s">
        <v>8197</v>
      </c>
      <c r="P9" s="51" t="s">
        <v>3</v>
      </c>
      <c r="Q9" s="52"/>
      <c r="R9" s="53"/>
    </row>
    <row r="10" spans="8:8" ht="15.0" hidden="1">
      <c r="B10" s="54">
        <v>1.0</v>
      </c>
      <c r="C10" s="8" t="s">
        <v>3912</v>
      </c>
      <c r="D10" s="8" t="s">
        <v>811</v>
      </c>
      <c r="E10" s="8" t="s">
        <v>3495</v>
      </c>
      <c r="F10" s="8" t="s">
        <v>1501</v>
      </c>
      <c r="G10" s="8"/>
      <c r="H10" s="8" t="s">
        <v>3495</v>
      </c>
      <c r="I10" s="55" t="s">
        <v>8163</v>
      </c>
      <c r="J10" s="56" t="s">
        <v>7520</v>
      </c>
      <c r="K10" s="22">
        <v>16.0</v>
      </c>
      <c r="L10" s="22">
        <f>+SUMIF('حركه المخزن الرئيسي اليوميه'!$F:$F,$H:$H,'حركه المخزن الرئيسي اليوميه'!$H:$H)</f>
        <v>0.0</v>
      </c>
      <c r="M10" s="22">
        <f>+SUMIF('حركه المخزن الرئيسي اليوميه'!$F:$F,$H:$H,'حركه المخزن الرئيسي اليوميه'!$I:$I)</f>
        <v>0.0</v>
      </c>
      <c r="N10" s="22">
        <f t="shared" si="0" ref="N10:N73">+K10+L10-M10</f>
        <v>16.0</v>
      </c>
      <c r="O10" s="22">
        <f t="shared" si="1" ref="O10:O73">+N10</f>
        <v>16.0</v>
      </c>
      <c r="P10" s="22">
        <f t="shared" si="2" ref="P10:P73">+N10-O10</f>
        <v>0.0</v>
      </c>
      <c r="Q10" s="57"/>
      <c r="R10" s="58"/>
    </row>
    <row r="11" spans="8:8" ht="15.0" hidden="1">
      <c r="B11" s="54">
        <v>2.0</v>
      </c>
      <c r="C11" s="8" t="s">
        <v>3912</v>
      </c>
      <c r="D11" s="8" t="s">
        <v>811</v>
      </c>
      <c r="E11" s="8" t="s">
        <v>2844</v>
      </c>
      <c r="F11" s="8" t="s">
        <v>2833</v>
      </c>
      <c r="G11" s="8"/>
      <c r="H11" s="8" t="s">
        <v>2845</v>
      </c>
      <c r="I11" s="55" t="s">
        <v>8163</v>
      </c>
      <c r="J11" s="56" t="s">
        <v>7521</v>
      </c>
      <c r="K11" s="22">
        <v>9.0</v>
      </c>
      <c r="L11" s="22">
        <f>+SUMIF('حركه المخزن الرئيسي اليوميه'!$F:$F,$H:$H,'حركه المخزن الرئيسي اليوميه'!$H:$H)</f>
        <v>0.0</v>
      </c>
      <c r="M11" s="22">
        <f>+SUMIF('حركه المخزن الرئيسي اليوميه'!$F:$F,$H:$H,'حركه المخزن الرئيسي اليوميه'!$I:$I)</f>
        <v>0.0</v>
      </c>
      <c r="N11" s="22">
        <f t="shared" si="0"/>
        <v>9.0</v>
      </c>
      <c r="O11" s="22">
        <f t="shared" si="1"/>
        <v>9.0</v>
      </c>
      <c r="P11" s="22">
        <f t="shared" si="2"/>
        <v>0.0</v>
      </c>
      <c r="Q11" s="57"/>
      <c r="R11" s="58"/>
    </row>
    <row r="12" spans="8:8" ht="15.0" hidden="1">
      <c r="B12" s="54">
        <v>3.0</v>
      </c>
      <c r="C12" s="8" t="s">
        <v>3912</v>
      </c>
      <c r="D12" s="8" t="s">
        <v>3497</v>
      </c>
      <c r="E12" s="8" t="s">
        <v>3589</v>
      </c>
      <c r="F12" s="8" t="s">
        <v>68</v>
      </c>
      <c r="G12" s="8" t="s">
        <v>2276</v>
      </c>
      <c r="H12" s="8" t="s">
        <v>3589</v>
      </c>
      <c r="I12" s="55" t="s">
        <v>8163</v>
      </c>
      <c r="J12" s="56" t="s">
        <v>7522</v>
      </c>
      <c r="K12" s="22">
        <v>11.0</v>
      </c>
      <c r="L12" s="22">
        <f>+SUMIF('حركه المخزن الرئيسي اليوميه'!$F:$F,$H:$H,'حركه المخزن الرئيسي اليوميه'!$H:$H)</f>
        <v>0.0</v>
      </c>
      <c r="M12" s="22">
        <f>+SUMIF('حركه المخزن الرئيسي اليوميه'!$F:$F,$H:$H,'حركه المخزن الرئيسي اليوميه'!$I:$I)</f>
        <v>0.0</v>
      </c>
      <c r="N12" s="22">
        <f t="shared" si="0"/>
        <v>11.0</v>
      </c>
      <c r="O12" s="22">
        <f t="shared" si="1"/>
        <v>11.0</v>
      </c>
      <c r="P12" s="22">
        <f t="shared" si="2"/>
        <v>0.0</v>
      </c>
      <c r="Q12" s="57"/>
      <c r="R12" s="58"/>
    </row>
    <row r="13" spans="8:8">
      <c r="B13" s="54">
        <v>4.0</v>
      </c>
      <c r="C13" s="8" t="s">
        <v>3912</v>
      </c>
      <c r="D13" s="8" t="s">
        <v>3497</v>
      </c>
      <c r="E13" s="8" t="s">
        <v>3581</v>
      </c>
      <c r="F13" s="8" t="s">
        <v>68</v>
      </c>
      <c r="G13" s="8"/>
      <c r="H13" s="8" t="s">
        <v>3581</v>
      </c>
      <c r="I13" s="55" t="s">
        <v>8163</v>
      </c>
      <c r="J13" s="56" t="s">
        <v>7523</v>
      </c>
      <c r="K13" s="22">
        <v>47.0</v>
      </c>
      <c r="L13" s="22">
        <f>+SUMIF('حركه المخزن الرئيسي اليوميه'!$F:$F,$H:$H,'حركه المخزن الرئيسي اليوميه'!$H:$H)</f>
        <v>0.0</v>
      </c>
      <c r="M13" s="22">
        <f>+SUMIF('حركه المخزن الرئيسي اليوميه'!$F:$F,$H:$H,'حركه المخزن الرئيسي اليوميه'!$I:$I)</f>
        <v>0.0</v>
      </c>
      <c r="N13" s="22">
        <f t="shared" si="0"/>
        <v>47.0</v>
      </c>
      <c r="O13" s="22">
        <f t="shared" si="1"/>
        <v>47.0</v>
      </c>
      <c r="P13" s="22">
        <f t="shared" si="2"/>
        <v>0.0</v>
      </c>
      <c r="Q13" s="57"/>
      <c r="R13" s="58"/>
    </row>
    <row r="14" spans="8:8" ht="15.0" hidden="1">
      <c r="B14" s="54">
        <v>5.0</v>
      </c>
      <c r="C14" s="8" t="s">
        <v>3912</v>
      </c>
      <c r="D14" s="8" t="s">
        <v>811</v>
      </c>
      <c r="E14" s="8" t="s">
        <v>2839</v>
      </c>
      <c r="F14" s="8" t="s">
        <v>2833</v>
      </c>
      <c r="G14" s="8"/>
      <c r="H14" s="8" t="s">
        <v>2840</v>
      </c>
      <c r="I14" s="55" t="s">
        <v>8163</v>
      </c>
      <c r="J14" s="56" t="s">
        <v>7524</v>
      </c>
      <c r="K14" s="22">
        <v>13.0</v>
      </c>
      <c r="L14" s="22">
        <f>+SUMIF('حركه المخزن الرئيسي اليوميه'!$F:$F,$H:$H,'حركه المخزن الرئيسي اليوميه'!$H:$H)</f>
        <v>0.0</v>
      </c>
      <c r="M14" s="22">
        <f>+SUMIF('حركه المخزن الرئيسي اليوميه'!$F:$F,$H:$H,'حركه المخزن الرئيسي اليوميه'!$I:$I)</f>
        <v>0.0</v>
      </c>
      <c r="N14" s="22">
        <f t="shared" si="0"/>
        <v>13.0</v>
      </c>
      <c r="O14" s="22">
        <f t="shared" si="1"/>
        <v>13.0</v>
      </c>
      <c r="P14" s="22">
        <f t="shared" si="2"/>
        <v>0.0</v>
      </c>
      <c r="Q14" s="57"/>
      <c r="R14" s="58"/>
    </row>
    <row r="15" spans="8:8" ht="15.0" hidden="1">
      <c r="B15" s="54">
        <v>6.0</v>
      </c>
      <c r="C15" s="8" t="s">
        <v>3912</v>
      </c>
      <c r="D15" s="8" t="s">
        <v>811</v>
      </c>
      <c r="E15" s="8" t="s">
        <v>2967</v>
      </c>
      <c r="F15" s="8" t="s">
        <v>2833</v>
      </c>
      <c r="G15" s="8"/>
      <c r="H15" s="8" t="s">
        <v>2968</v>
      </c>
      <c r="I15" s="55" t="s">
        <v>8163</v>
      </c>
      <c r="J15" s="56" t="s">
        <v>7525</v>
      </c>
      <c r="K15" s="22">
        <v>4.0</v>
      </c>
      <c r="L15" s="22">
        <f>+SUMIF('حركه المخزن الرئيسي اليوميه'!$F:$F,$H:$H,'حركه المخزن الرئيسي اليوميه'!$H:$H)</f>
        <v>0.0</v>
      </c>
      <c r="M15" s="22">
        <f>+SUMIF('حركه المخزن الرئيسي اليوميه'!$F:$F,$H:$H,'حركه المخزن الرئيسي اليوميه'!$I:$I)</f>
        <v>0.0</v>
      </c>
      <c r="N15" s="22">
        <f t="shared" si="0"/>
        <v>4.0</v>
      </c>
      <c r="O15" s="22">
        <f t="shared" si="1"/>
        <v>4.0</v>
      </c>
      <c r="P15" s="22">
        <f t="shared" si="2"/>
        <v>0.0</v>
      </c>
      <c r="Q15" s="57"/>
      <c r="R15" s="58"/>
    </row>
    <row r="16" spans="8:8" ht="15.0" hidden="1">
      <c r="B16" s="54">
        <v>7.0</v>
      </c>
      <c r="C16" s="8" t="s">
        <v>3912</v>
      </c>
      <c r="D16" s="8" t="s">
        <v>811</v>
      </c>
      <c r="E16" s="8" t="s">
        <v>2839</v>
      </c>
      <c r="F16" s="8" t="s">
        <v>2833</v>
      </c>
      <c r="G16" s="8"/>
      <c r="H16" s="8" t="s">
        <v>2841</v>
      </c>
      <c r="I16" s="55" t="s">
        <v>8163</v>
      </c>
      <c r="J16" s="56" t="s">
        <v>7526</v>
      </c>
      <c r="K16" s="22">
        <v>7.0</v>
      </c>
      <c r="L16" s="22">
        <f>+SUMIF('حركه المخزن الرئيسي اليوميه'!$F:$F,$H:$H,'حركه المخزن الرئيسي اليوميه'!$H:$H)</f>
        <v>0.0</v>
      </c>
      <c r="M16" s="22">
        <f>+SUMIF('حركه المخزن الرئيسي اليوميه'!$F:$F,$H:$H,'حركه المخزن الرئيسي اليوميه'!$I:$I)</f>
        <v>0.0</v>
      </c>
      <c r="N16" s="22">
        <f t="shared" si="0"/>
        <v>7.0</v>
      </c>
      <c r="O16" s="22">
        <f t="shared" si="1"/>
        <v>7.0</v>
      </c>
      <c r="P16" s="22">
        <f t="shared" si="2"/>
        <v>0.0</v>
      </c>
      <c r="Q16" s="57"/>
      <c r="R16" s="58"/>
    </row>
    <row r="17" spans="8:8" ht="15.0" hidden="1">
      <c r="B17" s="54">
        <v>8.0</v>
      </c>
      <c r="C17" s="8" t="s">
        <v>3912</v>
      </c>
      <c r="D17" s="8" t="s">
        <v>811</v>
      </c>
      <c r="E17" s="8" t="s">
        <v>2836</v>
      </c>
      <c r="F17" s="8" t="s">
        <v>2833</v>
      </c>
      <c r="G17" s="8"/>
      <c r="H17" s="8" t="s">
        <v>2837</v>
      </c>
      <c r="I17" s="55" t="s">
        <v>8163</v>
      </c>
      <c r="J17" s="56" t="s">
        <v>7527</v>
      </c>
      <c r="K17" s="22">
        <v>12.0</v>
      </c>
      <c r="L17" s="22">
        <f>+SUMIF('حركه المخزن الرئيسي اليوميه'!$F:$F,$H:$H,'حركه المخزن الرئيسي اليوميه'!$H:$H)</f>
        <v>0.0</v>
      </c>
      <c r="M17" s="22">
        <f>+SUMIF('حركه المخزن الرئيسي اليوميه'!$F:$F,$H:$H,'حركه المخزن الرئيسي اليوميه'!$I:$I)</f>
        <v>0.0</v>
      </c>
      <c r="N17" s="22">
        <f t="shared" si="0"/>
        <v>12.0</v>
      </c>
      <c r="O17" s="22">
        <f t="shared" si="1"/>
        <v>12.0</v>
      </c>
      <c r="P17" s="22">
        <f t="shared" si="2"/>
        <v>0.0</v>
      </c>
      <c r="Q17" s="57"/>
      <c r="R17" s="58"/>
    </row>
    <row r="18" spans="8:8" ht="15.0" hidden="1">
      <c r="B18" s="54">
        <v>9.0</v>
      </c>
      <c r="C18" s="8" t="s">
        <v>3912</v>
      </c>
      <c r="D18" s="8" t="s">
        <v>811</v>
      </c>
      <c r="E18" s="8" t="s">
        <v>2836</v>
      </c>
      <c r="F18" s="8" t="s">
        <v>2833</v>
      </c>
      <c r="G18" s="8"/>
      <c r="H18" s="8" t="s">
        <v>2838</v>
      </c>
      <c r="I18" s="55" t="s">
        <v>8163</v>
      </c>
      <c r="J18" s="56" t="s">
        <v>7528</v>
      </c>
      <c r="K18" s="22">
        <v>4.0</v>
      </c>
      <c r="L18" s="22">
        <f>+SUMIF('حركه المخزن الرئيسي اليوميه'!$F:$F,$H:$H,'حركه المخزن الرئيسي اليوميه'!$H:$H)</f>
        <v>0.0</v>
      </c>
      <c r="M18" s="22">
        <f>+SUMIF('حركه المخزن الرئيسي اليوميه'!$F:$F,$H:$H,'حركه المخزن الرئيسي اليوميه'!$I:$I)</f>
        <v>0.0</v>
      </c>
      <c r="N18" s="22">
        <f t="shared" si="0"/>
        <v>4.0</v>
      </c>
      <c r="O18" s="22">
        <f t="shared" si="1"/>
        <v>4.0</v>
      </c>
      <c r="P18" s="22">
        <f t="shared" si="2"/>
        <v>0.0</v>
      </c>
      <c r="Q18" s="57"/>
      <c r="R18" s="58"/>
    </row>
    <row r="19" spans="8:8" ht="15.0" hidden="1">
      <c r="B19" s="54">
        <v>10.0</v>
      </c>
      <c r="C19" s="8" t="s">
        <v>3912</v>
      </c>
      <c r="D19" s="8" t="s">
        <v>1013</v>
      </c>
      <c r="E19" s="8" t="s">
        <v>1330</v>
      </c>
      <c r="F19" s="8" t="s">
        <v>1573</v>
      </c>
      <c r="G19" s="8" t="s">
        <v>2116</v>
      </c>
      <c r="H19" s="8" t="s">
        <v>1330</v>
      </c>
      <c r="I19" s="55" t="s">
        <v>8163</v>
      </c>
      <c r="J19" s="56" t="s">
        <v>7529</v>
      </c>
      <c r="K19" s="22">
        <v>16.0</v>
      </c>
      <c r="L19" s="22">
        <f>+SUMIF('حركه المخزن الرئيسي اليوميه'!$F:$F,$H:$H,'حركه المخزن الرئيسي اليوميه'!$H:$H)</f>
        <v>0.0</v>
      </c>
      <c r="M19" s="22">
        <f>+SUMIF('حركه المخزن الرئيسي اليوميه'!$F:$F,$H:$H,'حركه المخزن الرئيسي اليوميه'!$I:$I)</f>
        <v>0.0</v>
      </c>
      <c r="N19" s="22">
        <f t="shared" si="0"/>
        <v>16.0</v>
      </c>
      <c r="O19" s="22">
        <f t="shared" si="1"/>
        <v>16.0</v>
      </c>
      <c r="P19" s="22">
        <f t="shared" si="2"/>
        <v>0.0</v>
      </c>
      <c r="Q19" s="57"/>
      <c r="R19" s="58"/>
    </row>
    <row r="20" spans="8:8" ht="15.0" hidden="1">
      <c r="B20" s="54">
        <v>11.0</v>
      </c>
      <c r="C20" s="8" t="s">
        <v>3912</v>
      </c>
      <c r="D20" s="8" t="s">
        <v>811</v>
      </c>
      <c r="E20" s="8" t="s">
        <v>2844</v>
      </c>
      <c r="F20" s="8" t="s">
        <v>2833</v>
      </c>
      <c r="G20" s="8"/>
      <c r="H20" s="8" t="s">
        <v>2846</v>
      </c>
      <c r="I20" s="55" t="s">
        <v>8163</v>
      </c>
      <c r="J20" s="56" t="s">
        <v>7530</v>
      </c>
      <c r="K20" s="22">
        <v>5.0</v>
      </c>
      <c r="L20" s="22">
        <f>+SUMIF('حركه المخزن الرئيسي اليوميه'!$F:$F,$H:$H,'حركه المخزن الرئيسي اليوميه'!$H:$H)</f>
        <v>0.0</v>
      </c>
      <c r="M20" s="22">
        <f>+SUMIF('حركه المخزن الرئيسي اليوميه'!$F:$F,$H:$H,'حركه المخزن الرئيسي اليوميه'!$I:$I)</f>
        <v>0.0</v>
      </c>
      <c r="N20" s="22">
        <f t="shared" si="0"/>
        <v>5.0</v>
      </c>
      <c r="O20" s="22">
        <f t="shared" si="1"/>
        <v>5.0</v>
      </c>
      <c r="P20" s="22">
        <f t="shared" si="2"/>
        <v>0.0</v>
      </c>
      <c r="Q20" s="57"/>
      <c r="R20" s="58"/>
    </row>
    <row r="21" spans="8:8" ht="15.0" hidden="1">
      <c r="B21" s="54">
        <v>12.0</v>
      </c>
      <c r="C21" s="8" t="s">
        <v>3912</v>
      </c>
      <c r="D21" s="8" t="s">
        <v>811</v>
      </c>
      <c r="E21" s="8" t="s">
        <v>1010</v>
      </c>
      <c r="F21" s="8" t="s">
        <v>68</v>
      </c>
      <c r="G21" s="8" t="s">
        <v>2128</v>
      </c>
      <c r="H21" s="8" t="s">
        <v>1009</v>
      </c>
      <c r="I21" s="55" t="s">
        <v>8163</v>
      </c>
      <c r="J21" s="56" t="s">
        <v>7531</v>
      </c>
      <c r="K21" s="22">
        <v>4.0</v>
      </c>
      <c r="L21" s="22">
        <f>+SUMIF('حركه المخزن الرئيسي اليوميه'!$F:$F,$H:$H,'حركه المخزن الرئيسي اليوميه'!$H:$H)</f>
        <v>0.0</v>
      </c>
      <c r="M21" s="22">
        <f>+SUMIF('حركه المخزن الرئيسي اليوميه'!$F:$F,$H:$H,'حركه المخزن الرئيسي اليوميه'!$I:$I)</f>
        <v>0.0</v>
      </c>
      <c r="N21" s="22">
        <f t="shared" si="0"/>
        <v>4.0</v>
      </c>
      <c r="O21" s="22">
        <f t="shared" si="1"/>
        <v>4.0</v>
      </c>
      <c r="P21" s="22">
        <f t="shared" si="2"/>
        <v>0.0</v>
      </c>
      <c r="Q21" s="57"/>
      <c r="R21" s="58"/>
    </row>
    <row r="22" spans="8:8" ht="15.0" hidden="1">
      <c r="B22" s="54">
        <v>13.0</v>
      </c>
      <c r="C22" s="8" t="s">
        <v>3912</v>
      </c>
      <c r="D22" s="8" t="s">
        <v>811</v>
      </c>
      <c r="E22" s="8" t="s">
        <v>813</v>
      </c>
      <c r="F22" s="8" t="s">
        <v>68</v>
      </c>
      <c r="G22" s="8" t="s">
        <v>1691</v>
      </c>
      <c r="H22" s="8" t="s">
        <v>813</v>
      </c>
      <c r="I22" s="55" t="s">
        <v>8163</v>
      </c>
      <c r="J22" s="56" t="s">
        <v>7532</v>
      </c>
      <c r="K22" s="22">
        <v>3.0</v>
      </c>
      <c r="L22" s="22">
        <f>+SUMIF('حركه المخزن الرئيسي اليوميه'!$F:$F,$H:$H,'حركه المخزن الرئيسي اليوميه'!$H:$H)</f>
        <v>0.0</v>
      </c>
      <c r="M22" s="22">
        <f>+SUMIF('حركه المخزن الرئيسي اليوميه'!$F:$F,$H:$H,'حركه المخزن الرئيسي اليوميه'!$I:$I)</f>
        <v>0.0</v>
      </c>
      <c r="N22" s="22">
        <f t="shared" si="0"/>
        <v>3.0</v>
      </c>
      <c r="O22" s="22">
        <f t="shared" si="1"/>
        <v>3.0</v>
      </c>
      <c r="P22" s="22">
        <f t="shared" si="2"/>
        <v>0.0</v>
      </c>
      <c r="Q22" s="57"/>
      <c r="R22" s="58"/>
    </row>
    <row r="23" spans="8:8" ht="15.0" hidden="1">
      <c r="B23" s="54">
        <v>14.0</v>
      </c>
      <c r="C23" s="8" t="s">
        <v>3913</v>
      </c>
      <c r="D23" s="8" t="s">
        <v>820</v>
      </c>
      <c r="E23" s="8" t="s">
        <v>3154</v>
      </c>
      <c r="F23" s="8" t="s">
        <v>68</v>
      </c>
      <c r="G23" s="8" t="s">
        <v>2233</v>
      </c>
      <c r="H23" s="8" t="s">
        <v>3154</v>
      </c>
      <c r="I23" s="8" t="s">
        <v>818</v>
      </c>
      <c r="J23" s="56" t="s">
        <v>7533</v>
      </c>
      <c r="K23" s="22">
        <v>22.0</v>
      </c>
      <c r="L23" s="22">
        <f>+SUMIF('حركه المخزن الرئيسي اليوميه'!$F:$F,$H:$H,'حركه المخزن الرئيسي اليوميه'!$H:$H)</f>
        <v>0.0</v>
      </c>
      <c r="M23" s="22">
        <f>+SUMIF('حركه المخزن الرئيسي اليوميه'!$F:$F,$H:$H,'حركه المخزن الرئيسي اليوميه'!$I:$I)</f>
        <v>0.0</v>
      </c>
      <c r="N23" s="22">
        <f t="shared" si="0"/>
        <v>22.0</v>
      </c>
      <c r="O23" s="22">
        <f t="shared" si="1"/>
        <v>22.0</v>
      </c>
      <c r="P23" s="22">
        <f t="shared" si="2"/>
        <v>0.0</v>
      </c>
      <c r="Q23" s="57"/>
      <c r="R23" s="58"/>
    </row>
    <row r="24" spans="8:8" ht="15.0" hidden="1">
      <c r="B24" s="54">
        <v>15.0</v>
      </c>
      <c r="C24" s="8" t="s">
        <v>3913</v>
      </c>
      <c r="D24" s="8" t="s">
        <v>820</v>
      </c>
      <c r="E24" s="8" t="s">
        <v>3153</v>
      </c>
      <c r="F24" s="8" t="s">
        <v>68</v>
      </c>
      <c r="G24" s="8" t="s">
        <v>2235</v>
      </c>
      <c r="H24" s="8" t="s">
        <v>3153</v>
      </c>
      <c r="I24" s="8" t="s">
        <v>818</v>
      </c>
      <c r="J24" s="56" t="s">
        <v>7534</v>
      </c>
      <c r="K24" s="22">
        <v>0.0</v>
      </c>
      <c r="L24" s="22">
        <f>+SUMIF('حركه المخزن الرئيسي اليوميه'!$F:$F,$H:$H,'حركه المخزن الرئيسي اليوميه'!$H:$H)</f>
        <v>0.0</v>
      </c>
      <c r="M24" s="22">
        <f>+SUMIF('حركه المخزن الرئيسي اليوميه'!$F:$F,$H:$H,'حركه المخزن الرئيسي اليوميه'!$I:$I)</f>
        <v>0.0</v>
      </c>
      <c r="N24" s="22">
        <f t="shared" si="0"/>
        <v>0.0</v>
      </c>
      <c r="O24" s="22">
        <f t="shared" si="1"/>
        <v>0.0</v>
      </c>
      <c r="P24" s="22">
        <f t="shared" si="2"/>
        <v>0.0</v>
      </c>
      <c r="Q24" s="57"/>
      <c r="R24" s="58"/>
    </row>
    <row r="25" spans="8:8" ht="15.0" hidden="1">
      <c r="B25" s="54">
        <v>16.0</v>
      </c>
      <c r="C25" s="8" t="s">
        <v>3913</v>
      </c>
      <c r="D25" s="8" t="s">
        <v>820</v>
      </c>
      <c r="E25" s="8" t="s">
        <v>3152</v>
      </c>
      <c r="F25" s="8" t="s">
        <v>68</v>
      </c>
      <c r="G25" s="8" t="s">
        <v>2234</v>
      </c>
      <c r="H25" s="8" t="s">
        <v>3152</v>
      </c>
      <c r="I25" s="8" t="s">
        <v>818</v>
      </c>
      <c r="J25" s="56" t="s">
        <v>7535</v>
      </c>
      <c r="K25" s="22">
        <v>17.0</v>
      </c>
      <c r="L25" s="22">
        <f>+SUMIF('حركه المخزن الرئيسي اليوميه'!$F:$F,$H:$H,'حركه المخزن الرئيسي اليوميه'!$H:$H)</f>
        <v>0.0</v>
      </c>
      <c r="M25" s="22">
        <f>+SUMIF('حركه المخزن الرئيسي اليوميه'!$F:$F,$H:$H,'حركه المخزن الرئيسي اليوميه'!$I:$I)</f>
        <v>0.0</v>
      </c>
      <c r="N25" s="22">
        <f t="shared" si="0"/>
        <v>17.0</v>
      </c>
      <c r="O25" s="22">
        <f t="shared" si="1"/>
        <v>17.0</v>
      </c>
      <c r="P25" s="22">
        <f t="shared" si="2"/>
        <v>0.0</v>
      </c>
      <c r="Q25" s="57"/>
      <c r="R25" s="58"/>
    </row>
    <row r="26" spans="8:8" ht="15.0" hidden="1">
      <c r="B26" s="54">
        <v>17.0</v>
      </c>
      <c r="C26" s="8" t="s">
        <v>3913</v>
      </c>
      <c r="D26" s="8" t="s">
        <v>820</v>
      </c>
      <c r="E26" s="8" t="s">
        <v>2905</v>
      </c>
      <c r="F26" s="8" t="s">
        <v>68</v>
      </c>
      <c r="G26" s="8" t="s">
        <v>2906</v>
      </c>
      <c r="H26" s="8" t="s">
        <v>2905</v>
      </c>
      <c r="I26" s="8" t="s">
        <v>818</v>
      </c>
      <c r="J26" s="56" t="s">
        <v>7536</v>
      </c>
      <c r="K26" s="22">
        <v>3.0</v>
      </c>
      <c r="L26" s="22">
        <f>+SUMIF('حركه المخزن الرئيسي اليوميه'!$F:$F,$H:$H,'حركه المخزن الرئيسي اليوميه'!$H:$H)</f>
        <v>0.0</v>
      </c>
      <c r="M26" s="22">
        <f>+SUMIF('حركه المخزن الرئيسي اليوميه'!$F:$F,$H:$H,'حركه المخزن الرئيسي اليوميه'!$I:$I)</f>
        <v>0.0</v>
      </c>
      <c r="N26" s="22">
        <f t="shared" si="0"/>
        <v>3.0</v>
      </c>
      <c r="O26" s="22">
        <f t="shared" si="1"/>
        <v>3.0</v>
      </c>
      <c r="P26" s="22">
        <f t="shared" si="2"/>
        <v>0.0</v>
      </c>
      <c r="Q26" s="57"/>
      <c r="R26" s="58"/>
    </row>
    <row r="27" spans="8:8" ht="15.0" hidden="1">
      <c r="B27" s="54">
        <v>18.0</v>
      </c>
      <c r="C27" s="8" t="s">
        <v>3913</v>
      </c>
      <c r="D27" s="8" t="s">
        <v>1013</v>
      </c>
      <c r="E27" s="8" t="s">
        <v>3151</v>
      </c>
      <c r="F27" s="8" t="s">
        <v>68</v>
      </c>
      <c r="G27" s="8" t="s">
        <v>1829</v>
      </c>
      <c r="H27" s="8" t="s">
        <v>3151</v>
      </c>
      <c r="I27" s="8" t="s">
        <v>818</v>
      </c>
      <c r="J27" s="56" t="s">
        <v>7537</v>
      </c>
      <c r="K27" s="22">
        <v>19.0</v>
      </c>
      <c r="L27" s="22">
        <f>+SUMIF('حركه المخزن الرئيسي اليوميه'!$F:$F,$H:$H,'حركه المخزن الرئيسي اليوميه'!$H:$H)</f>
        <v>0.0</v>
      </c>
      <c r="M27" s="22">
        <f>+SUMIF('حركه المخزن الرئيسي اليوميه'!$F:$F,$H:$H,'حركه المخزن الرئيسي اليوميه'!$I:$I)</f>
        <v>0.0</v>
      </c>
      <c r="N27" s="22">
        <f t="shared" si="0"/>
        <v>19.0</v>
      </c>
      <c r="O27" s="22">
        <f t="shared" si="1"/>
        <v>19.0</v>
      </c>
      <c r="P27" s="22">
        <f t="shared" si="2"/>
        <v>0.0</v>
      </c>
      <c r="Q27" s="57"/>
      <c r="R27" s="58"/>
    </row>
    <row r="28" spans="8:8" ht="15.0" hidden="1">
      <c r="B28" s="54">
        <v>19.0</v>
      </c>
      <c r="C28" s="8" t="s">
        <v>3913</v>
      </c>
      <c r="D28" s="8" t="s">
        <v>1013</v>
      </c>
      <c r="E28" s="8" t="s">
        <v>356</v>
      </c>
      <c r="F28" s="8" t="s">
        <v>68</v>
      </c>
      <c r="G28" s="8" t="s">
        <v>2120</v>
      </c>
      <c r="H28" s="8" t="s">
        <v>2582</v>
      </c>
      <c r="I28" s="8" t="s">
        <v>448</v>
      </c>
      <c r="J28" s="56" t="s">
        <v>7538</v>
      </c>
      <c r="K28" s="22">
        <v>5.0</v>
      </c>
      <c r="L28" s="22">
        <f>+SUMIF('حركه المخزن الرئيسي اليوميه'!$F:$F,$H:$H,'حركه المخزن الرئيسي اليوميه'!$H:$H)</f>
        <v>0.0</v>
      </c>
      <c r="M28" s="22">
        <f>+SUMIF('حركه المخزن الرئيسي اليوميه'!$F:$F,$H:$H,'حركه المخزن الرئيسي اليوميه'!$I:$I)</f>
        <v>1.0</v>
      </c>
      <c r="N28" s="22">
        <f t="shared" si="0"/>
        <v>4.0</v>
      </c>
      <c r="O28" s="22">
        <f t="shared" si="1"/>
        <v>4.0</v>
      </c>
      <c r="P28" s="22">
        <f t="shared" si="2"/>
        <v>0.0</v>
      </c>
      <c r="Q28" s="57"/>
      <c r="R28" s="58"/>
    </row>
    <row r="29" spans="8:8" ht="15.0" hidden="1">
      <c r="B29" s="54">
        <v>20.0</v>
      </c>
      <c r="C29" s="8" t="s">
        <v>3913</v>
      </c>
      <c r="D29" s="8" t="s">
        <v>820</v>
      </c>
      <c r="E29" s="8" t="s">
        <v>1298</v>
      </c>
      <c r="F29" s="8" t="s">
        <v>68</v>
      </c>
      <c r="G29" s="8" t="s">
        <v>2055</v>
      </c>
      <c r="H29" s="8" t="s">
        <v>1206</v>
      </c>
      <c r="I29" s="8" t="s">
        <v>448</v>
      </c>
      <c r="J29" s="56" t="s">
        <v>7539</v>
      </c>
      <c r="K29" s="22">
        <v>10.0</v>
      </c>
      <c r="L29" s="22">
        <f>+SUMIF('حركه المخزن الرئيسي اليوميه'!$F:$F,$H:$H,'حركه المخزن الرئيسي اليوميه'!$H:$H)</f>
        <v>0.0</v>
      </c>
      <c r="M29" s="22">
        <f>+SUMIF('حركه المخزن الرئيسي اليوميه'!$F:$F,$H:$H,'حركه المخزن الرئيسي اليوميه'!$I:$I)</f>
        <v>3.0</v>
      </c>
      <c r="N29" s="22">
        <f t="shared" si="0"/>
        <v>7.0</v>
      </c>
      <c r="O29" s="22">
        <f t="shared" si="1"/>
        <v>7.0</v>
      </c>
      <c r="P29" s="22">
        <f t="shared" si="2"/>
        <v>0.0</v>
      </c>
      <c r="Q29" s="57"/>
      <c r="R29" s="58"/>
    </row>
    <row r="30" spans="8:8" ht="15.0" hidden="1">
      <c r="B30" s="54">
        <v>21.0</v>
      </c>
      <c r="C30" s="8" t="s">
        <v>3913</v>
      </c>
      <c r="D30" s="8" t="s">
        <v>1013</v>
      </c>
      <c r="E30" s="8" t="s">
        <v>372</v>
      </c>
      <c r="F30" s="8" t="s">
        <v>68</v>
      </c>
      <c r="G30" s="8" t="s">
        <v>2055</v>
      </c>
      <c r="H30" s="8" t="s">
        <v>374</v>
      </c>
      <c r="I30" s="8" t="s">
        <v>254</v>
      </c>
      <c r="J30" s="56" t="s">
        <v>7540</v>
      </c>
      <c r="K30" s="22">
        <v>3.0</v>
      </c>
      <c r="L30" s="22">
        <f>+SUMIF('حركه المخزن الرئيسي اليوميه'!$F:$F,$H:$H,'حركه المخزن الرئيسي اليوميه'!$H:$H)</f>
        <v>0.0</v>
      </c>
      <c r="M30" s="22">
        <f>+SUMIF('حركه المخزن الرئيسي اليوميه'!$F:$F,$H:$H,'حركه المخزن الرئيسي اليوميه'!$I:$I)</f>
        <v>0.0</v>
      </c>
      <c r="N30" s="22">
        <f t="shared" si="0"/>
        <v>3.0</v>
      </c>
      <c r="O30" s="22">
        <f t="shared" si="1"/>
        <v>3.0</v>
      </c>
      <c r="P30" s="22">
        <f t="shared" si="2"/>
        <v>0.0</v>
      </c>
      <c r="Q30" s="57"/>
      <c r="R30" s="58"/>
    </row>
    <row r="31" spans="8:8" ht="15.0" hidden="1">
      <c r="B31" s="54">
        <v>22.0</v>
      </c>
      <c r="C31" s="8" t="s">
        <v>3913</v>
      </c>
      <c r="D31" s="8" t="s">
        <v>1013</v>
      </c>
      <c r="E31" s="8" t="s">
        <v>356</v>
      </c>
      <c r="F31" s="8" t="s">
        <v>68</v>
      </c>
      <c r="G31" s="8" t="s">
        <v>2120</v>
      </c>
      <c r="H31" s="8" t="s">
        <v>2513</v>
      </c>
      <c r="I31" s="8" t="s">
        <v>448</v>
      </c>
      <c r="J31" s="56" t="s">
        <v>7541</v>
      </c>
      <c r="K31" s="22">
        <v>2.0</v>
      </c>
      <c r="L31" s="22">
        <f>+SUMIF('حركه المخزن الرئيسي اليوميه'!$F:$F,$H:$H,'حركه المخزن الرئيسي اليوميه'!$H:$H)</f>
        <v>0.0</v>
      </c>
      <c r="M31" s="22">
        <f>+SUMIF('حركه المخزن الرئيسي اليوميه'!$F:$F,$H:$H,'حركه المخزن الرئيسي اليوميه'!$I:$I)</f>
        <v>0.0</v>
      </c>
      <c r="N31" s="22">
        <f t="shared" si="0"/>
        <v>2.0</v>
      </c>
      <c r="O31" s="22">
        <f t="shared" si="1"/>
        <v>2.0</v>
      </c>
      <c r="P31" s="22">
        <f t="shared" si="2"/>
        <v>0.0</v>
      </c>
      <c r="Q31" s="57"/>
      <c r="R31" s="59"/>
    </row>
    <row r="32" spans="8:8" ht="15.0" hidden="1">
      <c r="B32" s="54">
        <v>23.0</v>
      </c>
      <c r="C32" s="8" t="s">
        <v>3913</v>
      </c>
      <c r="D32" s="8" t="s">
        <v>1013</v>
      </c>
      <c r="E32" s="8" t="s">
        <v>372</v>
      </c>
      <c r="F32" s="8" t="s">
        <v>68</v>
      </c>
      <c r="G32" s="8" t="s">
        <v>2055</v>
      </c>
      <c r="H32" s="8" t="s">
        <v>373</v>
      </c>
      <c r="I32" s="8" t="s">
        <v>254</v>
      </c>
      <c r="J32" s="56" t="s">
        <v>7542</v>
      </c>
      <c r="K32" s="22">
        <v>25.0</v>
      </c>
      <c r="L32" s="22">
        <f>+SUMIF('حركه المخزن الرئيسي اليوميه'!$F:$F,$H:$H,'حركه المخزن الرئيسي اليوميه'!$H:$H)</f>
        <v>0.0</v>
      </c>
      <c r="M32" s="22">
        <f>+SUMIF('حركه المخزن الرئيسي اليوميه'!$F:$F,$H:$H,'حركه المخزن الرئيسي اليوميه'!$I:$I)</f>
        <v>0.0</v>
      </c>
      <c r="N32" s="22">
        <f t="shared" si="0"/>
        <v>25.0</v>
      </c>
      <c r="O32" s="22">
        <f t="shared" si="1"/>
        <v>25.0</v>
      </c>
      <c r="P32" s="22">
        <f t="shared" si="2"/>
        <v>0.0</v>
      </c>
      <c r="Q32" s="57"/>
      <c r="R32" s="58"/>
    </row>
    <row r="33" spans="8:8" ht="15.0" hidden="1">
      <c r="B33" s="54">
        <v>24.0</v>
      </c>
      <c r="C33" s="8" t="s">
        <v>3913</v>
      </c>
      <c r="D33" s="8" t="s">
        <v>1013</v>
      </c>
      <c r="E33" s="8" t="s">
        <v>356</v>
      </c>
      <c r="F33" s="8" t="s">
        <v>68</v>
      </c>
      <c r="G33" s="8" t="s">
        <v>2120</v>
      </c>
      <c r="H33" s="8" t="s">
        <v>358</v>
      </c>
      <c r="I33" s="8" t="s">
        <v>448</v>
      </c>
      <c r="J33" s="56" t="s">
        <v>7543</v>
      </c>
      <c r="K33" s="22">
        <v>10.0</v>
      </c>
      <c r="L33" s="22">
        <f>+SUMIF('حركه المخزن الرئيسي اليوميه'!$F:$F,$H:$H,'حركه المخزن الرئيسي اليوميه'!$H:$H)</f>
        <v>0.0</v>
      </c>
      <c r="M33" s="22">
        <f>+SUMIF('حركه المخزن الرئيسي اليوميه'!$F:$F,$H:$H,'حركه المخزن الرئيسي اليوميه'!$I:$I)</f>
        <v>0.0</v>
      </c>
      <c r="N33" s="22">
        <f t="shared" si="0"/>
        <v>10.0</v>
      </c>
      <c r="O33" s="22">
        <f t="shared" si="1"/>
        <v>10.0</v>
      </c>
      <c r="P33" s="22">
        <f t="shared" si="2"/>
        <v>0.0</v>
      </c>
      <c r="Q33" s="57"/>
      <c r="R33" s="58"/>
    </row>
    <row r="34" spans="8:8" ht="15.0" hidden="1">
      <c r="B34" s="54">
        <v>25.0</v>
      </c>
      <c r="C34" s="8" t="s">
        <v>3913</v>
      </c>
      <c r="D34" s="8" t="s">
        <v>1013</v>
      </c>
      <c r="E34" s="8" t="s">
        <v>2580</v>
      </c>
      <c r="F34" s="8" t="s">
        <v>68</v>
      </c>
      <c r="G34" s="8" t="s">
        <v>2055</v>
      </c>
      <c r="H34" s="8" t="s">
        <v>2581</v>
      </c>
      <c r="I34" s="8" t="s">
        <v>818</v>
      </c>
      <c r="J34" s="56" t="s">
        <v>7544</v>
      </c>
      <c r="K34" s="22">
        <v>2.0</v>
      </c>
      <c r="L34" s="22">
        <f>+SUMIF('حركه المخزن الرئيسي اليوميه'!$F:$F,$H:$H,'حركه المخزن الرئيسي اليوميه'!$H:$H)</f>
        <v>0.0</v>
      </c>
      <c r="M34" s="22">
        <f>+SUMIF('حركه المخزن الرئيسي اليوميه'!$F:$F,$H:$H,'حركه المخزن الرئيسي اليوميه'!$I:$I)</f>
        <v>0.0</v>
      </c>
      <c r="N34" s="22">
        <f t="shared" si="0"/>
        <v>2.0</v>
      </c>
      <c r="O34" s="22">
        <f t="shared" si="1"/>
        <v>2.0</v>
      </c>
      <c r="P34" s="22">
        <f t="shared" si="2"/>
        <v>0.0</v>
      </c>
      <c r="Q34" s="57"/>
      <c r="R34" s="59"/>
    </row>
    <row r="35" spans="8:8" ht="15.0" hidden="1">
      <c r="B35" s="54">
        <v>26.0</v>
      </c>
      <c r="C35" s="8" t="s">
        <v>3913</v>
      </c>
      <c r="D35" s="8" t="s">
        <v>820</v>
      </c>
      <c r="E35" s="8" t="s">
        <v>1298</v>
      </c>
      <c r="F35" s="8" t="s">
        <v>68</v>
      </c>
      <c r="G35" s="8" t="s">
        <v>2055</v>
      </c>
      <c r="H35" s="8" t="s">
        <v>1299</v>
      </c>
      <c r="I35" s="8" t="s">
        <v>197</v>
      </c>
      <c r="J35" s="56" t="s">
        <v>7545</v>
      </c>
      <c r="K35" s="22">
        <v>2.0</v>
      </c>
      <c r="L35" s="22">
        <f>+SUMIF('حركه المخزن الرئيسي اليوميه'!$F:$F,$H:$H,'حركه المخزن الرئيسي اليوميه'!$H:$H)</f>
        <v>0.0</v>
      </c>
      <c r="M35" s="22">
        <f>+SUMIF('حركه المخزن الرئيسي اليوميه'!$F:$F,$H:$H,'حركه المخزن الرئيسي اليوميه'!$I:$I)</f>
        <v>0.0</v>
      </c>
      <c r="N35" s="22">
        <f t="shared" si="0"/>
        <v>2.0</v>
      </c>
      <c r="O35" s="22">
        <f t="shared" si="1"/>
        <v>2.0</v>
      </c>
      <c r="P35" s="22">
        <f t="shared" si="2"/>
        <v>0.0</v>
      </c>
      <c r="Q35" s="57"/>
      <c r="R35" s="58"/>
    </row>
    <row r="36" spans="8:8" ht="15.0" hidden="1">
      <c r="B36" s="54">
        <v>27.0</v>
      </c>
      <c r="C36" s="8" t="s">
        <v>3913</v>
      </c>
      <c r="D36" s="8" t="s">
        <v>1013</v>
      </c>
      <c r="E36" s="8" t="s">
        <v>356</v>
      </c>
      <c r="F36" s="8" t="s">
        <v>68</v>
      </c>
      <c r="G36" s="8"/>
      <c r="H36" s="8" t="s">
        <v>3055</v>
      </c>
      <c r="I36" s="8" t="s">
        <v>447</v>
      </c>
      <c r="J36" s="56" t="s">
        <v>7546</v>
      </c>
      <c r="K36" s="22">
        <v>47.0</v>
      </c>
      <c r="L36" s="22">
        <f>+SUMIF('حركه المخزن الرئيسي اليوميه'!$F:$F,$H:$H,'حركه المخزن الرئيسي اليوميه'!$H:$H)</f>
        <v>0.0</v>
      </c>
      <c r="M36" s="22">
        <f>+SUMIF('حركه المخزن الرئيسي اليوميه'!$F:$F,$H:$H,'حركه المخزن الرئيسي اليوميه'!$I:$I)</f>
        <v>0.0</v>
      </c>
      <c r="N36" s="22">
        <f t="shared" si="0"/>
        <v>47.0</v>
      </c>
      <c r="O36" s="22">
        <f t="shared" si="1"/>
        <v>47.0</v>
      </c>
      <c r="P36" s="22">
        <f t="shared" si="2"/>
        <v>0.0</v>
      </c>
      <c r="Q36" s="57"/>
      <c r="R36" s="58"/>
    </row>
    <row r="37" spans="8:8" ht="15.0" hidden="1">
      <c r="B37" s="54">
        <v>32.0</v>
      </c>
      <c r="C37" s="8" t="s">
        <v>3913</v>
      </c>
      <c r="D37" s="8" t="s">
        <v>1013</v>
      </c>
      <c r="E37" s="8" t="s">
        <v>356</v>
      </c>
      <c r="F37" s="8" t="s">
        <v>68</v>
      </c>
      <c r="G37" s="8"/>
      <c r="H37" s="8" t="s">
        <v>3056</v>
      </c>
      <c r="I37" s="8" t="s">
        <v>447</v>
      </c>
      <c r="J37" s="56" t="s">
        <v>7547</v>
      </c>
      <c r="K37" s="22">
        <v>45.0</v>
      </c>
      <c r="L37" s="22">
        <f>+SUMIF('حركه المخزن الرئيسي اليوميه'!$F:$F,$H:$H,'حركه المخزن الرئيسي اليوميه'!$H:$H)</f>
        <v>0.0</v>
      </c>
      <c r="M37" s="22">
        <f>+SUMIF('حركه المخزن الرئيسي اليوميه'!$F:$F,$H:$H,'حركه المخزن الرئيسي اليوميه'!$I:$I)</f>
        <v>0.0</v>
      </c>
      <c r="N37" s="22">
        <f t="shared" si="0"/>
        <v>45.0</v>
      </c>
      <c r="O37" s="22">
        <f t="shared" si="1"/>
        <v>45.0</v>
      </c>
      <c r="P37" s="22">
        <f t="shared" si="2"/>
        <v>0.0</v>
      </c>
      <c r="Q37" s="57"/>
      <c r="R37" s="58"/>
    </row>
    <row r="38" spans="8:8" ht="15.0" hidden="1">
      <c r="B38" s="54">
        <v>33.0</v>
      </c>
      <c r="C38" s="8" t="s">
        <v>3913</v>
      </c>
      <c r="D38" s="8" t="s">
        <v>1013</v>
      </c>
      <c r="E38" s="8" t="s">
        <v>329</v>
      </c>
      <c r="F38" s="8" t="s">
        <v>68</v>
      </c>
      <c r="G38" s="8" t="s">
        <v>2055</v>
      </c>
      <c r="H38" s="8" t="s">
        <v>348</v>
      </c>
      <c r="I38" s="8" t="s">
        <v>197</v>
      </c>
      <c r="J38" s="56" t="s">
        <v>7548</v>
      </c>
      <c r="K38" s="22">
        <v>14.0</v>
      </c>
      <c r="L38" s="22">
        <f>+SUMIF('حركه المخزن الرئيسي اليوميه'!$F:$F,$H:$H,'حركه المخزن الرئيسي اليوميه'!$H:$H)</f>
        <v>0.0</v>
      </c>
      <c r="M38" s="22">
        <f>+SUMIF('حركه المخزن الرئيسي اليوميه'!$F:$F,$H:$H,'حركه المخزن الرئيسي اليوميه'!$I:$I)</f>
        <v>0.0</v>
      </c>
      <c r="N38" s="22">
        <f t="shared" si="0"/>
        <v>14.0</v>
      </c>
      <c r="O38" s="22">
        <f t="shared" si="1"/>
        <v>14.0</v>
      </c>
      <c r="P38" s="22">
        <f t="shared" si="2"/>
        <v>0.0</v>
      </c>
      <c r="Q38" s="57"/>
      <c r="R38" s="58"/>
    </row>
    <row r="39" spans="8:8" ht="15.0" hidden="1">
      <c r="B39" s="54">
        <v>34.0</v>
      </c>
      <c r="C39" s="8" t="s">
        <v>3913</v>
      </c>
      <c r="D39" s="8" t="s">
        <v>1013</v>
      </c>
      <c r="E39" s="8" t="s">
        <v>329</v>
      </c>
      <c r="F39" s="8" t="s">
        <v>68</v>
      </c>
      <c r="G39" s="8" t="s">
        <v>2055</v>
      </c>
      <c r="H39" s="8" t="s">
        <v>355</v>
      </c>
      <c r="I39" s="8" t="s">
        <v>447</v>
      </c>
      <c r="J39" s="56" t="s">
        <v>7549</v>
      </c>
      <c r="K39" s="22">
        <v>7.0</v>
      </c>
      <c r="L39" s="22">
        <f>+SUMIF('حركه المخزن الرئيسي اليوميه'!$F:$F,$H:$H,'حركه المخزن الرئيسي اليوميه'!$H:$H)</f>
        <v>0.0</v>
      </c>
      <c r="M39" s="22">
        <f>+SUMIF('حركه المخزن الرئيسي اليوميه'!$F:$F,$H:$H,'حركه المخزن الرئيسي اليوميه'!$I:$I)</f>
        <v>0.0</v>
      </c>
      <c r="N39" s="22">
        <f t="shared" si="0"/>
        <v>7.0</v>
      </c>
      <c r="O39" s="22">
        <f t="shared" si="1"/>
        <v>7.0</v>
      </c>
      <c r="P39" s="22">
        <f t="shared" si="2"/>
        <v>0.0</v>
      </c>
      <c r="Q39" s="57"/>
      <c r="R39" s="59"/>
    </row>
    <row r="40" spans="8:8" ht="15.0" hidden="1">
      <c r="B40" s="54">
        <v>35.0</v>
      </c>
      <c r="C40" s="8" t="s">
        <v>3913</v>
      </c>
      <c r="D40" s="8" t="s">
        <v>1013</v>
      </c>
      <c r="E40" s="8" t="s">
        <v>329</v>
      </c>
      <c r="F40" s="8" t="s">
        <v>68</v>
      </c>
      <c r="G40" s="8" t="s">
        <v>2055</v>
      </c>
      <c r="H40" s="8" t="s">
        <v>354</v>
      </c>
      <c r="I40" s="8" t="s">
        <v>447</v>
      </c>
      <c r="J40" s="56" t="s">
        <v>7550</v>
      </c>
      <c r="K40" s="22">
        <v>15.0</v>
      </c>
      <c r="L40" s="22">
        <f>+SUMIF('حركه المخزن الرئيسي اليوميه'!$F:$F,$H:$H,'حركه المخزن الرئيسي اليوميه'!$H:$H)</f>
        <v>0.0</v>
      </c>
      <c r="M40" s="22">
        <f>+SUMIF('حركه المخزن الرئيسي اليوميه'!$F:$F,$H:$H,'حركه المخزن الرئيسي اليوميه'!$I:$I)</f>
        <v>0.0</v>
      </c>
      <c r="N40" s="22">
        <f t="shared" si="0"/>
        <v>15.0</v>
      </c>
      <c r="O40" s="22">
        <f t="shared" si="1"/>
        <v>15.0</v>
      </c>
      <c r="P40" s="22">
        <f t="shared" si="2"/>
        <v>0.0</v>
      </c>
      <c r="Q40" s="57"/>
      <c r="R40" s="58"/>
    </row>
    <row r="41" spans="8:8" ht="15.0" hidden="1">
      <c r="B41" s="54">
        <v>36.0</v>
      </c>
      <c r="C41" s="8" t="s">
        <v>3913</v>
      </c>
      <c r="D41" s="8" t="s">
        <v>1013</v>
      </c>
      <c r="E41" s="8" t="s">
        <v>2580</v>
      </c>
      <c r="F41" s="8" t="s">
        <v>68</v>
      </c>
      <c r="G41" s="8" t="s">
        <v>2055</v>
      </c>
      <c r="H41" s="8" t="s">
        <v>648</v>
      </c>
      <c r="I41" s="8" t="s">
        <v>2947</v>
      </c>
      <c r="J41" s="56" t="s">
        <v>7551</v>
      </c>
      <c r="K41" s="22">
        <v>35.0</v>
      </c>
      <c r="L41" s="22">
        <f>+SUMIF('حركه المخزن الرئيسي اليوميه'!$F:$F,$H:$H,'حركه المخزن الرئيسي اليوميه'!$H:$H)</f>
        <v>0.0</v>
      </c>
      <c r="M41" s="22">
        <f>+SUMIF('حركه المخزن الرئيسي اليوميه'!$F:$F,$H:$H,'حركه المخزن الرئيسي اليوميه'!$I:$I)</f>
        <v>2.0</v>
      </c>
      <c r="N41" s="22">
        <f t="shared" si="0"/>
        <v>33.0</v>
      </c>
      <c r="O41" s="22">
        <f t="shared" si="1"/>
        <v>33.0</v>
      </c>
      <c r="P41" s="22">
        <f t="shared" si="2"/>
        <v>0.0</v>
      </c>
      <c r="Q41" s="57"/>
      <c r="R41" s="58"/>
    </row>
    <row r="42" spans="8:8" ht="15.0" hidden="1">
      <c r="B42" s="54">
        <v>37.0</v>
      </c>
      <c r="C42" s="8" t="s">
        <v>3913</v>
      </c>
      <c r="D42" s="8" t="s">
        <v>1013</v>
      </c>
      <c r="E42" s="8" t="s">
        <v>329</v>
      </c>
      <c r="F42" s="8" t="s">
        <v>68</v>
      </c>
      <c r="G42" s="8" t="s">
        <v>2055</v>
      </c>
      <c r="H42" s="8" t="s">
        <v>353</v>
      </c>
      <c r="I42" s="8" t="s">
        <v>447</v>
      </c>
      <c r="J42" s="56" t="s">
        <v>7552</v>
      </c>
      <c r="K42" s="22">
        <v>14.0</v>
      </c>
      <c r="L42" s="22">
        <f>+SUMIF('حركه المخزن الرئيسي اليوميه'!$F:$F,$H:$H,'حركه المخزن الرئيسي اليوميه'!$H:$H)</f>
        <v>0.0</v>
      </c>
      <c r="M42" s="22">
        <f>+SUMIF('حركه المخزن الرئيسي اليوميه'!$F:$F,$H:$H,'حركه المخزن الرئيسي اليوميه'!$I:$I)</f>
        <v>0.0</v>
      </c>
      <c r="N42" s="22">
        <f t="shared" si="0"/>
        <v>14.0</v>
      </c>
      <c r="O42" s="22">
        <f t="shared" si="1"/>
        <v>14.0</v>
      </c>
      <c r="P42" s="22">
        <f t="shared" si="2"/>
        <v>0.0</v>
      </c>
      <c r="Q42" s="57"/>
      <c r="R42" s="58"/>
    </row>
    <row r="43" spans="8:8" ht="15.0" hidden="1">
      <c r="B43" s="54">
        <v>38.0</v>
      </c>
      <c r="C43" s="8" t="s">
        <v>3913</v>
      </c>
      <c r="D43" s="8" t="s">
        <v>1013</v>
      </c>
      <c r="E43" s="8" t="s">
        <v>329</v>
      </c>
      <c r="F43" s="8" t="s">
        <v>68</v>
      </c>
      <c r="G43" s="8" t="s">
        <v>2055</v>
      </c>
      <c r="H43" s="8" t="s">
        <v>594</v>
      </c>
      <c r="I43" s="8" t="s">
        <v>2947</v>
      </c>
      <c r="J43" s="56" t="s">
        <v>7553</v>
      </c>
      <c r="K43" s="22">
        <v>5.0</v>
      </c>
      <c r="L43" s="22">
        <f>+SUMIF('حركه المخزن الرئيسي اليوميه'!$F:$F,$H:$H,'حركه المخزن الرئيسي اليوميه'!$H:$H)</f>
        <v>0.0</v>
      </c>
      <c r="M43" s="22">
        <f>+SUMIF('حركه المخزن الرئيسي اليوميه'!$F:$F,$H:$H,'حركه المخزن الرئيسي اليوميه'!$I:$I)</f>
        <v>1.0</v>
      </c>
      <c r="N43" s="22">
        <f t="shared" si="0"/>
        <v>4.0</v>
      </c>
      <c r="O43" s="22">
        <f t="shared" si="1"/>
        <v>4.0</v>
      </c>
      <c r="P43" s="22">
        <f t="shared" si="2"/>
        <v>0.0</v>
      </c>
      <c r="Q43" s="57"/>
      <c r="R43" s="59"/>
    </row>
    <row r="44" spans="8:8" ht="15.0" hidden="1">
      <c r="B44" s="54">
        <v>39.0</v>
      </c>
      <c r="C44" s="8" t="s">
        <v>3913</v>
      </c>
      <c r="D44" s="8" t="s">
        <v>1013</v>
      </c>
      <c r="E44" s="8" t="s">
        <v>3340</v>
      </c>
      <c r="F44" s="8" t="s">
        <v>68</v>
      </c>
      <c r="G44" s="8" t="s">
        <v>2055</v>
      </c>
      <c r="H44" s="8" t="s">
        <v>3340</v>
      </c>
      <c r="I44" s="8" t="s">
        <v>2947</v>
      </c>
      <c r="J44" s="56" t="s">
        <v>7554</v>
      </c>
      <c r="K44" s="22">
        <v>4.0</v>
      </c>
      <c r="L44" s="22">
        <f>+SUMIF('حركه المخزن الرئيسي اليوميه'!$F:$F,$H:$H,'حركه المخزن الرئيسي اليوميه'!$H:$H)</f>
        <v>0.0</v>
      </c>
      <c r="M44" s="22">
        <f>+SUMIF('حركه المخزن الرئيسي اليوميه'!$F:$F,$H:$H,'حركه المخزن الرئيسي اليوميه'!$I:$I)</f>
        <v>2.0</v>
      </c>
      <c r="N44" s="22">
        <f t="shared" si="0"/>
        <v>2.0</v>
      </c>
      <c r="O44" s="22">
        <f t="shared" si="1"/>
        <v>2.0</v>
      </c>
      <c r="P44" s="22">
        <f t="shared" si="2"/>
        <v>0.0</v>
      </c>
      <c r="Q44" s="57"/>
      <c r="R44" s="59"/>
    </row>
    <row r="45" spans="8:8">
      <c r="B45" s="54">
        <v>40.0</v>
      </c>
      <c r="C45" s="8" t="s">
        <v>3913</v>
      </c>
      <c r="D45" s="8" t="s">
        <v>1013</v>
      </c>
      <c r="E45" s="8" t="s">
        <v>367</v>
      </c>
      <c r="F45" s="8" t="s">
        <v>68</v>
      </c>
      <c r="G45" s="8" t="s">
        <v>367</v>
      </c>
      <c r="H45" s="8" t="s">
        <v>3529</v>
      </c>
      <c r="I45" s="8" t="s">
        <v>24</v>
      </c>
      <c r="J45" s="56" t="s">
        <v>7555</v>
      </c>
      <c r="K45" s="22">
        <v>2.0</v>
      </c>
      <c r="L45" s="22">
        <f>+SUMIF('حركه المخزن الرئيسي اليوميه'!$F:$F,$H:$H,'حركه المخزن الرئيسي اليوميه'!$H:$H)</f>
        <v>0.0</v>
      </c>
      <c r="M45" s="22">
        <f>+SUMIF('حركه المخزن الرئيسي اليوميه'!$F:$F,$H:$H,'حركه المخزن الرئيسي اليوميه'!$I:$I)</f>
        <v>0.0</v>
      </c>
      <c r="N45" s="22">
        <f t="shared" si="0"/>
        <v>2.0</v>
      </c>
      <c r="O45" s="22">
        <f t="shared" si="1"/>
        <v>2.0</v>
      </c>
      <c r="P45" s="22">
        <f t="shared" si="2"/>
        <v>0.0</v>
      </c>
      <c r="Q45" s="57"/>
      <c r="R45" s="58"/>
    </row>
    <row r="46" spans="8:8" ht="15.0" hidden="1">
      <c r="B46" s="54">
        <v>41.0</v>
      </c>
      <c r="C46" s="8" t="s">
        <v>3913</v>
      </c>
      <c r="D46" s="8" t="s">
        <v>1013</v>
      </c>
      <c r="E46" s="8" t="s">
        <v>362</v>
      </c>
      <c r="F46" s="8" t="s">
        <v>68</v>
      </c>
      <c r="G46" s="8" t="s">
        <v>2123</v>
      </c>
      <c r="H46" s="8" t="s">
        <v>362</v>
      </c>
      <c r="I46" s="8" t="s">
        <v>31</v>
      </c>
      <c r="J46" s="56" t="s">
        <v>7556</v>
      </c>
      <c r="K46" s="22">
        <v>2.0</v>
      </c>
      <c r="L46" s="22">
        <f>+SUMIF('حركه المخزن الرئيسي اليوميه'!$F:$F,$H:$H,'حركه المخزن الرئيسي اليوميه'!$H:$H)</f>
        <v>0.0</v>
      </c>
      <c r="M46" s="22">
        <f>+SUMIF('حركه المخزن الرئيسي اليوميه'!$F:$F,$H:$H,'حركه المخزن الرئيسي اليوميه'!$I:$I)</f>
        <v>0.0</v>
      </c>
      <c r="N46" s="22">
        <f t="shared" si="0"/>
        <v>2.0</v>
      </c>
      <c r="O46" s="22">
        <f t="shared" si="1"/>
        <v>2.0</v>
      </c>
      <c r="P46" s="22">
        <f t="shared" si="2"/>
        <v>0.0</v>
      </c>
      <c r="Q46" s="57"/>
      <c r="R46" s="58"/>
    </row>
    <row r="47" spans="8:8" ht="15.0" hidden="1">
      <c r="B47" s="54">
        <v>42.0</v>
      </c>
      <c r="C47" s="8" t="s">
        <v>3913</v>
      </c>
      <c r="D47" s="8" t="s">
        <v>820</v>
      </c>
      <c r="E47" s="8" t="s">
        <v>1413</v>
      </c>
      <c r="F47" s="8" t="s">
        <v>873</v>
      </c>
      <c r="G47" s="8" t="s">
        <v>2264</v>
      </c>
      <c r="H47" s="8" t="s">
        <v>1413</v>
      </c>
      <c r="I47" s="8" t="s">
        <v>228</v>
      </c>
      <c r="J47" s="56" t="s">
        <v>7557</v>
      </c>
      <c r="K47" s="22">
        <v>1.0</v>
      </c>
      <c r="L47" s="22">
        <f>+SUMIF('حركه المخزن الرئيسي اليوميه'!$F:$F,$H:$H,'حركه المخزن الرئيسي اليوميه'!$H:$H)</f>
        <v>0.0</v>
      </c>
      <c r="M47" s="22">
        <f>+SUMIF('حركه المخزن الرئيسي اليوميه'!$F:$F,$H:$H,'حركه المخزن الرئيسي اليوميه'!$I:$I)</f>
        <v>0.0</v>
      </c>
      <c r="N47" s="22">
        <f t="shared" si="0"/>
        <v>1.0</v>
      </c>
      <c r="O47" s="22">
        <f t="shared" si="1"/>
        <v>1.0</v>
      </c>
      <c r="P47" s="22">
        <f t="shared" si="2"/>
        <v>0.0</v>
      </c>
      <c r="Q47" s="57"/>
      <c r="R47" s="58"/>
    </row>
    <row r="48" spans="8:8" ht="15.0" hidden="1">
      <c r="B48" s="54">
        <v>43.0</v>
      </c>
      <c r="C48" s="8" t="s">
        <v>3913</v>
      </c>
      <c r="D48" s="8" t="s">
        <v>1013</v>
      </c>
      <c r="E48" s="8" t="s">
        <v>370</v>
      </c>
      <c r="F48" s="8" t="s">
        <v>68</v>
      </c>
      <c r="G48" s="8" t="s">
        <v>370</v>
      </c>
      <c r="H48" s="8" t="s">
        <v>3526</v>
      </c>
      <c r="I48" s="8" t="s">
        <v>31</v>
      </c>
      <c r="J48" s="56" t="s">
        <v>7558</v>
      </c>
      <c r="K48" s="22">
        <v>2.0</v>
      </c>
      <c r="L48" s="22">
        <f>+SUMIF('حركه المخزن الرئيسي اليوميه'!$F:$F,$H:$H,'حركه المخزن الرئيسي اليوميه'!$H:$H)</f>
        <v>0.0</v>
      </c>
      <c r="M48" s="22">
        <f>+SUMIF('حركه المخزن الرئيسي اليوميه'!$F:$F,$H:$H,'حركه المخزن الرئيسي اليوميه'!$I:$I)</f>
        <v>0.0</v>
      </c>
      <c r="N48" s="22">
        <f t="shared" si="0"/>
        <v>2.0</v>
      </c>
      <c r="O48" s="22">
        <f t="shared" si="1"/>
        <v>2.0</v>
      </c>
      <c r="P48" s="22">
        <f t="shared" si="2"/>
        <v>0.0</v>
      </c>
      <c r="Q48" s="57"/>
      <c r="R48" s="58"/>
    </row>
    <row r="49" spans="8:8" ht="15.0" hidden="1">
      <c r="B49" s="54">
        <v>44.0</v>
      </c>
      <c r="C49" s="8" t="s">
        <v>3913</v>
      </c>
      <c r="D49" s="8" t="s">
        <v>1013</v>
      </c>
      <c r="E49" s="8" t="s">
        <v>66</v>
      </c>
      <c r="F49" s="8" t="s">
        <v>68</v>
      </c>
      <c r="G49" s="8" t="s">
        <v>1677</v>
      </c>
      <c r="H49" s="8" t="s">
        <v>66</v>
      </c>
      <c r="I49" s="8" t="s">
        <v>818</v>
      </c>
      <c r="J49" s="56" t="s">
        <v>7559</v>
      </c>
      <c r="K49" s="22">
        <v>4.0</v>
      </c>
      <c r="L49" s="22">
        <f>+SUMIF('حركه المخزن الرئيسي اليوميه'!$F:$F,$H:$H,'حركه المخزن الرئيسي اليوميه'!$H:$H)</f>
        <v>0.0</v>
      </c>
      <c r="M49" s="22">
        <f>+SUMIF('حركه المخزن الرئيسي اليوميه'!$F:$F,$H:$H,'حركه المخزن الرئيسي اليوميه'!$I:$I)</f>
        <v>0.0</v>
      </c>
      <c r="N49" s="22">
        <f t="shared" si="0"/>
        <v>4.0</v>
      </c>
      <c r="O49" s="22">
        <f t="shared" si="1"/>
        <v>4.0</v>
      </c>
      <c r="P49" s="22">
        <f t="shared" si="2"/>
        <v>0.0</v>
      </c>
      <c r="Q49" s="57"/>
      <c r="R49" s="58"/>
    </row>
    <row r="50" spans="8:8" ht="15.0" hidden="1">
      <c r="B50" s="54">
        <v>45.0</v>
      </c>
      <c r="C50" s="8" t="s">
        <v>3913</v>
      </c>
      <c r="D50" s="8" t="s">
        <v>1013</v>
      </c>
      <c r="E50" s="8" t="s">
        <v>2696</v>
      </c>
      <c r="F50" s="8" t="s">
        <v>68</v>
      </c>
      <c r="G50" s="8" t="s">
        <v>366</v>
      </c>
      <c r="H50" s="8" t="s">
        <v>3527</v>
      </c>
      <c r="I50" s="8" t="s">
        <v>818</v>
      </c>
      <c r="J50" s="56" t="s">
        <v>7560</v>
      </c>
      <c r="K50" s="22">
        <v>4.0</v>
      </c>
      <c r="L50" s="22">
        <f>+SUMIF('حركه المخزن الرئيسي اليوميه'!$F:$F,$H:$H,'حركه المخزن الرئيسي اليوميه'!$H:$H)</f>
        <v>0.0</v>
      </c>
      <c r="M50" s="22">
        <f>+SUMIF('حركه المخزن الرئيسي اليوميه'!$F:$F,$H:$H,'حركه المخزن الرئيسي اليوميه'!$I:$I)</f>
        <v>0.0</v>
      </c>
      <c r="N50" s="22">
        <f t="shared" si="0"/>
        <v>4.0</v>
      </c>
      <c r="O50" s="22">
        <f t="shared" si="1"/>
        <v>4.0</v>
      </c>
      <c r="P50" s="22">
        <f t="shared" si="2"/>
        <v>0.0</v>
      </c>
      <c r="Q50" s="57"/>
      <c r="R50" s="58"/>
    </row>
    <row r="51" spans="8:8" ht="15.0" hidden="1">
      <c r="B51" s="54">
        <v>46.0</v>
      </c>
      <c r="C51" s="8" t="s">
        <v>3913</v>
      </c>
      <c r="D51" s="8" t="s">
        <v>1013</v>
      </c>
      <c r="E51" s="8" t="s">
        <v>2697</v>
      </c>
      <c r="F51" s="8" t="s">
        <v>1501</v>
      </c>
      <c r="G51" s="8"/>
      <c r="H51" s="8" t="s">
        <v>2697</v>
      </c>
      <c r="I51" s="8" t="s">
        <v>28</v>
      </c>
      <c r="J51" s="56" t="s">
        <v>7561</v>
      </c>
      <c r="K51" s="22">
        <v>4.0</v>
      </c>
      <c r="L51" s="22">
        <f>+SUMIF('حركه المخزن الرئيسي اليوميه'!$F:$F,$H:$H,'حركه المخزن الرئيسي اليوميه'!$H:$H)</f>
        <v>0.0</v>
      </c>
      <c r="M51" s="22">
        <f>+SUMIF('حركه المخزن الرئيسي اليوميه'!$F:$F,$H:$H,'حركه المخزن الرئيسي اليوميه'!$I:$I)</f>
        <v>0.0</v>
      </c>
      <c r="N51" s="22">
        <f t="shared" si="0"/>
        <v>4.0</v>
      </c>
      <c r="O51" s="22">
        <f t="shared" si="1"/>
        <v>4.0</v>
      </c>
      <c r="P51" s="22">
        <f t="shared" si="2"/>
        <v>0.0</v>
      </c>
      <c r="Q51" s="57"/>
      <c r="R51" s="58"/>
    </row>
    <row r="52" spans="8:8" ht="15.0" hidden="1">
      <c r="B52" s="54">
        <v>47.0</v>
      </c>
      <c r="C52" s="8" t="s">
        <v>3913</v>
      </c>
      <c r="D52" s="8" t="s">
        <v>1013</v>
      </c>
      <c r="E52" s="8" t="s">
        <v>368</v>
      </c>
      <c r="F52" s="8" t="s">
        <v>68</v>
      </c>
      <c r="G52" s="8" t="s">
        <v>368</v>
      </c>
      <c r="H52" s="8" t="s">
        <v>3525</v>
      </c>
      <c r="I52" s="8" t="s">
        <v>31</v>
      </c>
      <c r="J52" s="56" t="s">
        <v>7562</v>
      </c>
      <c r="K52" s="22">
        <v>6.0</v>
      </c>
      <c r="L52" s="22">
        <f>+SUMIF('حركه المخزن الرئيسي اليوميه'!$F:$F,$H:$H,'حركه المخزن الرئيسي اليوميه'!$H:$H)</f>
        <v>0.0</v>
      </c>
      <c r="M52" s="22">
        <f>+SUMIF('حركه المخزن الرئيسي اليوميه'!$F:$F,$H:$H,'حركه المخزن الرئيسي اليوميه'!$I:$I)</f>
        <v>0.0</v>
      </c>
      <c r="N52" s="22">
        <f t="shared" si="0"/>
        <v>6.0</v>
      </c>
      <c r="O52" s="22">
        <f t="shared" si="1"/>
        <v>6.0</v>
      </c>
      <c r="P52" s="22">
        <f t="shared" si="2"/>
        <v>0.0</v>
      </c>
      <c r="Q52" s="57"/>
      <c r="R52" s="58"/>
    </row>
    <row r="53" spans="8:8">
      <c r="B53" s="54">
        <v>48.0</v>
      </c>
      <c r="C53" s="8" t="s">
        <v>3913</v>
      </c>
      <c r="D53" s="8" t="s">
        <v>1013</v>
      </c>
      <c r="E53" s="8" t="s">
        <v>2698</v>
      </c>
      <c r="F53" s="8" t="s">
        <v>1501</v>
      </c>
      <c r="G53" s="8"/>
      <c r="H53" s="8" t="s">
        <v>2698</v>
      </c>
      <c r="I53" s="8" t="s">
        <v>31</v>
      </c>
      <c r="J53" s="56" t="s">
        <v>7563</v>
      </c>
      <c r="K53" s="22">
        <v>7.0</v>
      </c>
      <c r="L53" s="22">
        <f>+SUMIF('حركه المخزن الرئيسي اليوميه'!$F:$F,$H:$H,'حركه المخزن الرئيسي اليوميه'!$H:$H)</f>
        <v>0.0</v>
      </c>
      <c r="M53" s="22">
        <f>+SUMIF('حركه المخزن الرئيسي اليوميه'!$F:$F,$H:$H,'حركه المخزن الرئيسي اليوميه'!$I:$I)</f>
        <v>0.0</v>
      </c>
      <c r="N53" s="22">
        <f t="shared" si="0"/>
        <v>7.0</v>
      </c>
      <c r="O53" s="22">
        <f t="shared" si="1"/>
        <v>7.0</v>
      </c>
      <c r="P53" s="22">
        <f t="shared" si="2"/>
        <v>0.0</v>
      </c>
      <c r="Q53" s="57"/>
      <c r="R53" s="58"/>
    </row>
    <row r="54" spans="8:8">
      <c r="B54" s="54">
        <v>49.0</v>
      </c>
      <c r="C54" s="8" t="s">
        <v>3913</v>
      </c>
      <c r="D54" s="8" t="s">
        <v>1013</v>
      </c>
      <c r="E54" s="8" t="s">
        <v>369</v>
      </c>
      <c r="F54" s="8" t="s">
        <v>68</v>
      </c>
      <c r="G54" s="8" t="s">
        <v>369</v>
      </c>
      <c r="H54" s="8" t="s">
        <v>3528</v>
      </c>
      <c r="I54" s="8" t="s">
        <v>24</v>
      </c>
      <c r="J54" s="56" t="s">
        <v>7564</v>
      </c>
      <c r="K54" s="22">
        <v>11.0</v>
      </c>
      <c r="L54" s="22">
        <f>+SUMIF('حركه المخزن الرئيسي اليوميه'!$F:$F,$H:$H,'حركه المخزن الرئيسي اليوميه'!$H:$H)</f>
        <v>0.0</v>
      </c>
      <c r="M54" s="22">
        <f>+SUMIF('حركه المخزن الرئيسي اليوميه'!$F:$F,$H:$H,'حركه المخزن الرئيسي اليوميه'!$I:$I)</f>
        <v>0.0</v>
      </c>
      <c r="N54" s="22">
        <f t="shared" si="0"/>
        <v>11.0</v>
      </c>
      <c r="O54" s="22">
        <f t="shared" si="1"/>
        <v>11.0</v>
      </c>
      <c r="P54" s="22">
        <f t="shared" si="2"/>
        <v>0.0</v>
      </c>
      <c r="Q54" s="57"/>
      <c r="R54" s="58"/>
    </row>
    <row r="55" spans="8:8" ht="15.0" hidden="1">
      <c r="B55" s="54">
        <v>50.0</v>
      </c>
      <c r="C55" s="8" t="s">
        <v>3913</v>
      </c>
      <c r="D55" s="8" t="s">
        <v>1013</v>
      </c>
      <c r="E55" s="8" t="s">
        <v>364</v>
      </c>
      <c r="F55" s="8" t="s">
        <v>68</v>
      </c>
      <c r="G55" s="8" t="s">
        <v>364</v>
      </c>
      <c r="H55" s="8" t="s">
        <v>365</v>
      </c>
      <c r="I55" s="8" t="s">
        <v>24</v>
      </c>
      <c r="J55" s="56" t="s">
        <v>7565</v>
      </c>
      <c r="K55" s="22">
        <v>2.0</v>
      </c>
      <c r="L55" s="22">
        <f>+SUMIF('حركه المخزن الرئيسي اليوميه'!$F:$F,$H:$H,'حركه المخزن الرئيسي اليوميه'!$H:$H)</f>
        <v>0.0</v>
      </c>
      <c r="M55" s="22">
        <f>+SUMIF('حركه المخزن الرئيسي اليوميه'!$F:$F,$H:$H,'حركه المخزن الرئيسي اليوميه'!$I:$I)</f>
        <v>0.0</v>
      </c>
      <c r="N55" s="22">
        <f t="shared" si="0"/>
        <v>2.0</v>
      </c>
      <c r="O55" s="22">
        <f t="shared" si="1"/>
        <v>2.0</v>
      </c>
      <c r="P55" s="22">
        <f t="shared" si="2"/>
        <v>0.0</v>
      </c>
      <c r="Q55" s="57"/>
      <c r="R55" s="58"/>
    </row>
    <row r="56" spans="8:8" ht="15.0" hidden="1">
      <c r="B56" s="54">
        <v>51.0</v>
      </c>
      <c r="C56" s="8" t="s">
        <v>3913</v>
      </c>
      <c r="D56" s="8" t="s">
        <v>1013</v>
      </c>
      <c r="E56" s="8" t="s">
        <v>290</v>
      </c>
      <c r="F56" s="8" t="s">
        <v>68</v>
      </c>
      <c r="G56" s="8" t="s">
        <v>1814</v>
      </c>
      <c r="H56" s="8" t="s">
        <v>1957</v>
      </c>
      <c r="I56" s="8" t="s">
        <v>236</v>
      </c>
      <c r="J56" s="56" t="s">
        <v>7566</v>
      </c>
      <c r="K56" s="22">
        <v>41.0</v>
      </c>
      <c r="L56" s="22">
        <f>+SUMIF('حركه المخزن الرئيسي اليوميه'!$F:$F,$H:$H,'حركه المخزن الرئيسي اليوميه'!$H:$H)</f>
        <v>0.0</v>
      </c>
      <c r="M56" s="22">
        <f>+SUMIF('حركه المخزن الرئيسي اليوميه'!$F:$F,$H:$H,'حركه المخزن الرئيسي اليوميه'!$I:$I)</f>
        <v>1.0</v>
      </c>
      <c r="N56" s="22">
        <f t="shared" si="0"/>
        <v>40.0</v>
      </c>
      <c r="O56" s="22">
        <f t="shared" si="1"/>
        <v>40.0</v>
      </c>
      <c r="P56" s="22">
        <f t="shared" si="2"/>
        <v>0.0</v>
      </c>
      <c r="Q56" s="57"/>
      <c r="R56" s="58"/>
    </row>
    <row r="57" spans="8:8" ht="15.0" hidden="1">
      <c r="B57" s="54">
        <v>52.0</v>
      </c>
      <c r="C57" s="8" t="s">
        <v>3913</v>
      </c>
      <c r="D57" s="8" t="s">
        <v>1013</v>
      </c>
      <c r="E57" s="8" t="s">
        <v>1334</v>
      </c>
      <c r="F57" s="8" t="s">
        <v>68</v>
      </c>
      <c r="G57" s="8" t="s">
        <v>1814</v>
      </c>
      <c r="H57" s="8" t="s">
        <v>1960</v>
      </c>
      <c r="I57" s="8" t="s">
        <v>236</v>
      </c>
      <c r="J57" s="56" t="s">
        <v>7567</v>
      </c>
      <c r="K57" s="22">
        <v>88.0</v>
      </c>
      <c r="L57" s="22">
        <f>+SUMIF('حركه المخزن الرئيسي اليوميه'!$F:$F,$H:$H,'حركه المخزن الرئيسي اليوميه'!$H:$H)</f>
        <v>0.0</v>
      </c>
      <c r="M57" s="22">
        <f>+SUMIF('حركه المخزن الرئيسي اليوميه'!$F:$F,$H:$H,'حركه المخزن الرئيسي اليوميه'!$I:$I)</f>
        <v>2.0</v>
      </c>
      <c r="N57" s="22">
        <f t="shared" si="0"/>
        <v>86.0</v>
      </c>
      <c r="O57" s="22">
        <f t="shared" si="1"/>
        <v>86.0</v>
      </c>
      <c r="P57" s="22">
        <f t="shared" si="2"/>
        <v>0.0</v>
      </c>
      <c r="Q57" s="57"/>
      <c r="R57" s="58"/>
    </row>
    <row r="58" spans="8:8" ht="15.0" hidden="1">
      <c r="B58" s="54">
        <v>53.0</v>
      </c>
      <c r="C58" s="8" t="s">
        <v>3913</v>
      </c>
      <c r="D58" s="8" t="s">
        <v>1013</v>
      </c>
      <c r="E58" s="8" t="s">
        <v>1334</v>
      </c>
      <c r="F58" s="8" t="s">
        <v>68</v>
      </c>
      <c r="G58" s="8" t="s">
        <v>1814</v>
      </c>
      <c r="H58" s="8" t="s">
        <v>3759</v>
      </c>
      <c r="I58" s="8" t="s">
        <v>204</v>
      </c>
      <c r="J58" s="56" t="s">
        <v>7568</v>
      </c>
      <c r="K58" s="22">
        <v>29.0</v>
      </c>
      <c r="L58" s="22">
        <f>+SUMIF('حركه المخزن الرئيسي اليوميه'!$F:$F,$H:$H,'حركه المخزن الرئيسي اليوميه'!$H:$H)</f>
        <v>0.0</v>
      </c>
      <c r="M58" s="22">
        <f>+SUMIF('حركه المخزن الرئيسي اليوميه'!$F:$F,$H:$H,'حركه المخزن الرئيسي اليوميه'!$I:$I)</f>
        <v>0.0</v>
      </c>
      <c r="N58" s="22">
        <f t="shared" si="0"/>
        <v>29.0</v>
      </c>
      <c r="O58" s="22">
        <f t="shared" si="1"/>
        <v>29.0</v>
      </c>
      <c r="P58" s="22">
        <f t="shared" si="2"/>
        <v>0.0</v>
      </c>
      <c r="Q58" s="57"/>
      <c r="R58" s="58"/>
    </row>
    <row r="59" spans="8:8" ht="15.0" hidden="1">
      <c r="B59" s="54">
        <v>54.0</v>
      </c>
      <c r="C59" s="8" t="s">
        <v>3913</v>
      </c>
      <c r="D59" s="8" t="s">
        <v>1013</v>
      </c>
      <c r="E59" s="8" t="s">
        <v>2931</v>
      </c>
      <c r="F59" s="8" t="s">
        <v>68</v>
      </c>
      <c r="G59" s="8" t="s">
        <v>1832</v>
      </c>
      <c r="H59" s="8" t="s">
        <v>2931</v>
      </c>
      <c r="I59" s="8" t="s">
        <v>818</v>
      </c>
      <c r="J59" s="56" t="s">
        <v>7569</v>
      </c>
      <c r="K59" s="22">
        <v>7.0</v>
      </c>
      <c r="L59" s="22">
        <f>+SUMIF('حركه المخزن الرئيسي اليوميه'!$F:$F,$H:$H,'حركه المخزن الرئيسي اليوميه'!$H:$H)</f>
        <v>0.0</v>
      </c>
      <c r="M59" s="22">
        <f>+SUMIF('حركه المخزن الرئيسي اليوميه'!$F:$F,$H:$H,'حركه المخزن الرئيسي اليوميه'!$I:$I)</f>
        <v>0.0</v>
      </c>
      <c r="N59" s="22">
        <f t="shared" si="0"/>
        <v>7.0</v>
      </c>
      <c r="O59" s="22">
        <f t="shared" si="1"/>
        <v>7.0</v>
      </c>
      <c r="P59" s="22">
        <f t="shared" si="2"/>
        <v>0.0</v>
      </c>
      <c r="Q59" s="57"/>
      <c r="R59" s="58"/>
    </row>
    <row r="60" spans="8:8">
      <c r="B60" s="54">
        <v>55.0</v>
      </c>
      <c r="C60" s="8" t="s">
        <v>3913</v>
      </c>
      <c r="D60" s="8" t="s">
        <v>1013</v>
      </c>
      <c r="E60" s="8" t="s">
        <v>2925</v>
      </c>
      <c r="F60" s="8" t="s">
        <v>68</v>
      </c>
      <c r="G60" s="8" t="s">
        <v>1831</v>
      </c>
      <c r="H60" s="8" t="s">
        <v>2926</v>
      </c>
      <c r="I60" s="8" t="s">
        <v>818</v>
      </c>
      <c r="J60" s="56" t="s">
        <v>7570</v>
      </c>
      <c r="K60" s="22">
        <v>13.0</v>
      </c>
      <c r="L60" s="22">
        <f>+SUMIF('حركه المخزن الرئيسي اليوميه'!$F:$F,$H:$H,'حركه المخزن الرئيسي اليوميه'!$H:$H)</f>
        <v>0.0</v>
      </c>
      <c r="M60" s="22">
        <f>+SUMIF('حركه المخزن الرئيسي اليوميه'!$F:$F,$H:$H,'حركه المخزن الرئيسي اليوميه'!$I:$I)</f>
        <v>0.0</v>
      </c>
      <c r="N60" s="22">
        <f t="shared" si="0"/>
        <v>13.0</v>
      </c>
      <c r="O60" s="22">
        <f t="shared" si="1"/>
        <v>13.0</v>
      </c>
      <c r="P60" s="22">
        <f t="shared" si="2"/>
        <v>0.0</v>
      </c>
      <c r="Q60" s="57"/>
      <c r="R60" s="58"/>
    </row>
    <row r="61" spans="8:8" ht="15.0" hidden="1">
      <c r="B61" s="54">
        <v>56.0</v>
      </c>
      <c r="C61" s="8" t="s">
        <v>3913</v>
      </c>
      <c r="D61" s="8" t="s">
        <v>1013</v>
      </c>
      <c r="E61" s="8" t="s">
        <v>1961</v>
      </c>
      <c r="F61" s="8" t="s">
        <v>68</v>
      </c>
      <c r="G61" s="8" t="s">
        <v>1814</v>
      </c>
      <c r="H61" s="8" t="s">
        <v>1958</v>
      </c>
      <c r="I61" s="8" t="s">
        <v>448</v>
      </c>
      <c r="J61" s="56" t="s">
        <v>7571</v>
      </c>
      <c r="K61" s="22">
        <v>105.0</v>
      </c>
      <c r="L61" s="22">
        <f>+SUMIF('حركه المخزن الرئيسي اليوميه'!$F:$F,$H:$H,'حركه المخزن الرئيسي اليوميه'!$H:$H)</f>
        <v>0.0</v>
      </c>
      <c r="M61" s="22">
        <f>+SUMIF('حركه المخزن الرئيسي اليوميه'!$F:$F,$H:$H,'حركه المخزن الرئيسي اليوميه'!$I:$I)</f>
        <v>1.0</v>
      </c>
      <c r="N61" s="22">
        <f t="shared" si="0"/>
        <v>104.0</v>
      </c>
      <c r="O61" s="22">
        <f t="shared" si="1"/>
        <v>104.0</v>
      </c>
      <c r="P61" s="22">
        <f t="shared" si="2"/>
        <v>0.0</v>
      </c>
      <c r="Q61" s="57"/>
      <c r="R61" s="59"/>
    </row>
    <row r="62" spans="8:8" ht="15.0" hidden="1">
      <c r="B62" s="54">
        <v>57.0</v>
      </c>
      <c r="C62" s="8" t="s">
        <v>3913</v>
      </c>
      <c r="D62" s="8" t="s">
        <v>1013</v>
      </c>
      <c r="E62" s="8" t="s">
        <v>290</v>
      </c>
      <c r="F62" s="8" t="s">
        <v>68</v>
      </c>
      <c r="G62" s="8" t="s">
        <v>1814</v>
      </c>
      <c r="H62" s="8" t="s">
        <v>1956</v>
      </c>
      <c r="I62" s="8" t="s">
        <v>204</v>
      </c>
      <c r="J62" s="56" t="s">
        <v>7572</v>
      </c>
      <c r="K62" s="22">
        <v>118.0</v>
      </c>
      <c r="L62" s="22">
        <f>+SUMIF('حركه المخزن الرئيسي اليوميه'!$F:$F,$H:$H,'حركه المخزن الرئيسي اليوميه'!$H:$H)</f>
        <v>0.0</v>
      </c>
      <c r="M62" s="22">
        <f>+SUMIF('حركه المخزن الرئيسي اليوميه'!$F:$F,$H:$H,'حركه المخزن الرئيسي اليوميه'!$I:$I)</f>
        <v>0.0</v>
      </c>
      <c r="N62" s="22">
        <f t="shared" si="0"/>
        <v>118.0</v>
      </c>
      <c r="O62" s="22">
        <f t="shared" si="1"/>
        <v>118.0</v>
      </c>
      <c r="P62" s="22">
        <f t="shared" si="2"/>
        <v>0.0</v>
      </c>
      <c r="Q62" s="57"/>
      <c r="R62" s="58"/>
    </row>
    <row r="63" spans="8:8" ht="15.0" hidden="1">
      <c r="B63" s="54">
        <v>58.0</v>
      </c>
      <c r="C63" s="8" t="s">
        <v>3913</v>
      </c>
      <c r="D63" s="8" t="s">
        <v>1013</v>
      </c>
      <c r="E63" s="8" t="s">
        <v>1298</v>
      </c>
      <c r="F63" s="8" t="s">
        <v>68</v>
      </c>
      <c r="G63" s="8" t="s">
        <v>2055</v>
      </c>
      <c r="H63" s="8" t="s">
        <v>2583</v>
      </c>
      <c r="I63" s="8" t="s">
        <v>197</v>
      </c>
      <c r="J63" s="56" t="s">
        <v>7573</v>
      </c>
      <c r="K63" s="22">
        <v>3.0</v>
      </c>
      <c r="L63" s="22">
        <f>+SUMIF('حركه المخزن الرئيسي اليوميه'!$F:$F,$H:$H,'حركه المخزن الرئيسي اليوميه'!$H:$H)</f>
        <v>0.0</v>
      </c>
      <c r="M63" s="22">
        <f>+SUMIF('حركه المخزن الرئيسي اليوميه'!$F:$F,$H:$H,'حركه المخزن الرئيسي اليوميه'!$I:$I)</f>
        <v>0.0</v>
      </c>
      <c r="N63" s="22">
        <f t="shared" si="0"/>
        <v>3.0</v>
      </c>
      <c r="O63" s="22">
        <f t="shared" si="1"/>
        <v>3.0</v>
      </c>
      <c r="P63" s="22">
        <f t="shared" si="2"/>
        <v>0.0</v>
      </c>
      <c r="Q63" s="57"/>
      <c r="R63" s="58"/>
    </row>
    <row r="64" spans="8:8" ht="15.0" hidden="1">
      <c r="B64" s="54">
        <v>59.0</v>
      </c>
      <c r="C64" s="8" t="s">
        <v>3913</v>
      </c>
      <c r="D64" s="8" t="s">
        <v>1013</v>
      </c>
      <c r="E64" s="8" t="s">
        <v>334</v>
      </c>
      <c r="F64" s="8" t="s">
        <v>68</v>
      </c>
      <c r="G64" s="8" t="s">
        <v>2055</v>
      </c>
      <c r="H64" s="8" t="s">
        <v>3082</v>
      </c>
      <c r="I64" s="8" t="s">
        <v>818</v>
      </c>
      <c r="J64" s="56" t="s">
        <v>7574</v>
      </c>
      <c r="K64" s="22">
        <v>7.0</v>
      </c>
      <c r="L64" s="22">
        <f>+SUMIF('حركه المخزن الرئيسي اليوميه'!$F:$F,$H:$H,'حركه المخزن الرئيسي اليوميه'!$H:$H)</f>
        <v>0.0</v>
      </c>
      <c r="M64" s="22">
        <f>+SUMIF('حركه المخزن الرئيسي اليوميه'!$F:$F,$H:$H,'حركه المخزن الرئيسي اليوميه'!$I:$I)</f>
        <v>0.0</v>
      </c>
      <c r="N64" s="22">
        <f t="shared" si="0"/>
        <v>7.0</v>
      </c>
      <c r="O64" s="22">
        <f t="shared" si="1"/>
        <v>7.0</v>
      </c>
      <c r="P64" s="22">
        <f t="shared" si="2"/>
        <v>0.0</v>
      </c>
      <c r="Q64" s="57"/>
      <c r="R64" s="58"/>
    </row>
    <row r="65" spans="8:8" ht="15.0" hidden="1">
      <c r="B65" s="54">
        <v>60.0</v>
      </c>
      <c r="C65" s="8" t="s">
        <v>3913</v>
      </c>
      <c r="D65" s="8" t="s">
        <v>1013</v>
      </c>
      <c r="E65" s="8" t="s">
        <v>334</v>
      </c>
      <c r="F65" s="8" t="s">
        <v>68</v>
      </c>
      <c r="G65" s="8" t="s">
        <v>2055</v>
      </c>
      <c r="H65" s="8" t="s">
        <v>3083</v>
      </c>
      <c r="I65" s="8" t="s">
        <v>818</v>
      </c>
      <c r="J65" s="56" t="s">
        <v>7575</v>
      </c>
      <c r="K65" s="22">
        <v>6.0</v>
      </c>
      <c r="L65" s="22">
        <f>+SUMIF('حركه المخزن الرئيسي اليوميه'!$F:$F,$H:$H,'حركه المخزن الرئيسي اليوميه'!$H:$H)</f>
        <v>0.0</v>
      </c>
      <c r="M65" s="22">
        <f>+SUMIF('حركه المخزن الرئيسي اليوميه'!$F:$F,$H:$H,'حركه المخزن الرئيسي اليوميه'!$I:$I)</f>
        <v>0.0</v>
      </c>
      <c r="N65" s="22">
        <f t="shared" si="0"/>
        <v>6.0</v>
      </c>
      <c r="O65" s="22">
        <f t="shared" si="1"/>
        <v>6.0</v>
      </c>
      <c r="P65" s="22">
        <f t="shared" si="2"/>
        <v>0.0</v>
      </c>
      <c r="Q65" s="57"/>
      <c r="R65" s="58"/>
    </row>
    <row r="66" spans="8:8" ht="15.0" hidden="1">
      <c r="B66" s="54">
        <v>61.0</v>
      </c>
      <c r="C66" s="8" t="s">
        <v>3913</v>
      </c>
      <c r="D66" s="8" t="s">
        <v>1013</v>
      </c>
      <c r="E66" s="8" t="s">
        <v>337</v>
      </c>
      <c r="F66" s="8" t="s">
        <v>68</v>
      </c>
      <c r="G66" s="8" t="s">
        <v>2055</v>
      </c>
      <c r="H66" s="8" t="s">
        <v>338</v>
      </c>
      <c r="I66" s="8" t="s">
        <v>197</v>
      </c>
      <c r="J66" s="56" t="s">
        <v>7576</v>
      </c>
      <c r="K66" s="22">
        <v>3.0</v>
      </c>
      <c r="L66" s="22">
        <f>+SUMIF('حركه المخزن الرئيسي اليوميه'!$F:$F,$H:$H,'حركه المخزن الرئيسي اليوميه'!$H:$H)</f>
        <v>0.0</v>
      </c>
      <c r="M66" s="22">
        <f>+SUMIF('حركه المخزن الرئيسي اليوميه'!$F:$F,$H:$H,'حركه المخزن الرئيسي اليوميه'!$I:$I)</f>
        <v>0.0</v>
      </c>
      <c r="N66" s="22">
        <f t="shared" si="0"/>
        <v>3.0</v>
      </c>
      <c r="O66" s="22">
        <f t="shared" si="1"/>
        <v>3.0</v>
      </c>
      <c r="P66" s="22">
        <f t="shared" si="2"/>
        <v>0.0</v>
      </c>
      <c r="Q66" s="57"/>
      <c r="R66" s="59"/>
    </row>
    <row r="67" spans="8:8" ht="15.0" hidden="1">
      <c r="B67" s="54">
        <v>62.0</v>
      </c>
      <c r="C67" s="8" t="s">
        <v>3913</v>
      </c>
      <c r="D67" s="8" t="s">
        <v>820</v>
      </c>
      <c r="E67" s="8" t="s">
        <v>2740</v>
      </c>
      <c r="F67" s="8" t="s">
        <v>68</v>
      </c>
      <c r="G67" s="8" t="s">
        <v>2055</v>
      </c>
      <c r="H67" s="8" t="s">
        <v>1316</v>
      </c>
      <c r="I67" s="8" t="s">
        <v>2947</v>
      </c>
      <c r="J67" s="56" t="s">
        <v>7577</v>
      </c>
      <c r="K67" s="22">
        <v>1.0</v>
      </c>
      <c r="L67" s="22">
        <f>+SUMIF('حركه المخزن الرئيسي اليوميه'!$F:$F,$H:$H,'حركه المخزن الرئيسي اليوميه'!$H:$H)</f>
        <v>0.0</v>
      </c>
      <c r="M67" s="22">
        <f>+SUMIF('حركه المخزن الرئيسي اليوميه'!$F:$F,$H:$H,'حركه المخزن الرئيسي اليوميه'!$I:$I)</f>
        <v>0.0</v>
      </c>
      <c r="N67" s="22">
        <f t="shared" si="0"/>
        <v>1.0</v>
      </c>
      <c r="O67" s="22">
        <f t="shared" si="1"/>
        <v>1.0</v>
      </c>
      <c r="P67" s="22">
        <f t="shared" si="2"/>
        <v>0.0</v>
      </c>
      <c r="Q67" s="57"/>
      <c r="R67" s="58"/>
    </row>
    <row r="68" spans="8:8" ht="15.0" hidden="1">
      <c r="B68" s="54">
        <v>63.0</v>
      </c>
      <c r="C68" s="8" t="s">
        <v>3913</v>
      </c>
      <c r="D68" s="8" t="s">
        <v>1013</v>
      </c>
      <c r="E68" s="8" t="s">
        <v>334</v>
      </c>
      <c r="F68" s="8" t="s">
        <v>68</v>
      </c>
      <c r="G68" s="8" t="s">
        <v>2055</v>
      </c>
      <c r="H68" s="8" t="s">
        <v>3535</v>
      </c>
      <c r="I68" s="8" t="s">
        <v>818</v>
      </c>
      <c r="J68" s="56" t="s">
        <v>7578</v>
      </c>
      <c r="K68" s="22">
        <v>8.0</v>
      </c>
      <c r="L68" s="22">
        <f>+SUMIF('حركه المخزن الرئيسي اليوميه'!$F:$F,$H:$H,'حركه المخزن الرئيسي اليوميه'!$H:$H)</f>
        <v>0.0</v>
      </c>
      <c r="M68" s="22">
        <f>+SUMIF('حركه المخزن الرئيسي اليوميه'!$F:$F,$H:$H,'حركه المخزن الرئيسي اليوميه'!$I:$I)</f>
        <v>0.0</v>
      </c>
      <c r="N68" s="22">
        <f t="shared" si="0"/>
        <v>8.0</v>
      </c>
      <c r="O68" s="22">
        <f t="shared" si="1"/>
        <v>8.0</v>
      </c>
      <c r="P68" s="22">
        <f t="shared" si="2"/>
        <v>0.0</v>
      </c>
      <c r="Q68" s="57"/>
      <c r="R68" s="58"/>
    </row>
    <row r="69" spans="8:8" ht="15.0" hidden="1">
      <c r="B69" s="54">
        <v>64.0</v>
      </c>
      <c r="C69" s="8" t="s">
        <v>3913</v>
      </c>
      <c r="D69" s="8" t="s">
        <v>1013</v>
      </c>
      <c r="E69" s="8" t="s">
        <v>336</v>
      </c>
      <c r="F69" s="8" t="s">
        <v>68</v>
      </c>
      <c r="G69" s="8" t="s">
        <v>2055</v>
      </c>
      <c r="H69" s="8" t="s">
        <v>1315</v>
      </c>
      <c r="I69" s="8" t="s">
        <v>254</v>
      </c>
      <c r="J69" s="56" t="s">
        <v>7579</v>
      </c>
      <c r="K69" s="22">
        <v>10.0</v>
      </c>
      <c r="L69" s="22">
        <f>+SUMIF('حركه المخزن الرئيسي اليوميه'!$F:$F,$H:$H,'حركه المخزن الرئيسي اليوميه'!$H:$H)</f>
        <v>0.0</v>
      </c>
      <c r="M69" s="22">
        <f>+SUMIF('حركه المخزن الرئيسي اليوميه'!$F:$F,$H:$H,'حركه المخزن الرئيسي اليوميه'!$I:$I)</f>
        <v>0.0</v>
      </c>
      <c r="N69" s="22">
        <f t="shared" si="0"/>
        <v>10.0</v>
      </c>
      <c r="O69" s="22">
        <f t="shared" si="1"/>
        <v>10.0</v>
      </c>
      <c r="P69" s="22">
        <f t="shared" si="2"/>
        <v>0.0</v>
      </c>
      <c r="Q69" s="57"/>
      <c r="R69" s="58"/>
    </row>
    <row r="70" spans="8:8" ht="15.0" hidden="1">
      <c r="B70" s="54">
        <v>65.0</v>
      </c>
      <c r="C70" s="8" t="s">
        <v>3913</v>
      </c>
      <c r="D70" s="8" t="s">
        <v>1013</v>
      </c>
      <c r="E70" s="8" t="s">
        <v>329</v>
      </c>
      <c r="F70" s="8" t="s">
        <v>68</v>
      </c>
      <c r="G70" s="8" t="s">
        <v>2055</v>
      </c>
      <c r="H70" s="8" t="s">
        <v>342</v>
      </c>
      <c r="I70" s="8" t="s">
        <v>818</v>
      </c>
      <c r="J70" s="56" t="s">
        <v>7580</v>
      </c>
      <c r="K70" s="22">
        <v>13.0</v>
      </c>
      <c r="L70" s="22">
        <f>+SUMIF('حركه المخزن الرئيسي اليوميه'!$F:$F,$H:$H,'حركه المخزن الرئيسي اليوميه'!$H:$H)</f>
        <v>0.0</v>
      </c>
      <c r="M70" s="22">
        <f>+SUMIF('حركه المخزن الرئيسي اليوميه'!$F:$F,$H:$H,'حركه المخزن الرئيسي اليوميه'!$I:$I)</f>
        <v>0.0</v>
      </c>
      <c r="N70" s="22">
        <f t="shared" si="0"/>
        <v>13.0</v>
      </c>
      <c r="O70" s="22">
        <f t="shared" si="1"/>
        <v>13.0</v>
      </c>
      <c r="P70" s="22">
        <f t="shared" si="2"/>
        <v>0.0</v>
      </c>
      <c r="Q70" s="57"/>
      <c r="R70" s="58"/>
    </row>
    <row r="71" spans="8:8" ht="15.0" hidden="1">
      <c r="B71" s="54">
        <v>66.0</v>
      </c>
      <c r="C71" s="8" t="s">
        <v>3912</v>
      </c>
      <c r="D71" s="8" t="s">
        <v>1013</v>
      </c>
      <c r="E71" s="8" t="s">
        <v>3515</v>
      </c>
      <c r="F71" s="8" t="s">
        <v>68</v>
      </c>
      <c r="G71" s="8" t="s">
        <v>2055</v>
      </c>
      <c r="H71" s="8" t="s">
        <v>3515</v>
      </c>
      <c r="I71" s="55" t="s">
        <v>8163</v>
      </c>
      <c r="J71" s="56" t="s">
        <v>7581</v>
      </c>
      <c r="K71" s="22">
        <v>1.0</v>
      </c>
      <c r="L71" s="22">
        <f>+SUMIF('حركه المخزن الرئيسي اليوميه'!$F:$F,$H:$H,'حركه المخزن الرئيسي اليوميه'!$H:$H)</f>
        <v>0.0</v>
      </c>
      <c r="M71" s="22">
        <f>+SUMIF('حركه المخزن الرئيسي اليوميه'!$F:$F,$H:$H,'حركه المخزن الرئيسي اليوميه'!$I:$I)</f>
        <v>0.0</v>
      </c>
      <c r="N71" s="22">
        <f t="shared" si="0"/>
        <v>1.0</v>
      </c>
      <c r="O71" s="22">
        <f t="shared" si="1"/>
        <v>1.0</v>
      </c>
      <c r="P71" s="22">
        <f t="shared" si="2"/>
        <v>0.0</v>
      </c>
      <c r="Q71" s="57"/>
      <c r="R71" s="58"/>
    </row>
    <row r="72" spans="8:8" ht="15.0" hidden="1">
      <c r="B72" s="54">
        <v>67.0</v>
      </c>
      <c r="C72" s="8" t="s">
        <v>3913</v>
      </c>
      <c r="D72" s="8" t="s">
        <v>1013</v>
      </c>
      <c r="E72" s="8" t="s">
        <v>329</v>
      </c>
      <c r="F72" s="8" t="s">
        <v>68</v>
      </c>
      <c r="G72" s="8" t="s">
        <v>2055</v>
      </c>
      <c r="H72" s="8" t="s">
        <v>339</v>
      </c>
      <c r="I72" s="8" t="s">
        <v>818</v>
      </c>
      <c r="J72" s="56" t="s">
        <v>7582</v>
      </c>
      <c r="K72" s="22">
        <v>1.0</v>
      </c>
      <c r="L72" s="22">
        <f>+SUMIF('حركه المخزن الرئيسي اليوميه'!$F:$F,$H:$H,'حركه المخزن الرئيسي اليوميه'!$H:$H)</f>
        <v>0.0</v>
      </c>
      <c r="M72" s="22">
        <f>+SUMIF('حركه المخزن الرئيسي اليوميه'!$F:$F,$H:$H,'حركه المخزن الرئيسي اليوميه'!$I:$I)</f>
        <v>0.0</v>
      </c>
      <c r="N72" s="22">
        <f t="shared" si="0"/>
        <v>1.0</v>
      </c>
      <c r="O72" s="22">
        <f t="shared" si="1"/>
        <v>1.0</v>
      </c>
      <c r="P72" s="22">
        <f t="shared" si="2"/>
        <v>0.0</v>
      </c>
      <c r="Q72" s="57"/>
      <c r="R72" s="58"/>
    </row>
    <row r="73" spans="8:8" ht="15.0" hidden="1">
      <c r="B73" s="54">
        <v>68.0</v>
      </c>
      <c r="C73" s="8" t="s">
        <v>3913</v>
      </c>
      <c r="D73" s="8" t="s">
        <v>1013</v>
      </c>
      <c r="E73" s="8" t="s">
        <v>3069</v>
      </c>
      <c r="F73" s="8" t="s">
        <v>68</v>
      </c>
      <c r="G73" s="8"/>
      <c r="H73" s="8" t="s">
        <v>3069</v>
      </c>
      <c r="I73" s="8" t="s">
        <v>818</v>
      </c>
      <c r="J73" s="56" t="s">
        <v>7583</v>
      </c>
      <c r="K73" s="22">
        <v>11.0</v>
      </c>
      <c r="L73" s="22">
        <f>+SUMIF('حركه المخزن الرئيسي اليوميه'!$F:$F,$H:$H,'حركه المخزن الرئيسي اليوميه'!$H:$H)</f>
        <v>0.0</v>
      </c>
      <c r="M73" s="22">
        <f>+SUMIF('حركه المخزن الرئيسي اليوميه'!$F:$F,$H:$H,'حركه المخزن الرئيسي اليوميه'!$I:$I)</f>
        <v>0.0</v>
      </c>
      <c r="N73" s="22">
        <f t="shared" si="0"/>
        <v>11.0</v>
      </c>
      <c r="O73" s="22">
        <f t="shared" si="1"/>
        <v>11.0</v>
      </c>
      <c r="P73" s="22">
        <f t="shared" si="2"/>
        <v>0.0</v>
      </c>
      <c r="Q73" s="57"/>
      <c r="R73" s="58"/>
    </row>
    <row r="74" spans="8:8">
      <c r="B74" s="54">
        <v>69.0</v>
      </c>
      <c r="C74" s="8" t="s">
        <v>3913</v>
      </c>
      <c r="D74" s="8" t="s">
        <v>1013</v>
      </c>
      <c r="E74" s="8" t="s">
        <v>3070</v>
      </c>
      <c r="F74" s="8" t="s">
        <v>68</v>
      </c>
      <c r="G74" s="8"/>
      <c r="H74" s="8" t="s">
        <v>3070</v>
      </c>
      <c r="I74" s="8" t="s">
        <v>818</v>
      </c>
      <c r="J74" s="56" t="s">
        <v>7584</v>
      </c>
      <c r="K74" s="22">
        <v>25.0</v>
      </c>
      <c r="L74" s="22">
        <f>+SUMIF('حركه المخزن الرئيسي اليوميه'!$F:$F,$H:$H,'حركه المخزن الرئيسي اليوميه'!$H:$H)</f>
        <v>0.0</v>
      </c>
      <c r="M74" s="22">
        <f>+SUMIF('حركه المخزن الرئيسي اليوميه'!$F:$F,$H:$H,'حركه المخزن الرئيسي اليوميه'!$I:$I)</f>
        <v>0.0</v>
      </c>
      <c r="N74" s="22">
        <f t="shared" si="3" ref="N74:N135">+K74+L74-M74</f>
        <v>25.0</v>
      </c>
      <c r="O74" s="22">
        <f t="shared" si="4" ref="O74:O135">+N74</f>
        <v>25.0</v>
      </c>
      <c r="P74" s="22">
        <f t="shared" si="5" ref="P74:P135">+N74-O74</f>
        <v>0.0</v>
      </c>
      <c r="Q74" s="57"/>
      <c r="R74" s="58"/>
    </row>
    <row r="75" spans="8:8" ht="15.0" hidden="1">
      <c r="B75" s="54">
        <v>70.0</v>
      </c>
      <c r="C75" s="8" t="s">
        <v>3913</v>
      </c>
      <c r="D75" s="8" t="s">
        <v>1013</v>
      </c>
      <c r="E75" s="8" t="s">
        <v>3071</v>
      </c>
      <c r="F75" s="8" t="s">
        <v>68</v>
      </c>
      <c r="G75" s="8"/>
      <c r="H75" s="8" t="s">
        <v>3071</v>
      </c>
      <c r="I75" s="8" t="s">
        <v>818</v>
      </c>
      <c r="J75" s="56" t="s">
        <v>7585</v>
      </c>
      <c r="K75" s="22">
        <v>4.0</v>
      </c>
      <c r="L75" s="22">
        <f>+SUMIF('حركه المخزن الرئيسي اليوميه'!$F:$F,$H:$H,'حركه المخزن الرئيسي اليوميه'!$H:$H)</f>
        <v>0.0</v>
      </c>
      <c r="M75" s="22">
        <f>+SUMIF('حركه المخزن الرئيسي اليوميه'!$F:$F,$H:$H,'حركه المخزن الرئيسي اليوميه'!$I:$I)</f>
        <v>1.0</v>
      </c>
      <c r="N75" s="22">
        <f t="shared" si="3"/>
        <v>3.0</v>
      </c>
      <c r="O75" s="22">
        <f t="shared" si="4"/>
        <v>3.0</v>
      </c>
      <c r="P75" s="22">
        <f t="shared" si="5"/>
        <v>0.0</v>
      </c>
      <c r="Q75" s="57"/>
      <c r="R75" s="59"/>
    </row>
    <row r="76" spans="8:8">
      <c r="B76" s="54">
        <v>71.0</v>
      </c>
      <c r="C76" s="8" t="s">
        <v>3913</v>
      </c>
      <c r="D76" s="8" t="s">
        <v>1013</v>
      </c>
      <c r="E76" s="8" t="s">
        <v>3072</v>
      </c>
      <c r="F76" s="8" t="s">
        <v>68</v>
      </c>
      <c r="G76" s="8"/>
      <c r="H76" s="8" t="s">
        <v>3072</v>
      </c>
      <c r="I76" s="8" t="s">
        <v>818</v>
      </c>
      <c r="J76" s="56" t="s">
        <v>7586</v>
      </c>
      <c r="K76" s="22">
        <v>30.0</v>
      </c>
      <c r="L76" s="22">
        <f>+SUMIF('حركه المخزن الرئيسي اليوميه'!$F:$F,$H:$H,'حركه المخزن الرئيسي اليوميه'!$H:$H)</f>
        <v>0.0</v>
      </c>
      <c r="M76" s="22">
        <f>+SUMIF('حركه المخزن الرئيسي اليوميه'!$F:$F,$H:$H,'حركه المخزن الرئيسي اليوميه'!$I:$I)</f>
        <v>0.0</v>
      </c>
      <c r="N76" s="22">
        <f t="shared" si="3"/>
        <v>30.0</v>
      </c>
      <c r="O76" s="22">
        <f t="shared" si="4"/>
        <v>30.0</v>
      </c>
      <c r="P76" s="22">
        <f t="shared" si="5"/>
        <v>0.0</v>
      </c>
      <c r="Q76" s="57"/>
      <c r="R76" s="58"/>
    </row>
    <row r="77" spans="8:8" ht="15.0" hidden="1">
      <c r="B77" s="54">
        <v>72.0</v>
      </c>
      <c r="C77" s="8" t="s">
        <v>3913</v>
      </c>
      <c r="D77" s="8" t="s">
        <v>1013</v>
      </c>
      <c r="E77" s="8" t="s">
        <v>3073</v>
      </c>
      <c r="F77" s="8" t="s">
        <v>68</v>
      </c>
      <c r="G77" s="8"/>
      <c r="H77" s="8" t="s">
        <v>3073</v>
      </c>
      <c r="I77" s="8" t="s">
        <v>818</v>
      </c>
      <c r="J77" s="56" t="s">
        <v>7587</v>
      </c>
      <c r="K77" s="22">
        <v>27.0</v>
      </c>
      <c r="L77" s="22">
        <f>+SUMIF('حركه المخزن الرئيسي اليوميه'!$F:$F,$H:$H,'حركه المخزن الرئيسي اليوميه'!$H:$H)</f>
        <v>0.0</v>
      </c>
      <c r="M77" s="22">
        <f>+SUMIF('حركه المخزن الرئيسي اليوميه'!$F:$F,$H:$H,'حركه المخزن الرئيسي اليوميه'!$I:$I)</f>
        <v>0.0</v>
      </c>
      <c r="N77" s="22">
        <f t="shared" si="3"/>
        <v>27.0</v>
      </c>
      <c r="O77" s="22">
        <f t="shared" si="4"/>
        <v>27.0</v>
      </c>
      <c r="P77" s="22">
        <f t="shared" si="5"/>
        <v>0.0</v>
      </c>
      <c r="Q77" s="57"/>
      <c r="R77" s="58"/>
    </row>
    <row r="78" spans="8:8">
      <c r="B78" s="54">
        <v>73.0</v>
      </c>
      <c r="C78" s="8" t="s">
        <v>3913</v>
      </c>
      <c r="D78" s="8" t="s">
        <v>1013</v>
      </c>
      <c r="E78" s="8" t="s">
        <v>3074</v>
      </c>
      <c r="F78" s="8" t="s">
        <v>68</v>
      </c>
      <c r="G78" s="8"/>
      <c r="H78" s="8" t="s">
        <v>3074</v>
      </c>
      <c r="I78" s="8" t="s">
        <v>818</v>
      </c>
      <c r="J78" s="56" t="s">
        <v>7588</v>
      </c>
      <c r="K78" s="22">
        <v>30.0</v>
      </c>
      <c r="L78" s="22">
        <f>+SUMIF('حركه المخزن الرئيسي اليوميه'!$F:$F,$H:$H,'حركه المخزن الرئيسي اليوميه'!$H:$H)</f>
        <v>0.0</v>
      </c>
      <c r="M78" s="22">
        <f>+SUMIF('حركه المخزن الرئيسي اليوميه'!$F:$F,$H:$H,'حركه المخزن الرئيسي اليوميه'!$I:$I)</f>
        <v>0.0</v>
      </c>
      <c r="N78" s="22">
        <f t="shared" si="3"/>
        <v>30.0</v>
      </c>
      <c r="O78" s="22">
        <f t="shared" si="4"/>
        <v>30.0</v>
      </c>
      <c r="P78" s="22">
        <f t="shared" si="5"/>
        <v>0.0</v>
      </c>
      <c r="Q78" s="57"/>
      <c r="R78" s="58"/>
    </row>
    <row r="79" spans="8:8" ht="15.0" hidden="1">
      <c r="B79" s="54">
        <v>74.0</v>
      </c>
      <c r="C79" s="8" t="s">
        <v>3913</v>
      </c>
      <c r="D79" s="8" t="s">
        <v>1013</v>
      </c>
      <c r="E79" s="8" t="s">
        <v>3075</v>
      </c>
      <c r="F79" s="8" t="s">
        <v>68</v>
      </c>
      <c r="G79" s="8"/>
      <c r="H79" s="8" t="s">
        <v>3075</v>
      </c>
      <c r="I79" s="8" t="s">
        <v>818</v>
      </c>
      <c r="J79" s="56" t="s">
        <v>7589</v>
      </c>
      <c r="K79" s="22">
        <v>18.0</v>
      </c>
      <c r="L79" s="22">
        <f>+SUMIF('حركه المخزن الرئيسي اليوميه'!$F:$F,$H:$H,'حركه المخزن الرئيسي اليوميه'!$H:$H)</f>
        <v>0.0</v>
      </c>
      <c r="M79" s="22">
        <f>+SUMIF('حركه المخزن الرئيسي اليوميه'!$F:$F,$H:$H,'حركه المخزن الرئيسي اليوميه'!$I:$I)</f>
        <v>0.0</v>
      </c>
      <c r="N79" s="22">
        <f t="shared" si="3"/>
        <v>18.0</v>
      </c>
      <c r="O79" s="22">
        <f t="shared" si="4"/>
        <v>18.0</v>
      </c>
      <c r="P79" s="22">
        <f t="shared" si="5"/>
        <v>0.0</v>
      </c>
      <c r="Q79" s="57"/>
      <c r="R79" s="59"/>
    </row>
    <row r="80" spans="8:8">
      <c r="B80" s="54">
        <v>75.0</v>
      </c>
      <c r="C80" s="8" t="s">
        <v>3913</v>
      </c>
      <c r="D80" s="8" t="s">
        <v>1013</v>
      </c>
      <c r="E80" s="8" t="s">
        <v>3076</v>
      </c>
      <c r="F80" s="8" t="s">
        <v>68</v>
      </c>
      <c r="G80" s="8"/>
      <c r="H80" s="8" t="s">
        <v>3076</v>
      </c>
      <c r="I80" s="8" t="s">
        <v>818</v>
      </c>
      <c r="J80" s="56" t="s">
        <v>7590</v>
      </c>
      <c r="K80" s="22">
        <v>30.0</v>
      </c>
      <c r="L80" s="22">
        <f>+SUMIF('حركه المخزن الرئيسي اليوميه'!$F:$F,$H:$H,'حركه المخزن الرئيسي اليوميه'!$H:$H)</f>
        <v>0.0</v>
      </c>
      <c r="M80" s="22">
        <f>+SUMIF('حركه المخزن الرئيسي اليوميه'!$F:$F,$H:$H,'حركه المخزن الرئيسي اليوميه'!$I:$I)</f>
        <v>0.0</v>
      </c>
      <c r="N80" s="22">
        <f t="shared" si="3"/>
        <v>30.0</v>
      </c>
      <c r="O80" s="22">
        <f t="shared" si="4"/>
        <v>30.0</v>
      </c>
      <c r="P80" s="22">
        <f t="shared" si="5"/>
        <v>0.0</v>
      </c>
      <c r="Q80" s="57"/>
      <c r="R80" s="58"/>
    </row>
    <row r="81" spans="8:8" ht="15.0" hidden="1">
      <c r="B81" s="54">
        <v>76.0</v>
      </c>
      <c r="C81" s="8" t="s">
        <v>3913</v>
      </c>
      <c r="D81" s="8" t="s">
        <v>1013</v>
      </c>
      <c r="E81" s="8" t="s">
        <v>3077</v>
      </c>
      <c r="F81" s="8" t="s">
        <v>68</v>
      </c>
      <c r="G81" s="8"/>
      <c r="H81" s="8" t="s">
        <v>3077</v>
      </c>
      <c r="I81" s="8" t="s">
        <v>818</v>
      </c>
      <c r="J81" s="56" t="s">
        <v>7591</v>
      </c>
      <c r="K81" s="22">
        <v>28.0</v>
      </c>
      <c r="L81" s="22">
        <f>+SUMIF('حركه المخزن الرئيسي اليوميه'!$F:$F,$H:$H,'حركه المخزن الرئيسي اليوميه'!$H:$H)</f>
        <v>0.0</v>
      </c>
      <c r="M81" s="22">
        <f>+SUMIF('حركه المخزن الرئيسي اليوميه'!$F:$F,$H:$H,'حركه المخزن الرئيسي اليوميه'!$I:$I)</f>
        <v>0.0</v>
      </c>
      <c r="N81" s="22">
        <f t="shared" si="3"/>
        <v>28.0</v>
      </c>
      <c r="O81" s="22">
        <f t="shared" si="4"/>
        <v>28.0</v>
      </c>
      <c r="P81" s="22">
        <f t="shared" si="5"/>
        <v>0.0</v>
      </c>
      <c r="Q81" s="57"/>
      <c r="R81" s="58"/>
    </row>
    <row r="82" spans="8:8">
      <c r="B82" s="54">
        <v>77.0</v>
      </c>
      <c r="C82" s="8" t="s">
        <v>3913</v>
      </c>
      <c r="D82" s="8" t="s">
        <v>1013</v>
      </c>
      <c r="E82" s="8" t="s">
        <v>3078</v>
      </c>
      <c r="F82" s="8" t="s">
        <v>68</v>
      </c>
      <c r="G82" s="8"/>
      <c r="H82" s="8" t="s">
        <v>3078</v>
      </c>
      <c r="I82" s="8" t="s">
        <v>818</v>
      </c>
      <c r="J82" s="56" t="s">
        <v>7592</v>
      </c>
      <c r="K82" s="22">
        <v>30.0</v>
      </c>
      <c r="L82" s="22">
        <f>+SUMIF('حركه المخزن الرئيسي اليوميه'!$F:$F,$H:$H,'حركه المخزن الرئيسي اليوميه'!$H:$H)</f>
        <v>0.0</v>
      </c>
      <c r="M82" s="22">
        <f>+SUMIF('حركه المخزن الرئيسي اليوميه'!$F:$F,$H:$H,'حركه المخزن الرئيسي اليوميه'!$I:$I)</f>
        <v>0.0</v>
      </c>
      <c r="N82" s="22">
        <f t="shared" si="3"/>
        <v>30.0</v>
      </c>
      <c r="O82" s="22">
        <f t="shared" si="4"/>
        <v>30.0</v>
      </c>
      <c r="P82" s="22">
        <f t="shared" si="5"/>
        <v>0.0</v>
      </c>
      <c r="Q82" s="57"/>
      <c r="R82" s="58"/>
    </row>
    <row r="83" spans="8:8" ht="15.0" hidden="1">
      <c r="B83" s="54">
        <v>78.0</v>
      </c>
      <c r="C83" s="8" t="s">
        <v>3913</v>
      </c>
      <c r="D83" s="8" t="s">
        <v>1013</v>
      </c>
      <c r="E83" s="8" t="s">
        <v>1360</v>
      </c>
      <c r="F83" s="8" t="s">
        <v>68</v>
      </c>
      <c r="G83" s="8" t="s">
        <v>2114</v>
      </c>
      <c r="H83" s="8" t="s">
        <v>1362</v>
      </c>
      <c r="I83" s="8" t="s">
        <v>818</v>
      </c>
      <c r="J83" s="56" t="s">
        <v>7593</v>
      </c>
      <c r="K83" s="22">
        <v>2.0</v>
      </c>
      <c r="L83" s="22">
        <f>+SUMIF('حركه المخزن الرئيسي اليوميه'!$F:$F,$H:$H,'حركه المخزن الرئيسي اليوميه'!$H:$H)</f>
        <v>0.0</v>
      </c>
      <c r="M83" s="22">
        <f>+SUMIF('حركه المخزن الرئيسي اليوميه'!$F:$F,$H:$H,'حركه المخزن الرئيسي اليوميه'!$I:$I)</f>
        <v>0.0</v>
      </c>
      <c r="N83" s="22">
        <f t="shared" si="3"/>
        <v>2.0</v>
      </c>
      <c r="O83" s="22">
        <f t="shared" si="4"/>
        <v>2.0</v>
      </c>
      <c r="P83" s="22">
        <f t="shared" si="5"/>
        <v>0.0</v>
      </c>
      <c r="Q83" s="57"/>
      <c r="R83" s="58"/>
    </row>
    <row r="84" spans="8:8" ht="15.0" hidden="1">
      <c r="B84" s="54">
        <v>80.0</v>
      </c>
      <c r="C84" s="8" t="s">
        <v>3913</v>
      </c>
      <c r="D84" s="8" t="s">
        <v>1013</v>
      </c>
      <c r="E84" s="8" t="s">
        <v>1351</v>
      </c>
      <c r="F84" s="8" t="s">
        <v>68</v>
      </c>
      <c r="G84" s="8" t="s">
        <v>2111</v>
      </c>
      <c r="H84" s="8" t="s">
        <v>1357</v>
      </c>
      <c r="I84" s="8" t="s">
        <v>818</v>
      </c>
      <c r="J84" s="56" t="s">
        <v>7594</v>
      </c>
      <c r="K84" s="22">
        <v>6.0</v>
      </c>
      <c r="L84" s="22">
        <f>+SUMIF('حركه المخزن الرئيسي اليوميه'!$F:$F,$H:$H,'حركه المخزن الرئيسي اليوميه'!$H:$H)</f>
        <v>0.0</v>
      </c>
      <c r="M84" s="22">
        <f>+SUMIF('حركه المخزن الرئيسي اليوميه'!$F:$F,$H:$H,'حركه المخزن الرئيسي اليوميه'!$I:$I)</f>
        <v>0.0</v>
      </c>
      <c r="N84" s="22">
        <f t="shared" si="3"/>
        <v>6.0</v>
      </c>
      <c r="O84" s="22">
        <f t="shared" si="4"/>
        <v>6.0</v>
      </c>
      <c r="P84" s="22">
        <f t="shared" si="5"/>
        <v>0.0</v>
      </c>
      <c r="Q84" s="57"/>
      <c r="R84" s="59"/>
    </row>
    <row r="85" spans="8:8" ht="15.0" hidden="1">
      <c r="B85" s="54">
        <v>82.0</v>
      </c>
      <c r="C85" s="8" t="s">
        <v>3913</v>
      </c>
      <c r="D85" s="8" t="s">
        <v>1013</v>
      </c>
      <c r="E85" s="8" t="s">
        <v>1358</v>
      </c>
      <c r="F85" s="8" t="s">
        <v>68</v>
      </c>
      <c r="G85" s="8" t="s">
        <v>2112</v>
      </c>
      <c r="H85" s="8" t="s">
        <v>1359</v>
      </c>
      <c r="I85" s="8" t="s">
        <v>818</v>
      </c>
      <c r="J85" s="56" t="s">
        <v>7595</v>
      </c>
      <c r="K85" s="22">
        <v>9.0</v>
      </c>
      <c r="L85" s="22">
        <f>+SUMIF('حركه المخزن الرئيسي اليوميه'!$F:$F,$H:$H,'حركه المخزن الرئيسي اليوميه'!$H:$H)</f>
        <v>0.0</v>
      </c>
      <c r="M85" s="22">
        <f>+SUMIF('حركه المخزن الرئيسي اليوميه'!$F:$F,$H:$H,'حركه المخزن الرئيسي اليوميه'!$I:$I)</f>
        <v>0.0</v>
      </c>
      <c r="N85" s="22">
        <f t="shared" si="3"/>
        <v>9.0</v>
      </c>
      <c r="O85" s="22">
        <f t="shared" si="4"/>
        <v>9.0</v>
      </c>
      <c r="P85" s="22">
        <f t="shared" si="5"/>
        <v>0.0</v>
      </c>
      <c r="Q85" s="57"/>
      <c r="R85" s="59"/>
    </row>
    <row r="86" spans="8:8" ht="15.0" hidden="1">
      <c r="B86" s="54">
        <v>83.0</v>
      </c>
      <c r="C86" s="8" t="s">
        <v>3913</v>
      </c>
      <c r="D86" s="8" t="s">
        <v>1013</v>
      </c>
      <c r="E86" s="8" t="s">
        <v>317</v>
      </c>
      <c r="F86" s="8" t="s">
        <v>282</v>
      </c>
      <c r="G86" s="8" t="s">
        <v>1687</v>
      </c>
      <c r="H86" s="8" t="s">
        <v>639</v>
      </c>
      <c r="I86" s="8" t="s">
        <v>250</v>
      </c>
      <c r="J86" s="56" t="s">
        <v>7596</v>
      </c>
      <c r="K86" s="22">
        <v>9.0</v>
      </c>
      <c r="L86" s="22">
        <f>+SUMIF('حركه المخزن الرئيسي اليوميه'!$F:$F,$H:$H,'حركه المخزن الرئيسي اليوميه'!$H:$H)</f>
        <v>0.0</v>
      </c>
      <c r="M86" s="22">
        <f>+SUMIF('حركه المخزن الرئيسي اليوميه'!$F:$F,$H:$H,'حركه المخزن الرئيسي اليوميه'!$I:$I)</f>
        <v>0.0</v>
      </c>
      <c r="N86" s="22">
        <f t="shared" si="3"/>
        <v>9.0</v>
      </c>
      <c r="O86" s="22">
        <f t="shared" si="4"/>
        <v>9.0</v>
      </c>
      <c r="P86" s="22">
        <f t="shared" si="5"/>
        <v>0.0</v>
      </c>
      <c r="Q86" s="57"/>
      <c r="R86" s="58"/>
    </row>
    <row r="87" spans="8:8" ht="15.0" hidden="1">
      <c r="B87" s="54">
        <v>84.0</v>
      </c>
      <c r="C87" s="8" t="s">
        <v>3913</v>
      </c>
      <c r="D87" s="8" t="s">
        <v>1013</v>
      </c>
      <c r="E87" s="8" t="s">
        <v>318</v>
      </c>
      <c r="F87" s="8" t="s">
        <v>68</v>
      </c>
      <c r="G87" s="8" t="s">
        <v>1688</v>
      </c>
      <c r="H87" s="8" t="s">
        <v>2977</v>
      </c>
      <c r="I87" s="8" t="s">
        <v>227</v>
      </c>
      <c r="J87" s="56" t="s">
        <v>7597</v>
      </c>
      <c r="K87" s="22">
        <v>4.0</v>
      </c>
      <c r="L87" s="22">
        <f>+SUMIF('حركه المخزن الرئيسي اليوميه'!$F:$F,$H:$H,'حركه المخزن الرئيسي اليوميه'!$H:$H)</f>
        <v>0.0</v>
      </c>
      <c r="M87" s="22">
        <f>+SUMIF('حركه المخزن الرئيسي اليوميه'!$F:$F,$H:$H,'حركه المخزن الرئيسي اليوميه'!$I:$I)</f>
        <v>0.0</v>
      </c>
      <c r="N87" s="22">
        <f t="shared" si="3"/>
        <v>4.0</v>
      </c>
      <c r="O87" s="22">
        <f t="shared" si="4"/>
        <v>4.0</v>
      </c>
      <c r="P87" s="22">
        <f t="shared" si="5"/>
        <v>0.0</v>
      </c>
      <c r="Q87" s="57"/>
      <c r="R87" s="58"/>
    </row>
    <row r="88" spans="8:8" ht="15.0" hidden="1">
      <c r="B88" s="54">
        <v>85.0</v>
      </c>
      <c r="C88" s="8" t="s">
        <v>3913</v>
      </c>
      <c r="D88" s="8" t="s">
        <v>1013</v>
      </c>
      <c r="E88" s="8" t="s">
        <v>2568</v>
      </c>
      <c r="F88" s="8" t="s">
        <v>68</v>
      </c>
      <c r="G88" s="8"/>
      <c r="H88" s="8" t="s">
        <v>2570</v>
      </c>
      <c r="I88" s="8" t="s">
        <v>228</v>
      </c>
      <c r="J88" s="56" t="s">
        <v>7598</v>
      </c>
      <c r="K88" s="22">
        <v>2.0</v>
      </c>
      <c r="L88" s="22">
        <f>+SUMIF('حركه المخزن الرئيسي اليوميه'!$F:$F,$H:$H,'حركه المخزن الرئيسي اليوميه'!$H:$H)</f>
        <v>0.0</v>
      </c>
      <c r="M88" s="22">
        <f>+SUMIF('حركه المخزن الرئيسي اليوميه'!$F:$F,$H:$H,'حركه المخزن الرئيسي اليوميه'!$I:$I)</f>
        <v>0.0</v>
      </c>
      <c r="N88" s="22">
        <f t="shared" si="3"/>
        <v>2.0</v>
      </c>
      <c r="O88" s="22">
        <f t="shared" si="4"/>
        <v>2.0</v>
      </c>
      <c r="P88" s="22">
        <f t="shared" si="5"/>
        <v>0.0</v>
      </c>
      <c r="Q88" s="57"/>
      <c r="R88" s="58"/>
    </row>
    <row r="89" spans="8:8" ht="15.0" hidden="1">
      <c r="B89" s="54">
        <v>86.0</v>
      </c>
      <c r="C89" s="8" t="s">
        <v>3913</v>
      </c>
      <c r="D89" s="8" t="s">
        <v>1013</v>
      </c>
      <c r="E89" s="8" t="s">
        <v>2569</v>
      </c>
      <c r="F89" s="8" t="s">
        <v>68</v>
      </c>
      <c r="G89" s="8"/>
      <c r="H89" s="8" t="s">
        <v>2569</v>
      </c>
      <c r="I89" s="8" t="s">
        <v>250</v>
      </c>
      <c r="J89" s="56" t="s">
        <v>7599</v>
      </c>
      <c r="K89" s="22">
        <v>1.0</v>
      </c>
      <c r="L89" s="22">
        <f>+SUMIF('حركه المخزن الرئيسي اليوميه'!$F:$F,$H:$H,'حركه المخزن الرئيسي اليوميه'!$H:$H)</f>
        <v>0.0</v>
      </c>
      <c r="M89" s="22">
        <f>+SUMIF('حركه المخزن الرئيسي اليوميه'!$F:$F,$H:$H,'حركه المخزن الرئيسي اليوميه'!$I:$I)</f>
        <v>0.0</v>
      </c>
      <c r="N89" s="22">
        <f t="shared" si="3"/>
        <v>1.0</v>
      </c>
      <c r="O89" s="22">
        <f t="shared" si="4"/>
        <v>1.0</v>
      </c>
      <c r="P89" s="22">
        <f t="shared" si="5"/>
        <v>0.0</v>
      </c>
      <c r="Q89" s="57"/>
      <c r="R89" s="58"/>
    </row>
    <row r="90" spans="8:8" ht="15.0" hidden="1">
      <c r="B90" s="54">
        <v>87.0</v>
      </c>
      <c r="C90" s="8" t="s">
        <v>3913</v>
      </c>
      <c r="D90" s="8" t="s">
        <v>1013</v>
      </c>
      <c r="E90" s="8" t="s">
        <v>346</v>
      </c>
      <c r="F90" s="8" t="s">
        <v>68</v>
      </c>
      <c r="G90" s="8" t="s">
        <v>1579</v>
      </c>
      <c r="H90" s="8" t="s">
        <v>346</v>
      </c>
      <c r="I90" s="8" t="s">
        <v>818</v>
      </c>
      <c r="J90" s="56" t="s">
        <v>7600</v>
      </c>
      <c r="K90" s="22">
        <v>14.0</v>
      </c>
      <c r="L90" s="22">
        <f>+SUMIF('حركه المخزن الرئيسي اليوميه'!$F:$F,$H:$H,'حركه المخزن الرئيسي اليوميه'!$H:$H)</f>
        <v>0.0</v>
      </c>
      <c r="M90" s="22">
        <f>+SUMIF('حركه المخزن الرئيسي اليوميه'!$F:$F,$H:$H,'حركه المخزن الرئيسي اليوميه'!$I:$I)</f>
        <v>0.0</v>
      </c>
      <c r="N90" s="22">
        <f t="shared" si="3"/>
        <v>14.0</v>
      </c>
      <c r="O90" s="22">
        <f t="shared" si="4"/>
        <v>14.0</v>
      </c>
      <c r="P90" s="22">
        <f t="shared" si="5"/>
        <v>0.0</v>
      </c>
      <c r="Q90" s="57"/>
      <c r="R90" s="58"/>
    </row>
    <row r="91" spans="8:8" ht="15.0" hidden="1">
      <c r="B91" s="54">
        <v>88.0</v>
      </c>
      <c r="C91" s="8" t="s">
        <v>3913</v>
      </c>
      <c r="D91" s="8" t="s">
        <v>1013</v>
      </c>
      <c r="E91" s="8" t="s">
        <v>1964</v>
      </c>
      <c r="F91" s="8" t="s">
        <v>1501</v>
      </c>
      <c r="G91" s="8" t="s">
        <v>1965</v>
      </c>
      <c r="H91" s="8" t="s">
        <v>1964</v>
      </c>
      <c r="I91" s="8" t="s">
        <v>818</v>
      </c>
      <c r="J91" s="56" t="s">
        <v>7601</v>
      </c>
      <c r="K91" s="22">
        <v>33.0</v>
      </c>
      <c r="L91" s="22">
        <f>+SUMIF('حركه المخزن الرئيسي اليوميه'!$F:$F,$H:$H,'حركه المخزن الرئيسي اليوميه'!$H:$H)</f>
        <v>0.0</v>
      </c>
      <c r="M91" s="22">
        <f>+SUMIF('حركه المخزن الرئيسي اليوميه'!$F:$F,$H:$H,'حركه المخزن الرئيسي اليوميه'!$I:$I)</f>
        <v>0.0</v>
      </c>
      <c r="N91" s="22">
        <f t="shared" si="3"/>
        <v>33.0</v>
      </c>
      <c r="O91" s="22">
        <f t="shared" si="4"/>
        <v>33.0</v>
      </c>
      <c r="P91" s="22">
        <f t="shared" si="5"/>
        <v>0.0</v>
      </c>
      <c r="Q91" s="57"/>
      <c r="R91" s="58"/>
    </row>
    <row r="92" spans="8:8" ht="15.0" hidden="1">
      <c r="B92" s="54">
        <v>89.0</v>
      </c>
      <c r="C92" s="8" t="s">
        <v>3913</v>
      </c>
      <c r="D92" s="8" t="s">
        <v>1013</v>
      </c>
      <c r="E92" s="8" t="s">
        <v>403</v>
      </c>
      <c r="F92" s="8" t="s">
        <v>68</v>
      </c>
      <c r="G92" s="8" t="s">
        <v>2346</v>
      </c>
      <c r="H92" s="8" t="s">
        <v>1389</v>
      </c>
      <c r="I92" s="8" t="s">
        <v>818</v>
      </c>
      <c r="J92" s="56" t="s">
        <v>7602</v>
      </c>
      <c r="K92" s="22">
        <v>52.0</v>
      </c>
      <c r="L92" s="22">
        <f>+SUMIF('حركه المخزن الرئيسي اليوميه'!$F:$F,$H:$H,'حركه المخزن الرئيسي اليوميه'!$H:$H)</f>
        <v>0.0</v>
      </c>
      <c r="M92" s="22">
        <f>+SUMIF('حركه المخزن الرئيسي اليوميه'!$F:$F,$H:$H,'حركه المخزن الرئيسي اليوميه'!$I:$I)</f>
        <v>0.0</v>
      </c>
      <c r="N92" s="22">
        <f t="shared" si="3"/>
        <v>52.0</v>
      </c>
      <c r="O92" s="22">
        <f t="shared" si="4"/>
        <v>52.0</v>
      </c>
      <c r="P92" s="22">
        <f t="shared" si="5"/>
        <v>0.0</v>
      </c>
      <c r="Q92" s="57"/>
      <c r="R92" s="58"/>
    </row>
    <row r="93" spans="8:8" ht="15.0" hidden="1">
      <c r="B93" s="54">
        <v>90.0</v>
      </c>
      <c r="C93" s="8" t="s">
        <v>3913</v>
      </c>
      <c r="D93" s="8" t="s">
        <v>1022</v>
      </c>
      <c r="E93" s="8" t="s">
        <v>1012</v>
      </c>
      <c r="F93" s="8" t="s">
        <v>68</v>
      </c>
      <c r="G93" s="8" t="s">
        <v>2081</v>
      </c>
      <c r="H93" s="8" t="s">
        <v>1012</v>
      </c>
      <c r="I93" s="8" t="s">
        <v>818</v>
      </c>
      <c r="J93" s="56" t="s">
        <v>7603</v>
      </c>
      <c r="K93" s="22">
        <v>1.0</v>
      </c>
      <c r="L93" s="22">
        <f>+SUMIF('حركه المخزن الرئيسي اليوميه'!$F:$F,$H:$H,'حركه المخزن الرئيسي اليوميه'!$H:$H)</f>
        <v>0.0</v>
      </c>
      <c r="M93" s="22">
        <f>+SUMIF('حركه المخزن الرئيسي اليوميه'!$F:$F,$H:$H,'حركه المخزن الرئيسي اليوميه'!$I:$I)</f>
        <v>0.0</v>
      </c>
      <c r="N93" s="22">
        <f t="shared" si="3"/>
        <v>1.0</v>
      </c>
      <c r="O93" s="22">
        <f t="shared" si="4"/>
        <v>1.0</v>
      </c>
      <c r="P93" s="22">
        <f t="shared" si="5"/>
        <v>0.0</v>
      </c>
      <c r="Q93" s="57"/>
      <c r="R93" s="58"/>
    </row>
    <row r="94" spans="8:8" ht="15.0" hidden="1">
      <c r="B94" s="54"/>
      <c r="C94" s="8" t="s">
        <v>3913</v>
      </c>
      <c r="D94" s="8" t="s">
        <v>1013</v>
      </c>
      <c r="E94" s="8" t="s">
        <v>1880</v>
      </c>
      <c r="F94" s="8" t="s">
        <v>1501</v>
      </c>
      <c r="G94" s="8" t="s">
        <v>2483</v>
      </c>
      <c r="H94" s="8" t="s">
        <v>1880</v>
      </c>
      <c r="I94" s="8" t="s">
        <v>818</v>
      </c>
      <c r="J94" s="56" t="s">
        <v>7604</v>
      </c>
      <c r="K94" s="22">
        <v>4.0</v>
      </c>
      <c r="L94" s="22">
        <f>+SUMIF('حركه المخزن الرئيسي اليوميه'!$F:$F,$H:$H,'حركه المخزن الرئيسي اليوميه'!$H:$H)</f>
        <v>0.0</v>
      </c>
      <c r="M94" s="22">
        <f>+SUMIF('حركه المخزن الرئيسي اليوميه'!$F:$F,$H:$H,'حركه المخزن الرئيسي اليوميه'!$I:$I)</f>
        <v>0.0</v>
      </c>
      <c r="N94" s="22">
        <f t="shared" si="3"/>
        <v>4.0</v>
      </c>
      <c r="O94" s="22">
        <f t="shared" si="4"/>
        <v>4.0</v>
      </c>
      <c r="P94" s="22">
        <f t="shared" si="5"/>
        <v>0.0</v>
      </c>
      <c r="Q94" s="57"/>
      <c r="R94" s="58"/>
    </row>
    <row r="95" spans="8:8" ht="15.0" hidden="1">
      <c r="B95" s="54">
        <v>91.0</v>
      </c>
      <c r="C95" s="8" t="s">
        <v>3913</v>
      </c>
      <c r="D95" s="8" t="s">
        <v>1013</v>
      </c>
      <c r="E95" s="8" t="s">
        <v>3331</v>
      </c>
      <c r="F95" s="8" t="s">
        <v>68</v>
      </c>
      <c r="G95" s="8" t="s">
        <v>1686</v>
      </c>
      <c r="H95" s="8" t="s">
        <v>3330</v>
      </c>
      <c r="I95" s="8" t="s">
        <v>818</v>
      </c>
      <c r="J95" s="56" t="s">
        <v>7605</v>
      </c>
      <c r="K95" s="22">
        <v>2.0</v>
      </c>
      <c r="L95" s="22">
        <f>+SUMIF('حركه المخزن الرئيسي اليوميه'!$F:$F,$H:$H,'حركه المخزن الرئيسي اليوميه'!$H:$H)</f>
        <v>0.0</v>
      </c>
      <c r="M95" s="22">
        <f>+SUMIF('حركه المخزن الرئيسي اليوميه'!$F:$F,$H:$H,'حركه المخزن الرئيسي اليوميه'!$I:$I)</f>
        <v>0.0</v>
      </c>
      <c r="N95" s="22">
        <f t="shared" si="3"/>
        <v>2.0</v>
      </c>
      <c r="O95" s="22">
        <f t="shared" si="4"/>
        <v>2.0</v>
      </c>
      <c r="P95" s="22">
        <f t="shared" si="5"/>
        <v>0.0</v>
      </c>
      <c r="Q95" s="57"/>
      <c r="R95" s="58"/>
    </row>
    <row r="96" spans="8:8" ht="15.0" hidden="1">
      <c r="B96" s="54">
        <v>92.0</v>
      </c>
      <c r="C96" s="8" t="s">
        <v>3913</v>
      </c>
      <c r="D96" s="8" t="s">
        <v>1013</v>
      </c>
      <c r="E96" s="8" t="s">
        <v>3332</v>
      </c>
      <c r="F96" s="8" t="s">
        <v>1501</v>
      </c>
      <c r="G96" s="8"/>
      <c r="H96" s="8" t="s">
        <v>3332</v>
      </c>
      <c r="I96" s="8" t="s">
        <v>818</v>
      </c>
      <c r="J96" s="56" t="s">
        <v>7606</v>
      </c>
      <c r="K96" s="22">
        <v>3.0</v>
      </c>
      <c r="L96" s="22">
        <f>+SUMIF('حركه المخزن الرئيسي اليوميه'!$F:$F,$H:$H,'حركه المخزن الرئيسي اليوميه'!$H:$H)</f>
        <v>0.0</v>
      </c>
      <c r="M96" s="22">
        <f>+SUMIF('حركه المخزن الرئيسي اليوميه'!$F:$F,$H:$H,'حركه المخزن الرئيسي اليوميه'!$I:$I)</f>
        <v>0.0</v>
      </c>
      <c r="N96" s="22">
        <f t="shared" si="3"/>
        <v>3.0</v>
      </c>
      <c r="O96" s="22">
        <f t="shared" si="4"/>
        <v>3.0</v>
      </c>
      <c r="P96" s="22">
        <f t="shared" si="5"/>
        <v>0.0</v>
      </c>
      <c r="Q96" s="57"/>
      <c r="R96" s="58"/>
    </row>
    <row r="97" spans="8:8" ht="15.0" hidden="1">
      <c r="B97" s="54">
        <v>93.0</v>
      </c>
      <c r="C97" s="8" t="s">
        <v>3913</v>
      </c>
      <c r="D97" s="8" t="s">
        <v>1013</v>
      </c>
      <c r="E97" s="8" t="s">
        <v>3328</v>
      </c>
      <c r="F97" s="8" t="s">
        <v>68</v>
      </c>
      <c r="G97" s="8" t="s">
        <v>1684</v>
      </c>
      <c r="H97" s="8" t="s">
        <v>3328</v>
      </c>
      <c r="I97" s="8" t="s">
        <v>818</v>
      </c>
      <c r="J97" s="56" t="s">
        <v>7607</v>
      </c>
      <c r="K97" s="22">
        <v>6.0</v>
      </c>
      <c r="L97" s="22">
        <f>+SUMIF('حركه المخزن الرئيسي اليوميه'!$F:$F,$H:$H,'حركه المخزن الرئيسي اليوميه'!$H:$H)</f>
        <v>0.0</v>
      </c>
      <c r="M97" s="22">
        <f>+SUMIF('حركه المخزن الرئيسي اليوميه'!$F:$F,$H:$H,'حركه المخزن الرئيسي اليوميه'!$I:$I)</f>
        <v>0.0</v>
      </c>
      <c r="N97" s="22">
        <f t="shared" si="3"/>
        <v>6.0</v>
      </c>
      <c r="O97" s="22">
        <f t="shared" si="4"/>
        <v>6.0</v>
      </c>
      <c r="P97" s="22">
        <f t="shared" si="5"/>
        <v>0.0</v>
      </c>
      <c r="Q97" s="57"/>
      <c r="R97" s="58"/>
    </row>
    <row r="98" spans="8:8" ht="15.0" hidden="1">
      <c r="B98" s="54">
        <v>94.0</v>
      </c>
      <c r="C98" s="8" t="s">
        <v>3913</v>
      </c>
      <c r="D98" s="8" t="s">
        <v>1013</v>
      </c>
      <c r="E98" s="8" t="s">
        <v>3329</v>
      </c>
      <c r="F98" s="8" t="s">
        <v>68</v>
      </c>
      <c r="G98" s="8" t="s">
        <v>1685</v>
      </c>
      <c r="H98" s="8" t="s">
        <v>3329</v>
      </c>
      <c r="I98" s="8" t="s">
        <v>818</v>
      </c>
      <c r="J98" s="56" t="s">
        <v>7608</v>
      </c>
      <c r="K98" s="22">
        <v>1.0</v>
      </c>
      <c r="L98" s="22">
        <f>+SUMIF('حركه المخزن الرئيسي اليوميه'!$F:$F,$H:$H,'حركه المخزن الرئيسي اليوميه'!$H:$H)</f>
        <v>0.0</v>
      </c>
      <c r="M98" s="22">
        <f>+SUMIF('حركه المخزن الرئيسي اليوميه'!$F:$F,$H:$H,'حركه المخزن الرئيسي اليوميه'!$I:$I)</f>
        <v>0.0</v>
      </c>
      <c r="N98" s="22">
        <f t="shared" si="3"/>
        <v>1.0</v>
      </c>
      <c r="O98" s="22">
        <f t="shared" si="4"/>
        <v>1.0</v>
      </c>
      <c r="P98" s="22">
        <f t="shared" si="5"/>
        <v>0.0</v>
      </c>
      <c r="Q98" s="57"/>
      <c r="R98" s="58"/>
    </row>
    <row r="99" spans="8:8" ht="15.0" hidden="1">
      <c r="B99" s="54">
        <v>95.0</v>
      </c>
      <c r="C99" s="8" t="s">
        <v>3913</v>
      </c>
      <c r="D99" s="8" t="s">
        <v>820</v>
      </c>
      <c r="E99" s="8" t="s">
        <v>3327</v>
      </c>
      <c r="F99" s="8" t="s">
        <v>68</v>
      </c>
      <c r="G99" s="8" t="s">
        <v>1728</v>
      </c>
      <c r="H99" s="8" t="s">
        <v>3327</v>
      </c>
      <c r="I99" s="8" t="s">
        <v>818</v>
      </c>
      <c r="J99" s="56" t="s">
        <v>7609</v>
      </c>
      <c r="K99" s="22">
        <v>1.0</v>
      </c>
      <c r="L99" s="22">
        <f>+SUMIF('حركه المخزن الرئيسي اليوميه'!$F:$F,$H:$H,'حركه المخزن الرئيسي اليوميه'!$H:$H)</f>
        <v>0.0</v>
      </c>
      <c r="M99" s="22">
        <f>+SUMIF('حركه المخزن الرئيسي اليوميه'!$F:$F,$H:$H,'حركه المخزن الرئيسي اليوميه'!$I:$I)</f>
        <v>0.0</v>
      </c>
      <c r="N99" s="22">
        <f t="shared" si="3"/>
        <v>1.0</v>
      </c>
      <c r="O99" s="22">
        <f t="shared" si="4"/>
        <v>1.0</v>
      </c>
      <c r="P99" s="22">
        <f t="shared" si="5"/>
        <v>0.0</v>
      </c>
      <c r="Q99" s="57"/>
      <c r="R99" s="58"/>
    </row>
    <row r="100" spans="8:8" ht="15.0" hidden="1">
      <c r="B100" s="54">
        <v>96.0</v>
      </c>
      <c r="C100" s="8" t="s">
        <v>3913</v>
      </c>
      <c r="D100" s="8" t="s">
        <v>1013</v>
      </c>
      <c r="E100" s="8" t="s">
        <v>3335</v>
      </c>
      <c r="F100" s="8" t="s">
        <v>1501</v>
      </c>
      <c r="G100" s="8"/>
      <c r="H100" s="8" t="s">
        <v>3335</v>
      </c>
      <c r="I100" s="8" t="s">
        <v>818</v>
      </c>
      <c r="J100" s="56" t="s">
        <v>7610</v>
      </c>
      <c r="K100" s="22">
        <v>6.0</v>
      </c>
      <c r="L100" s="22">
        <f>+SUMIF('حركه المخزن الرئيسي اليوميه'!$F:$F,$H:$H,'حركه المخزن الرئيسي اليوميه'!$H:$H)</f>
        <v>0.0</v>
      </c>
      <c r="M100" s="22">
        <f>+SUMIF('حركه المخزن الرئيسي اليوميه'!$F:$F,$H:$H,'حركه المخزن الرئيسي اليوميه'!$I:$I)</f>
        <v>0.0</v>
      </c>
      <c r="N100" s="22">
        <f t="shared" si="3"/>
        <v>6.0</v>
      </c>
      <c r="O100" s="22">
        <f t="shared" si="4"/>
        <v>6.0</v>
      </c>
      <c r="P100" s="22">
        <f t="shared" si="5"/>
        <v>0.0</v>
      </c>
      <c r="Q100" s="57"/>
      <c r="R100" s="58"/>
    </row>
    <row r="101" spans="8:8" ht="15.0" hidden="1">
      <c r="B101" s="54">
        <v>97.0</v>
      </c>
      <c r="C101" s="8" t="s">
        <v>3913</v>
      </c>
      <c r="D101" s="8" t="s">
        <v>1013</v>
      </c>
      <c r="E101" s="8" t="s">
        <v>3334</v>
      </c>
      <c r="F101" s="8" t="s">
        <v>1501</v>
      </c>
      <c r="G101" s="8"/>
      <c r="H101" s="8" t="s">
        <v>3334</v>
      </c>
      <c r="I101" s="8" t="s">
        <v>818</v>
      </c>
      <c r="J101" s="56" t="s">
        <v>7611</v>
      </c>
      <c r="K101" s="22">
        <v>3.0</v>
      </c>
      <c r="L101" s="22">
        <f>+SUMIF('حركه المخزن الرئيسي اليوميه'!$F:$F,$H:$H,'حركه المخزن الرئيسي اليوميه'!$H:$H)</f>
        <v>0.0</v>
      </c>
      <c r="M101" s="22">
        <f>+SUMIF('حركه المخزن الرئيسي اليوميه'!$F:$F,$H:$H,'حركه المخزن الرئيسي اليوميه'!$I:$I)</f>
        <v>0.0</v>
      </c>
      <c r="N101" s="22">
        <f t="shared" si="3"/>
        <v>3.0</v>
      </c>
      <c r="O101" s="22">
        <f t="shared" si="4"/>
        <v>3.0</v>
      </c>
      <c r="P101" s="22">
        <f t="shared" si="5"/>
        <v>0.0</v>
      </c>
      <c r="Q101" s="57"/>
      <c r="R101" s="58"/>
    </row>
    <row r="102" spans="8:8" ht="15.0" hidden="1">
      <c r="B102" s="54">
        <v>154.0</v>
      </c>
      <c r="C102" s="8" t="s">
        <v>3913</v>
      </c>
      <c r="D102" s="8" t="s">
        <v>1013</v>
      </c>
      <c r="E102" s="8" t="s">
        <v>3336</v>
      </c>
      <c r="F102" s="8" t="s">
        <v>1501</v>
      </c>
      <c r="G102" s="8"/>
      <c r="H102" s="8" t="s">
        <v>3336</v>
      </c>
      <c r="I102" s="8" t="s">
        <v>818</v>
      </c>
      <c r="J102" s="56" t="s">
        <v>7612</v>
      </c>
      <c r="K102" s="22">
        <v>4.0</v>
      </c>
      <c r="L102" s="22">
        <f>+SUMIF('حركه المخزن الرئيسي اليوميه'!$F:$F,$H:$H,'حركه المخزن الرئيسي اليوميه'!$H:$H)</f>
        <v>0.0</v>
      </c>
      <c r="M102" s="22">
        <f>+SUMIF('حركه المخزن الرئيسي اليوميه'!$F:$F,$H:$H,'حركه المخزن الرئيسي اليوميه'!$I:$I)</f>
        <v>0.0</v>
      </c>
      <c r="N102" s="22">
        <f t="shared" si="3"/>
        <v>4.0</v>
      </c>
      <c r="O102" s="22">
        <f t="shared" si="4"/>
        <v>4.0</v>
      </c>
      <c r="P102" s="22">
        <f t="shared" si="5"/>
        <v>0.0</v>
      </c>
      <c r="Q102" s="57"/>
      <c r="R102" s="58"/>
    </row>
    <row r="103" spans="8:8" ht="15.0" hidden="1">
      <c r="B103" s="54">
        <v>99.0</v>
      </c>
      <c r="C103" s="8" t="s">
        <v>3913</v>
      </c>
      <c r="D103" s="8" t="s">
        <v>1013</v>
      </c>
      <c r="E103" s="8" t="s">
        <v>3333</v>
      </c>
      <c r="F103" s="8" t="s">
        <v>1501</v>
      </c>
      <c r="G103" s="8"/>
      <c r="H103" s="8" t="s">
        <v>3174</v>
      </c>
      <c r="I103" s="8" t="s">
        <v>818</v>
      </c>
      <c r="J103" s="56" t="s">
        <v>7613</v>
      </c>
      <c r="K103" s="22">
        <v>6.0</v>
      </c>
      <c r="L103" s="22">
        <f>+SUMIF('حركه المخزن الرئيسي اليوميه'!$F:$F,$H:$H,'حركه المخزن الرئيسي اليوميه'!$H:$H)</f>
        <v>0.0</v>
      </c>
      <c r="M103" s="22">
        <f>+SUMIF('حركه المخزن الرئيسي اليوميه'!$F:$F,$H:$H,'حركه المخزن الرئيسي اليوميه'!$I:$I)</f>
        <v>0.0</v>
      </c>
      <c r="N103" s="22">
        <f t="shared" si="3"/>
        <v>6.0</v>
      </c>
      <c r="O103" s="22">
        <f t="shared" si="4"/>
        <v>6.0</v>
      </c>
      <c r="P103" s="22">
        <f t="shared" si="5"/>
        <v>0.0</v>
      </c>
      <c r="Q103" s="57"/>
      <c r="R103" s="58"/>
    </row>
    <row r="104" spans="8:8" ht="15.0" hidden="1">
      <c r="B104" s="54">
        <v>116.0</v>
      </c>
      <c r="C104" s="8" t="s">
        <v>3913</v>
      </c>
      <c r="D104" s="8" t="s">
        <v>820</v>
      </c>
      <c r="E104" s="8" t="s">
        <v>1398</v>
      </c>
      <c r="F104" s="8" t="s">
        <v>68</v>
      </c>
      <c r="G104" s="8" t="s">
        <v>2201</v>
      </c>
      <c r="H104" s="8" t="s">
        <v>1398</v>
      </c>
      <c r="I104" s="8" t="s">
        <v>818</v>
      </c>
      <c r="J104" s="56" t="s">
        <v>7614</v>
      </c>
      <c r="K104" s="22">
        <v>1.0</v>
      </c>
      <c r="L104" s="22">
        <f>+SUMIF('حركه المخزن الرئيسي اليوميه'!$F:$F,$H:$H,'حركه المخزن الرئيسي اليوميه'!$H:$H)</f>
        <v>0.0</v>
      </c>
      <c r="M104" s="22">
        <f>+SUMIF('حركه المخزن الرئيسي اليوميه'!$F:$F,$H:$H,'حركه المخزن الرئيسي اليوميه'!$I:$I)</f>
        <v>0.0</v>
      </c>
      <c r="N104" s="22">
        <f t="shared" si="3"/>
        <v>1.0</v>
      </c>
      <c r="O104" s="22">
        <f t="shared" si="4"/>
        <v>1.0</v>
      </c>
      <c r="P104" s="22">
        <f t="shared" si="5"/>
        <v>0.0</v>
      </c>
      <c r="Q104" s="57"/>
      <c r="R104" s="58"/>
    </row>
    <row r="105" spans="8:8" ht="15.0" hidden="1">
      <c r="B105" s="54">
        <v>117.0</v>
      </c>
      <c r="C105" s="8" t="s">
        <v>3913</v>
      </c>
      <c r="D105" s="8" t="s">
        <v>1013</v>
      </c>
      <c r="E105" s="8" t="s">
        <v>165</v>
      </c>
      <c r="F105" s="8" t="s">
        <v>68</v>
      </c>
      <c r="G105" s="8" t="s">
        <v>1820</v>
      </c>
      <c r="H105" s="8" t="s">
        <v>316</v>
      </c>
      <c r="I105" s="8" t="s">
        <v>818</v>
      </c>
      <c r="J105" s="56" t="s">
        <v>7615</v>
      </c>
      <c r="K105" s="22">
        <v>16.0</v>
      </c>
      <c r="L105" s="22">
        <f>+SUMIF('حركه المخزن الرئيسي اليوميه'!$F:$F,$H:$H,'حركه المخزن الرئيسي اليوميه'!$H:$H)</f>
        <v>0.0</v>
      </c>
      <c r="M105" s="22">
        <f>+SUMIF('حركه المخزن الرئيسي اليوميه'!$F:$F,$H:$H,'حركه المخزن الرئيسي اليوميه'!$I:$I)</f>
        <v>0.0</v>
      </c>
      <c r="N105" s="22">
        <f t="shared" si="3"/>
        <v>16.0</v>
      </c>
      <c r="O105" s="22">
        <f t="shared" si="4"/>
        <v>16.0</v>
      </c>
      <c r="P105" s="22">
        <f t="shared" si="5"/>
        <v>0.0</v>
      </c>
      <c r="Q105" s="57"/>
      <c r="R105" s="58"/>
    </row>
    <row r="106" spans="8:8" ht="15.0" hidden="1">
      <c r="B106" s="54">
        <v>118.0</v>
      </c>
      <c r="C106" s="8" t="s">
        <v>3913</v>
      </c>
      <c r="D106" s="8" t="s">
        <v>820</v>
      </c>
      <c r="E106" s="8" t="s">
        <v>3084</v>
      </c>
      <c r="F106" s="8" t="s">
        <v>68</v>
      </c>
      <c r="G106" s="8" t="s">
        <v>3085</v>
      </c>
      <c r="H106" s="8" t="s">
        <v>3084</v>
      </c>
      <c r="I106" s="8" t="s">
        <v>818</v>
      </c>
      <c r="J106" s="56" t="s">
        <v>7616</v>
      </c>
      <c r="K106" s="22">
        <v>33.0</v>
      </c>
      <c r="L106" s="22">
        <f>+SUMIF('حركه المخزن الرئيسي اليوميه'!$F:$F,$H:$H,'حركه المخزن الرئيسي اليوميه'!$H:$H)</f>
        <v>0.0</v>
      </c>
      <c r="M106" s="22">
        <f>+SUMIF('حركه المخزن الرئيسي اليوميه'!$F:$F,$H:$H,'حركه المخزن الرئيسي اليوميه'!$I:$I)</f>
        <v>0.0</v>
      </c>
      <c r="N106" s="22">
        <f t="shared" si="3"/>
        <v>33.0</v>
      </c>
      <c r="O106" s="22">
        <f t="shared" si="4"/>
        <v>33.0</v>
      </c>
      <c r="P106" s="22">
        <f t="shared" si="5"/>
        <v>0.0</v>
      </c>
      <c r="Q106" s="57"/>
      <c r="R106" s="59"/>
    </row>
    <row r="107" spans="8:8" ht="15.0" hidden="1">
      <c r="B107" s="54">
        <v>119.0</v>
      </c>
      <c r="C107" s="8" t="s">
        <v>3913</v>
      </c>
      <c r="D107" s="8" t="s">
        <v>820</v>
      </c>
      <c r="E107" s="8" t="s">
        <v>3919</v>
      </c>
      <c r="F107" s="8" t="s">
        <v>68</v>
      </c>
      <c r="G107" s="8"/>
      <c r="H107" s="8" t="s">
        <v>3919</v>
      </c>
      <c r="I107" s="8" t="s">
        <v>818</v>
      </c>
      <c r="J107" s="56" t="s">
        <v>7617</v>
      </c>
      <c r="K107" s="22">
        <v>1.0</v>
      </c>
      <c r="L107" s="22">
        <f>+SUMIF('حركه المخزن الرئيسي اليوميه'!$F:$F,$H:$H,'حركه المخزن الرئيسي اليوميه'!$H:$H)</f>
        <v>0.0</v>
      </c>
      <c r="M107" s="22">
        <f>+SUMIF('حركه المخزن الرئيسي اليوميه'!$F:$F,$H:$H,'حركه المخزن الرئيسي اليوميه'!$I:$I)</f>
        <v>0.0</v>
      </c>
      <c r="N107" s="22">
        <f t="shared" si="3"/>
        <v>1.0</v>
      </c>
      <c r="O107" s="22">
        <f t="shared" si="4"/>
        <v>1.0</v>
      </c>
      <c r="P107" s="22">
        <f t="shared" si="5"/>
        <v>0.0</v>
      </c>
      <c r="Q107" s="57"/>
      <c r="R107" s="58"/>
    </row>
    <row r="108" spans="8:8" ht="15.0" hidden="1">
      <c r="B108" s="54">
        <v>120.0</v>
      </c>
      <c r="C108" s="8" t="s">
        <v>3913</v>
      </c>
      <c r="D108" s="8" t="s">
        <v>1013</v>
      </c>
      <c r="E108" s="8" t="s">
        <v>1230</v>
      </c>
      <c r="F108" s="8" t="s">
        <v>68</v>
      </c>
      <c r="G108" s="8" t="s">
        <v>1910</v>
      </c>
      <c r="H108" s="8" t="s">
        <v>115</v>
      </c>
      <c r="I108" s="8" t="s">
        <v>227</v>
      </c>
      <c r="J108" s="56" t="s">
        <v>7618</v>
      </c>
      <c r="K108" s="22">
        <v>1.0</v>
      </c>
      <c r="L108" s="22">
        <f>+SUMIF('حركه المخزن الرئيسي اليوميه'!$F:$F,$H:$H,'حركه المخزن الرئيسي اليوميه'!$H:$H)</f>
        <v>0.0</v>
      </c>
      <c r="M108" s="22">
        <f>+SUMIF('حركه المخزن الرئيسي اليوميه'!$F:$F,$H:$H,'حركه المخزن الرئيسي اليوميه'!$I:$I)</f>
        <v>0.0</v>
      </c>
      <c r="N108" s="22">
        <f t="shared" si="3"/>
        <v>1.0</v>
      </c>
      <c r="O108" s="22">
        <f t="shared" si="4"/>
        <v>1.0</v>
      </c>
      <c r="P108" s="22">
        <f t="shared" si="5"/>
        <v>0.0</v>
      </c>
      <c r="Q108" s="57"/>
      <c r="R108" s="58"/>
    </row>
    <row r="109" spans="8:8" ht="15.0" hidden="1">
      <c r="B109" s="54">
        <v>121.0</v>
      </c>
      <c r="C109" s="8" t="s">
        <v>3913</v>
      </c>
      <c r="D109" s="8" t="s">
        <v>1013</v>
      </c>
      <c r="E109" s="8" t="s">
        <v>2560</v>
      </c>
      <c r="F109" s="8" t="s">
        <v>68</v>
      </c>
      <c r="G109" s="8" t="s">
        <v>111</v>
      </c>
      <c r="H109" s="8">
        <v>1000.0</v>
      </c>
      <c r="I109" s="8" t="s">
        <v>227</v>
      </c>
      <c r="J109" s="56" t="s">
        <v>7619</v>
      </c>
      <c r="K109" s="22">
        <v>1.0</v>
      </c>
      <c r="L109" s="22">
        <f>+SUMIF('حركه المخزن الرئيسي اليوميه'!$F:$F,$H:$H,'حركه المخزن الرئيسي اليوميه'!$H:$H)</f>
        <v>0.0</v>
      </c>
      <c r="M109" s="22">
        <f>+SUMIF('حركه المخزن الرئيسي اليوميه'!$F:$F,$H:$H,'حركه المخزن الرئيسي اليوميه'!$I:$I)</f>
        <v>0.0</v>
      </c>
      <c r="N109" s="22">
        <f t="shared" si="3"/>
        <v>1.0</v>
      </c>
      <c r="O109" s="22">
        <f t="shared" si="4"/>
        <v>1.0</v>
      </c>
      <c r="P109" s="22">
        <f t="shared" si="5"/>
        <v>0.0</v>
      </c>
      <c r="Q109" s="57"/>
      <c r="R109" s="58"/>
    </row>
    <row r="110" spans="8:8" ht="15.0" hidden="1">
      <c r="B110" s="54">
        <v>122.0</v>
      </c>
      <c r="C110" s="8" t="s">
        <v>3913</v>
      </c>
      <c r="D110" s="8" t="s">
        <v>1013</v>
      </c>
      <c r="E110" s="8" t="s">
        <v>1230</v>
      </c>
      <c r="F110" s="8" t="s">
        <v>68</v>
      </c>
      <c r="G110" s="8" t="s">
        <v>1910</v>
      </c>
      <c r="H110" s="8" t="s">
        <v>113</v>
      </c>
      <c r="I110" s="8" t="s">
        <v>227</v>
      </c>
      <c r="J110" s="56" t="s">
        <v>7620</v>
      </c>
      <c r="K110" s="22">
        <v>3.0</v>
      </c>
      <c r="L110" s="22">
        <f>+SUMIF('حركه المخزن الرئيسي اليوميه'!$F:$F,$H:$H,'حركه المخزن الرئيسي اليوميه'!$H:$H)</f>
        <v>0.0</v>
      </c>
      <c r="M110" s="22">
        <f>+SUMIF('حركه المخزن الرئيسي اليوميه'!$F:$F,$H:$H,'حركه المخزن الرئيسي اليوميه'!$I:$I)</f>
        <v>0.0</v>
      </c>
      <c r="N110" s="22">
        <f t="shared" si="3"/>
        <v>3.0</v>
      </c>
      <c r="O110" s="22">
        <f t="shared" si="4"/>
        <v>3.0</v>
      </c>
      <c r="P110" s="22">
        <f t="shared" si="5"/>
        <v>0.0</v>
      </c>
      <c r="Q110" s="57"/>
      <c r="R110" s="58"/>
    </row>
    <row r="111" spans="8:8" ht="15.0" hidden="1">
      <c r="B111" s="54">
        <v>123.0</v>
      </c>
      <c r="C111" s="8" t="s">
        <v>3913</v>
      </c>
      <c r="D111" s="8" t="s">
        <v>1013</v>
      </c>
      <c r="E111" s="8" t="s">
        <v>2567</v>
      </c>
      <c r="F111" s="8" t="s">
        <v>68</v>
      </c>
      <c r="G111" s="8"/>
      <c r="H111" s="8" t="s">
        <v>2567</v>
      </c>
      <c r="I111" s="8" t="s">
        <v>227</v>
      </c>
      <c r="J111" s="56" t="s">
        <v>7621</v>
      </c>
      <c r="K111" s="22">
        <v>5.0</v>
      </c>
      <c r="L111" s="22">
        <f>+SUMIF('حركه المخزن الرئيسي اليوميه'!$F:$F,$H:$H,'حركه المخزن الرئيسي اليوميه'!$H:$H)</f>
        <v>0.0</v>
      </c>
      <c r="M111" s="22">
        <f>+SUMIF('حركه المخزن الرئيسي اليوميه'!$F:$F,$H:$H,'حركه المخزن الرئيسي اليوميه'!$I:$I)</f>
        <v>0.0</v>
      </c>
      <c r="N111" s="22">
        <f t="shared" si="3"/>
        <v>5.0</v>
      </c>
      <c r="O111" s="22">
        <f t="shared" si="4"/>
        <v>5.0</v>
      </c>
      <c r="P111" s="22">
        <f t="shared" si="5"/>
        <v>0.0</v>
      </c>
      <c r="Q111" s="57"/>
      <c r="R111" s="58"/>
    </row>
    <row r="112" spans="8:8" ht="15.0" hidden="1">
      <c r="B112" s="54">
        <v>124.0</v>
      </c>
      <c r="C112" s="8" t="s">
        <v>3913</v>
      </c>
      <c r="D112" s="8" t="s">
        <v>1013</v>
      </c>
      <c r="E112" s="8" t="s">
        <v>319</v>
      </c>
      <c r="F112" s="8" t="s">
        <v>68</v>
      </c>
      <c r="G112" s="8" t="s">
        <v>1689</v>
      </c>
      <c r="H112" s="8" t="s">
        <v>2978</v>
      </c>
      <c r="I112" s="8" t="s">
        <v>227</v>
      </c>
      <c r="J112" s="56" t="s">
        <v>7622</v>
      </c>
      <c r="K112" s="22">
        <v>4.0</v>
      </c>
      <c r="L112" s="22">
        <f>+SUMIF('حركه المخزن الرئيسي اليوميه'!$F:$F,$H$112:$H$158,'حركه المخزن الرئيسي اليوميه'!$H:$H)</f>
        <v>0.0</v>
      </c>
      <c r="M112" s="22">
        <f>+SUMIF('حركه المخزن الرئيسي اليوميه'!$F:$F,$H$112:$H$158,'حركه المخزن الرئيسي اليوميه'!$I:$I)</f>
        <v>0.0</v>
      </c>
      <c r="N112" s="22">
        <f t="shared" si="3"/>
        <v>4.0</v>
      </c>
      <c r="O112" s="22">
        <f t="shared" si="4"/>
        <v>4.0</v>
      </c>
      <c r="P112" s="22">
        <f t="shared" si="5"/>
        <v>0.0</v>
      </c>
      <c r="Q112" s="57"/>
      <c r="R112" s="58"/>
    </row>
    <row r="113" spans="8:8" ht="15.0" hidden="1">
      <c r="B113" s="54">
        <v>125.0</v>
      </c>
      <c r="C113" s="8" t="s">
        <v>3913</v>
      </c>
      <c r="D113" s="8" t="s">
        <v>1013</v>
      </c>
      <c r="E113" s="8" t="s">
        <v>231</v>
      </c>
      <c r="F113" s="8" t="s">
        <v>68</v>
      </c>
      <c r="G113" s="8" t="s">
        <v>1812</v>
      </c>
      <c r="H113" s="8" t="s">
        <v>230</v>
      </c>
      <c r="I113" s="8" t="s">
        <v>250</v>
      </c>
      <c r="J113" s="56" t="s">
        <v>7623</v>
      </c>
      <c r="K113" s="22">
        <v>2.0</v>
      </c>
      <c r="L113" s="22">
        <f>+SUMIF('حركه المخزن الرئيسي اليوميه'!$F:$F,$H$112:$H$158,'حركه المخزن الرئيسي اليوميه'!$H:$H)</f>
        <v>0.0</v>
      </c>
      <c r="M113" s="22">
        <f>+SUMIF('حركه المخزن الرئيسي اليوميه'!$F:$F,$H$112:$H$158,'حركه المخزن الرئيسي اليوميه'!$I:$I)</f>
        <v>0.0</v>
      </c>
      <c r="N113" s="22">
        <f t="shared" si="3"/>
        <v>2.0</v>
      </c>
      <c r="O113" s="22">
        <f t="shared" si="4"/>
        <v>2.0</v>
      </c>
      <c r="P113" s="22">
        <f t="shared" si="5"/>
        <v>0.0</v>
      </c>
      <c r="Q113" s="57"/>
      <c r="R113" s="58"/>
    </row>
    <row r="114" spans="8:8" ht="15.0" hidden="1">
      <c r="B114" s="54">
        <v>126.0</v>
      </c>
      <c r="C114" s="8" t="s">
        <v>3913</v>
      </c>
      <c r="D114" s="8" t="s">
        <v>1013</v>
      </c>
      <c r="E114" s="8" t="s">
        <v>2979</v>
      </c>
      <c r="F114" s="8" t="s">
        <v>68</v>
      </c>
      <c r="G114" s="8"/>
      <c r="H114" s="8" t="s">
        <v>2980</v>
      </c>
      <c r="I114" s="8" t="s">
        <v>250</v>
      </c>
      <c r="J114" s="56" t="s">
        <v>7624</v>
      </c>
      <c r="K114" s="22">
        <v>5.0</v>
      </c>
      <c r="L114" s="22">
        <f>+SUMIF('حركه المخزن الرئيسي اليوميه'!$F:$F,$H$112:$H$158,'حركه المخزن الرئيسي اليوميه'!$H:$H)</f>
        <v>0.0</v>
      </c>
      <c r="M114" s="22">
        <f>+SUMIF('حركه المخزن الرئيسي اليوميه'!$F:$F,$H$112:$H$158,'حركه المخزن الرئيسي اليوميه'!$I:$I)</f>
        <v>0.0</v>
      </c>
      <c r="N114" s="22">
        <f t="shared" si="3"/>
        <v>5.0</v>
      </c>
      <c r="O114" s="22">
        <f t="shared" si="4"/>
        <v>5.0</v>
      </c>
      <c r="P114" s="22">
        <f t="shared" si="5"/>
        <v>0.0</v>
      </c>
      <c r="Q114" s="57"/>
      <c r="R114" s="58"/>
    </row>
    <row r="115" spans="8:8">
      <c r="B115" s="54">
        <v>127.0</v>
      </c>
      <c r="C115" s="8" t="s">
        <v>3913</v>
      </c>
      <c r="D115" s="8" t="s">
        <v>1020</v>
      </c>
      <c r="E115" s="8" t="s">
        <v>95</v>
      </c>
      <c r="F115" s="8" t="s">
        <v>873</v>
      </c>
      <c r="G115" s="8" t="s">
        <v>1918</v>
      </c>
      <c r="H115" s="8" t="s">
        <v>95</v>
      </c>
      <c r="I115" s="8" t="s">
        <v>250</v>
      </c>
      <c r="J115" s="56" t="s">
        <v>7625</v>
      </c>
      <c r="K115" s="22">
        <v>10.0</v>
      </c>
      <c r="L115" s="22">
        <f>+SUMIF('حركه المخزن الرئيسي اليوميه'!$F:$F,$H$112:$H$158,'حركه المخزن الرئيسي اليوميه'!$H:$H)</f>
        <v>0.0</v>
      </c>
      <c r="M115" s="22">
        <f>+SUMIF('حركه المخزن الرئيسي اليوميه'!$F:$F,$H$112:$H$158,'حركه المخزن الرئيسي اليوميه'!$I:$I)</f>
        <v>0.0</v>
      </c>
      <c r="N115" s="22">
        <f t="shared" si="3"/>
        <v>10.0</v>
      </c>
      <c r="O115" s="22">
        <f t="shared" si="4"/>
        <v>10.0</v>
      </c>
      <c r="P115" s="22">
        <f t="shared" si="5"/>
        <v>0.0</v>
      </c>
      <c r="Q115" s="57"/>
      <c r="R115" s="58"/>
    </row>
    <row r="116" spans="8:8" ht="15.0" hidden="1">
      <c r="B116" s="54">
        <v>128.0</v>
      </c>
      <c r="C116" s="8" t="s">
        <v>3913</v>
      </c>
      <c r="D116" s="8" t="s">
        <v>1013</v>
      </c>
      <c r="E116" s="8" t="s">
        <v>302</v>
      </c>
      <c r="F116" s="8" t="s">
        <v>68</v>
      </c>
      <c r="G116" s="8" t="s">
        <v>2105</v>
      </c>
      <c r="H116" s="8" t="s">
        <v>302</v>
      </c>
      <c r="I116" s="8" t="s">
        <v>228</v>
      </c>
      <c r="J116" s="56" t="s">
        <v>7626</v>
      </c>
      <c r="K116" s="22">
        <v>4.0</v>
      </c>
      <c r="L116" s="22">
        <f>+SUMIF('حركه المخزن الرئيسي اليوميه'!$F:$F,$H$112:$H$158,'حركه المخزن الرئيسي اليوميه'!$H:$H)</f>
        <v>0.0</v>
      </c>
      <c r="M116" s="22">
        <f>+SUMIF('حركه المخزن الرئيسي اليوميه'!$F:$F,$H$112:$H$158,'حركه المخزن الرئيسي اليوميه'!$I:$I)</f>
        <v>0.0</v>
      </c>
      <c r="N116" s="22">
        <f t="shared" si="3"/>
        <v>4.0</v>
      </c>
      <c r="O116" s="22">
        <f t="shared" si="4"/>
        <v>4.0</v>
      </c>
      <c r="P116" s="22">
        <f t="shared" si="5"/>
        <v>0.0</v>
      </c>
      <c r="Q116" s="57"/>
      <c r="R116" s="58"/>
    </row>
    <row r="117" spans="8:8" ht="15.0" hidden="1">
      <c r="B117" s="54">
        <v>129.0</v>
      </c>
      <c r="C117" s="8" t="s">
        <v>3913</v>
      </c>
      <c r="D117" s="8" t="s">
        <v>1013</v>
      </c>
      <c r="E117" s="8" t="s">
        <v>303</v>
      </c>
      <c r="F117" s="8" t="s">
        <v>68</v>
      </c>
      <c r="G117" s="8" t="s">
        <v>2106</v>
      </c>
      <c r="H117" s="8" t="s">
        <v>303</v>
      </c>
      <c r="I117" s="8" t="s">
        <v>228</v>
      </c>
      <c r="J117" s="56" t="s">
        <v>7627</v>
      </c>
      <c r="K117" s="22">
        <v>6.0</v>
      </c>
      <c r="L117" s="22">
        <f>+SUMIF('حركه المخزن الرئيسي اليوميه'!$F:$F,$H$112:$H$158,'حركه المخزن الرئيسي اليوميه'!$H:$H)</f>
        <v>0.0</v>
      </c>
      <c r="M117" s="22">
        <f>+SUMIF('حركه المخزن الرئيسي اليوميه'!$F:$F,$H$112:$H$158,'حركه المخزن الرئيسي اليوميه'!$I:$I)</f>
        <v>0.0</v>
      </c>
      <c r="N117" s="22">
        <f t="shared" si="3"/>
        <v>6.0</v>
      </c>
      <c r="O117" s="22">
        <f t="shared" si="4"/>
        <v>6.0</v>
      </c>
      <c r="P117" s="22">
        <f t="shared" si="5"/>
        <v>0.0</v>
      </c>
      <c r="Q117" s="57"/>
      <c r="R117" s="58"/>
    </row>
    <row r="118" spans="8:8" ht="15.0" hidden="1">
      <c r="B118" s="54">
        <v>130.0</v>
      </c>
      <c r="C118" s="8" t="s">
        <v>3913</v>
      </c>
      <c r="D118" s="8" t="s">
        <v>820</v>
      </c>
      <c r="E118" s="8" t="s">
        <v>1156</v>
      </c>
      <c r="F118" s="8" t="s">
        <v>68</v>
      </c>
      <c r="G118" s="8" t="s">
        <v>2215</v>
      </c>
      <c r="H118" s="8" t="s">
        <v>1156</v>
      </c>
      <c r="I118" s="8" t="s">
        <v>228</v>
      </c>
      <c r="J118" s="56" t="s">
        <v>7628</v>
      </c>
      <c r="K118" s="22">
        <v>13.0</v>
      </c>
      <c r="L118" s="22">
        <f>+SUMIF('حركه المخزن الرئيسي اليوميه'!$F:$F,$H$112:$H$158,'حركه المخزن الرئيسي اليوميه'!$H:$H)</f>
        <v>0.0</v>
      </c>
      <c r="M118" s="22">
        <f>+SUMIF('حركه المخزن الرئيسي اليوميه'!$F:$F,$H$112:$H$158,'حركه المخزن الرئيسي اليوميه'!$I:$I)</f>
        <v>0.0</v>
      </c>
      <c r="N118" s="22">
        <f t="shared" si="3"/>
        <v>13.0</v>
      </c>
      <c r="O118" s="22">
        <f t="shared" si="4"/>
        <v>13.0</v>
      </c>
      <c r="P118" s="22">
        <f t="shared" si="5"/>
        <v>0.0</v>
      </c>
      <c r="Q118" s="57"/>
      <c r="R118" s="58"/>
    </row>
    <row r="119" spans="8:8" ht="15.0" hidden="1">
      <c r="B119" s="54">
        <v>131.0</v>
      </c>
      <c r="C119" s="8" t="s">
        <v>3913</v>
      </c>
      <c r="D119" s="8" t="s">
        <v>765</v>
      </c>
      <c r="E119" s="8" t="s">
        <v>1478</v>
      </c>
      <c r="F119" s="8" t="s">
        <v>68</v>
      </c>
      <c r="G119" s="8" t="s">
        <v>2280</v>
      </c>
      <c r="H119" s="8" t="s">
        <v>1478</v>
      </c>
      <c r="I119" s="8" t="s">
        <v>228</v>
      </c>
      <c r="J119" s="56" t="s">
        <v>7629</v>
      </c>
      <c r="K119" s="22">
        <v>10.0</v>
      </c>
      <c r="L119" s="22">
        <f>+SUMIF('حركه المخزن الرئيسي اليوميه'!$F:$F,$H$112:$H$158,'حركه المخزن الرئيسي اليوميه'!$H:$H)</f>
        <v>0.0</v>
      </c>
      <c r="M119" s="22">
        <f>+SUMIF('حركه المخزن الرئيسي اليوميه'!$F:$F,$H$112:$H$158,'حركه المخزن الرئيسي اليوميه'!$I:$I)</f>
        <v>0.0</v>
      </c>
      <c r="N119" s="22">
        <f t="shared" si="3"/>
        <v>10.0</v>
      </c>
      <c r="O119" s="22">
        <f t="shared" si="4"/>
        <v>10.0</v>
      </c>
      <c r="P119" s="22">
        <f t="shared" si="5"/>
        <v>0.0</v>
      </c>
      <c r="Q119" s="57"/>
      <c r="R119" s="58"/>
    </row>
    <row r="120" spans="8:8" ht="15.0" hidden="1">
      <c r="B120" s="54">
        <v>132.0</v>
      </c>
      <c r="C120" s="8" t="s">
        <v>3913</v>
      </c>
      <c r="D120" s="8" t="s">
        <v>1013</v>
      </c>
      <c r="E120" s="8" t="s">
        <v>1506</v>
      </c>
      <c r="F120" s="8" t="s">
        <v>1508</v>
      </c>
      <c r="G120" s="8" t="s">
        <v>2284</v>
      </c>
      <c r="H120" s="8" t="s">
        <v>1506</v>
      </c>
      <c r="I120" s="8" t="s">
        <v>228</v>
      </c>
      <c r="J120" s="56" t="s">
        <v>7630</v>
      </c>
      <c r="K120" s="22">
        <v>4.0</v>
      </c>
      <c r="L120" s="22">
        <f>+SUMIF('حركه المخزن الرئيسي اليوميه'!$F:$F,$H$112:$H$158,'حركه المخزن الرئيسي اليوميه'!$H:$H)</f>
        <v>0.0</v>
      </c>
      <c r="M120" s="22">
        <f>+SUMIF('حركه المخزن الرئيسي اليوميه'!$F:$F,$H$112:$H$158,'حركه المخزن الرئيسي اليوميه'!$I:$I)</f>
        <v>0.0</v>
      </c>
      <c r="N120" s="22">
        <f t="shared" si="3"/>
        <v>4.0</v>
      </c>
      <c r="O120" s="22">
        <f t="shared" si="4"/>
        <v>4.0</v>
      </c>
      <c r="P120" s="22">
        <f t="shared" si="5"/>
        <v>0.0</v>
      </c>
      <c r="Q120" s="57"/>
      <c r="R120" s="58"/>
    </row>
    <row r="121" spans="8:8" ht="15.0" hidden="1">
      <c r="B121" s="54">
        <v>133.0</v>
      </c>
      <c r="C121" s="8" t="s">
        <v>3913</v>
      </c>
      <c r="D121" s="8" t="s">
        <v>1018</v>
      </c>
      <c r="E121" s="8" t="s">
        <v>1114</v>
      </c>
      <c r="F121" s="8" t="s">
        <v>68</v>
      </c>
      <c r="G121" s="8" t="s">
        <v>2311</v>
      </c>
      <c r="H121" s="8" t="s">
        <v>1114</v>
      </c>
      <c r="I121" s="8" t="s">
        <v>228</v>
      </c>
      <c r="J121" s="56" t="s">
        <v>7631</v>
      </c>
      <c r="K121" s="22">
        <v>3.0</v>
      </c>
      <c r="L121" s="22">
        <f>+SUMIF('حركه المخزن الرئيسي اليوميه'!$F:$F,$H$112:$H$158,'حركه المخزن الرئيسي اليوميه'!$H:$H)</f>
        <v>0.0</v>
      </c>
      <c r="M121" s="22">
        <f>+SUMIF('حركه المخزن الرئيسي اليوميه'!$F:$F,$H$112:$H$158,'حركه المخزن الرئيسي اليوميه'!$I:$I)</f>
        <v>0.0</v>
      </c>
      <c r="N121" s="22">
        <f t="shared" si="3"/>
        <v>3.0</v>
      </c>
      <c r="O121" s="22">
        <f t="shared" si="4"/>
        <v>3.0</v>
      </c>
      <c r="P121" s="22">
        <f t="shared" si="5"/>
        <v>0.0</v>
      </c>
      <c r="Q121" s="57"/>
      <c r="R121" s="58"/>
    </row>
    <row r="122" spans="8:8" ht="15.0" hidden="1">
      <c r="B122" s="54">
        <v>134.0</v>
      </c>
      <c r="C122" s="8" t="s">
        <v>3913</v>
      </c>
      <c r="D122" s="8" t="s">
        <v>1013</v>
      </c>
      <c r="E122" s="8" t="s">
        <v>8187</v>
      </c>
      <c r="F122" s="8" t="s">
        <v>68</v>
      </c>
      <c r="G122" s="8"/>
      <c r="H122" s="8" t="s">
        <v>8187</v>
      </c>
      <c r="I122" s="8" t="s">
        <v>228</v>
      </c>
      <c r="J122" s="56" t="s">
        <v>7632</v>
      </c>
      <c r="K122" s="22">
        <v>1.0</v>
      </c>
      <c r="L122" s="22">
        <f>+SUMIF('حركه المخزن الرئيسي اليوميه'!$F:$F,$H$112:$H$158,'حركه المخزن الرئيسي اليوميه'!$H:$H)</f>
        <v>0.0</v>
      </c>
      <c r="M122" s="22">
        <f>+SUMIF('حركه المخزن الرئيسي اليوميه'!$F:$F,$H$112:$H$158,'حركه المخزن الرئيسي اليوميه'!$I:$I)</f>
        <v>0.0</v>
      </c>
      <c r="N122" s="22">
        <f t="shared" si="3"/>
        <v>1.0</v>
      </c>
      <c r="O122" s="22">
        <f t="shared" si="4"/>
        <v>1.0</v>
      </c>
      <c r="P122" s="22">
        <f t="shared" si="5"/>
        <v>0.0</v>
      </c>
      <c r="Q122" s="57"/>
      <c r="R122" s="58"/>
    </row>
    <row r="123" spans="8:8" ht="15.0" hidden="1">
      <c r="B123" s="54">
        <v>135.0</v>
      </c>
      <c r="C123" s="8" t="s">
        <v>3913</v>
      </c>
      <c r="D123" s="8" t="s">
        <v>820</v>
      </c>
      <c r="E123" s="8" t="s">
        <v>1438</v>
      </c>
      <c r="F123" s="8" t="s">
        <v>68</v>
      </c>
      <c r="G123" s="8"/>
      <c r="H123" s="8" t="s">
        <v>1438</v>
      </c>
      <c r="I123" s="8" t="s">
        <v>228</v>
      </c>
      <c r="J123" s="56" t="s">
        <v>7633</v>
      </c>
      <c r="K123" s="22">
        <v>1.0</v>
      </c>
      <c r="L123" s="22">
        <f>+SUMIF('حركه المخزن الرئيسي اليوميه'!$F:$F,$H$112:$H$158,'حركه المخزن الرئيسي اليوميه'!$H:$H)</f>
        <v>0.0</v>
      </c>
      <c r="M123" s="22">
        <f>+SUMIF('حركه المخزن الرئيسي اليوميه'!$F:$F,$H$112:$H$158,'حركه المخزن الرئيسي اليوميه'!$I:$I)</f>
        <v>0.0</v>
      </c>
      <c r="N123" s="22">
        <f t="shared" si="3"/>
        <v>1.0</v>
      </c>
      <c r="O123" s="22">
        <f t="shared" si="4"/>
        <v>1.0</v>
      </c>
      <c r="P123" s="22">
        <f t="shared" si="5"/>
        <v>0.0</v>
      </c>
      <c r="Q123" s="57"/>
      <c r="R123" s="58"/>
    </row>
    <row r="124" spans="8:8" ht="15.0" hidden="1">
      <c r="B124" s="54">
        <v>136.0</v>
      </c>
      <c r="C124" s="8" t="s">
        <v>3913</v>
      </c>
      <c r="D124" s="8" t="s">
        <v>1022</v>
      </c>
      <c r="E124" s="8" t="s">
        <v>182</v>
      </c>
      <c r="F124" s="8" t="s">
        <v>68</v>
      </c>
      <c r="G124" s="8" t="s">
        <v>2094</v>
      </c>
      <c r="H124" s="8" t="s">
        <v>182</v>
      </c>
      <c r="I124" s="8" t="s">
        <v>20</v>
      </c>
      <c r="J124" s="56" t="s">
        <v>7634</v>
      </c>
      <c r="K124" s="22">
        <v>6.0</v>
      </c>
      <c r="L124" s="22">
        <f>+SUMIF('حركه المخزن الرئيسي اليوميه'!$F:$F,$H$112:$H$158,'حركه المخزن الرئيسي اليوميه'!$H:$H)</f>
        <v>0.0</v>
      </c>
      <c r="M124" s="22">
        <f>+SUMIF('حركه المخزن الرئيسي اليوميه'!$F:$F,$H$112:$H$158,'حركه المخزن الرئيسي اليوميه'!$I:$I)</f>
        <v>0.0</v>
      </c>
      <c r="N124" s="22">
        <f t="shared" si="3"/>
        <v>6.0</v>
      </c>
      <c r="O124" s="22">
        <f t="shared" si="4"/>
        <v>6.0</v>
      </c>
      <c r="P124" s="22">
        <f t="shared" si="5"/>
        <v>0.0</v>
      </c>
      <c r="Q124" s="57"/>
      <c r="R124" s="58"/>
    </row>
    <row r="125" spans="8:8" ht="15.0" hidden="1">
      <c r="B125" s="54">
        <v>138.0</v>
      </c>
      <c r="C125" s="8" t="s">
        <v>3913</v>
      </c>
      <c r="D125" s="8" t="s">
        <v>1022</v>
      </c>
      <c r="E125" s="8" t="s">
        <v>184</v>
      </c>
      <c r="F125" s="8" t="s">
        <v>68</v>
      </c>
      <c r="G125" s="8" t="s">
        <v>2326</v>
      </c>
      <c r="H125" s="8" t="s">
        <v>185</v>
      </c>
      <c r="I125" s="8" t="s">
        <v>20</v>
      </c>
      <c r="J125" s="56" t="s">
        <v>7635</v>
      </c>
      <c r="K125" s="22">
        <v>19.0</v>
      </c>
      <c r="L125" s="22">
        <f>+SUMIF('حركه المخزن الرئيسي اليوميه'!$F:$F,$H$112:$H$158,'حركه المخزن الرئيسي اليوميه'!$H:$H)</f>
        <v>0.0</v>
      </c>
      <c r="M125" s="22">
        <f>+SUMIF('حركه المخزن الرئيسي اليوميه'!$F:$F,$H$112:$H$158,'حركه المخزن الرئيسي اليوميه'!$I:$I)</f>
        <v>0.0</v>
      </c>
      <c r="N125" s="22">
        <f t="shared" si="3"/>
        <v>19.0</v>
      </c>
      <c r="O125" s="22">
        <f t="shared" si="4"/>
        <v>19.0</v>
      </c>
      <c r="P125" s="22">
        <f t="shared" si="5"/>
        <v>0.0</v>
      </c>
      <c r="Q125" s="57"/>
      <c r="R125" s="59"/>
    </row>
    <row r="126" spans="8:8" ht="15.0" hidden="1">
      <c r="B126" s="54">
        <v>139.0</v>
      </c>
      <c r="C126" s="8" t="s">
        <v>3913</v>
      </c>
      <c r="D126" s="8" t="s">
        <v>568</v>
      </c>
      <c r="E126" s="8" t="s">
        <v>38</v>
      </c>
      <c r="F126" s="8" t="s">
        <v>68</v>
      </c>
      <c r="G126" s="8" t="s">
        <v>1900</v>
      </c>
      <c r="H126" s="8" t="s">
        <v>38</v>
      </c>
      <c r="I126" s="8" t="s">
        <v>24</v>
      </c>
      <c r="J126" s="56" t="s">
        <v>7636</v>
      </c>
      <c r="K126" s="22">
        <v>8.0</v>
      </c>
      <c r="L126" s="22">
        <f>+SUMIF('حركه المخزن الرئيسي اليوميه'!$F:$F,$H$112:$H$158,'حركه المخزن الرئيسي اليوميه'!$H:$H)</f>
        <v>0.0</v>
      </c>
      <c r="M126" s="22">
        <f>+SUMIF('حركه المخزن الرئيسي اليوميه'!$F:$F,$H$112:$H$158,'حركه المخزن الرئيسي اليوميه'!$I:$I)</f>
        <v>0.0</v>
      </c>
      <c r="N126" s="22">
        <f t="shared" si="3"/>
        <v>8.0</v>
      </c>
      <c r="O126" s="22">
        <f t="shared" si="4"/>
        <v>8.0</v>
      </c>
      <c r="P126" s="22">
        <f t="shared" si="5"/>
        <v>0.0</v>
      </c>
      <c r="Q126" s="57"/>
      <c r="R126" s="58"/>
    </row>
    <row r="127" spans="8:8" ht="15.0" hidden="1">
      <c r="B127" s="54">
        <v>140.0</v>
      </c>
      <c r="C127" s="8" t="s">
        <v>3913</v>
      </c>
      <c r="D127" s="8" t="s">
        <v>568</v>
      </c>
      <c r="E127" s="8" t="s">
        <v>40</v>
      </c>
      <c r="F127" s="8" t="s">
        <v>68</v>
      </c>
      <c r="G127" s="8" t="s">
        <v>1902</v>
      </c>
      <c r="H127" s="8" t="s">
        <v>40</v>
      </c>
      <c r="I127" s="8" t="s">
        <v>24</v>
      </c>
      <c r="J127" s="56" t="s">
        <v>7637</v>
      </c>
      <c r="K127" s="22">
        <v>8.0</v>
      </c>
      <c r="L127" s="22">
        <f>+SUMIF('حركه المخزن الرئيسي اليوميه'!$F:$F,$H$112:$H$158,'حركه المخزن الرئيسي اليوميه'!$H:$H)</f>
        <v>0.0</v>
      </c>
      <c r="M127" s="22">
        <f>+SUMIF('حركه المخزن الرئيسي اليوميه'!$F:$F,$H$112:$H$158,'حركه المخزن الرئيسي اليوميه'!$I:$I)</f>
        <v>0.0</v>
      </c>
      <c r="N127" s="22">
        <f t="shared" si="3"/>
        <v>8.0</v>
      </c>
      <c r="O127" s="22">
        <f t="shared" si="4"/>
        <v>8.0</v>
      </c>
      <c r="P127" s="22">
        <f t="shared" si="5"/>
        <v>0.0</v>
      </c>
      <c r="Q127" s="57"/>
      <c r="R127" s="58"/>
    </row>
    <row r="128" spans="8:8" ht="15.0" hidden="1">
      <c r="B128" s="54">
        <v>141.0</v>
      </c>
      <c r="C128" s="8" t="s">
        <v>3913</v>
      </c>
      <c r="D128" s="8" t="s">
        <v>568</v>
      </c>
      <c r="E128" s="8" t="s">
        <v>41</v>
      </c>
      <c r="F128" s="8" t="s">
        <v>68</v>
      </c>
      <c r="G128" s="8" t="s">
        <v>1903</v>
      </c>
      <c r="H128" s="8" t="s">
        <v>41</v>
      </c>
      <c r="I128" s="8" t="s">
        <v>24</v>
      </c>
      <c r="J128" s="56" t="s">
        <v>7638</v>
      </c>
      <c r="K128" s="22">
        <v>3.0</v>
      </c>
      <c r="L128" s="22">
        <f>+SUMIF('حركه المخزن الرئيسي اليوميه'!$F:$F,$H$112:$H$158,'حركه المخزن الرئيسي اليوميه'!$H:$H)</f>
        <v>0.0</v>
      </c>
      <c r="M128" s="22">
        <f>+SUMIF('حركه المخزن الرئيسي اليوميه'!$F:$F,$H$112:$H$158,'حركه المخزن الرئيسي اليوميه'!$I:$I)</f>
        <v>0.0</v>
      </c>
      <c r="N128" s="22">
        <f t="shared" si="3"/>
        <v>3.0</v>
      </c>
      <c r="O128" s="22">
        <f t="shared" si="4"/>
        <v>3.0</v>
      </c>
      <c r="P128" s="22">
        <f t="shared" si="5"/>
        <v>0.0</v>
      </c>
      <c r="Q128" s="57"/>
      <c r="R128" s="58"/>
    </row>
    <row r="129" spans="8:8" ht="15.0" hidden="1">
      <c r="B129" s="54">
        <v>142.0</v>
      </c>
      <c r="C129" s="8" t="s">
        <v>3913</v>
      </c>
      <c r="D129" s="8" t="s">
        <v>568</v>
      </c>
      <c r="E129" s="8" t="s">
        <v>1348</v>
      </c>
      <c r="F129" s="8" t="s">
        <v>68</v>
      </c>
      <c r="G129" s="8"/>
      <c r="H129" s="8" t="s">
        <v>1348</v>
      </c>
      <c r="I129" s="8" t="s">
        <v>24</v>
      </c>
      <c r="J129" s="56" t="s">
        <v>7639</v>
      </c>
      <c r="K129" s="22">
        <v>1.0</v>
      </c>
      <c r="L129" s="22">
        <f>+SUMIF('حركه المخزن الرئيسي اليوميه'!$F:$F,$H$112:$H$158,'حركه المخزن الرئيسي اليوميه'!$H:$H)</f>
        <v>0.0</v>
      </c>
      <c r="M129" s="22">
        <f>+SUMIF('حركه المخزن الرئيسي اليوميه'!$F:$F,$H$112:$H$158,'حركه المخزن الرئيسي اليوميه'!$I:$I)</f>
        <v>0.0</v>
      </c>
      <c r="N129" s="22">
        <f t="shared" si="3"/>
        <v>1.0</v>
      </c>
      <c r="O129" s="22">
        <f t="shared" si="4"/>
        <v>1.0</v>
      </c>
      <c r="P129" s="22">
        <f t="shared" si="5"/>
        <v>0.0</v>
      </c>
      <c r="Q129" s="57"/>
      <c r="R129" s="58"/>
    </row>
    <row r="130" spans="8:8" ht="15.0" hidden="1">
      <c r="B130" s="54">
        <v>144.0</v>
      </c>
      <c r="C130" s="8" t="s">
        <v>3913</v>
      </c>
      <c r="D130" s="8" t="s">
        <v>1013</v>
      </c>
      <c r="E130" s="8" t="s">
        <v>124</v>
      </c>
      <c r="F130" s="8" t="s">
        <v>125</v>
      </c>
      <c r="G130" s="8" t="s">
        <v>124</v>
      </c>
      <c r="H130" s="8" t="s">
        <v>34</v>
      </c>
      <c r="I130" s="8" t="s">
        <v>24</v>
      </c>
      <c r="J130" s="56" t="s">
        <v>7640</v>
      </c>
      <c r="K130" s="22">
        <v>4.0</v>
      </c>
      <c r="L130" s="22">
        <f>+SUMIF('حركه المخزن الرئيسي اليوميه'!$F:$F,$H$112:$H$158,'حركه المخزن الرئيسي اليوميه'!$H:$H)</f>
        <v>0.0</v>
      </c>
      <c r="M130" s="22">
        <f>+SUMIF('حركه المخزن الرئيسي اليوميه'!$F:$F,$H$112:$H$158,'حركه المخزن الرئيسي اليوميه'!$I:$I)</f>
        <v>0.0</v>
      </c>
      <c r="N130" s="22">
        <f t="shared" si="3"/>
        <v>4.0</v>
      </c>
      <c r="O130" s="22">
        <f t="shared" si="4"/>
        <v>4.0</v>
      </c>
      <c r="P130" s="22">
        <f t="shared" si="5"/>
        <v>0.0</v>
      </c>
      <c r="Q130" s="57"/>
      <c r="R130" s="58"/>
    </row>
    <row r="131" spans="8:8" ht="15.0" hidden="1">
      <c r="B131" s="54">
        <v>145.0</v>
      </c>
      <c r="C131" s="8" t="s">
        <v>3913</v>
      </c>
      <c r="D131" s="8" t="s">
        <v>1019</v>
      </c>
      <c r="E131" s="8" t="s">
        <v>128</v>
      </c>
      <c r="F131" s="8" t="s">
        <v>68</v>
      </c>
      <c r="G131" s="8" t="s">
        <v>1916</v>
      </c>
      <c r="H131" s="8" t="s">
        <v>129</v>
      </c>
      <c r="I131" s="8" t="s">
        <v>24</v>
      </c>
      <c r="J131" s="56" t="s">
        <v>7641</v>
      </c>
      <c r="K131" s="22">
        <v>3.0</v>
      </c>
      <c r="L131" s="22">
        <f>+SUMIF('حركه المخزن الرئيسي اليوميه'!$F:$F,$H$112:$H$158,'حركه المخزن الرئيسي اليوميه'!$H:$H)</f>
        <v>0.0</v>
      </c>
      <c r="M131" s="22">
        <f>+SUMIF('حركه المخزن الرئيسي اليوميه'!$F:$F,$H$112:$H$158,'حركه المخزن الرئيسي اليوميه'!$I:$I)</f>
        <v>0.0</v>
      </c>
      <c r="N131" s="22">
        <f t="shared" si="3"/>
        <v>3.0</v>
      </c>
      <c r="O131" s="22">
        <f t="shared" si="4"/>
        <v>3.0</v>
      </c>
      <c r="P131" s="22">
        <f t="shared" si="5"/>
        <v>0.0</v>
      </c>
      <c r="Q131" s="57"/>
      <c r="R131" s="59"/>
    </row>
    <row r="132" spans="8:8" ht="15.0" hidden="1">
      <c r="B132" s="54">
        <v>146.0</v>
      </c>
      <c r="C132" s="8" t="s">
        <v>3913</v>
      </c>
      <c r="D132" s="8" t="s">
        <v>1022</v>
      </c>
      <c r="E132" s="8" t="s">
        <v>175</v>
      </c>
      <c r="F132" s="8" t="s">
        <v>68</v>
      </c>
      <c r="G132" s="8" t="s">
        <v>2087</v>
      </c>
      <c r="H132" s="8" t="s">
        <v>175</v>
      </c>
      <c r="I132" s="8" t="s">
        <v>28</v>
      </c>
      <c r="J132" s="56" t="s">
        <v>7642</v>
      </c>
      <c r="K132" s="22">
        <v>11.0</v>
      </c>
      <c r="L132" s="22">
        <f>+SUMIF('حركه المخزن الرئيسي اليوميه'!$F:$F,$H$112:$H$158,'حركه المخزن الرئيسي اليوميه'!$H:$H)</f>
        <v>0.0</v>
      </c>
      <c r="M132" s="22">
        <f>+SUMIF('حركه المخزن الرئيسي اليوميه'!$F:$F,$H$112:$H$158,'حركه المخزن الرئيسي اليوميه'!$I:$I)</f>
        <v>0.0</v>
      </c>
      <c r="N132" s="22">
        <f t="shared" si="3"/>
        <v>11.0</v>
      </c>
      <c r="O132" s="22">
        <f t="shared" si="4"/>
        <v>11.0</v>
      </c>
      <c r="P132" s="22">
        <f t="shared" si="5"/>
        <v>0.0</v>
      </c>
      <c r="Q132" s="57"/>
      <c r="R132" s="58"/>
    </row>
    <row r="133" spans="8:8" ht="15.0" hidden="1">
      <c r="B133" s="54">
        <v>147.0</v>
      </c>
      <c r="C133" s="8" t="s">
        <v>3913</v>
      </c>
      <c r="D133" s="8" t="s">
        <v>1013</v>
      </c>
      <c r="E133" s="8" t="s">
        <v>285</v>
      </c>
      <c r="F133" s="8" t="s">
        <v>68</v>
      </c>
      <c r="G133" s="8" t="s">
        <v>1813</v>
      </c>
      <c r="H133" s="8" t="s">
        <v>2544</v>
      </c>
      <c r="I133" s="8" t="s">
        <v>28</v>
      </c>
      <c r="J133" s="56" t="s">
        <v>7643</v>
      </c>
      <c r="K133" s="22">
        <v>3.0</v>
      </c>
      <c r="L133" s="22">
        <f>+SUMIF('حركه المخزن الرئيسي اليوميه'!$F:$F,$H$112:$H$158,'حركه المخزن الرئيسي اليوميه'!$H:$H)</f>
        <v>0.0</v>
      </c>
      <c r="M133" s="22">
        <f>+SUMIF('حركه المخزن الرئيسي اليوميه'!$F:$F,$H$112:$H$158,'حركه المخزن الرئيسي اليوميه'!$I:$I)</f>
        <v>0.0</v>
      </c>
      <c r="N133" s="22">
        <f t="shared" si="3"/>
        <v>3.0</v>
      </c>
      <c r="O133" s="22">
        <f t="shared" si="4"/>
        <v>3.0</v>
      </c>
      <c r="P133" s="22">
        <f t="shared" si="5"/>
        <v>0.0</v>
      </c>
      <c r="Q133" s="57"/>
      <c r="R133" s="58"/>
    </row>
    <row r="134" spans="8:8" ht="15.0" hidden="1">
      <c r="B134" s="54">
        <v>148.0</v>
      </c>
      <c r="C134" s="8" t="s">
        <v>3913</v>
      </c>
      <c r="D134" s="8" t="s">
        <v>1013</v>
      </c>
      <c r="E134" s="8" t="s">
        <v>285</v>
      </c>
      <c r="F134" s="8" t="s">
        <v>68</v>
      </c>
      <c r="G134" s="8" t="s">
        <v>1813</v>
      </c>
      <c r="H134" s="8" t="s">
        <v>2542</v>
      </c>
      <c r="I134" s="8" t="s">
        <v>28</v>
      </c>
      <c r="J134" s="56" t="s">
        <v>7644</v>
      </c>
      <c r="K134" s="22">
        <v>1.0</v>
      </c>
      <c r="L134" s="22">
        <f>+SUMIF('حركه المخزن الرئيسي اليوميه'!$F:$F,$H$112:$H$158,'حركه المخزن الرئيسي اليوميه'!$H:$H)</f>
        <v>0.0</v>
      </c>
      <c r="M134" s="22">
        <f>+SUMIF('حركه المخزن الرئيسي اليوميه'!$F:$F,$H$112:$H$158,'حركه المخزن الرئيسي اليوميه'!$I:$I)</f>
        <v>0.0</v>
      </c>
      <c r="N134" s="22">
        <f t="shared" si="3"/>
        <v>1.0</v>
      </c>
      <c r="O134" s="22">
        <f t="shared" si="4"/>
        <v>1.0</v>
      </c>
      <c r="P134" s="22">
        <f t="shared" si="5"/>
        <v>0.0</v>
      </c>
      <c r="Q134" s="57"/>
      <c r="R134" s="58"/>
    </row>
    <row r="135" spans="8:8" ht="15.0" hidden="1">
      <c r="B135" s="54">
        <v>149.0</v>
      </c>
      <c r="C135" s="8" t="s">
        <v>3913</v>
      </c>
      <c r="D135" s="8" t="s">
        <v>820</v>
      </c>
      <c r="E135" s="8" t="s">
        <v>2655</v>
      </c>
      <c r="F135" s="8" t="s">
        <v>68</v>
      </c>
      <c r="G135" s="8" t="s">
        <v>2239</v>
      </c>
      <c r="H135" s="8" t="s">
        <v>2655</v>
      </c>
      <c r="I135" s="8" t="s">
        <v>28</v>
      </c>
      <c r="J135" s="56" t="s">
        <v>7645</v>
      </c>
      <c r="K135" s="22">
        <v>6.0</v>
      </c>
      <c r="L135" s="22">
        <f>+SUMIF('حركه المخزن الرئيسي اليوميه'!$F:$F,$H$112:$H$158,'حركه المخزن الرئيسي اليوميه'!$H:$H)</f>
        <v>0.0</v>
      </c>
      <c r="M135" s="22">
        <f>+SUMIF('حركه المخزن الرئيسي اليوميه'!$F:$F,$H$112:$H$158,'حركه المخزن الرئيسي اليوميه'!$I:$I)</f>
        <v>0.0</v>
      </c>
      <c r="N135" s="22">
        <f t="shared" si="3"/>
        <v>6.0</v>
      </c>
      <c r="O135" s="22">
        <f t="shared" si="4"/>
        <v>6.0</v>
      </c>
      <c r="P135" s="22">
        <f t="shared" si="5"/>
        <v>0.0</v>
      </c>
      <c r="Q135" s="57"/>
      <c r="R135" s="58"/>
    </row>
    <row r="136" spans="8:8" ht="15.0" hidden="1">
      <c r="B136" s="54">
        <v>150.0</v>
      </c>
      <c r="C136" s="8" t="s">
        <v>3913</v>
      </c>
      <c r="D136" s="8" t="s">
        <v>1013</v>
      </c>
      <c r="E136" s="8" t="s">
        <v>142</v>
      </c>
      <c r="F136" s="8" t="s">
        <v>68</v>
      </c>
      <c r="G136" s="8" t="s">
        <v>1804</v>
      </c>
      <c r="H136" s="8" t="s">
        <v>143</v>
      </c>
      <c r="I136" s="8" t="s">
        <v>31</v>
      </c>
      <c r="J136" s="56" t="s">
        <v>7646</v>
      </c>
      <c r="K136" s="22">
        <v>11.0</v>
      </c>
      <c r="L136" s="22">
        <f>+SUMIF('حركه المخزن الرئيسي اليوميه'!$F:$F,$H$112:$H$158,'حركه المخزن الرئيسي اليوميه'!$H:$H)</f>
        <v>0.0</v>
      </c>
      <c r="M136" s="22">
        <f>+SUMIF('حركه المخزن الرئيسي اليوميه'!$F:$F,$H$112:$H$158,'حركه المخزن الرئيسي اليوميه'!$I:$I)</f>
        <v>0.0</v>
      </c>
      <c r="N136" s="22">
        <f t="shared" si="6" ref="N136:N198">+K136+L136-M136</f>
        <v>11.0</v>
      </c>
      <c r="O136" s="22">
        <f t="shared" si="7" ref="O136:O158">+N136</f>
        <v>11.0</v>
      </c>
      <c r="P136" s="22">
        <f t="shared" si="8" ref="P136">+N136-O136</f>
        <v>0.0</v>
      </c>
      <c r="Q136" s="57"/>
      <c r="R136" s="58"/>
    </row>
    <row r="137" spans="8:8" ht="15.0" hidden="1">
      <c r="B137" s="54">
        <v>151.0</v>
      </c>
      <c r="C137" s="8" t="s">
        <v>3913</v>
      </c>
      <c r="D137" s="8" t="s">
        <v>1013</v>
      </c>
      <c r="E137" s="8" t="s">
        <v>142</v>
      </c>
      <c r="F137" s="8" t="s">
        <v>68</v>
      </c>
      <c r="G137" s="8"/>
      <c r="H137" s="8" t="s">
        <v>2907</v>
      </c>
      <c r="I137" s="8" t="s">
        <v>31</v>
      </c>
      <c r="J137" s="56" t="s">
        <v>7647</v>
      </c>
      <c r="K137" s="22">
        <v>7.0</v>
      </c>
      <c r="L137" s="22">
        <f>+SUMIF('حركه المخزن الرئيسي اليوميه'!$F:$F,$H$112:$H$158,'حركه المخزن الرئيسي اليوميه'!$H:$H)</f>
        <v>0.0</v>
      </c>
      <c r="M137" s="22">
        <f>+SUMIF('حركه المخزن الرئيسي اليوميه'!$F:$F,$H$112:$H$158,'حركه المخزن الرئيسي اليوميه'!$I:$I)</f>
        <v>0.0</v>
      </c>
      <c r="N137" s="22">
        <f t="shared" si="6"/>
        <v>7.0</v>
      </c>
      <c r="O137" s="22">
        <f t="shared" si="7"/>
        <v>7.0</v>
      </c>
      <c r="P137" s="22"/>
      <c r="Q137" s="57"/>
      <c r="R137" s="58"/>
    </row>
    <row r="138" spans="8:8" ht="15.0" hidden="1">
      <c r="B138" s="54">
        <v>152.0</v>
      </c>
      <c r="C138" s="8" t="s">
        <v>3913</v>
      </c>
      <c r="D138" s="8" t="s">
        <v>1013</v>
      </c>
      <c r="E138" s="8" t="s">
        <v>3320</v>
      </c>
      <c r="F138" s="8" t="s">
        <v>1507</v>
      </c>
      <c r="G138" s="8" t="s">
        <v>2283</v>
      </c>
      <c r="H138" s="8" t="s">
        <v>3320</v>
      </c>
      <c r="I138" s="8" t="s">
        <v>31</v>
      </c>
      <c r="J138" s="56" t="s">
        <v>7648</v>
      </c>
      <c r="K138" s="22">
        <v>4.0</v>
      </c>
      <c r="L138" s="22">
        <f>+SUMIF('حركه المخزن الرئيسي اليوميه'!$F:$F,$H$112:$H$158,'حركه المخزن الرئيسي اليوميه'!$H:$H)</f>
        <v>0.0</v>
      </c>
      <c r="M138" s="22">
        <f>+SUMIF('حركه المخزن الرئيسي اليوميه'!$F:$F,$H$112:$H$158,'حركه المخزن الرئيسي اليوميه'!$I:$I)</f>
        <v>0.0</v>
      </c>
      <c r="N138" s="22">
        <f t="shared" si="6"/>
        <v>4.0</v>
      </c>
      <c r="O138" s="22">
        <f t="shared" si="7"/>
        <v>4.0</v>
      </c>
      <c r="P138" s="22">
        <f t="shared" si="9" ref="P138:P200">+N138-O138</f>
        <v>0.0</v>
      </c>
      <c r="Q138" s="57"/>
      <c r="R138" s="58"/>
    </row>
    <row r="139" spans="8:8" ht="15.0" hidden="1">
      <c r="B139" s="54">
        <v>153.0</v>
      </c>
      <c r="C139" s="8" t="s">
        <v>3913</v>
      </c>
      <c r="D139" s="8" t="s">
        <v>765</v>
      </c>
      <c r="E139" s="8" t="s">
        <v>3321</v>
      </c>
      <c r="F139" s="8" t="s">
        <v>68</v>
      </c>
      <c r="G139" s="8" t="s">
        <v>3321</v>
      </c>
      <c r="H139" s="8" t="s">
        <v>3321</v>
      </c>
      <c r="I139" s="8" t="s">
        <v>31</v>
      </c>
      <c r="J139" s="56" t="s">
        <v>7649</v>
      </c>
      <c r="K139" s="22">
        <v>2.0</v>
      </c>
      <c r="L139" s="22">
        <f>+SUMIF('حركه المخزن الرئيسي اليوميه'!$F:$F,$H$112:$H$158,'حركه المخزن الرئيسي اليوميه'!$H:$H)</f>
        <v>0.0</v>
      </c>
      <c r="M139" s="22">
        <f>+SUMIF('حركه المخزن الرئيسي اليوميه'!$F:$F,$H$112:$H$158,'حركه المخزن الرئيسي اليوميه'!$I:$I)</f>
        <v>0.0</v>
      </c>
      <c r="N139" s="22">
        <f t="shared" si="6"/>
        <v>2.0</v>
      </c>
      <c r="O139" s="22">
        <f t="shared" si="7"/>
        <v>2.0</v>
      </c>
      <c r="P139" s="22">
        <f t="shared" si="9"/>
        <v>0.0</v>
      </c>
      <c r="Q139" s="57"/>
      <c r="R139" s="58"/>
    </row>
    <row r="140" spans="8:8" ht="15.0" hidden="1">
      <c r="B140" s="54">
        <v>154.0</v>
      </c>
      <c r="C140" s="8" t="s">
        <v>3913</v>
      </c>
      <c r="D140" s="8" t="s">
        <v>1013</v>
      </c>
      <c r="E140" s="8" t="s">
        <v>285</v>
      </c>
      <c r="F140" s="8" t="s">
        <v>68</v>
      </c>
      <c r="G140" s="8" t="s">
        <v>1813</v>
      </c>
      <c r="H140" s="8" t="s">
        <v>2546</v>
      </c>
      <c r="I140" s="8" t="s">
        <v>247</v>
      </c>
      <c r="J140" s="56" t="s">
        <v>7650</v>
      </c>
      <c r="K140" s="22">
        <v>10.0</v>
      </c>
      <c r="L140" s="22">
        <f>+SUMIF('حركه المخزن الرئيسي اليوميه'!$F:$F,$H$112:$H$158,'حركه المخزن الرئيسي اليوميه'!$H:$H)</f>
        <v>0.0</v>
      </c>
      <c r="M140" s="22">
        <f>+SUMIF('حركه المخزن الرئيسي اليوميه'!$F:$F,$H$112:$H$158,'حركه المخزن الرئيسي اليوميه'!$I:$I)</f>
        <v>0.0</v>
      </c>
      <c r="N140" s="22">
        <f t="shared" si="6"/>
        <v>10.0</v>
      </c>
      <c r="O140" s="22">
        <f t="shared" si="7"/>
        <v>10.0</v>
      </c>
      <c r="P140" s="22">
        <f t="shared" si="9"/>
        <v>0.0</v>
      </c>
      <c r="Q140" s="57"/>
      <c r="R140" s="58"/>
    </row>
    <row r="141" spans="8:8" ht="15.0" hidden="1">
      <c r="B141" s="54">
        <v>155.0</v>
      </c>
      <c r="C141" s="8" t="s">
        <v>3913</v>
      </c>
      <c r="D141" s="8" t="s">
        <v>1013</v>
      </c>
      <c r="E141" s="8" t="s">
        <v>285</v>
      </c>
      <c r="F141" s="8" t="s">
        <v>68</v>
      </c>
      <c r="G141" s="8" t="s">
        <v>1813</v>
      </c>
      <c r="H141" s="8" t="s">
        <v>2541</v>
      </c>
      <c r="I141" s="8" t="s">
        <v>31</v>
      </c>
      <c r="J141" s="56" t="s">
        <v>7651</v>
      </c>
      <c r="K141" s="22">
        <v>23.0</v>
      </c>
      <c r="L141" s="22">
        <f>+SUMIF('حركه المخزن الرئيسي اليوميه'!$F:$F,$H$112:$H$158,'حركه المخزن الرئيسي اليوميه'!$H:$H)</f>
        <v>0.0</v>
      </c>
      <c r="M141" s="22">
        <f>+SUMIF('حركه المخزن الرئيسي اليوميه'!$F:$F,$H$112:$H$158,'حركه المخزن الرئيسي اليوميه'!$I:$I)</f>
        <v>0.0</v>
      </c>
      <c r="N141" s="22">
        <f t="shared" si="6"/>
        <v>23.0</v>
      </c>
      <c r="O141" s="22">
        <f t="shared" si="7"/>
        <v>23.0</v>
      </c>
      <c r="P141" s="22">
        <f t="shared" si="9"/>
        <v>0.0</v>
      </c>
      <c r="Q141" s="57"/>
      <c r="R141" s="58"/>
    </row>
    <row r="142" spans="8:8" ht="15.0" hidden="1">
      <c r="B142" s="54">
        <v>156.0</v>
      </c>
      <c r="C142" s="8" t="s">
        <v>3913</v>
      </c>
      <c r="D142" s="8" t="s">
        <v>765</v>
      </c>
      <c r="E142" s="8" t="s">
        <v>3395</v>
      </c>
      <c r="F142" s="8" t="s">
        <v>1501</v>
      </c>
      <c r="G142" s="8"/>
      <c r="H142" s="8" t="s">
        <v>3395</v>
      </c>
      <c r="I142" s="8" t="s">
        <v>818</v>
      </c>
      <c r="J142" s="56" t="s">
        <v>7652</v>
      </c>
      <c r="K142" s="22">
        <v>9.0</v>
      </c>
      <c r="L142" s="22">
        <f>+SUMIF('حركه المخزن الرئيسي اليوميه'!$F:$F,$H$112:$H$158,'حركه المخزن الرئيسي اليوميه'!$H:$H)</f>
        <v>0.0</v>
      </c>
      <c r="M142" s="22">
        <f>+SUMIF('حركه المخزن الرئيسي اليوميه'!$F:$F,$H$112:$H$158,'حركه المخزن الرئيسي اليوميه'!$I:$I)</f>
        <v>0.0</v>
      </c>
      <c r="N142" s="22">
        <f t="shared" si="6"/>
        <v>9.0</v>
      </c>
      <c r="O142" s="22">
        <f t="shared" si="7"/>
        <v>9.0</v>
      </c>
      <c r="P142" s="22">
        <f t="shared" si="9"/>
        <v>0.0</v>
      </c>
      <c r="Q142" s="57"/>
      <c r="R142" s="58"/>
    </row>
    <row r="143" spans="8:8" ht="15.0" hidden="1">
      <c r="B143" s="54">
        <v>157.0</v>
      </c>
      <c r="C143" s="8" t="s">
        <v>3913</v>
      </c>
      <c r="D143" s="8" t="s">
        <v>1013</v>
      </c>
      <c r="E143" s="8" t="s">
        <v>3921</v>
      </c>
      <c r="F143" s="8" t="s">
        <v>1501</v>
      </c>
      <c r="G143" s="8" t="s">
        <v>3922</v>
      </c>
      <c r="H143" s="8" t="s">
        <v>3921</v>
      </c>
      <c r="I143" s="8" t="s">
        <v>818</v>
      </c>
      <c r="J143" s="56" t="s">
        <v>7653</v>
      </c>
      <c r="K143" s="22">
        <v>1.0</v>
      </c>
      <c r="L143" s="22">
        <f>+SUMIF('حركه المخزن الرئيسي اليوميه'!$F:$F,$H$112:$H$158,'حركه المخزن الرئيسي اليوميه'!$H:$H)</f>
        <v>0.0</v>
      </c>
      <c r="M143" s="22">
        <f>+SUMIF('حركه المخزن الرئيسي اليوميه'!$F:$F,$H$112:$H$158,'حركه المخزن الرئيسي اليوميه'!$I:$I)</f>
        <v>0.0</v>
      </c>
      <c r="N143" s="22">
        <f t="shared" si="6"/>
        <v>1.0</v>
      </c>
      <c r="O143" s="22">
        <f t="shared" si="7"/>
        <v>1.0</v>
      </c>
      <c r="P143" s="22">
        <f t="shared" si="9"/>
        <v>0.0</v>
      </c>
      <c r="Q143" s="57"/>
      <c r="R143" s="58"/>
    </row>
    <row r="144" spans="8:8" ht="15.0" hidden="1">
      <c r="B144" s="54">
        <v>159.0</v>
      </c>
      <c r="C144" s="8" t="s">
        <v>3913</v>
      </c>
      <c r="D144" s="8" t="s">
        <v>828</v>
      </c>
      <c r="E144" s="8" t="s">
        <v>2028</v>
      </c>
      <c r="F144" s="8" t="s">
        <v>68</v>
      </c>
      <c r="G144" s="8"/>
      <c r="H144" s="8" t="s">
        <v>2029</v>
      </c>
      <c r="I144" s="8" t="s">
        <v>28</v>
      </c>
      <c r="J144" s="56" t="s">
        <v>7654</v>
      </c>
      <c r="K144" s="22">
        <v>2.0</v>
      </c>
      <c r="L144" s="22">
        <f>+SUMIF('حركه المخزن الرئيسي اليوميه'!$F:$F,$H$112:$H$158,'حركه المخزن الرئيسي اليوميه'!$H:$H)</f>
        <v>0.0</v>
      </c>
      <c r="M144" s="22">
        <f>+SUMIF('حركه المخزن الرئيسي اليوميه'!$F:$F,$H$112:$H$158,'حركه المخزن الرئيسي اليوميه'!$I:$I)</f>
        <v>0.0</v>
      </c>
      <c r="N144" s="22">
        <f t="shared" si="6"/>
        <v>2.0</v>
      </c>
      <c r="O144" s="22">
        <f t="shared" si="7"/>
        <v>2.0</v>
      </c>
      <c r="P144" s="22">
        <f t="shared" si="9"/>
        <v>0.0</v>
      </c>
      <c r="Q144" s="57"/>
      <c r="R144" s="59"/>
    </row>
    <row r="145" spans="8:8" ht="15.0" hidden="1">
      <c r="B145" s="54">
        <v>160.0</v>
      </c>
      <c r="C145" s="8" t="s">
        <v>3913</v>
      </c>
      <c r="D145" s="8" t="s">
        <v>828</v>
      </c>
      <c r="E145" s="8" t="s">
        <v>1051</v>
      </c>
      <c r="F145" s="8" t="s">
        <v>68</v>
      </c>
      <c r="G145" s="8" t="s">
        <v>2197</v>
      </c>
      <c r="H145" s="8" t="s">
        <v>1051</v>
      </c>
      <c r="I145" s="8" t="s">
        <v>818</v>
      </c>
      <c r="J145" s="56" t="s">
        <v>7655</v>
      </c>
      <c r="K145" s="22">
        <v>7.0</v>
      </c>
      <c r="L145" s="22">
        <f>+SUMIF('حركه المخزن الرئيسي اليوميه'!$F:$F,$H$112:$H$158,'حركه المخزن الرئيسي اليوميه'!$H:$H)</f>
        <v>0.0</v>
      </c>
      <c r="M145" s="22">
        <f>+SUMIF('حركه المخزن الرئيسي اليوميه'!$F:$F,$H$112:$H$158,'حركه المخزن الرئيسي اليوميه'!$I:$I)</f>
        <v>0.0</v>
      </c>
      <c r="N145" s="22">
        <f t="shared" si="6"/>
        <v>7.0</v>
      </c>
      <c r="O145" s="22">
        <f t="shared" si="7"/>
        <v>7.0</v>
      </c>
      <c r="P145" s="22">
        <f t="shared" si="9"/>
        <v>0.0</v>
      </c>
      <c r="Q145" s="57"/>
      <c r="R145" s="59"/>
    </row>
    <row r="146" spans="8:8" ht="15.0" hidden="1">
      <c r="B146" s="54">
        <v>161.0</v>
      </c>
      <c r="C146" s="8" t="s">
        <v>3913</v>
      </c>
      <c r="D146" s="8" t="s">
        <v>1133</v>
      </c>
      <c r="E146" s="8" t="s">
        <v>3643</v>
      </c>
      <c r="F146" s="8" t="s">
        <v>68</v>
      </c>
      <c r="G146" s="8"/>
      <c r="H146" s="8" t="s">
        <v>3643</v>
      </c>
      <c r="I146" s="8" t="s">
        <v>228</v>
      </c>
      <c r="J146" s="56" t="s">
        <v>7656</v>
      </c>
      <c r="K146" s="22">
        <v>1.0</v>
      </c>
      <c r="L146" s="22">
        <f>+SUMIF('حركه المخزن الرئيسي اليوميه'!$F:$F,$H$112:$H$158,'حركه المخزن الرئيسي اليوميه'!$H:$H)</f>
        <v>0.0</v>
      </c>
      <c r="M146" s="22">
        <f>+SUMIF('حركه المخزن الرئيسي اليوميه'!$F:$F,$H$112:$H$158,'حركه المخزن الرئيسي اليوميه'!$I:$I)</f>
        <v>0.0</v>
      </c>
      <c r="N146" s="22">
        <f t="shared" si="6"/>
        <v>1.0</v>
      </c>
      <c r="O146" s="22">
        <f t="shared" si="7"/>
        <v>1.0</v>
      </c>
      <c r="P146" s="22">
        <f t="shared" si="9"/>
        <v>0.0</v>
      </c>
      <c r="Q146" s="57"/>
      <c r="R146" s="58"/>
    </row>
    <row r="147" spans="8:8" ht="15.0" hidden="1">
      <c r="B147" s="54">
        <v>162.0</v>
      </c>
      <c r="C147" s="8" t="s">
        <v>3913</v>
      </c>
      <c r="D147" s="8" t="s">
        <v>1013</v>
      </c>
      <c r="E147" s="8" t="s">
        <v>3595</v>
      </c>
      <c r="F147" s="8"/>
      <c r="G147" s="8"/>
      <c r="H147" s="8" t="s">
        <v>3595</v>
      </c>
      <c r="I147" s="8" t="s">
        <v>818</v>
      </c>
      <c r="J147" s="56" t="s">
        <v>7657</v>
      </c>
      <c r="K147" s="22">
        <v>4.0</v>
      </c>
      <c r="L147" s="22">
        <f>+SUMIF('حركه المخزن الرئيسي اليوميه'!$F:$F,$H$112:$H$158,'حركه المخزن الرئيسي اليوميه'!$H:$H)</f>
        <v>0.0</v>
      </c>
      <c r="M147" s="22">
        <f>+SUMIF('حركه المخزن الرئيسي اليوميه'!$F:$F,$H$112:$H$158,'حركه المخزن الرئيسي اليوميه'!$I:$I)</f>
        <v>0.0</v>
      </c>
      <c r="N147" s="22">
        <f t="shared" si="6"/>
        <v>4.0</v>
      </c>
      <c r="O147" s="22">
        <f t="shared" si="7"/>
        <v>4.0</v>
      </c>
      <c r="P147" s="22">
        <f t="shared" si="9"/>
        <v>0.0</v>
      </c>
      <c r="Q147" s="57"/>
      <c r="R147" s="58"/>
    </row>
    <row r="148" spans="8:8">
      <c r="B148" s="54">
        <v>163.0</v>
      </c>
      <c r="C148" s="8" t="s">
        <v>3913</v>
      </c>
      <c r="D148" s="8" t="s">
        <v>765</v>
      </c>
      <c r="E148" s="8" t="s">
        <v>3730</v>
      </c>
      <c r="F148" s="8" t="s">
        <v>68</v>
      </c>
      <c r="G148" s="8"/>
      <c r="H148" s="8" t="s">
        <v>3730</v>
      </c>
      <c r="I148" s="8" t="s">
        <v>818</v>
      </c>
      <c r="J148" s="56" t="s">
        <v>7658</v>
      </c>
      <c r="K148" s="22">
        <v>1.0</v>
      </c>
      <c r="L148" s="22">
        <f>+SUMIF('حركه المخزن الرئيسي اليوميه'!$F:$F,$H$112:$H$158,'حركه المخزن الرئيسي اليوميه'!$H:$H)</f>
        <v>0.0</v>
      </c>
      <c r="M148" s="22">
        <f>+SUMIF('حركه المخزن الرئيسي اليوميه'!$F:$F,$H$112:$H$158,'حركه المخزن الرئيسي اليوميه'!$I:$I)</f>
        <v>0.0</v>
      </c>
      <c r="N148" s="22">
        <f t="shared" si="6"/>
        <v>1.0</v>
      </c>
      <c r="O148" s="22">
        <f t="shared" si="7"/>
        <v>1.0</v>
      </c>
      <c r="P148" s="22">
        <f t="shared" si="9"/>
        <v>0.0</v>
      </c>
      <c r="Q148" s="57"/>
      <c r="R148" s="58"/>
    </row>
    <row r="149" spans="8:8" ht="15.0" hidden="1">
      <c r="B149" s="54">
        <v>164.0</v>
      </c>
      <c r="C149" s="8" t="s">
        <v>3913</v>
      </c>
      <c r="D149" s="8" t="s">
        <v>820</v>
      </c>
      <c r="E149" s="8" t="s">
        <v>3908</v>
      </c>
      <c r="F149" s="8" t="s">
        <v>68</v>
      </c>
      <c r="G149" s="8"/>
      <c r="H149" s="8" t="s">
        <v>3908</v>
      </c>
      <c r="I149" s="8" t="s">
        <v>818</v>
      </c>
      <c r="J149" s="56" t="s">
        <v>7659</v>
      </c>
      <c r="K149" s="22">
        <v>1.0</v>
      </c>
      <c r="L149" s="22">
        <f>+SUMIF('حركه المخزن الرئيسي اليوميه'!$F:$F,$H$112:$H$158,'حركه المخزن الرئيسي اليوميه'!$H:$H)</f>
        <v>0.0</v>
      </c>
      <c r="M149" s="22">
        <f>+SUMIF('حركه المخزن الرئيسي اليوميه'!$F:$F,$H$112:$H$158,'حركه المخزن الرئيسي اليوميه'!$I:$I)</f>
        <v>0.0</v>
      </c>
      <c r="N149" s="22">
        <f t="shared" si="6"/>
        <v>1.0</v>
      </c>
      <c r="O149" s="22">
        <f t="shared" si="7"/>
        <v>1.0</v>
      </c>
      <c r="P149" s="22">
        <f t="shared" si="9"/>
        <v>0.0</v>
      </c>
      <c r="Q149" s="57"/>
      <c r="R149" s="58"/>
    </row>
    <row r="150" spans="8:8" ht="15.0" hidden="1">
      <c r="B150" s="54">
        <v>165.0</v>
      </c>
      <c r="C150" s="8" t="s">
        <v>3913</v>
      </c>
      <c r="D150" s="8" t="s">
        <v>820</v>
      </c>
      <c r="E150" s="8" t="s">
        <v>1111</v>
      </c>
      <c r="F150" s="8" t="s">
        <v>68</v>
      </c>
      <c r="G150" s="8"/>
      <c r="H150" s="8" t="s">
        <v>1111</v>
      </c>
      <c r="I150" s="8" t="s">
        <v>818</v>
      </c>
      <c r="J150" s="56" t="s">
        <v>7660</v>
      </c>
      <c r="K150" s="22">
        <v>1.0</v>
      </c>
      <c r="L150" s="22">
        <f>+SUMIF('حركه المخزن الرئيسي اليوميه'!$F:$F,$H$112:$H$158,'حركه المخزن الرئيسي اليوميه'!$H:$H)</f>
        <v>0.0</v>
      </c>
      <c r="M150" s="22">
        <f>+SUMIF('حركه المخزن الرئيسي اليوميه'!$F:$F,$H$112:$H$158,'حركه المخزن الرئيسي اليوميه'!$I:$I)</f>
        <v>0.0</v>
      </c>
      <c r="N150" s="22">
        <f t="shared" si="6"/>
        <v>1.0</v>
      </c>
      <c r="O150" s="22">
        <f t="shared" si="7"/>
        <v>1.0</v>
      </c>
      <c r="P150" s="22">
        <f t="shared" si="9"/>
        <v>0.0</v>
      </c>
      <c r="Q150" s="57"/>
      <c r="R150" s="58"/>
    </row>
    <row r="151" spans="8:8">
      <c r="B151" s="54">
        <v>166.0</v>
      </c>
      <c r="C151" s="8" t="s">
        <v>3913</v>
      </c>
      <c r="D151" s="8" t="s">
        <v>765</v>
      </c>
      <c r="E151" s="8" t="s">
        <v>3920</v>
      </c>
      <c r="F151" s="8" t="s">
        <v>1573</v>
      </c>
      <c r="G151" s="8"/>
      <c r="H151" s="8" t="s">
        <v>3920</v>
      </c>
      <c r="I151" s="8" t="s">
        <v>818</v>
      </c>
      <c r="J151" s="56" t="s">
        <v>7661</v>
      </c>
      <c r="K151" s="22">
        <v>2.0</v>
      </c>
      <c r="L151" s="22">
        <f>+SUMIF('حركه المخزن الرئيسي اليوميه'!$F:$F,$H$112:$H$158,'حركه المخزن الرئيسي اليوميه'!$H:$H)</f>
        <v>0.0</v>
      </c>
      <c r="M151" s="22">
        <f>+SUMIF('حركه المخزن الرئيسي اليوميه'!$F:$F,$H$112:$H$158,'حركه المخزن الرئيسي اليوميه'!$I:$I)</f>
        <v>0.0</v>
      </c>
      <c r="N151" s="22">
        <f t="shared" si="6"/>
        <v>2.0</v>
      </c>
      <c r="O151" s="22">
        <f t="shared" si="7"/>
        <v>2.0</v>
      </c>
      <c r="P151" s="22">
        <f t="shared" si="9"/>
        <v>0.0</v>
      </c>
      <c r="Q151" s="57"/>
      <c r="R151" s="58"/>
    </row>
    <row r="152" spans="8:8" ht="15.0" hidden="1">
      <c r="B152" s="54">
        <v>167.0</v>
      </c>
      <c r="C152" s="8" t="s">
        <v>3913</v>
      </c>
      <c r="D152" s="8" t="s">
        <v>1013</v>
      </c>
      <c r="E152" s="8" t="s">
        <v>1334</v>
      </c>
      <c r="F152" s="8" t="s">
        <v>68</v>
      </c>
      <c r="G152" s="8"/>
      <c r="H152" s="8" t="s">
        <v>3760</v>
      </c>
      <c r="I152" s="8" t="s">
        <v>236</v>
      </c>
      <c r="J152" s="56" t="s">
        <v>7662</v>
      </c>
      <c r="K152" s="22">
        <v>92.0</v>
      </c>
      <c r="L152" s="22">
        <f>+SUMIF('حركه المخزن الرئيسي اليوميه'!$F:$F,$H$112:$H$158,'حركه المخزن الرئيسي اليوميه'!$H:$H)</f>
        <v>0.0</v>
      </c>
      <c r="M152" s="22">
        <f>+SUMIF('حركه المخزن الرئيسي اليوميه'!$F:$F,$H$112:$H$158,'حركه المخزن الرئيسي اليوميه'!$I:$I)</f>
        <v>18.0</v>
      </c>
      <c r="N152" s="22">
        <f t="shared" si="6"/>
        <v>74.0</v>
      </c>
      <c r="O152" s="22">
        <f t="shared" si="7"/>
        <v>74.0</v>
      </c>
      <c r="P152" s="22">
        <f t="shared" si="9"/>
        <v>0.0</v>
      </c>
      <c r="Q152" s="57"/>
      <c r="R152" s="58"/>
    </row>
    <row r="153" spans="8:8" ht="15.0" hidden="1">
      <c r="B153" s="54">
        <v>168.0</v>
      </c>
      <c r="C153" s="8" t="s">
        <v>3913</v>
      </c>
      <c r="D153" s="8" t="s">
        <v>765</v>
      </c>
      <c r="E153" s="8" t="s">
        <v>3385</v>
      </c>
      <c r="F153" s="8" t="s">
        <v>3386</v>
      </c>
      <c r="G153" s="8"/>
      <c r="H153" s="8" t="s">
        <v>3385</v>
      </c>
      <c r="I153" s="8" t="s">
        <v>818</v>
      </c>
      <c r="J153" s="56" t="s">
        <v>7663</v>
      </c>
      <c r="K153" s="22">
        <v>5.0</v>
      </c>
      <c r="L153" s="22">
        <f>+SUMIF('حركه المخزن الرئيسي اليوميه'!$F:$F,$H$112:$H$158,'حركه المخزن الرئيسي اليوميه'!$H:$H)</f>
        <v>0.0</v>
      </c>
      <c r="M153" s="22">
        <f>+SUMIF('حركه المخزن الرئيسي اليوميه'!$F:$F,$H$112:$H$158,'حركه المخزن الرئيسي اليوميه'!$I:$I)</f>
        <v>0.0</v>
      </c>
      <c r="N153" s="22">
        <f t="shared" si="6"/>
        <v>5.0</v>
      </c>
      <c r="O153" s="22">
        <f t="shared" si="7"/>
        <v>5.0</v>
      </c>
      <c r="P153" s="22">
        <f t="shared" si="9"/>
        <v>0.0</v>
      </c>
      <c r="Q153" s="57"/>
      <c r="R153" s="58"/>
    </row>
    <row r="154" spans="8:8" ht="15.0" hidden="1">
      <c r="B154" s="54">
        <v>169.0</v>
      </c>
      <c r="C154" s="8" t="s">
        <v>3913</v>
      </c>
      <c r="D154" s="8" t="s">
        <v>828</v>
      </c>
      <c r="E154" s="8" t="s">
        <v>1058</v>
      </c>
      <c r="F154" s="8" t="s">
        <v>1059</v>
      </c>
      <c r="G154" s="8" t="s">
        <v>2426</v>
      </c>
      <c r="H154" s="8" t="s">
        <v>1058</v>
      </c>
      <c r="I154" s="8" t="s">
        <v>818</v>
      </c>
      <c r="J154" s="56" t="s">
        <v>7664</v>
      </c>
      <c r="K154" s="22">
        <v>1.0</v>
      </c>
      <c r="L154" s="22">
        <f>+SUMIF('حركه المخزن الرئيسي اليوميه'!$F:$F,$H$112:$H$158,'حركه المخزن الرئيسي اليوميه'!$H:$H)</f>
        <v>0.0</v>
      </c>
      <c r="M154" s="22">
        <f>+SUMIF('حركه المخزن الرئيسي اليوميه'!$F:$F,$H$112:$H$158,'حركه المخزن الرئيسي اليوميه'!$I:$I)</f>
        <v>0.0</v>
      </c>
      <c r="N154" s="22">
        <f t="shared" si="6"/>
        <v>1.0</v>
      </c>
      <c r="O154" s="22">
        <f t="shared" si="7"/>
        <v>1.0</v>
      </c>
      <c r="P154" s="22">
        <f t="shared" si="9"/>
        <v>0.0</v>
      </c>
      <c r="Q154" s="57"/>
      <c r="R154" s="58"/>
    </row>
    <row r="155" spans="8:8" ht="15.0" hidden="1">
      <c r="B155" s="54">
        <v>170.0</v>
      </c>
      <c r="C155" s="8" t="s">
        <v>3913</v>
      </c>
      <c r="D155" s="8" t="s">
        <v>1013</v>
      </c>
      <c r="E155" s="8" t="s">
        <v>3298</v>
      </c>
      <c r="F155" s="8" t="s">
        <v>1501</v>
      </c>
      <c r="G155" s="8"/>
      <c r="H155" s="8" t="s">
        <v>3298</v>
      </c>
      <c r="I155" s="8" t="s">
        <v>818</v>
      </c>
      <c r="J155" s="56" t="s">
        <v>7665</v>
      </c>
      <c r="K155" s="22">
        <v>14.0</v>
      </c>
      <c r="L155" s="22">
        <f>+SUMIF('حركه المخزن الرئيسي اليوميه'!$F:$F,$H$112:$H$158,'حركه المخزن الرئيسي اليوميه'!$H:$H)</f>
        <v>0.0</v>
      </c>
      <c r="M155" s="22">
        <f>+SUMIF('حركه المخزن الرئيسي اليوميه'!$F:$F,$H$112:$H$158,'حركه المخزن الرئيسي اليوميه'!$I:$I)</f>
        <v>0.0</v>
      </c>
      <c r="N155" s="22">
        <f t="shared" si="6"/>
        <v>14.0</v>
      </c>
      <c r="O155" s="22">
        <f t="shared" si="7"/>
        <v>14.0</v>
      </c>
      <c r="P155" s="22">
        <f t="shared" si="9"/>
        <v>0.0</v>
      </c>
      <c r="Q155" s="57"/>
      <c r="R155" s="58"/>
    </row>
    <row r="156" spans="8:8" ht="15.0" hidden="1">
      <c r="B156" s="54">
        <v>172.0</v>
      </c>
      <c r="C156" s="8" t="s">
        <v>3913</v>
      </c>
      <c r="D156" s="8" t="s">
        <v>1013</v>
      </c>
      <c r="E156" s="8" t="s">
        <v>390</v>
      </c>
      <c r="F156" s="8" t="s">
        <v>68</v>
      </c>
      <c r="G156" s="8" t="s">
        <v>2343</v>
      </c>
      <c r="H156" s="8" t="s">
        <v>889</v>
      </c>
      <c r="I156" s="8" t="s">
        <v>818</v>
      </c>
      <c r="J156" s="56" t="s">
        <v>7666</v>
      </c>
      <c r="K156" s="22">
        <v>94.0</v>
      </c>
      <c r="L156" s="22">
        <f>+SUMIF('حركه المخزن الرئيسي اليوميه'!$F:$F,$H$112:$H$158,'حركه المخزن الرئيسي اليوميه'!$H:$H)</f>
        <v>0.0</v>
      </c>
      <c r="M156" s="22">
        <f>+SUMIF('حركه المخزن الرئيسي اليوميه'!$F:$F,$H$112:$H$158,'حركه المخزن الرئيسي اليوميه'!$I:$I)</f>
        <v>0.0</v>
      </c>
      <c r="N156" s="22">
        <f t="shared" si="6"/>
        <v>94.0</v>
      </c>
      <c r="O156" s="22">
        <f t="shared" si="7"/>
        <v>94.0</v>
      </c>
      <c r="P156" s="22">
        <f t="shared" si="9"/>
        <v>0.0</v>
      </c>
      <c r="Q156" s="57"/>
      <c r="R156" s="58"/>
    </row>
    <row r="157" spans="8:8" ht="15.0" hidden="1">
      <c r="B157" s="54">
        <v>173.0</v>
      </c>
      <c r="C157" s="8" t="s">
        <v>3913</v>
      </c>
      <c r="D157" s="8" t="s">
        <v>765</v>
      </c>
      <c r="E157" s="8" t="s">
        <v>1334</v>
      </c>
      <c r="F157" s="8" t="s">
        <v>68</v>
      </c>
      <c r="G157" s="8"/>
      <c r="H157" s="8" t="s">
        <v>2853</v>
      </c>
      <c r="I157" s="8" t="s">
        <v>818</v>
      </c>
      <c r="J157" s="56" t="s">
        <v>7667</v>
      </c>
      <c r="K157" s="22">
        <v>2.0</v>
      </c>
      <c r="L157" s="22">
        <f>+SUMIF('حركه المخزن الرئيسي اليوميه'!$F:$F,$H$112:$H$158,'حركه المخزن الرئيسي اليوميه'!$H:$H)</f>
        <v>0.0</v>
      </c>
      <c r="M157" s="22">
        <f>+SUMIF('حركه المخزن الرئيسي اليوميه'!$F:$F,$H$112:$H$158,'حركه المخزن الرئيسي اليوميه'!$I:$I)</f>
        <v>1.0</v>
      </c>
      <c r="N157" s="22">
        <f t="shared" si="6"/>
        <v>1.0</v>
      </c>
      <c r="O157" s="22">
        <f t="shared" si="7"/>
        <v>1.0</v>
      </c>
      <c r="P157" s="22">
        <f t="shared" si="9"/>
        <v>0.0</v>
      </c>
      <c r="Q157" s="57"/>
      <c r="R157" s="58"/>
    </row>
    <row r="158" spans="8:8" ht="15.0" hidden="1">
      <c r="B158" s="54">
        <v>174.0</v>
      </c>
      <c r="C158" s="8" t="s">
        <v>3913</v>
      </c>
      <c r="D158" s="8" t="s">
        <v>1013</v>
      </c>
      <c r="E158" s="8" t="s">
        <v>1334</v>
      </c>
      <c r="F158" s="8" t="s">
        <v>68</v>
      </c>
      <c r="G158" s="8"/>
      <c r="H158" s="8" t="s">
        <v>3079</v>
      </c>
      <c r="I158" s="8" t="s">
        <v>204</v>
      </c>
      <c r="J158" s="56" t="s">
        <v>7668</v>
      </c>
      <c r="K158" s="22">
        <v>79.0</v>
      </c>
      <c r="L158" s="22">
        <f>+SUMIF('حركه المخزن الرئيسي اليوميه'!$F:$F,$H$112:$H$158,'حركه المخزن الرئيسي اليوميه'!$H:$H)</f>
        <v>0.0</v>
      </c>
      <c r="M158" s="22">
        <f>+SUMIF('حركه المخزن الرئيسي اليوميه'!$F:$F,$H$112:$H$158,'حركه المخزن الرئيسي اليوميه'!$I:$I)</f>
        <v>0.0</v>
      </c>
      <c r="N158" s="22">
        <f t="shared" si="6"/>
        <v>79.0</v>
      </c>
      <c r="O158" s="22">
        <f t="shared" si="7"/>
        <v>79.0</v>
      </c>
      <c r="P158" s="22">
        <f>+N158-O158</f>
        <v>0.0</v>
      </c>
      <c r="Q158" s="57"/>
      <c r="R158" s="58"/>
    </row>
    <row r="159" spans="8:8" ht="15.0" hidden="1">
      <c r="B159" s="54">
        <v>175.0</v>
      </c>
      <c r="C159" s="8" t="s">
        <v>3913</v>
      </c>
      <c r="D159" s="8" t="s">
        <v>1013</v>
      </c>
      <c r="E159" s="8" t="s">
        <v>98</v>
      </c>
      <c r="F159" s="8" t="s">
        <v>68</v>
      </c>
      <c r="G159" s="8" t="s">
        <v>98</v>
      </c>
      <c r="H159" s="8" t="s">
        <v>99</v>
      </c>
      <c r="I159" s="8" t="s">
        <v>228</v>
      </c>
      <c r="J159" s="56" t="s">
        <v>7669</v>
      </c>
      <c r="K159" s="22">
        <v>1.0</v>
      </c>
      <c r="L159" s="22">
        <f>+SUMIF('حركه المخزن الرئيسي اليوميه'!$F:$F,$H:$H,'حركه المخزن الرئيسي اليوميه'!$H:$H)</f>
        <v>0.0</v>
      </c>
      <c r="M159" s="22">
        <f>+SUMIF('حركه المخزن الرئيسي اليوميه'!$F:$F,$H:$H,'حركه المخزن الرئيسي اليوميه'!$I:$I)</f>
        <v>0.0</v>
      </c>
      <c r="N159" s="22">
        <f t="shared" si="6"/>
        <v>1.0</v>
      </c>
      <c r="O159" s="22">
        <f t="shared" si="10" ref="O159:O225">+N159</f>
        <v>1.0</v>
      </c>
      <c r="P159" s="22">
        <f t="shared" si="9"/>
        <v>0.0</v>
      </c>
      <c r="Q159" s="57"/>
      <c r="R159" s="58"/>
    </row>
    <row r="160" spans="8:8" ht="15.0" hidden="1">
      <c r="B160" s="54">
        <v>177.0</v>
      </c>
      <c r="C160" s="8" t="s">
        <v>3913</v>
      </c>
      <c r="D160" s="8" t="s">
        <v>1168</v>
      </c>
      <c r="E160" s="8" t="s">
        <v>1403</v>
      </c>
      <c r="F160" s="8" t="s">
        <v>68</v>
      </c>
      <c r="G160" s="8" t="s">
        <v>1749</v>
      </c>
      <c r="H160" s="8" t="s">
        <v>1403</v>
      </c>
      <c r="I160" s="8" t="s">
        <v>228</v>
      </c>
      <c r="J160" s="56" t="s">
        <v>7670</v>
      </c>
      <c r="K160" s="22">
        <v>34.0</v>
      </c>
      <c r="L160" s="22">
        <f>+SUMIF('حركه المخزن الرئيسي اليوميه'!$F:$F,$H:$H,'حركه المخزن الرئيسي اليوميه'!$H:$H)</f>
        <v>0.0</v>
      </c>
      <c r="M160" s="22">
        <f>+SUMIF('حركه المخزن الرئيسي اليوميه'!$F:$F,$H:$H,'حركه المخزن الرئيسي اليوميه'!$I:$I)</f>
        <v>0.0</v>
      </c>
      <c r="N160" s="22">
        <f t="shared" si="6"/>
        <v>34.0</v>
      </c>
      <c r="O160" s="22">
        <f t="shared" si="10"/>
        <v>34.0</v>
      </c>
      <c r="P160" s="22">
        <f t="shared" si="9"/>
        <v>0.0</v>
      </c>
      <c r="Q160" s="57"/>
      <c r="R160" s="58"/>
    </row>
    <row r="161" spans="8:8" ht="15.0" hidden="1">
      <c r="B161" s="54">
        <v>178.0</v>
      </c>
      <c r="C161" s="8" t="s">
        <v>3913</v>
      </c>
      <c r="D161" s="8" t="s">
        <v>1013</v>
      </c>
      <c r="E161" s="8" t="s">
        <v>310</v>
      </c>
      <c r="F161" s="8" t="s">
        <v>282</v>
      </c>
      <c r="G161" s="8" t="s">
        <v>2333</v>
      </c>
      <c r="H161" s="8" t="s">
        <v>310</v>
      </c>
      <c r="I161" s="8" t="s">
        <v>228</v>
      </c>
      <c r="J161" s="56" t="s">
        <v>7671</v>
      </c>
      <c r="K161" s="22">
        <v>3.0</v>
      </c>
      <c r="L161" s="22">
        <f>+SUMIF('حركه المخزن الرئيسي اليوميه'!$F:$F,$H:$H,'حركه المخزن الرئيسي اليوميه'!$H:$H)</f>
        <v>0.0</v>
      </c>
      <c r="M161" s="22">
        <f>+SUMIF('حركه المخزن الرئيسي اليوميه'!$F:$F,$H:$H,'حركه المخزن الرئيسي اليوميه'!$I:$I)</f>
        <v>0.0</v>
      </c>
      <c r="N161" s="22">
        <f t="shared" si="6"/>
        <v>3.0</v>
      </c>
      <c r="O161" s="22">
        <f t="shared" si="10"/>
        <v>3.0</v>
      </c>
      <c r="P161" s="22">
        <f t="shared" si="9"/>
        <v>0.0</v>
      </c>
      <c r="Q161" s="57"/>
      <c r="R161" s="58"/>
    </row>
    <row r="162" spans="8:8" ht="15.0" hidden="1">
      <c r="B162" s="54">
        <v>179.0</v>
      </c>
      <c r="C162" s="8" t="s">
        <v>3913</v>
      </c>
      <c r="D162" s="8" t="s">
        <v>713</v>
      </c>
      <c r="E162" s="8" t="s">
        <v>676</v>
      </c>
      <c r="F162" s="8" t="s">
        <v>68</v>
      </c>
      <c r="G162" s="8" t="s">
        <v>2162</v>
      </c>
      <c r="H162" s="8" t="s">
        <v>676</v>
      </c>
      <c r="I162" s="55" t="s">
        <v>818</v>
      </c>
      <c r="J162" s="56" t="s">
        <v>7672</v>
      </c>
      <c r="K162" s="22">
        <v>1.0</v>
      </c>
      <c r="L162" s="22">
        <f>+SUMIF('حركه المخزن الرئيسي اليوميه'!$F:$F,$H:$H,'حركه المخزن الرئيسي اليوميه'!$H:$H)</f>
        <v>0.0</v>
      </c>
      <c r="M162" s="22">
        <f>+SUMIF('حركه المخزن الرئيسي اليوميه'!$F:$F,$H:$H,'حركه المخزن الرئيسي اليوميه'!$I:$I)</f>
        <v>0.0</v>
      </c>
      <c r="N162" s="22">
        <f t="shared" si="6"/>
        <v>1.0</v>
      </c>
      <c r="O162" s="22">
        <f t="shared" si="10"/>
        <v>1.0</v>
      </c>
      <c r="P162" s="22">
        <f t="shared" si="9"/>
        <v>0.0</v>
      </c>
      <c r="Q162" s="57"/>
      <c r="R162" s="58"/>
    </row>
    <row r="163" spans="8:8" ht="18.0" hidden="1" customHeight="1">
      <c r="B163" s="54">
        <v>180.0</v>
      </c>
      <c r="C163" s="8" t="s">
        <v>3913</v>
      </c>
      <c r="D163" s="8" t="s">
        <v>1013</v>
      </c>
      <c r="E163" s="8" t="s">
        <v>1376</v>
      </c>
      <c r="F163" s="8" t="s">
        <v>68</v>
      </c>
      <c r="G163" s="8" t="s">
        <v>2191</v>
      </c>
      <c r="H163" s="8" t="s">
        <v>1376</v>
      </c>
      <c r="I163" s="8" t="s">
        <v>818</v>
      </c>
      <c r="J163" s="56" t="s">
        <v>7673</v>
      </c>
      <c r="K163" s="22">
        <v>1.0</v>
      </c>
      <c r="L163" s="22">
        <f>+SUMIF('حركه المخزن الرئيسي اليوميه'!$F:$F,$H:$H,'حركه المخزن الرئيسي اليوميه'!$H:$H)</f>
        <v>0.0</v>
      </c>
      <c r="M163" s="22">
        <f>+SUMIF('حركه المخزن الرئيسي اليوميه'!$F:$F,$H:$H,'حركه المخزن الرئيسي اليوميه'!$I:$I)</f>
        <v>0.0</v>
      </c>
      <c r="N163" s="22">
        <f t="shared" si="6"/>
        <v>1.0</v>
      </c>
      <c r="O163" s="22">
        <f t="shared" si="10"/>
        <v>1.0</v>
      </c>
      <c r="P163" s="22">
        <f t="shared" si="9"/>
        <v>0.0</v>
      </c>
      <c r="Q163" s="57"/>
      <c r="R163" s="58"/>
    </row>
    <row r="164" spans="8:8" ht="15.0" hidden="1">
      <c r="B164" s="54">
        <v>181.0</v>
      </c>
      <c r="C164" s="8" t="s">
        <v>3913</v>
      </c>
      <c r="D164" s="8" t="s">
        <v>765</v>
      </c>
      <c r="E164" s="8" t="s">
        <v>3568</v>
      </c>
      <c r="F164" s="8" t="s">
        <v>68</v>
      </c>
      <c r="G164" s="8"/>
      <c r="H164" s="8" t="s">
        <v>3568</v>
      </c>
      <c r="I164" s="55" t="s">
        <v>818</v>
      </c>
      <c r="J164" s="56" t="s">
        <v>7674</v>
      </c>
      <c r="K164" s="22">
        <v>12.0</v>
      </c>
      <c r="L164" s="22">
        <f>+SUMIF('حركه المخزن الرئيسي اليوميه'!$F:$F,$H:$H,'حركه المخزن الرئيسي اليوميه'!$H:$H)</f>
        <v>0.0</v>
      </c>
      <c r="M164" s="22">
        <f>+SUMIF('حركه المخزن الرئيسي اليوميه'!$F:$F,$H:$H,'حركه المخزن الرئيسي اليوميه'!$I:$I)</f>
        <v>0.0</v>
      </c>
      <c r="N164" s="22">
        <f t="shared" si="6"/>
        <v>12.0</v>
      </c>
      <c r="O164" s="22">
        <f t="shared" si="10"/>
        <v>12.0</v>
      </c>
      <c r="P164" s="22">
        <f t="shared" si="9"/>
        <v>0.0</v>
      </c>
      <c r="Q164" s="57"/>
      <c r="R164" s="58"/>
    </row>
    <row r="165" spans="8:8" ht="15.0" hidden="1">
      <c r="B165" s="54">
        <v>182.0</v>
      </c>
      <c r="C165" s="8" t="s">
        <v>3913</v>
      </c>
      <c r="D165" s="8" t="s">
        <v>765</v>
      </c>
      <c r="E165" s="8" t="s">
        <v>3764</v>
      </c>
      <c r="F165" s="8" t="s">
        <v>1501</v>
      </c>
      <c r="G165" s="8"/>
      <c r="H165" s="8" t="s">
        <v>3764</v>
      </c>
      <c r="I165" s="55" t="s">
        <v>818</v>
      </c>
      <c r="J165" s="56" t="s">
        <v>7675</v>
      </c>
      <c r="K165" s="22">
        <v>2.0</v>
      </c>
      <c r="L165" s="22">
        <f>+SUMIF('حركه المخزن الرئيسي اليوميه'!$F:$F,$H:$H,'حركه المخزن الرئيسي اليوميه'!$H:$H)</f>
        <v>0.0</v>
      </c>
      <c r="M165" s="22">
        <f>+SUMIF('حركه المخزن الرئيسي اليوميه'!$F:$F,$H:$H,'حركه المخزن الرئيسي اليوميه'!$I:$I)</f>
        <v>0.0</v>
      </c>
      <c r="N165" s="22">
        <f t="shared" si="6"/>
        <v>2.0</v>
      </c>
      <c r="O165" s="22">
        <f t="shared" si="10"/>
        <v>2.0</v>
      </c>
      <c r="P165" s="22">
        <f t="shared" si="9"/>
        <v>0.0</v>
      </c>
      <c r="Q165" s="57"/>
      <c r="R165" s="58"/>
    </row>
    <row r="166" spans="8:8" ht="15.0" hidden="1">
      <c r="B166" s="54">
        <v>183.0</v>
      </c>
      <c r="C166" s="8" t="s">
        <v>3913</v>
      </c>
      <c r="D166" s="8" t="s">
        <v>765</v>
      </c>
      <c r="E166" s="8" t="s">
        <v>3765</v>
      </c>
      <c r="F166" s="8" t="s">
        <v>1501</v>
      </c>
      <c r="G166" s="8"/>
      <c r="H166" s="8" t="s">
        <v>3765</v>
      </c>
      <c r="I166" s="55" t="s">
        <v>818</v>
      </c>
      <c r="J166" s="56" t="s">
        <v>7676</v>
      </c>
      <c r="K166" s="22">
        <v>2.0</v>
      </c>
      <c r="L166" s="22">
        <f>+SUMIF('حركه المخزن الرئيسي اليوميه'!$F:$F,$H:$H,'حركه المخزن الرئيسي اليوميه'!$H:$H)</f>
        <v>0.0</v>
      </c>
      <c r="M166" s="22">
        <f>+SUMIF('حركه المخزن الرئيسي اليوميه'!$F:$F,$H:$H,'حركه المخزن الرئيسي اليوميه'!$I:$I)</f>
        <v>0.0</v>
      </c>
      <c r="N166" s="22">
        <f t="shared" si="6"/>
        <v>2.0</v>
      </c>
      <c r="O166" s="22">
        <f t="shared" si="10"/>
        <v>2.0</v>
      </c>
      <c r="P166" s="22">
        <f t="shared" si="9"/>
        <v>0.0</v>
      </c>
      <c r="Q166" s="57"/>
      <c r="R166" s="58"/>
    </row>
    <row r="167" spans="8:8" ht="15.0" hidden="1">
      <c r="B167" s="54">
        <v>184.0</v>
      </c>
      <c r="C167" s="8" t="s">
        <v>3913</v>
      </c>
      <c r="D167" s="8" t="s">
        <v>765</v>
      </c>
      <c r="E167" s="8" t="s">
        <v>3766</v>
      </c>
      <c r="F167" s="8" t="s">
        <v>1501</v>
      </c>
      <c r="G167" s="8"/>
      <c r="H167" s="8" t="s">
        <v>3766</v>
      </c>
      <c r="I167" s="55" t="s">
        <v>818</v>
      </c>
      <c r="J167" s="56" t="s">
        <v>7677</v>
      </c>
      <c r="K167" s="22">
        <v>2.0</v>
      </c>
      <c r="L167" s="22">
        <f>+SUMIF('حركه المخزن الرئيسي اليوميه'!$F:$F,$H:$H,'حركه المخزن الرئيسي اليوميه'!$H:$H)</f>
        <v>0.0</v>
      </c>
      <c r="M167" s="22">
        <f>+SUMIF('حركه المخزن الرئيسي اليوميه'!$F:$F,$H:$H,'حركه المخزن الرئيسي اليوميه'!$I:$I)</f>
        <v>0.0</v>
      </c>
      <c r="N167" s="22">
        <f t="shared" si="6"/>
        <v>2.0</v>
      </c>
      <c r="O167" s="22">
        <f t="shared" si="10"/>
        <v>2.0</v>
      </c>
      <c r="P167" s="22">
        <f t="shared" si="9"/>
        <v>0.0</v>
      </c>
      <c r="Q167" s="57"/>
      <c r="R167" s="58"/>
    </row>
    <row r="168" spans="8:8" ht="15.0" hidden="1">
      <c r="B168" s="54">
        <v>185.0</v>
      </c>
      <c r="C168" s="8" t="s">
        <v>3913</v>
      </c>
      <c r="D168" s="8" t="s">
        <v>765</v>
      </c>
      <c r="E168" s="8" t="s">
        <v>3767</v>
      </c>
      <c r="F168" s="8" t="s">
        <v>1501</v>
      </c>
      <c r="G168" s="8"/>
      <c r="H168" s="8" t="s">
        <v>3767</v>
      </c>
      <c r="I168" s="55" t="s">
        <v>818</v>
      </c>
      <c r="J168" s="56" t="s">
        <v>7678</v>
      </c>
      <c r="K168" s="22">
        <v>2.0</v>
      </c>
      <c r="L168" s="22">
        <f>+SUMIF('حركه المخزن الرئيسي اليوميه'!$F:$F,$H:$H,'حركه المخزن الرئيسي اليوميه'!$H:$H)</f>
        <v>0.0</v>
      </c>
      <c r="M168" s="22">
        <f>+SUMIF('حركه المخزن الرئيسي اليوميه'!$F:$F,$H:$H,'حركه المخزن الرئيسي اليوميه'!$I:$I)</f>
        <v>0.0</v>
      </c>
      <c r="N168" s="22">
        <f t="shared" si="6"/>
        <v>2.0</v>
      </c>
      <c r="O168" s="22">
        <f t="shared" si="10"/>
        <v>2.0</v>
      </c>
      <c r="P168" s="22">
        <f t="shared" si="9"/>
        <v>0.0</v>
      </c>
      <c r="Q168" s="57"/>
      <c r="R168" s="58"/>
    </row>
    <row r="169" spans="8:8">
      <c r="B169" s="54">
        <v>186.0</v>
      </c>
      <c r="C169" s="8" t="s">
        <v>3913</v>
      </c>
      <c r="D169" s="8" t="s">
        <v>1013</v>
      </c>
      <c r="E169" s="8" t="s">
        <v>1512</v>
      </c>
      <c r="F169" s="8" t="s">
        <v>1501</v>
      </c>
      <c r="G169" s="8"/>
      <c r="H169" s="8" t="s">
        <v>1512</v>
      </c>
      <c r="I169" s="55" t="s">
        <v>818</v>
      </c>
      <c r="J169" s="56" t="s">
        <v>7679</v>
      </c>
      <c r="K169" s="22">
        <v>1.0</v>
      </c>
      <c r="L169" s="22">
        <f>+SUMIF('حركه المخزن الرئيسي اليوميه'!$F:$F,$H:$H,'حركه المخزن الرئيسي اليوميه'!$H:$H)</f>
        <v>0.0</v>
      </c>
      <c r="M169" s="22">
        <f>+SUMIF('حركه المخزن الرئيسي اليوميه'!$F:$F,$H:$H,'حركه المخزن الرئيسي اليوميه'!$I:$I)</f>
        <v>0.0</v>
      </c>
      <c r="N169" s="22">
        <f t="shared" si="6"/>
        <v>1.0</v>
      </c>
      <c r="O169" s="22">
        <f t="shared" si="10"/>
        <v>1.0</v>
      </c>
      <c r="P169" s="22">
        <f t="shared" si="9"/>
        <v>0.0</v>
      </c>
      <c r="Q169" s="57"/>
      <c r="R169" s="58"/>
    </row>
    <row r="170" spans="8:8" ht="15.0" hidden="1">
      <c r="B170" s="54">
        <v>187.0</v>
      </c>
      <c r="C170" s="8" t="s">
        <v>3913</v>
      </c>
      <c r="D170" s="8" t="s">
        <v>1013</v>
      </c>
      <c r="E170" s="8" t="s">
        <v>1495</v>
      </c>
      <c r="F170" s="8" t="s">
        <v>68</v>
      </c>
      <c r="G170" s="8"/>
      <c r="H170" s="8" t="s">
        <v>1495</v>
      </c>
      <c r="I170" s="8" t="s">
        <v>818</v>
      </c>
      <c r="J170" s="56" t="s">
        <v>7680</v>
      </c>
      <c r="K170" s="22">
        <v>7.0</v>
      </c>
      <c r="L170" s="22">
        <f>+SUMIF('حركه المخزن الرئيسي اليوميه'!$F:$F,$H:$H,'حركه المخزن الرئيسي اليوميه'!$H:$H)</f>
        <v>0.0</v>
      </c>
      <c r="M170" s="22">
        <f>+SUMIF('حركه المخزن الرئيسي اليوميه'!$F:$F,$H:$H,'حركه المخزن الرئيسي اليوميه'!$I:$I)</f>
        <v>2.0</v>
      </c>
      <c r="N170" s="22">
        <f t="shared" si="6"/>
        <v>5.0</v>
      </c>
      <c r="O170" s="22">
        <f t="shared" si="10"/>
        <v>5.0</v>
      </c>
      <c r="P170" s="22">
        <f t="shared" si="9"/>
        <v>0.0</v>
      </c>
      <c r="Q170" s="57"/>
      <c r="R170" s="58"/>
    </row>
    <row r="171" spans="8:8" ht="15.0" hidden="1">
      <c r="B171" s="54">
        <v>188.0</v>
      </c>
      <c r="C171" s="8" t="s">
        <v>3913</v>
      </c>
      <c r="D171" s="8" t="s">
        <v>868</v>
      </c>
      <c r="E171" s="8" t="s">
        <v>2741</v>
      </c>
      <c r="F171" s="8" t="s">
        <v>68</v>
      </c>
      <c r="G171" s="8"/>
      <c r="H171" s="8" t="s">
        <v>2741</v>
      </c>
      <c r="I171" s="8" t="s">
        <v>818</v>
      </c>
      <c r="J171" s="56" t="s">
        <v>7681</v>
      </c>
      <c r="K171" s="22">
        <v>1.0</v>
      </c>
      <c r="L171" s="22">
        <f>+SUMIF('حركه المخزن الرئيسي اليوميه'!$F:$F,$H:$H,'حركه المخزن الرئيسي اليوميه'!$H:$H)</f>
        <v>0.0</v>
      </c>
      <c r="M171" s="22">
        <f>+SUMIF('حركه المخزن الرئيسي اليوميه'!$F:$F,$H:$H,'حركه المخزن الرئيسي اليوميه'!$I:$I)</f>
        <v>0.0</v>
      </c>
      <c r="N171" s="22">
        <f t="shared" si="6"/>
        <v>1.0</v>
      </c>
      <c r="O171" s="22">
        <f t="shared" si="10"/>
        <v>1.0</v>
      </c>
      <c r="P171" s="22">
        <f t="shared" si="9"/>
        <v>0.0</v>
      </c>
      <c r="Q171" s="57"/>
      <c r="R171" s="58"/>
    </row>
    <row r="172" spans="8:8" ht="15.0" hidden="1">
      <c r="B172" s="54">
        <v>189.0</v>
      </c>
      <c r="C172" s="8" t="s">
        <v>3913</v>
      </c>
      <c r="D172" s="8" t="s">
        <v>765</v>
      </c>
      <c r="E172" s="8" t="s">
        <v>8121</v>
      </c>
      <c r="F172" s="8" t="s">
        <v>68</v>
      </c>
      <c r="G172" s="8"/>
      <c r="H172" s="8" t="s">
        <v>8121</v>
      </c>
      <c r="I172" s="8" t="s">
        <v>818</v>
      </c>
      <c r="J172" s="56" t="s">
        <v>7682</v>
      </c>
      <c r="K172" s="22">
        <v>13.0</v>
      </c>
      <c r="L172" s="22">
        <f>+SUMIF('حركه المخزن الرئيسي اليوميه'!$F:$F,$H:$H,'حركه المخزن الرئيسي اليوميه'!$H:$H)</f>
        <v>0.0</v>
      </c>
      <c r="M172" s="22">
        <f>+SUMIF('حركه المخزن الرئيسي اليوميه'!$F:$F,$H:$H,'حركه المخزن الرئيسي اليوميه'!$I:$I)</f>
        <v>0.0</v>
      </c>
      <c r="N172" s="22">
        <f t="shared" si="6"/>
        <v>13.0</v>
      </c>
      <c r="O172" s="22">
        <f t="shared" si="10"/>
        <v>13.0</v>
      </c>
      <c r="P172" s="22">
        <f t="shared" si="9"/>
        <v>0.0</v>
      </c>
      <c r="Q172" s="57"/>
      <c r="R172" s="58"/>
    </row>
    <row r="173" spans="8:8" ht="15.0" hidden="1">
      <c r="B173" s="54">
        <v>190.0</v>
      </c>
      <c r="C173" s="8" t="s">
        <v>3913</v>
      </c>
      <c r="D173" s="8" t="s">
        <v>820</v>
      </c>
      <c r="E173" s="8" t="s">
        <v>3903</v>
      </c>
      <c r="F173" s="8" t="s">
        <v>68</v>
      </c>
      <c r="G173" s="8"/>
      <c r="H173" s="8" t="s">
        <v>3903</v>
      </c>
      <c r="I173" s="8" t="s">
        <v>818</v>
      </c>
      <c r="J173" s="56" t="s">
        <v>7683</v>
      </c>
      <c r="K173" s="22">
        <v>4.0</v>
      </c>
      <c r="L173" s="22">
        <f>+SUMIF('حركه المخزن الرئيسي اليوميه'!$F:$F,$H:$H,'حركه المخزن الرئيسي اليوميه'!$H:$H)</f>
        <v>0.0</v>
      </c>
      <c r="M173" s="22">
        <f>+SUMIF('حركه المخزن الرئيسي اليوميه'!$F:$F,$H:$H,'حركه المخزن الرئيسي اليوميه'!$I:$I)</f>
        <v>2.0</v>
      </c>
      <c r="N173" s="22">
        <f t="shared" si="6"/>
        <v>2.0</v>
      </c>
      <c r="O173" s="22">
        <f t="shared" si="10"/>
        <v>2.0</v>
      </c>
      <c r="P173" s="22">
        <f t="shared" si="9"/>
        <v>0.0</v>
      </c>
      <c r="Q173" s="57"/>
      <c r="R173" s="58"/>
    </row>
    <row r="174" spans="8:8" ht="15.0" hidden="1">
      <c r="B174" s="54">
        <v>191.0</v>
      </c>
      <c r="C174" s="8" t="s">
        <v>3913</v>
      </c>
      <c r="D174" s="8" t="s">
        <v>1013</v>
      </c>
      <c r="E174" s="8" t="s">
        <v>225</v>
      </c>
      <c r="F174" s="8" t="s">
        <v>68</v>
      </c>
      <c r="G174" s="8" t="s">
        <v>1810</v>
      </c>
      <c r="H174" s="8" t="s">
        <v>225</v>
      </c>
      <c r="I174" s="8" t="s">
        <v>818</v>
      </c>
      <c r="J174" s="56" t="s">
        <v>7684</v>
      </c>
      <c r="K174" s="22">
        <v>2.0</v>
      </c>
      <c r="L174" s="22">
        <f>+SUMIF('حركه المخزن الرئيسي اليوميه'!$F:$F,$H:$H,'حركه المخزن الرئيسي اليوميه'!$H:$H)</f>
        <v>0.0</v>
      </c>
      <c r="M174" s="22">
        <f>+SUMIF('حركه المخزن الرئيسي اليوميه'!$F:$F,$H:$H,'حركه المخزن الرئيسي اليوميه'!$I:$I)</f>
        <v>0.0</v>
      </c>
      <c r="N174" s="22">
        <f t="shared" si="6"/>
        <v>2.0</v>
      </c>
      <c r="O174" s="22">
        <f t="shared" si="10"/>
        <v>2.0</v>
      </c>
      <c r="P174" s="22">
        <f t="shared" si="9"/>
        <v>0.0</v>
      </c>
      <c r="Q174" s="57"/>
      <c r="R174" s="58"/>
    </row>
    <row r="175" spans="8:8" ht="15.0" hidden="1">
      <c r="B175" s="54">
        <v>192.0</v>
      </c>
      <c r="C175" s="8" t="s">
        <v>3913</v>
      </c>
      <c r="D175" s="8" t="s">
        <v>1013</v>
      </c>
      <c r="E175" s="8" t="s">
        <v>329</v>
      </c>
      <c r="F175" s="8" t="s">
        <v>68</v>
      </c>
      <c r="G175" s="8" t="s">
        <v>2055</v>
      </c>
      <c r="H175" s="8" t="s">
        <v>330</v>
      </c>
      <c r="I175" s="8" t="s">
        <v>28</v>
      </c>
      <c r="J175" s="56" t="s">
        <v>7685</v>
      </c>
      <c r="K175" s="22">
        <v>8.0</v>
      </c>
      <c r="L175" s="22">
        <f>+SUMIF('حركه المخزن الرئيسي اليوميه'!$F:$F,$H:$H,'حركه المخزن الرئيسي اليوميه'!$H:$H)</f>
        <v>0.0</v>
      </c>
      <c r="M175" s="22">
        <f>+SUMIF('حركه المخزن الرئيسي اليوميه'!$F:$F,$H:$H,'حركه المخزن الرئيسي اليوميه'!$I:$I)</f>
        <v>0.0</v>
      </c>
      <c r="N175" s="22">
        <f t="shared" si="6"/>
        <v>8.0</v>
      </c>
      <c r="O175" s="22">
        <f t="shared" si="10"/>
        <v>8.0</v>
      </c>
      <c r="P175" s="22">
        <f t="shared" si="9"/>
        <v>0.0</v>
      </c>
      <c r="Q175" s="57"/>
      <c r="R175" s="58"/>
    </row>
    <row r="176" spans="8:8" ht="15.0" hidden="1">
      <c r="B176" s="54">
        <v>193.0</v>
      </c>
      <c r="C176" s="8" t="s">
        <v>3912</v>
      </c>
      <c r="D176" s="8" t="s">
        <v>1013</v>
      </c>
      <c r="E176" s="8" t="s">
        <v>404</v>
      </c>
      <c r="F176" s="8" t="s">
        <v>282</v>
      </c>
      <c r="G176" s="8" t="s">
        <v>2135</v>
      </c>
      <c r="H176" s="8" t="s">
        <v>404</v>
      </c>
      <c r="I176" s="55" t="s">
        <v>8163</v>
      </c>
      <c r="J176" s="56" t="s">
        <v>7686</v>
      </c>
      <c r="K176" s="22">
        <v>1.0</v>
      </c>
      <c r="L176" s="22">
        <f>+SUMIF('حركه المخزن الرئيسي اليوميه'!$F:$F,$H:$H,'حركه المخزن الرئيسي اليوميه'!$H:$H)</f>
        <v>0.0</v>
      </c>
      <c r="M176" s="22">
        <f>+SUMIF('حركه المخزن الرئيسي اليوميه'!$F:$F,$H:$H,'حركه المخزن الرئيسي اليوميه'!$I:$I)</f>
        <v>0.0</v>
      </c>
      <c r="N176" s="22">
        <f t="shared" si="6"/>
        <v>1.0</v>
      </c>
      <c r="O176" s="22">
        <f t="shared" si="10"/>
        <v>1.0</v>
      </c>
      <c r="P176" s="22">
        <f t="shared" si="9"/>
        <v>0.0</v>
      </c>
      <c r="Q176" s="57"/>
      <c r="R176" s="58"/>
    </row>
    <row r="177" spans="8:8" ht="15.0" hidden="1">
      <c r="B177" s="54">
        <v>194.0</v>
      </c>
      <c r="C177" s="8" t="s">
        <v>3913</v>
      </c>
      <c r="D177" s="8" t="s">
        <v>816</v>
      </c>
      <c r="E177" s="8" t="s">
        <v>121</v>
      </c>
      <c r="F177" s="8" t="s">
        <v>122</v>
      </c>
      <c r="G177" s="8" t="s">
        <v>2318</v>
      </c>
      <c r="H177" s="8" t="s">
        <v>2865</v>
      </c>
      <c r="I177" s="8" t="s">
        <v>2947</v>
      </c>
      <c r="J177" s="56" t="s">
        <v>7687</v>
      </c>
      <c r="K177" s="22">
        <v>354.0</v>
      </c>
      <c r="L177" s="22">
        <f>+SUMIF('حركه المخزن الرئيسي اليوميه'!$F:$F,$H:$H,'حركه المخزن الرئيسي اليوميه'!$H:$H)</f>
        <v>0.0</v>
      </c>
      <c r="M177" s="22">
        <f>+SUMIF('حركه المخزن الرئيسي اليوميه'!$F:$F,$H:$H,'حركه المخزن الرئيسي اليوميه'!$I:$I)</f>
        <v>0.0</v>
      </c>
      <c r="N177" s="22">
        <f t="shared" si="6"/>
        <v>354.0</v>
      </c>
      <c r="O177" s="22">
        <f t="shared" si="10"/>
        <v>354.0</v>
      </c>
      <c r="P177" s="22">
        <f t="shared" si="9"/>
        <v>0.0</v>
      </c>
      <c r="Q177" s="57"/>
      <c r="R177" s="58"/>
    </row>
    <row r="178" spans="8:8" ht="15.0" hidden="1">
      <c r="B178" s="54">
        <v>195.0</v>
      </c>
      <c r="C178" s="8" t="s">
        <v>3913</v>
      </c>
      <c r="D178" s="8" t="s">
        <v>1013</v>
      </c>
      <c r="E178" s="8" t="s">
        <v>1363</v>
      </c>
      <c r="F178" s="8" t="s">
        <v>68</v>
      </c>
      <c r="G178" s="8" t="s">
        <v>2115</v>
      </c>
      <c r="H178" s="8" t="s">
        <v>624</v>
      </c>
      <c r="I178" s="8" t="s">
        <v>818</v>
      </c>
      <c r="J178" s="56" t="s">
        <v>7688</v>
      </c>
      <c r="K178" s="22">
        <v>0.0</v>
      </c>
      <c r="L178" s="22">
        <f>+SUMIF('حركه المخزن الرئيسي اليوميه'!$F:$F,$H:$H,'حركه المخزن الرئيسي اليوميه'!$H:$H)</f>
        <v>0.0</v>
      </c>
      <c r="M178" s="22">
        <f>+SUMIF('حركه المخزن الرئيسي اليوميه'!$F:$F,$H:$H,'حركه المخزن الرئيسي اليوميه'!$I:$I)</f>
        <v>0.0</v>
      </c>
      <c r="N178" s="22">
        <f t="shared" si="6"/>
        <v>0.0</v>
      </c>
      <c r="O178" s="22">
        <f t="shared" si="10"/>
        <v>0.0</v>
      </c>
      <c r="P178" s="22">
        <f t="shared" si="9"/>
        <v>0.0</v>
      </c>
      <c r="Q178" s="57"/>
      <c r="R178" s="58"/>
    </row>
    <row r="179" spans="8:8" ht="15.0" hidden="1">
      <c r="B179" s="54">
        <v>196.0</v>
      </c>
      <c r="C179" s="8" t="s">
        <v>3913</v>
      </c>
      <c r="D179" s="8" t="s">
        <v>1013</v>
      </c>
      <c r="E179" s="8" t="s">
        <v>8159</v>
      </c>
      <c r="F179" s="8" t="s">
        <v>68</v>
      </c>
      <c r="G179" s="8" t="s">
        <v>2055</v>
      </c>
      <c r="H179" s="8" t="s">
        <v>8158</v>
      </c>
      <c r="I179" s="8" t="s">
        <v>2947</v>
      </c>
      <c r="J179" s="56" t="s">
        <v>7689</v>
      </c>
      <c r="K179" s="22">
        <v>1.0</v>
      </c>
      <c r="L179" s="22">
        <f>+SUMIF('حركه المخزن الرئيسي اليوميه'!$F:$F,$H:$H,'حركه المخزن الرئيسي اليوميه'!$H:$H)</f>
        <v>0.0</v>
      </c>
      <c r="M179" s="22">
        <f>+SUMIF('حركه المخزن الرئيسي اليوميه'!$F:$F,$H:$H,'حركه المخزن الرئيسي اليوميه'!$I:$I)</f>
        <v>0.0</v>
      </c>
      <c r="N179" s="22">
        <f t="shared" si="6"/>
        <v>1.0</v>
      </c>
      <c r="O179" s="22">
        <f t="shared" si="10"/>
        <v>1.0</v>
      </c>
      <c r="P179" s="22">
        <f t="shared" si="9"/>
        <v>0.0</v>
      </c>
      <c r="Q179" s="57"/>
      <c r="R179" s="58"/>
    </row>
    <row r="180" spans="8:8" ht="15.0" hidden="1">
      <c r="B180" s="54">
        <v>197.0</v>
      </c>
      <c r="C180" s="8" t="s">
        <v>3913</v>
      </c>
      <c r="D180" s="8" t="s">
        <v>1013</v>
      </c>
      <c r="E180" s="8" t="s">
        <v>2566</v>
      </c>
      <c r="F180" s="8" t="s">
        <v>92</v>
      </c>
      <c r="G180" s="8"/>
      <c r="H180" s="8" t="s">
        <v>2566</v>
      </c>
      <c r="I180" s="55" t="s">
        <v>818</v>
      </c>
      <c r="J180" s="56" t="s">
        <v>7690</v>
      </c>
      <c r="K180" s="22">
        <v>0.0</v>
      </c>
      <c r="L180" s="22">
        <f>+SUMIF('حركه المخزن الرئيسي اليوميه'!$F:$F,$H:$H,'حركه المخزن الرئيسي اليوميه'!$H:$H)</f>
        <v>0.0</v>
      </c>
      <c r="M180" s="22">
        <f>+SUMIF('حركه المخزن الرئيسي اليوميه'!$F:$F,$H:$H,'حركه المخزن الرئيسي اليوميه'!$I:$I)</f>
        <v>0.0</v>
      </c>
      <c r="N180" s="22">
        <f t="shared" si="6"/>
        <v>0.0</v>
      </c>
      <c r="O180" s="22">
        <f t="shared" si="10"/>
        <v>0.0</v>
      </c>
      <c r="P180" s="22">
        <f t="shared" si="9"/>
        <v>0.0</v>
      </c>
      <c r="Q180" s="57"/>
      <c r="R180" s="58"/>
    </row>
    <row r="181" spans="8:8" ht="15.0" hidden="1">
      <c r="B181" s="54">
        <v>198.0</v>
      </c>
      <c r="C181" s="8" t="s">
        <v>3913</v>
      </c>
      <c r="D181" s="8" t="s">
        <v>1013</v>
      </c>
      <c r="E181" s="8" t="s">
        <v>409</v>
      </c>
      <c r="F181" s="8" t="s">
        <v>68</v>
      </c>
      <c r="G181" s="8" t="s">
        <v>2136</v>
      </c>
      <c r="H181" s="8" t="s">
        <v>410</v>
      </c>
      <c r="I181" s="8" t="s">
        <v>818</v>
      </c>
      <c r="J181" s="56" t="s">
        <v>7691</v>
      </c>
      <c r="K181" s="22">
        <v>1.0</v>
      </c>
      <c r="L181" s="22">
        <f>+SUMIF('حركه المخزن الرئيسي اليوميه'!$F:$F,$H:$H,'حركه المخزن الرئيسي اليوميه'!$H:$H)</f>
        <v>0.0</v>
      </c>
      <c r="M181" s="22">
        <f>+SUMIF('حركه المخزن الرئيسي اليوميه'!$F:$F,$H:$H,'حركه المخزن الرئيسي اليوميه'!$I:$I)</f>
        <v>0.0</v>
      </c>
      <c r="N181" s="22">
        <f t="shared" si="6"/>
        <v>1.0</v>
      </c>
      <c r="O181" s="22">
        <f t="shared" si="10"/>
        <v>1.0</v>
      </c>
      <c r="P181" s="22">
        <f t="shared" si="9"/>
        <v>0.0</v>
      </c>
      <c r="Q181" s="57"/>
      <c r="R181" s="58"/>
    </row>
    <row r="182" spans="8:8" ht="15.0" hidden="1">
      <c r="B182" s="54">
        <v>199.0</v>
      </c>
      <c r="C182" s="8" t="s">
        <v>3913</v>
      </c>
      <c r="D182" s="8" t="s">
        <v>1013</v>
      </c>
      <c r="E182" s="8" t="s">
        <v>2014</v>
      </c>
      <c r="F182" s="8" t="s">
        <v>68</v>
      </c>
      <c r="G182" s="8"/>
      <c r="H182" s="8" t="s">
        <v>2014</v>
      </c>
      <c r="I182" s="8" t="s">
        <v>818</v>
      </c>
      <c r="J182" s="56" t="s">
        <v>7692</v>
      </c>
      <c r="K182" s="22">
        <v>0.0</v>
      </c>
      <c r="L182" s="22">
        <f>+SUMIF('حركه المخزن الرئيسي اليوميه'!$F:$F,$H:$H,'حركه المخزن الرئيسي اليوميه'!$H:$H)</f>
        <v>0.0</v>
      </c>
      <c r="M182" s="22">
        <f>+SUMIF('حركه المخزن الرئيسي اليوميه'!$F:$F,$H:$H,'حركه المخزن الرئيسي اليوميه'!$I:$I)</f>
        <v>0.0</v>
      </c>
      <c r="N182" s="22">
        <f t="shared" si="6"/>
        <v>0.0</v>
      </c>
      <c r="O182" s="22">
        <f t="shared" si="10"/>
        <v>0.0</v>
      </c>
      <c r="P182" s="22">
        <f t="shared" si="9"/>
        <v>0.0</v>
      </c>
      <c r="Q182" s="57"/>
      <c r="R182" s="58"/>
    </row>
    <row r="183" spans="8:8" ht="15.0" hidden="1">
      <c r="B183" s="54">
        <v>200.0</v>
      </c>
      <c r="C183" s="8" t="s">
        <v>3913</v>
      </c>
      <c r="D183" s="8" t="s">
        <v>1013</v>
      </c>
      <c r="E183" s="8" t="s">
        <v>145</v>
      </c>
      <c r="F183" s="8" t="s">
        <v>68</v>
      </c>
      <c r="G183" s="8" t="s">
        <v>1805</v>
      </c>
      <c r="H183" s="8" t="s">
        <v>146</v>
      </c>
      <c r="I183" s="8" t="s">
        <v>31</v>
      </c>
      <c r="J183" s="56" t="s">
        <v>7693</v>
      </c>
      <c r="K183" s="22">
        <v>16.0</v>
      </c>
      <c r="L183" s="22">
        <f>+SUMIF('حركه المخزن الرئيسي اليوميه'!$F:$F,$H:$H,'حركه المخزن الرئيسي اليوميه'!$H:$H)</f>
        <v>0.0</v>
      </c>
      <c r="M183" s="22">
        <f>+SUMIF('حركه المخزن الرئيسي اليوميه'!$F:$F,$H:$H,'حركه المخزن الرئيسي اليوميه'!$I:$I)</f>
        <v>0.0</v>
      </c>
      <c r="N183" s="22">
        <f t="shared" si="6"/>
        <v>16.0</v>
      </c>
      <c r="O183" s="22">
        <f t="shared" si="10"/>
        <v>16.0</v>
      </c>
      <c r="P183" s="22">
        <f t="shared" si="9"/>
        <v>0.0</v>
      </c>
      <c r="Q183" s="57"/>
      <c r="R183" s="58"/>
    </row>
    <row r="184" spans="8:8" ht="15.0" hidden="1">
      <c r="B184" s="54">
        <v>201.0</v>
      </c>
      <c r="C184" s="8" t="s">
        <v>3913</v>
      </c>
      <c r="D184" s="8" t="s">
        <v>820</v>
      </c>
      <c r="E184" s="8" t="s">
        <v>1341</v>
      </c>
      <c r="F184" s="8" t="s">
        <v>68</v>
      </c>
      <c r="G184" s="8" t="s">
        <v>2260</v>
      </c>
      <c r="H184" s="8" t="s">
        <v>1341</v>
      </c>
      <c r="I184" s="8" t="s">
        <v>28</v>
      </c>
      <c r="J184" s="56" t="s">
        <v>7694</v>
      </c>
      <c r="K184" s="22">
        <v>10.0</v>
      </c>
      <c r="L184" s="22">
        <f>+SUMIF('حركه المخزن الرئيسي اليوميه'!$F:$F,$H:$H,'حركه المخزن الرئيسي اليوميه'!$H:$H)</f>
        <v>0.0</v>
      </c>
      <c r="M184" s="22">
        <f>+SUMIF('حركه المخزن الرئيسي اليوميه'!$F:$F,$H:$H,'حركه المخزن الرئيسي اليوميه'!$I:$I)</f>
        <v>0.0</v>
      </c>
      <c r="N184" s="22">
        <f t="shared" si="6"/>
        <v>10.0</v>
      </c>
      <c r="O184" s="22">
        <f t="shared" si="10"/>
        <v>10.0</v>
      </c>
      <c r="P184" s="22">
        <f t="shared" si="9"/>
        <v>0.0</v>
      </c>
      <c r="Q184" s="57"/>
      <c r="R184" s="58"/>
    </row>
    <row r="185" spans="8:8" ht="15.0" hidden="1">
      <c r="B185" s="54">
        <v>202.0</v>
      </c>
      <c r="C185" s="8" t="s">
        <v>3912</v>
      </c>
      <c r="D185" s="8" t="s">
        <v>1013</v>
      </c>
      <c r="E185" s="8" t="s">
        <v>2511</v>
      </c>
      <c r="F185" s="8" t="s">
        <v>282</v>
      </c>
      <c r="G185" s="8" t="s">
        <v>2341</v>
      </c>
      <c r="H185" s="8" t="s">
        <v>651</v>
      </c>
      <c r="I185" s="55" t="s">
        <v>8163</v>
      </c>
      <c r="J185" s="56" t="s">
        <v>7695</v>
      </c>
      <c r="K185" s="22">
        <v>2.0</v>
      </c>
      <c r="L185" s="22">
        <f>+SUMIF('حركه المخزن الرئيسي اليوميه'!$F:$F,$H:$H,'حركه المخزن الرئيسي اليوميه'!$H:$H)</f>
        <v>0.0</v>
      </c>
      <c r="M185" s="22">
        <f>+SUMIF('حركه المخزن الرئيسي اليوميه'!$F:$F,$H:$H,'حركه المخزن الرئيسي اليوميه'!$I:$I)</f>
        <v>0.0</v>
      </c>
      <c r="N185" s="22">
        <f t="shared" si="6"/>
        <v>2.0</v>
      </c>
      <c r="O185" s="22">
        <f t="shared" si="10"/>
        <v>2.0</v>
      </c>
      <c r="P185" s="22">
        <f t="shared" si="9"/>
        <v>0.0</v>
      </c>
      <c r="Q185" s="57"/>
      <c r="R185" s="58"/>
    </row>
    <row r="186" spans="8:8">
      <c r="B186" s="54">
        <v>203.0</v>
      </c>
      <c r="C186" s="8" t="s">
        <v>3912</v>
      </c>
      <c r="D186" s="8" t="s">
        <v>820</v>
      </c>
      <c r="E186" s="8" t="s">
        <v>1317</v>
      </c>
      <c r="F186" s="8" t="s">
        <v>1573</v>
      </c>
      <c r="G186" s="8" t="s">
        <v>2256</v>
      </c>
      <c r="H186" s="8" t="s">
        <v>1317</v>
      </c>
      <c r="I186" s="55" t="s">
        <v>818</v>
      </c>
      <c r="J186" s="56" t="s">
        <v>7696</v>
      </c>
      <c r="K186" s="22">
        <v>0.0</v>
      </c>
      <c r="L186" s="22">
        <f>+SUMIF('حركه المخزن الرئيسي اليوميه'!$F:$F,$H:$H,'حركه المخزن الرئيسي اليوميه'!$H:$H)</f>
        <v>0.0</v>
      </c>
      <c r="M186" s="22">
        <f>+SUMIF('حركه المخزن الرئيسي اليوميه'!$F:$F,$H:$H,'حركه المخزن الرئيسي اليوميه'!$I:$I)</f>
        <v>0.0</v>
      </c>
      <c r="N186" s="22">
        <f t="shared" si="6"/>
        <v>0.0</v>
      </c>
      <c r="O186" s="22">
        <f t="shared" si="10"/>
        <v>0.0</v>
      </c>
      <c r="P186" s="22">
        <f t="shared" si="9"/>
        <v>0.0</v>
      </c>
      <c r="Q186" s="57"/>
      <c r="R186" s="58"/>
    </row>
    <row r="187" spans="8:8" ht="15.0" hidden="1">
      <c r="B187" s="54">
        <v>204.0</v>
      </c>
      <c r="C187" s="8" t="s">
        <v>3912</v>
      </c>
      <c r="D187" s="8" t="s">
        <v>1013</v>
      </c>
      <c r="E187" s="8" t="s">
        <v>3647</v>
      </c>
      <c r="F187" s="8" t="s">
        <v>1573</v>
      </c>
      <c r="G187" s="8"/>
      <c r="H187" s="8" t="s">
        <v>3647</v>
      </c>
      <c r="I187" s="55" t="s">
        <v>8163</v>
      </c>
      <c r="J187" s="56" t="s">
        <v>7697</v>
      </c>
      <c r="K187" s="22">
        <v>5.0</v>
      </c>
      <c r="L187" s="22">
        <f>+SUMIF('حركه المخزن الرئيسي اليوميه'!$F:$F,$H:$H,'حركه المخزن الرئيسي اليوميه'!$H:$H)</f>
        <v>0.0</v>
      </c>
      <c r="M187" s="22">
        <f>+SUMIF('حركه المخزن الرئيسي اليوميه'!$F:$F,$H:$H,'حركه المخزن الرئيسي اليوميه'!$I:$I)</f>
        <v>0.0</v>
      </c>
      <c r="N187" s="22">
        <f t="shared" si="6"/>
        <v>5.0</v>
      </c>
      <c r="O187" s="22">
        <f t="shared" si="10"/>
        <v>5.0</v>
      </c>
      <c r="P187" s="22">
        <f t="shared" si="9"/>
        <v>0.0</v>
      </c>
      <c r="Q187" s="57"/>
      <c r="R187" s="58"/>
    </row>
    <row r="188" spans="8:8" ht="15.0" hidden="1">
      <c r="B188" s="54">
        <v>205.0</v>
      </c>
      <c r="C188" s="8" t="s">
        <v>3912</v>
      </c>
      <c r="D188" s="8" t="s">
        <v>1013</v>
      </c>
      <c r="E188" s="8" t="s">
        <v>1131</v>
      </c>
      <c r="F188" s="8" t="s">
        <v>873</v>
      </c>
      <c r="G188" s="8" t="s">
        <v>1912</v>
      </c>
      <c r="H188" s="8" t="s">
        <v>1131</v>
      </c>
      <c r="I188" s="55" t="s">
        <v>8163</v>
      </c>
      <c r="J188" s="56" t="s">
        <v>7698</v>
      </c>
      <c r="K188" s="22">
        <v>1.0</v>
      </c>
      <c r="L188" s="22">
        <f>+SUMIF('حركه المخزن الرئيسي اليوميه'!$F:$F,$H:$H,'حركه المخزن الرئيسي اليوميه'!$H:$H)</f>
        <v>0.0</v>
      </c>
      <c r="M188" s="22">
        <f>+SUMIF('حركه المخزن الرئيسي اليوميه'!$F:$F,$H:$H,'حركه المخزن الرئيسي اليوميه'!$I:$I)</f>
        <v>0.0</v>
      </c>
      <c r="N188" s="22">
        <f t="shared" si="6"/>
        <v>1.0</v>
      </c>
      <c r="O188" s="22">
        <f t="shared" si="10"/>
        <v>1.0</v>
      </c>
      <c r="P188" s="22">
        <f t="shared" si="9"/>
        <v>0.0</v>
      </c>
      <c r="Q188" s="57"/>
      <c r="R188" s="58"/>
    </row>
    <row r="189" spans="8:8" ht="15.0" hidden="1">
      <c r="B189" s="54">
        <v>206.0</v>
      </c>
      <c r="C189" s="8" t="s">
        <v>3913</v>
      </c>
      <c r="D189" s="8" t="s">
        <v>820</v>
      </c>
      <c r="E189" s="8" t="s">
        <v>2703</v>
      </c>
      <c r="F189" s="8" t="s">
        <v>68</v>
      </c>
      <c r="G189" s="8" t="s">
        <v>1672</v>
      </c>
      <c r="H189" s="8" t="s">
        <v>2703</v>
      </c>
      <c r="I189" s="8" t="s">
        <v>818</v>
      </c>
      <c r="J189" s="56" t="s">
        <v>7699</v>
      </c>
      <c r="K189" s="22">
        <v>78.0</v>
      </c>
      <c r="L189" s="22">
        <f>+SUMIF('حركه المخزن الرئيسي اليوميه'!$F:$F,$H:$H,'حركه المخزن الرئيسي اليوميه'!$H:$H)</f>
        <v>0.0</v>
      </c>
      <c r="M189" s="22">
        <f>+SUMIF('حركه المخزن الرئيسي اليوميه'!$F:$F,$H:$H,'حركه المخزن الرئيسي اليوميه'!$I:$I)</f>
        <v>0.0</v>
      </c>
      <c r="N189" s="22">
        <f t="shared" si="6"/>
        <v>78.0</v>
      </c>
      <c r="O189" s="22">
        <f t="shared" si="10"/>
        <v>78.0</v>
      </c>
      <c r="P189" s="22">
        <f t="shared" si="9"/>
        <v>0.0</v>
      </c>
      <c r="Q189" s="57"/>
      <c r="R189" s="58"/>
    </row>
    <row r="190" spans="8:8" ht="15.0" hidden="1">
      <c r="B190" s="54">
        <v>207.0</v>
      </c>
      <c r="C190" s="8" t="s">
        <v>3913</v>
      </c>
      <c r="D190" s="8" t="s">
        <v>765</v>
      </c>
      <c r="E190" s="8" t="s">
        <v>3281</v>
      </c>
      <c r="F190" s="8" t="s">
        <v>2833</v>
      </c>
      <c r="G190" s="8"/>
      <c r="H190" s="8" t="s">
        <v>3281</v>
      </c>
      <c r="I190" s="8" t="s">
        <v>818</v>
      </c>
      <c r="J190" s="56" t="s">
        <v>7700</v>
      </c>
      <c r="K190" s="22">
        <v>2.0</v>
      </c>
      <c r="L190" s="22">
        <f>+SUMIF('حركه المخزن الرئيسي اليوميه'!$F:$F,$H:$H,'حركه المخزن الرئيسي اليوميه'!$H:$H)</f>
        <v>0.0</v>
      </c>
      <c r="M190" s="22">
        <f>+SUMIF('حركه المخزن الرئيسي اليوميه'!$F:$F,$H:$H,'حركه المخزن الرئيسي اليوميه'!$I:$I)</f>
        <v>0.0</v>
      </c>
      <c r="N190" s="22">
        <f t="shared" si="6"/>
        <v>2.0</v>
      </c>
      <c r="O190" s="22">
        <f t="shared" si="10"/>
        <v>2.0</v>
      </c>
      <c r="P190" s="22">
        <f t="shared" si="9"/>
        <v>0.0</v>
      </c>
      <c r="Q190" s="57"/>
      <c r="R190" s="58"/>
    </row>
    <row r="191" spans="8:8" ht="15.0" hidden="1">
      <c r="B191" s="54">
        <v>208.0</v>
      </c>
      <c r="C191" s="8" t="s">
        <v>3912</v>
      </c>
      <c r="D191" s="8" t="s">
        <v>765</v>
      </c>
      <c r="E191" s="8" t="s">
        <v>2970</v>
      </c>
      <c r="F191" s="8" t="s">
        <v>873</v>
      </c>
      <c r="G191" s="8"/>
      <c r="H191" s="8" t="s">
        <v>2970</v>
      </c>
      <c r="I191" s="55" t="s">
        <v>8163</v>
      </c>
      <c r="J191" s="56" t="s">
        <v>7701</v>
      </c>
      <c r="K191" s="22">
        <v>0.0</v>
      </c>
      <c r="L191" s="22">
        <f>+SUMIF('حركه المخزن الرئيسي اليوميه'!$F:$F,$H:$H,'حركه المخزن الرئيسي اليوميه'!$H:$H)</f>
        <v>0.0</v>
      </c>
      <c r="M191" s="22">
        <f>+SUMIF('حركه المخزن الرئيسي اليوميه'!$F:$F,$H:$H,'حركه المخزن الرئيسي اليوميه'!$I:$I)</f>
        <v>0.0</v>
      </c>
      <c r="N191" s="22">
        <f t="shared" si="6"/>
        <v>0.0</v>
      </c>
      <c r="O191" s="22">
        <f t="shared" si="10"/>
        <v>0.0</v>
      </c>
      <c r="P191" s="22">
        <f t="shared" si="9"/>
        <v>0.0</v>
      </c>
      <c r="Q191" s="57"/>
      <c r="R191" s="58"/>
    </row>
    <row r="192" spans="8:8" ht="15.0" hidden="1">
      <c r="B192" s="54">
        <v>209.0</v>
      </c>
      <c r="C192" s="8" t="s">
        <v>3912</v>
      </c>
      <c r="D192" s="8" t="s">
        <v>1013</v>
      </c>
      <c r="E192" s="8" t="s">
        <v>3345</v>
      </c>
      <c r="F192" s="8" t="s">
        <v>1573</v>
      </c>
      <c r="G192" s="8"/>
      <c r="H192" s="8" t="s">
        <v>3345</v>
      </c>
      <c r="I192" s="55" t="s">
        <v>8163</v>
      </c>
      <c r="J192" s="56" t="s">
        <v>7702</v>
      </c>
      <c r="K192" s="22">
        <v>0.0</v>
      </c>
      <c r="L192" s="22">
        <f>+SUMIF('حركه المخزن الرئيسي اليوميه'!$F:$F,$H:$H,'حركه المخزن الرئيسي اليوميه'!$H:$H)</f>
        <v>0.0</v>
      </c>
      <c r="M192" s="22">
        <f>+SUMIF('حركه المخزن الرئيسي اليوميه'!$F:$F,$H:$H,'حركه المخزن الرئيسي اليوميه'!$I:$I)</f>
        <v>0.0</v>
      </c>
      <c r="N192" s="22">
        <f t="shared" si="6"/>
        <v>0.0</v>
      </c>
      <c r="O192" s="22">
        <f t="shared" si="10"/>
        <v>0.0</v>
      </c>
      <c r="P192" s="22">
        <f t="shared" si="9"/>
        <v>0.0</v>
      </c>
      <c r="Q192" s="57"/>
      <c r="R192" s="58"/>
    </row>
    <row r="193" spans="8:8" ht="15.0" hidden="1">
      <c r="B193" s="54">
        <v>210.0</v>
      </c>
      <c r="C193" s="8" t="s">
        <v>3913</v>
      </c>
      <c r="D193" s="8" t="s">
        <v>1013</v>
      </c>
      <c r="E193" s="8" t="s">
        <v>1334</v>
      </c>
      <c r="F193" s="8" t="s">
        <v>68</v>
      </c>
      <c r="G193" s="8"/>
      <c r="H193" s="8" t="s">
        <v>3079</v>
      </c>
      <c r="I193" s="8" t="s">
        <v>3209</v>
      </c>
      <c r="J193" s="56" t="s">
        <v>7703</v>
      </c>
      <c r="K193" s="22">
        <v>0.0</v>
      </c>
      <c r="L193" s="22">
        <f>+SUMIF('حركه المخزن الرئيسي اليوميه'!$F:$F,$H:$H,'حركه المخزن الرئيسي اليوميه'!$H:$H)</f>
        <v>0.0</v>
      </c>
      <c r="M193" s="22">
        <f>+SUMIF('حركه المخزن الرئيسي اليوميه'!$F:$F,$H:$H,'حركه المخزن الرئيسي اليوميه'!$I:$I)</f>
        <v>0.0</v>
      </c>
      <c r="N193" s="22">
        <f t="shared" si="6"/>
        <v>0.0</v>
      </c>
      <c r="O193" s="22">
        <f t="shared" si="10"/>
        <v>0.0</v>
      </c>
      <c r="P193" s="22">
        <f t="shared" si="9"/>
        <v>0.0</v>
      </c>
      <c r="Q193" s="57"/>
      <c r="R193" s="58"/>
    </row>
    <row r="194" spans="8:8" ht="15.0" hidden="1">
      <c r="B194" s="54">
        <v>211.0</v>
      </c>
      <c r="C194" s="8" t="s">
        <v>3913</v>
      </c>
      <c r="D194" s="8" t="s">
        <v>1013</v>
      </c>
      <c r="E194" s="8" t="s">
        <v>1334</v>
      </c>
      <c r="F194" s="8" t="s">
        <v>68</v>
      </c>
      <c r="G194" s="8"/>
      <c r="H194" s="8" t="s">
        <v>3080</v>
      </c>
      <c r="I194" s="8"/>
      <c r="J194" s="56" t="s">
        <v>7704</v>
      </c>
      <c r="K194" s="22">
        <v>0.0</v>
      </c>
      <c r="L194" s="22">
        <f>+SUMIF('حركه المخزن الرئيسي اليوميه'!$F:$F,$H:$H,'حركه المخزن الرئيسي اليوميه'!$H:$H)</f>
        <v>0.0</v>
      </c>
      <c r="M194" s="22">
        <f>+SUMIF('حركه المخزن الرئيسي اليوميه'!$F:$F,$H:$H,'حركه المخزن الرئيسي اليوميه'!$I:$I)</f>
        <v>0.0</v>
      </c>
      <c r="N194" s="22">
        <f t="shared" si="6"/>
        <v>0.0</v>
      </c>
      <c r="O194" s="22">
        <f t="shared" si="10"/>
        <v>0.0</v>
      </c>
      <c r="P194" s="22">
        <f t="shared" si="9"/>
        <v>0.0</v>
      </c>
      <c r="Q194" s="57"/>
      <c r="R194" s="58"/>
    </row>
    <row r="195" spans="8:8">
      <c r="B195" s="54">
        <v>212.0</v>
      </c>
      <c r="C195" s="8" t="s">
        <v>3913</v>
      </c>
      <c r="D195" s="8" t="s">
        <v>1013</v>
      </c>
      <c r="E195" s="8" t="s">
        <v>3148</v>
      </c>
      <c r="F195" s="8" t="s">
        <v>389</v>
      </c>
      <c r="G195" s="8" t="s">
        <v>3149</v>
      </c>
      <c r="H195" s="8" t="s">
        <v>3148</v>
      </c>
      <c r="I195" s="8"/>
      <c r="J195" s="56" t="s">
        <v>7705</v>
      </c>
      <c r="K195" s="22">
        <v>0.0</v>
      </c>
      <c r="L195" s="22">
        <f>+SUMIF('حركه المخزن الرئيسي اليوميه'!$F:$F,$H:$H,'حركه المخزن الرئيسي اليوميه'!$H:$H)</f>
        <v>0.0</v>
      </c>
      <c r="M195" s="22">
        <f>+SUMIF('حركه المخزن الرئيسي اليوميه'!$F:$F,$H:$H,'حركه المخزن الرئيسي اليوميه'!$I:$I)</f>
        <v>0.0</v>
      </c>
      <c r="N195" s="22">
        <f t="shared" si="6"/>
        <v>0.0</v>
      </c>
      <c r="O195" s="22">
        <f t="shared" si="10"/>
        <v>0.0</v>
      </c>
      <c r="P195" s="22">
        <f t="shared" si="9"/>
        <v>0.0</v>
      </c>
      <c r="Q195" s="57"/>
      <c r="R195" s="58"/>
    </row>
    <row r="196" spans="8:8" ht="15.0" hidden="1">
      <c r="B196" s="54">
        <v>213.0</v>
      </c>
      <c r="C196" s="8" t="s">
        <v>3912</v>
      </c>
      <c r="D196" s="8" t="s">
        <v>820</v>
      </c>
      <c r="E196" s="8" t="s">
        <v>8132</v>
      </c>
      <c r="F196" s="8" t="s">
        <v>873</v>
      </c>
      <c r="G196" s="8"/>
      <c r="H196" s="8" t="s">
        <v>8132</v>
      </c>
      <c r="I196" s="55" t="s">
        <v>8163</v>
      </c>
      <c r="J196" s="56" t="s">
        <v>7706</v>
      </c>
      <c r="K196" s="22">
        <v>1.0</v>
      </c>
      <c r="L196" s="22">
        <f>+SUMIF('حركه المخزن الرئيسي اليوميه'!$F:$F,$H:$H,'حركه المخزن الرئيسي اليوميه'!$H:$H)</f>
        <v>0.0</v>
      </c>
      <c r="M196" s="22">
        <f>+SUMIF('حركه المخزن الرئيسي اليوميه'!$F:$F,$H:$H,'حركه المخزن الرئيسي اليوميه'!$I:$I)</f>
        <v>1.0</v>
      </c>
      <c r="N196" s="22">
        <f t="shared" si="6"/>
        <v>0.0</v>
      </c>
      <c r="O196" s="22">
        <f t="shared" si="10"/>
        <v>0.0</v>
      </c>
      <c r="P196" s="22">
        <f t="shared" si="9"/>
        <v>0.0</v>
      </c>
      <c r="Q196" s="57"/>
      <c r="R196" s="58"/>
    </row>
    <row r="197" spans="8:8" ht="15.0" hidden="1">
      <c r="B197" s="54">
        <v>214.0</v>
      </c>
      <c r="C197" s="8" t="s">
        <v>3912</v>
      </c>
      <c r="D197" s="8" t="s">
        <v>1013</v>
      </c>
      <c r="E197" s="8" t="s">
        <v>3161</v>
      </c>
      <c r="F197" s="8" t="s">
        <v>1501</v>
      </c>
      <c r="G197" s="8"/>
      <c r="H197" s="8" t="s">
        <v>3162</v>
      </c>
      <c r="I197" s="8" t="s">
        <v>8163</v>
      </c>
      <c r="J197" s="56" t="s">
        <v>7707</v>
      </c>
      <c r="K197" s="22">
        <v>3.0</v>
      </c>
      <c r="L197" s="22">
        <f>+SUMIF('حركه المخزن الرئيسي اليوميه'!$F:$F,$H:$H,'حركه المخزن الرئيسي اليوميه'!$H:$H)</f>
        <v>0.0</v>
      </c>
      <c r="M197" s="22">
        <f>+SUMIF('حركه المخزن الرئيسي اليوميه'!$F:$F,$H:$H,'حركه المخزن الرئيسي اليوميه'!$I:$I)</f>
        <v>0.0</v>
      </c>
      <c r="N197" s="22">
        <f t="shared" si="6"/>
        <v>3.0</v>
      </c>
      <c r="O197" s="22">
        <f t="shared" si="10"/>
        <v>3.0</v>
      </c>
      <c r="P197" s="22">
        <f t="shared" si="9"/>
        <v>0.0</v>
      </c>
      <c r="Q197" s="57"/>
      <c r="R197" s="58"/>
    </row>
    <row r="198" spans="8:8" ht="15.0" hidden="1">
      <c r="B198" s="54">
        <v>215.0</v>
      </c>
      <c r="C198" s="8" t="s">
        <v>3913</v>
      </c>
      <c r="D198" s="8" t="s">
        <v>1013</v>
      </c>
      <c r="E198" s="8" t="s">
        <v>3357</v>
      </c>
      <c r="F198" s="8" t="s">
        <v>1507</v>
      </c>
      <c r="G198" s="8" t="s">
        <v>3357</v>
      </c>
      <c r="H198" s="8" t="s">
        <v>3357</v>
      </c>
      <c r="I198" s="8" t="s">
        <v>8161</v>
      </c>
      <c r="J198" s="56" t="s">
        <v>7708</v>
      </c>
      <c r="K198" s="22">
        <v>7.0</v>
      </c>
      <c r="L198" s="22">
        <f>+SUMIF('حركه المخزن الرئيسي اليوميه'!$F:$F,$H:$H,'حركه المخزن الرئيسي اليوميه'!$H:$H)</f>
        <v>0.0</v>
      </c>
      <c r="M198" s="22">
        <f>+SUMIF('حركه المخزن الرئيسي اليوميه'!$F:$F,$H:$H,'حركه المخزن الرئيسي اليوميه'!$I:$I)</f>
        <v>1.0</v>
      </c>
      <c r="N198" s="22">
        <f t="shared" si="6"/>
        <v>6.0</v>
      </c>
      <c r="O198" s="22">
        <f t="shared" si="10"/>
        <v>6.0</v>
      </c>
      <c r="P198" s="22">
        <f t="shared" si="9"/>
        <v>0.0</v>
      </c>
      <c r="Q198" s="57"/>
      <c r="R198" s="58"/>
    </row>
    <row r="199" spans="8:8" ht="15.0" hidden="1">
      <c r="B199" s="54">
        <v>216.0</v>
      </c>
      <c r="C199" s="8" t="s">
        <v>3913</v>
      </c>
      <c r="D199" s="8" t="s">
        <v>1013</v>
      </c>
      <c r="E199" s="8" t="s">
        <v>3411</v>
      </c>
      <c r="F199" s="8" t="s">
        <v>1501</v>
      </c>
      <c r="G199" s="8"/>
      <c r="H199" s="8" t="s">
        <v>3411</v>
      </c>
      <c r="I199" s="57" t="s">
        <v>8161</v>
      </c>
      <c r="J199" s="56" t="s">
        <v>7709</v>
      </c>
      <c r="K199" s="22">
        <v>20.0</v>
      </c>
      <c r="L199" s="22">
        <f>+SUMIF('حركه المخزن الرئيسي اليوميه'!$F:$F,$H:$H,'حركه المخزن الرئيسي اليوميه'!$H:$H)</f>
        <v>0.0</v>
      </c>
      <c r="M199" s="22">
        <f>+SUMIF('حركه المخزن الرئيسي اليوميه'!$F:$F,$H:$H,'حركه المخزن الرئيسي اليوميه'!$I:$I)</f>
        <v>0.0</v>
      </c>
      <c r="N199" s="22">
        <f t="shared" si="11" ref="N199:N262">+K199+L199-M199</f>
        <v>20.0</v>
      </c>
      <c r="O199" s="22">
        <f t="shared" si="10"/>
        <v>20.0</v>
      </c>
      <c r="P199" s="22">
        <f t="shared" si="9"/>
        <v>0.0</v>
      </c>
      <c r="Q199" s="57"/>
      <c r="R199" s="58"/>
    </row>
    <row r="200" spans="8:8" ht="15.0" hidden="1">
      <c r="B200" s="54">
        <v>217.0</v>
      </c>
      <c r="C200" s="8" t="s">
        <v>3913</v>
      </c>
      <c r="D200" s="8" t="s">
        <v>1013</v>
      </c>
      <c r="E200" s="8" t="s">
        <v>3412</v>
      </c>
      <c r="F200" s="8" t="s">
        <v>1501</v>
      </c>
      <c r="G200" s="8"/>
      <c r="H200" s="8" t="s">
        <v>3412</v>
      </c>
      <c r="I200" s="57" t="s">
        <v>8161</v>
      </c>
      <c r="J200" s="56" t="s">
        <v>7710</v>
      </c>
      <c r="K200" s="22">
        <v>1.0</v>
      </c>
      <c r="L200" s="22">
        <f>+SUMIF('حركه المخزن الرئيسي اليوميه'!$F:$F,$H:$H,'حركه المخزن الرئيسي اليوميه'!$H:$H)</f>
        <v>0.0</v>
      </c>
      <c r="M200" s="22">
        <f>+SUMIF('حركه المخزن الرئيسي اليوميه'!$F:$F,$H:$H,'حركه المخزن الرئيسي اليوميه'!$I:$I)</f>
        <v>0.0</v>
      </c>
      <c r="N200" s="22">
        <f t="shared" si="11"/>
        <v>1.0</v>
      </c>
      <c r="O200" s="22">
        <f t="shared" si="10"/>
        <v>1.0</v>
      </c>
      <c r="P200" s="22">
        <f t="shared" si="9"/>
        <v>0.0</v>
      </c>
      <c r="Q200" s="57"/>
      <c r="R200" s="58"/>
    </row>
    <row r="201" spans="8:8" ht="15.0" hidden="1">
      <c r="B201" s="54">
        <v>218.0</v>
      </c>
      <c r="C201" s="8" t="s">
        <v>3913</v>
      </c>
      <c r="D201" s="8" t="s">
        <v>1013</v>
      </c>
      <c r="E201" s="8" t="s">
        <v>3458</v>
      </c>
      <c r="F201" s="8" t="s">
        <v>1573</v>
      </c>
      <c r="G201" s="8"/>
      <c r="H201" s="8" t="s">
        <v>3458</v>
      </c>
      <c r="I201" s="55" t="s">
        <v>8163</v>
      </c>
      <c r="J201" s="56" t="s">
        <v>7711</v>
      </c>
      <c r="K201" s="22">
        <v>1.0</v>
      </c>
      <c r="L201" s="22">
        <f>+SUMIF('حركه المخزن الرئيسي اليوميه'!$F:$F,$H:$H,'حركه المخزن الرئيسي اليوميه'!$H:$H)</f>
        <v>0.0</v>
      </c>
      <c r="M201" s="22">
        <f>+SUMIF('حركه المخزن الرئيسي اليوميه'!$F:$F,$H:$H,'حركه المخزن الرئيسي اليوميه'!$I:$I)</f>
        <v>0.0</v>
      </c>
      <c r="N201" s="22">
        <f t="shared" si="11"/>
        <v>1.0</v>
      </c>
      <c r="O201" s="22">
        <f t="shared" si="10"/>
        <v>1.0</v>
      </c>
      <c r="P201" s="22">
        <f t="shared" si="12" ref="P201:P264">+N201-O201</f>
        <v>0.0</v>
      </c>
      <c r="Q201" s="57"/>
      <c r="R201" s="58"/>
    </row>
    <row r="202" spans="8:8" ht="15.0" hidden="1">
      <c r="B202" s="54">
        <v>219.0</v>
      </c>
      <c r="C202" s="8" t="s">
        <v>3913</v>
      </c>
      <c r="D202" s="8" t="s">
        <v>1013</v>
      </c>
      <c r="E202" s="8" t="s">
        <v>3474</v>
      </c>
      <c r="F202" s="8" t="s">
        <v>8192</v>
      </c>
      <c r="G202" s="8"/>
      <c r="H202" s="8" t="s">
        <v>3474</v>
      </c>
      <c r="I202" s="8" t="s">
        <v>3913</v>
      </c>
      <c r="J202" s="56" t="s">
        <v>7712</v>
      </c>
      <c r="K202" s="22">
        <v>2.0</v>
      </c>
      <c r="L202" s="22">
        <f>+SUMIF('حركه المخزن الرئيسي اليوميه'!$F:$F,$H:$H,'حركه المخزن الرئيسي اليوميه'!$H:$H)</f>
        <v>0.0</v>
      </c>
      <c r="M202" s="22">
        <f>+SUMIF('حركه المخزن الرئيسي اليوميه'!$F:$F,$H:$H,'حركه المخزن الرئيسي اليوميه'!$I:$I)</f>
        <v>0.0</v>
      </c>
      <c r="N202" s="22">
        <f t="shared" si="11"/>
        <v>2.0</v>
      </c>
      <c r="O202" s="22">
        <f t="shared" si="10"/>
        <v>2.0</v>
      </c>
      <c r="P202" s="22">
        <f t="shared" si="12"/>
        <v>0.0</v>
      </c>
      <c r="Q202" s="57"/>
      <c r="R202" s="58"/>
    </row>
    <row r="203" spans="8:8" ht="15.0" hidden="1">
      <c r="B203" s="54">
        <v>220.0</v>
      </c>
      <c r="C203" s="8" t="s">
        <v>3912</v>
      </c>
      <c r="D203" s="8" t="s">
        <v>1013</v>
      </c>
      <c r="E203" s="8" t="s">
        <v>3806</v>
      </c>
      <c r="F203" s="8" t="s">
        <v>68</v>
      </c>
      <c r="G203" s="8"/>
      <c r="H203" s="8" t="s">
        <v>3806</v>
      </c>
      <c r="I203" s="55" t="s">
        <v>8163</v>
      </c>
      <c r="J203" s="56" t="s">
        <v>7713</v>
      </c>
      <c r="K203" s="22">
        <v>10.0</v>
      </c>
      <c r="L203" s="22">
        <f>+SUMIF('حركه المخزن الرئيسي اليوميه'!$F:$F,$H:$H,'حركه المخزن الرئيسي اليوميه'!$H:$H)</f>
        <v>0.0</v>
      </c>
      <c r="M203" s="22">
        <f>+SUMIF('حركه المخزن الرئيسي اليوميه'!$F:$F,$H:$H,'حركه المخزن الرئيسي اليوميه'!$I:$I)</f>
        <v>0.0</v>
      </c>
      <c r="N203" s="22">
        <f t="shared" si="11"/>
        <v>10.0</v>
      </c>
      <c r="O203" s="22">
        <f t="shared" si="10"/>
        <v>10.0</v>
      </c>
      <c r="P203" s="22">
        <f t="shared" si="12"/>
        <v>0.0</v>
      </c>
      <c r="Q203" s="57"/>
      <c r="R203" s="58"/>
    </row>
    <row r="204" spans="8:8" ht="15.0" hidden="1">
      <c r="B204" s="54">
        <v>221.0</v>
      </c>
      <c r="C204" s="8" t="s">
        <v>3912</v>
      </c>
      <c r="D204" s="8" t="s">
        <v>820</v>
      </c>
      <c r="E204" s="8" t="s">
        <v>3567</v>
      </c>
      <c r="F204" s="8" t="s">
        <v>873</v>
      </c>
      <c r="G204" s="8"/>
      <c r="H204" s="8" t="s">
        <v>3567</v>
      </c>
      <c r="I204" s="8" t="s">
        <v>8163</v>
      </c>
      <c r="J204" s="56" t="s">
        <v>7714</v>
      </c>
      <c r="K204" s="22">
        <v>4.0</v>
      </c>
      <c r="L204" s="22">
        <f>+SUMIF('حركه المخزن الرئيسي اليوميه'!$F:$F,$H:$H,'حركه المخزن الرئيسي اليوميه'!$H:$H)</f>
        <v>0.0</v>
      </c>
      <c r="M204" s="22">
        <f>+SUMIF('حركه المخزن الرئيسي اليوميه'!$F:$F,$H:$H,'حركه المخزن الرئيسي اليوميه'!$I:$I)</f>
        <v>0.0</v>
      </c>
      <c r="N204" s="22">
        <f t="shared" si="11"/>
        <v>4.0</v>
      </c>
      <c r="O204" s="22">
        <f t="shared" si="10"/>
        <v>4.0</v>
      </c>
      <c r="P204" s="22">
        <f t="shared" si="12"/>
        <v>0.0</v>
      </c>
      <c r="Q204" s="57"/>
      <c r="R204" s="58"/>
    </row>
    <row r="205" spans="8:8" ht="15.0" hidden="1">
      <c r="B205" s="54">
        <v>222.0</v>
      </c>
      <c r="C205" s="8" t="s">
        <v>3912</v>
      </c>
      <c r="D205" s="8" t="s">
        <v>811</v>
      </c>
      <c r="E205" s="8" t="s">
        <v>2842</v>
      </c>
      <c r="F205" s="8" t="s">
        <v>2833</v>
      </c>
      <c r="G205" s="8"/>
      <c r="H205" s="8" t="s">
        <v>2843</v>
      </c>
      <c r="I205" s="57" t="s">
        <v>8163</v>
      </c>
      <c r="J205" s="56" t="s">
        <v>7715</v>
      </c>
      <c r="K205" s="22">
        <v>3.0</v>
      </c>
      <c r="L205" s="22">
        <f>+SUMIF('حركه المخزن الرئيسي اليوميه'!$F:$F,$H:$H,'حركه المخزن الرئيسي اليوميه'!$H:$H)</f>
        <v>0.0</v>
      </c>
      <c r="M205" s="22">
        <f>+SUMIF('حركه المخزن الرئيسي اليوميه'!$F:$F,$H:$H,'حركه المخزن الرئيسي اليوميه'!$I:$I)</f>
        <v>0.0</v>
      </c>
      <c r="N205" s="22">
        <f t="shared" si="11"/>
        <v>3.0</v>
      </c>
      <c r="O205" s="22">
        <f t="shared" si="10"/>
        <v>3.0</v>
      </c>
      <c r="P205" s="22">
        <f t="shared" si="12"/>
        <v>0.0</v>
      </c>
      <c r="Q205" s="57"/>
      <c r="R205" s="58"/>
    </row>
    <row r="206" spans="8:8">
      <c r="B206" s="54">
        <v>223.0</v>
      </c>
      <c r="C206" s="8" t="s">
        <v>3912</v>
      </c>
      <c r="D206" s="8" t="s">
        <v>3665</v>
      </c>
      <c r="E206" s="8" t="s">
        <v>2034</v>
      </c>
      <c r="F206" s="8" t="s">
        <v>2035</v>
      </c>
      <c r="G206" s="8"/>
      <c r="H206" s="8" t="s">
        <v>2034</v>
      </c>
      <c r="I206" s="55" t="s">
        <v>8163</v>
      </c>
      <c r="J206" s="56" t="s">
        <v>7716</v>
      </c>
      <c r="K206" s="22">
        <v>0.0</v>
      </c>
      <c r="L206" s="22">
        <f>+SUMIF('حركه المخزن الرئيسي اليوميه'!$F:$F,$H:$H,'حركه المخزن الرئيسي اليوميه'!$H:$H)</f>
        <v>0.0</v>
      </c>
      <c r="M206" s="22">
        <f>+SUMIF('حركه المخزن الرئيسي اليوميه'!$F:$F,$H:$H,'حركه المخزن الرئيسي اليوميه'!$I:$I)</f>
        <v>0.0</v>
      </c>
      <c r="N206" s="22">
        <f t="shared" si="11"/>
        <v>0.0</v>
      </c>
      <c r="O206" s="22">
        <f t="shared" si="10"/>
        <v>0.0</v>
      </c>
      <c r="P206" s="22">
        <f t="shared" si="12"/>
        <v>0.0</v>
      </c>
      <c r="Q206" s="57"/>
      <c r="R206" s="58"/>
    </row>
    <row r="207" spans="8:8" ht="15.0" hidden="1">
      <c r="B207" s="54">
        <v>224.0</v>
      </c>
      <c r="C207" s="8" t="s">
        <v>3912</v>
      </c>
      <c r="D207" s="8" t="s">
        <v>811</v>
      </c>
      <c r="E207" s="8" t="s">
        <v>1217</v>
      </c>
      <c r="F207" s="8" t="s">
        <v>873</v>
      </c>
      <c r="G207" s="8" t="s">
        <v>2231</v>
      </c>
      <c r="H207" s="8" t="s">
        <v>1217</v>
      </c>
      <c r="I207" s="55" t="s">
        <v>8163</v>
      </c>
      <c r="J207" s="56" t="s">
        <v>7717</v>
      </c>
      <c r="K207" s="22">
        <v>1.0</v>
      </c>
      <c r="L207" s="22">
        <f>+SUMIF('حركه المخزن الرئيسي اليوميه'!$F:$F,$H:$H,'حركه المخزن الرئيسي اليوميه'!$H:$H)</f>
        <v>0.0</v>
      </c>
      <c r="M207" s="22">
        <f>+SUMIF('حركه المخزن الرئيسي اليوميه'!$F:$F,$H:$H,'حركه المخزن الرئيسي اليوميه'!$I:$I)</f>
        <v>0.0</v>
      </c>
      <c r="N207" s="22">
        <f t="shared" si="11"/>
        <v>1.0</v>
      </c>
      <c r="O207" s="22">
        <f t="shared" si="10"/>
        <v>1.0</v>
      </c>
      <c r="P207" s="22">
        <f t="shared" si="12"/>
        <v>0.0</v>
      </c>
      <c r="Q207" s="57"/>
      <c r="R207" s="58"/>
    </row>
    <row r="208" spans="8:8" ht="15.0" hidden="1">
      <c r="B208" s="54">
        <v>225.0</v>
      </c>
      <c r="C208" s="8" t="s">
        <v>3913</v>
      </c>
      <c r="D208" s="8" t="s">
        <v>828</v>
      </c>
      <c r="E208" s="8" t="s">
        <v>1218</v>
      </c>
      <c r="F208" s="8" t="s">
        <v>1139</v>
      </c>
      <c r="G208" s="8"/>
      <c r="H208" s="8" t="s">
        <v>1218</v>
      </c>
      <c r="I208" s="8" t="s">
        <v>3913</v>
      </c>
      <c r="J208" s="56" t="s">
        <v>7718</v>
      </c>
      <c r="K208" s="22">
        <v>324.0</v>
      </c>
      <c r="L208" s="22">
        <f>+SUMIF('حركه المخزن الرئيسي اليوميه'!$F:$F,$H:$H,'حركه المخزن الرئيسي اليوميه'!$H:$H)</f>
        <v>0.0</v>
      </c>
      <c r="M208" s="22">
        <f>+SUMIF('حركه المخزن الرئيسي اليوميه'!$F:$F,$H:$H,'حركه المخزن الرئيسي اليوميه'!$I:$I)</f>
        <v>0.0</v>
      </c>
      <c r="N208" s="22">
        <f t="shared" si="11"/>
        <v>324.0</v>
      </c>
      <c r="O208" s="22">
        <f t="shared" si="10"/>
        <v>324.0</v>
      </c>
      <c r="P208" s="22">
        <f t="shared" si="12"/>
        <v>0.0</v>
      </c>
      <c r="Q208" s="57"/>
      <c r="R208" s="58"/>
    </row>
    <row r="209" spans="8:8" ht="15.0" hidden="1">
      <c r="B209" s="54">
        <v>226.0</v>
      </c>
      <c r="C209" s="8" t="s">
        <v>3912</v>
      </c>
      <c r="D209" s="8" t="s">
        <v>811</v>
      </c>
      <c r="E209" s="8" t="s">
        <v>3506</v>
      </c>
      <c r="F209" s="8" t="s">
        <v>282</v>
      </c>
      <c r="G209" s="8"/>
      <c r="H209" s="8" t="s">
        <v>3506</v>
      </c>
      <c r="I209" s="55" t="s">
        <v>8163</v>
      </c>
      <c r="J209" s="56" t="s">
        <v>7719</v>
      </c>
      <c r="K209" s="22">
        <v>0.0</v>
      </c>
      <c r="L209" s="22">
        <f>+SUMIF('حركه المخزن الرئيسي اليوميه'!$F:$F,$H:$H,'حركه المخزن الرئيسي اليوميه'!$H:$H)</f>
        <v>0.0</v>
      </c>
      <c r="M209" s="22">
        <f>+SUMIF('حركه المخزن الرئيسي اليوميه'!$F:$F,$H:$H,'حركه المخزن الرئيسي اليوميه'!$I:$I)</f>
        <v>0.0</v>
      </c>
      <c r="N209" s="22">
        <f t="shared" si="11"/>
        <v>0.0</v>
      </c>
      <c r="O209" s="22">
        <f t="shared" si="10"/>
        <v>0.0</v>
      </c>
      <c r="P209" s="22">
        <f t="shared" si="12"/>
        <v>0.0</v>
      </c>
      <c r="Q209" s="57"/>
      <c r="R209" s="58"/>
    </row>
    <row r="210" spans="8:8" ht="15.0" hidden="1">
      <c r="B210" s="54">
        <v>227.0</v>
      </c>
      <c r="C210" s="8" t="s">
        <v>3913</v>
      </c>
      <c r="D210" s="8" t="s">
        <v>828</v>
      </c>
      <c r="E210" s="8" t="s">
        <v>412</v>
      </c>
      <c r="F210" s="8" t="s">
        <v>68</v>
      </c>
      <c r="G210" s="8" t="s">
        <v>1675</v>
      </c>
      <c r="H210" s="8" t="s">
        <v>3248</v>
      </c>
      <c r="I210" s="8" t="s">
        <v>3913</v>
      </c>
      <c r="J210" s="56" t="s">
        <v>7720</v>
      </c>
      <c r="K210" s="22">
        <v>1.0</v>
      </c>
      <c r="L210" s="22">
        <f>+SUMIF('حركه المخزن الرئيسي اليوميه'!$F:$F,$H:$H,'حركه المخزن الرئيسي اليوميه'!$H:$H)</f>
        <v>0.0</v>
      </c>
      <c r="M210" s="22">
        <f>+SUMIF('حركه المخزن الرئيسي اليوميه'!$F:$F,$H:$H,'حركه المخزن الرئيسي اليوميه'!$I:$I)</f>
        <v>0.0</v>
      </c>
      <c r="N210" s="22">
        <f t="shared" si="11"/>
        <v>1.0</v>
      </c>
      <c r="O210" s="22">
        <f t="shared" si="10"/>
        <v>1.0</v>
      </c>
      <c r="P210" s="22">
        <f t="shared" si="12"/>
        <v>0.0</v>
      </c>
      <c r="Q210" s="57"/>
      <c r="R210" s="58"/>
    </row>
    <row r="211" spans="8:8">
      <c r="B211" s="54">
        <v>228.0</v>
      </c>
      <c r="C211" s="8" t="s">
        <v>3912</v>
      </c>
      <c r="D211" s="8" t="s">
        <v>3497</v>
      </c>
      <c r="E211" s="8" t="s">
        <v>3580</v>
      </c>
      <c r="F211" s="8" t="s">
        <v>68</v>
      </c>
      <c r="G211" s="8"/>
      <c r="H211" s="8" t="s">
        <v>3580</v>
      </c>
      <c r="I211" s="55" t="s">
        <v>8163</v>
      </c>
      <c r="J211" s="56" t="s">
        <v>7721</v>
      </c>
      <c r="K211" s="22">
        <v>3.0</v>
      </c>
      <c r="L211" s="22">
        <f>+SUMIF('حركه المخزن الرئيسي اليوميه'!$F:$F,$H:$H,'حركه المخزن الرئيسي اليوميه'!$H:$H)</f>
        <v>0.0</v>
      </c>
      <c r="M211" s="22">
        <f>+SUMIF('حركه المخزن الرئيسي اليوميه'!$F:$F,$H:$H,'حركه المخزن الرئيسي اليوميه'!$I:$I)</f>
        <v>0.0</v>
      </c>
      <c r="N211" s="22">
        <f t="shared" si="11"/>
        <v>3.0</v>
      </c>
      <c r="O211" s="22">
        <f t="shared" si="10"/>
        <v>3.0</v>
      </c>
      <c r="P211" s="22">
        <f t="shared" si="12"/>
        <v>0.0</v>
      </c>
      <c r="Q211" s="57"/>
      <c r="R211" s="58"/>
    </row>
    <row r="212" spans="8:8" ht="15.0" hidden="1">
      <c r="B212" s="54">
        <v>229.0</v>
      </c>
      <c r="C212" s="8" t="s">
        <v>3912</v>
      </c>
      <c r="D212" s="8" t="s">
        <v>811</v>
      </c>
      <c r="E212" s="8" t="s">
        <v>3287</v>
      </c>
      <c r="F212" s="8" t="s">
        <v>68</v>
      </c>
      <c r="G212" s="8" t="s">
        <v>1690</v>
      </c>
      <c r="H212" s="8" t="s">
        <v>3287</v>
      </c>
      <c r="I212" s="55" t="s">
        <v>8163</v>
      </c>
      <c r="J212" s="56" t="s">
        <v>7722</v>
      </c>
      <c r="K212" s="22">
        <v>3.0</v>
      </c>
      <c r="L212" s="22">
        <f>+SUMIF('حركه المخزن الرئيسي اليوميه'!$F:$F,$H:$H,'حركه المخزن الرئيسي اليوميه'!$H:$H)</f>
        <v>0.0</v>
      </c>
      <c r="M212" s="22">
        <f>+SUMIF('حركه المخزن الرئيسي اليوميه'!$F:$F,$H:$H,'حركه المخزن الرئيسي اليوميه'!$I:$I)</f>
        <v>2.0</v>
      </c>
      <c r="N212" s="22">
        <f t="shared" si="11"/>
        <v>1.0</v>
      </c>
      <c r="O212" s="22">
        <f t="shared" si="10"/>
        <v>1.0</v>
      </c>
      <c r="P212" s="22">
        <f t="shared" si="12"/>
        <v>0.0</v>
      </c>
      <c r="Q212" s="57"/>
      <c r="R212" s="58"/>
    </row>
    <row r="213" spans="8:8" ht="15.0" hidden="1">
      <c r="B213" s="54">
        <v>230.0</v>
      </c>
      <c r="C213" s="8" t="s">
        <v>8173</v>
      </c>
      <c r="D213" s="8" t="s">
        <v>811</v>
      </c>
      <c r="E213" s="8" t="s">
        <v>1010</v>
      </c>
      <c r="F213" s="8" t="s">
        <v>68</v>
      </c>
      <c r="G213" s="8" t="s">
        <v>2128</v>
      </c>
      <c r="H213" s="8" t="s">
        <v>649</v>
      </c>
      <c r="I213" s="55" t="s">
        <v>8163</v>
      </c>
      <c r="J213" s="56" t="s">
        <v>7723</v>
      </c>
      <c r="K213" s="22">
        <v>9.0</v>
      </c>
      <c r="L213" s="22">
        <f>+SUMIF('حركه المخزن الرئيسي اليوميه'!$F:$F,$H:$H,'حركه المخزن الرئيسي اليوميه'!$H:$H)</f>
        <v>0.0</v>
      </c>
      <c r="M213" s="22">
        <f>+SUMIF('حركه المخزن الرئيسي اليوميه'!$F:$F,$H:$H,'حركه المخزن الرئيسي اليوميه'!$I:$I)</f>
        <v>0.0</v>
      </c>
      <c r="N213" s="22">
        <f t="shared" si="11"/>
        <v>9.0</v>
      </c>
      <c r="O213" s="22">
        <f t="shared" si="10"/>
        <v>9.0</v>
      </c>
      <c r="P213" s="22">
        <f t="shared" si="12"/>
        <v>0.0</v>
      </c>
      <c r="Q213" s="57"/>
      <c r="R213" s="58"/>
    </row>
    <row r="214" spans="8:8" ht="15.0" hidden="1">
      <c r="B214" s="54">
        <v>231.0</v>
      </c>
      <c r="C214" s="8" t="s">
        <v>3912</v>
      </c>
      <c r="D214" s="8" t="s">
        <v>811</v>
      </c>
      <c r="E214" s="8" t="s">
        <v>819</v>
      </c>
      <c r="F214" s="8" t="s">
        <v>68</v>
      </c>
      <c r="G214" s="8" t="s">
        <v>1923</v>
      </c>
      <c r="H214" s="8" t="s">
        <v>819</v>
      </c>
      <c r="I214" s="55" t="s">
        <v>8163</v>
      </c>
      <c r="J214" s="56" t="s">
        <v>7724</v>
      </c>
      <c r="K214" s="22">
        <v>0.0</v>
      </c>
      <c r="L214" s="22">
        <f>+SUMIF('حركه المخزن الرئيسي اليوميه'!$F:$F,$H:$H,'حركه المخزن الرئيسي اليوميه'!$H:$H)</f>
        <v>0.0</v>
      </c>
      <c r="M214" s="22">
        <f>+SUMIF('حركه المخزن الرئيسي اليوميه'!$F:$F,$H:$H,'حركه المخزن الرئيسي اليوميه'!$I:$I)</f>
        <v>0.0</v>
      </c>
      <c r="N214" s="22">
        <f t="shared" si="11"/>
        <v>0.0</v>
      </c>
      <c r="O214" s="22">
        <f t="shared" si="10"/>
        <v>0.0</v>
      </c>
      <c r="P214" s="22">
        <f t="shared" si="12"/>
        <v>0.0</v>
      </c>
      <c r="Q214" s="57"/>
      <c r="R214" s="58"/>
    </row>
    <row r="215" spans="8:8" ht="15.0" hidden="1">
      <c r="B215" s="54">
        <v>232.0</v>
      </c>
      <c r="C215" s="8" t="s">
        <v>3912</v>
      </c>
      <c r="D215" s="8" t="s">
        <v>3497</v>
      </c>
      <c r="E215" s="8" t="s">
        <v>586</v>
      </c>
      <c r="F215" s="8" t="s">
        <v>68</v>
      </c>
      <c r="G215" s="8" t="s">
        <v>1862</v>
      </c>
      <c r="H215" s="8" t="s">
        <v>586</v>
      </c>
      <c r="I215" s="8" t="s">
        <v>8163</v>
      </c>
      <c r="J215" s="56" t="s">
        <v>7725</v>
      </c>
      <c r="K215" s="22">
        <v>1.0</v>
      </c>
      <c r="L215" s="22">
        <f>+SUMIF('حركه المخزن الرئيسي اليوميه'!$F:$F,$H:$H,'حركه المخزن الرئيسي اليوميه'!$H:$H)</f>
        <v>0.0</v>
      </c>
      <c r="M215" s="22">
        <f>+SUMIF('حركه المخزن الرئيسي اليوميه'!$F:$F,$H:$H,'حركه المخزن الرئيسي اليوميه'!$I:$I)</f>
        <v>0.0</v>
      </c>
      <c r="N215" s="22">
        <f t="shared" si="11"/>
        <v>1.0</v>
      </c>
      <c r="O215" s="22">
        <f t="shared" si="10"/>
        <v>1.0</v>
      </c>
      <c r="P215" s="22">
        <f t="shared" si="12"/>
        <v>0.0</v>
      </c>
      <c r="Q215" s="57"/>
      <c r="R215" s="58"/>
    </row>
    <row r="216" spans="8:8" ht="15.0" hidden="1">
      <c r="B216" s="54">
        <v>233.0</v>
      </c>
      <c r="C216" s="8" t="s">
        <v>3912</v>
      </c>
      <c r="D216" s="8" t="s">
        <v>1013</v>
      </c>
      <c r="E216" s="8" t="s">
        <v>3696</v>
      </c>
      <c r="F216" s="8" t="s">
        <v>873</v>
      </c>
      <c r="G216" s="8"/>
      <c r="H216" s="8" t="s">
        <v>3696</v>
      </c>
      <c r="I216" s="8" t="s">
        <v>8163</v>
      </c>
      <c r="J216" s="56" t="s">
        <v>7726</v>
      </c>
      <c r="K216" s="22">
        <v>1.0</v>
      </c>
      <c r="L216" s="22">
        <f>+SUMIF('حركه المخزن الرئيسي اليوميه'!$F:$F,$H:$H,'حركه المخزن الرئيسي اليوميه'!$H:$H)</f>
        <v>0.0</v>
      </c>
      <c r="M216" s="22">
        <f>+SUMIF('حركه المخزن الرئيسي اليوميه'!$F:$F,$H:$H,'حركه المخزن الرئيسي اليوميه'!$I:$I)</f>
        <v>0.0</v>
      </c>
      <c r="N216" s="22">
        <f t="shared" si="11"/>
        <v>1.0</v>
      </c>
      <c r="O216" s="22">
        <f t="shared" si="10"/>
        <v>1.0</v>
      </c>
      <c r="P216" s="22">
        <f t="shared" si="12"/>
        <v>0.0</v>
      </c>
      <c r="Q216" s="57"/>
      <c r="R216" s="58"/>
    </row>
    <row r="217" spans="8:8" ht="15.0" hidden="1">
      <c r="B217" s="54">
        <v>234.0</v>
      </c>
      <c r="C217" s="8" t="s">
        <v>3912</v>
      </c>
      <c r="D217" s="8" t="s">
        <v>1013</v>
      </c>
      <c r="E217" s="8" t="s">
        <v>3858</v>
      </c>
      <c r="F217" s="8" t="s">
        <v>389</v>
      </c>
      <c r="G217" s="8"/>
      <c r="H217" s="8" t="s">
        <v>3858</v>
      </c>
      <c r="I217" s="55" t="s">
        <v>8163</v>
      </c>
      <c r="J217" s="56" t="s">
        <v>7727</v>
      </c>
      <c r="K217" s="22">
        <v>12.0</v>
      </c>
      <c r="L217" s="22">
        <f>+SUMIF('حركه المخزن الرئيسي اليوميه'!$F:$F,$H:$H,'حركه المخزن الرئيسي اليوميه'!$H:$H)</f>
        <v>0.0</v>
      </c>
      <c r="M217" s="22">
        <f>+SUMIF('حركه المخزن الرئيسي اليوميه'!$F:$F,$H:$H,'حركه المخزن الرئيسي اليوميه'!$I:$I)</f>
        <v>0.0</v>
      </c>
      <c r="N217" s="22">
        <f t="shared" si="11"/>
        <v>12.0</v>
      </c>
      <c r="O217" s="22">
        <f t="shared" si="10"/>
        <v>12.0</v>
      </c>
      <c r="P217" s="22">
        <f t="shared" si="12"/>
        <v>0.0</v>
      </c>
      <c r="Q217" s="57"/>
      <c r="R217" s="58"/>
    </row>
    <row r="218" spans="8:8" ht="15.0" hidden="1">
      <c r="B218" s="54">
        <v>235.0</v>
      </c>
      <c r="C218" s="8" t="s">
        <v>3912</v>
      </c>
      <c r="D218" s="8" t="s">
        <v>1013</v>
      </c>
      <c r="E218" s="8" t="s">
        <v>3887</v>
      </c>
      <c r="F218" s="8" t="s">
        <v>1573</v>
      </c>
      <c r="G218" s="8"/>
      <c r="H218" s="8" t="s">
        <v>3887</v>
      </c>
      <c r="I218" s="55" t="s">
        <v>8163</v>
      </c>
      <c r="J218" s="56" t="s">
        <v>7728</v>
      </c>
      <c r="K218" s="22">
        <v>0.0</v>
      </c>
      <c r="L218" s="22">
        <f>+SUMIF('حركه المخزن الرئيسي اليوميه'!$F:$F,$H:$H,'حركه المخزن الرئيسي اليوميه'!$H:$H)</f>
        <v>0.0</v>
      </c>
      <c r="M218" s="22">
        <f>+SUMIF('حركه المخزن الرئيسي اليوميه'!$F:$F,$H:$H,'حركه المخزن الرئيسي اليوميه'!$I:$I)</f>
        <v>0.0</v>
      </c>
      <c r="N218" s="22">
        <f t="shared" si="11"/>
        <v>0.0</v>
      </c>
      <c r="O218" s="22">
        <f t="shared" si="10"/>
        <v>0.0</v>
      </c>
      <c r="P218" s="22">
        <f t="shared" si="12"/>
        <v>0.0</v>
      </c>
      <c r="Q218" s="57"/>
      <c r="R218" s="58"/>
    </row>
    <row r="219" spans="8:8" ht="15.0" hidden="1">
      <c r="B219" s="54">
        <v>236.0</v>
      </c>
      <c r="C219" s="8" t="s">
        <v>3912</v>
      </c>
      <c r="D219" s="8" t="s">
        <v>1013</v>
      </c>
      <c r="E219" s="8" t="s">
        <v>3909</v>
      </c>
      <c r="F219" s="8" t="s">
        <v>1573</v>
      </c>
      <c r="G219" s="8"/>
      <c r="H219" s="8" t="s">
        <v>3909</v>
      </c>
      <c r="I219" s="55" t="s">
        <v>8163</v>
      </c>
      <c r="J219" s="56" t="s">
        <v>7729</v>
      </c>
      <c r="K219" s="22">
        <v>0.0</v>
      </c>
      <c r="L219" s="22">
        <f>+SUMIF('حركه المخزن الرئيسي اليوميه'!$F:$F,$H:$H,'حركه المخزن الرئيسي اليوميه'!$H:$H)</f>
        <v>0.0</v>
      </c>
      <c r="M219" s="22">
        <f>+SUMIF('حركه المخزن الرئيسي اليوميه'!$F:$F,$H:$H,'حركه المخزن الرئيسي اليوميه'!$I:$I)</f>
        <v>0.0</v>
      </c>
      <c r="N219" s="22">
        <f t="shared" si="11"/>
        <v>0.0</v>
      </c>
      <c r="O219" s="22">
        <f t="shared" si="10"/>
        <v>0.0</v>
      </c>
      <c r="P219" s="22">
        <f t="shared" si="12"/>
        <v>0.0</v>
      </c>
      <c r="Q219" s="57"/>
      <c r="R219" s="58"/>
    </row>
    <row r="220" spans="8:8" ht="15.0" hidden="1">
      <c r="B220" s="54">
        <v>237.0</v>
      </c>
      <c r="C220" s="8" t="s">
        <v>3912</v>
      </c>
      <c r="D220" s="8" t="s">
        <v>811</v>
      </c>
      <c r="E220" s="8" t="s">
        <v>388</v>
      </c>
      <c r="F220" s="8" t="s">
        <v>68</v>
      </c>
      <c r="G220" s="8" t="s">
        <v>2128</v>
      </c>
      <c r="H220" s="8" t="s">
        <v>2874</v>
      </c>
      <c r="I220" s="55" t="s">
        <v>8163</v>
      </c>
      <c r="J220" s="56" t="s">
        <v>7730</v>
      </c>
      <c r="K220" s="22">
        <v>4.0</v>
      </c>
      <c r="L220" s="22">
        <f>+SUMIF('حركه المخزن الرئيسي اليوميه'!$F:$F,$H:$H,'حركه المخزن الرئيسي اليوميه'!$H:$H)</f>
        <v>0.0</v>
      </c>
      <c r="M220" s="22">
        <f>+SUMIF('حركه المخزن الرئيسي اليوميه'!$F:$F,$H:$H,'حركه المخزن الرئيسي اليوميه'!$I:$I)</f>
        <v>0.0</v>
      </c>
      <c r="N220" s="22">
        <f t="shared" si="11"/>
        <v>4.0</v>
      </c>
      <c r="O220" s="22">
        <f t="shared" si="10"/>
        <v>4.0</v>
      </c>
      <c r="P220" s="22">
        <f t="shared" si="12"/>
        <v>0.0</v>
      </c>
      <c r="Q220" s="57"/>
      <c r="R220" s="58"/>
    </row>
    <row r="221" spans="8:8" ht="15.0" hidden="1">
      <c r="B221" s="54">
        <v>238.0</v>
      </c>
      <c r="C221" s="8" t="s">
        <v>3912</v>
      </c>
      <c r="D221" s="8" t="s">
        <v>1013</v>
      </c>
      <c r="E221" s="8" t="s">
        <v>3373</v>
      </c>
      <c r="F221" s="8" t="s">
        <v>1573</v>
      </c>
      <c r="G221" s="8"/>
      <c r="H221" s="8" t="s">
        <v>3373</v>
      </c>
      <c r="I221" s="55" t="s">
        <v>8163</v>
      </c>
      <c r="J221" s="56" t="s">
        <v>7731</v>
      </c>
      <c r="K221" s="22">
        <v>1.0</v>
      </c>
      <c r="L221" s="22">
        <f>+SUMIF('حركه المخزن الرئيسي اليوميه'!$F:$F,$H:$H,'حركه المخزن الرئيسي اليوميه'!$H:$H)</f>
        <v>0.0</v>
      </c>
      <c r="M221" s="22">
        <f>+SUMIF('حركه المخزن الرئيسي اليوميه'!$F:$F,$H:$H,'حركه المخزن الرئيسي اليوميه'!$I:$I)</f>
        <v>0.0</v>
      </c>
      <c r="N221" s="22">
        <f t="shared" si="11"/>
        <v>1.0</v>
      </c>
      <c r="O221" s="22">
        <f t="shared" si="10"/>
        <v>1.0</v>
      </c>
      <c r="P221" s="22">
        <f t="shared" si="12"/>
        <v>0.0</v>
      </c>
      <c r="Q221" s="57"/>
      <c r="R221" s="58"/>
    </row>
    <row r="222" spans="8:8" ht="15.0" hidden="1">
      <c r="B222" s="54">
        <v>239.0</v>
      </c>
      <c r="C222" s="8"/>
      <c r="D222" s="55"/>
      <c r="E222" s="8"/>
      <c r="F222" s="8"/>
      <c r="G222" s="8"/>
      <c r="H222" s="8"/>
      <c r="I222" s="55"/>
      <c r="J222" s="56" t="s">
        <v>7732</v>
      </c>
      <c r="K222" s="22">
        <v>0.0</v>
      </c>
      <c r="L222" s="22">
        <f>+SUMIF('حركه المخزن الرئيسي اليوميه'!$F:$F,$H:$H,'حركه المخزن الرئيسي اليوميه'!$H:$H)</f>
        <v>0.0</v>
      </c>
      <c r="M222" s="22">
        <f>+SUMIF('حركه المخزن الرئيسي اليوميه'!$F:$F,$H:$H,'حركه المخزن الرئيسي اليوميه'!$I:$I)</f>
        <v>0.0</v>
      </c>
      <c r="N222" s="22">
        <f t="shared" si="11"/>
        <v>0.0</v>
      </c>
      <c r="O222" s="22">
        <f t="shared" si="10"/>
        <v>0.0</v>
      </c>
      <c r="P222" s="22">
        <f t="shared" si="12"/>
        <v>0.0</v>
      </c>
      <c r="Q222" s="57"/>
      <c r="R222" s="58"/>
    </row>
    <row r="223" spans="8:8" ht="15.0" hidden="1">
      <c r="B223" s="54">
        <v>240.0</v>
      </c>
      <c r="C223" s="8"/>
      <c r="D223" s="55"/>
      <c r="E223" s="8"/>
      <c r="F223" s="8"/>
      <c r="G223" s="8"/>
      <c r="H223" s="8"/>
      <c r="I223" s="55"/>
      <c r="J223" s="56" t="s">
        <v>7733</v>
      </c>
      <c r="K223" s="22">
        <v>0.0</v>
      </c>
      <c r="L223" s="22">
        <f>+SUMIF('حركه المخزن الرئيسي اليوميه'!$F:$F,$H:$H,'حركه المخزن الرئيسي اليوميه'!$H:$H)</f>
        <v>0.0</v>
      </c>
      <c r="M223" s="22">
        <f>+SUMIF('حركه المخزن الرئيسي اليوميه'!$F:$F,$H:$H,'حركه المخزن الرئيسي اليوميه'!$I:$I)</f>
        <v>0.0</v>
      </c>
      <c r="N223" s="22">
        <f t="shared" si="11"/>
        <v>0.0</v>
      </c>
      <c r="O223" s="22">
        <f t="shared" si="10"/>
        <v>0.0</v>
      </c>
      <c r="P223" s="22">
        <f t="shared" si="12"/>
        <v>0.0</v>
      </c>
      <c r="Q223" s="57"/>
      <c r="R223" s="58"/>
    </row>
    <row r="224" spans="8:8" ht="15.0" hidden="1">
      <c r="B224" s="54">
        <v>241.0</v>
      </c>
      <c r="C224" s="8"/>
      <c r="D224" s="55"/>
      <c r="E224" s="8"/>
      <c r="F224" s="8"/>
      <c r="G224" s="8"/>
      <c r="H224" s="8"/>
      <c r="I224" s="55"/>
      <c r="J224" s="56" t="s">
        <v>7734</v>
      </c>
      <c r="K224" s="22">
        <v>0.0</v>
      </c>
      <c r="L224" s="22">
        <f>+SUMIF('حركه المخزن الرئيسي اليوميه'!$F:$F,$H:$H,'حركه المخزن الرئيسي اليوميه'!$H:$H)</f>
        <v>0.0</v>
      </c>
      <c r="M224" s="22">
        <f>+SUMIF('حركه المخزن الرئيسي اليوميه'!$F:$F,$H:$H,'حركه المخزن الرئيسي اليوميه'!$I:$I)</f>
        <v>0.0</v>
      </c>
      <c r="N224" s="22">
        <f t="shared" si="11"/>
        <v>0.0</v>
      </c>
      <c r="O224" s="22">
        <f t="shared" si="10"/>
        <v>0.0</v>
      </c>
      <c r="P224" s="22">
        <f t="shared" si="12"/>
        <v>0.0</v>
      </c>
      <c r="Q224" s="57"/>
      <c r="R224" s="58"/>
    </row>
    <row r="225" spans="8:8" ht="15.0" hidden="1">
      <c r="B225" s="54">
        <v>242.0</v>
      </c>
      <c r="C225" s="8"/>
      <c r="D225" s="55"/>
      <c r="E225" s="8"/>
      <c r="F225" s="8"/>
      <c r="G225" s="8"/>
      <c r="H225" s="8"/>
      <c r="I225" s="55"/>
      <c r="J225" s="56" t="s">
        <v>7735</v>
      </c>
      <c r="K225" s="22">
        <v>0.0</v>
      </c>
      <c r="L225" s="22">
        <f>+SUMIF('حركه المخزن الرئيسي اليوميه'!$F:$F,$H:$H,'حركه المخزن الرئيسي اليوميه'!$H:$H)</f>
        <v>0.0</v>
      </c>
      <c r="M225" s="22">
        <f>+SUMIF('حركه المخزن الرئيسي اليوميه'!$F:$F,$H:$H,'حركه المخزن الرئيسي اليوميه'!$I:$I)</f>
        <v>0.0</v>
      </c>
      <c r="N225" s="22">
        <f t="shared" si="11"/>
        <v>0.0</v>
      </c>
      <c r="O225" s="22">
        <f t="shared" si="10"/>
        <v>0.0</v>
      </c>
      <c r="P225" s="22">
        <f t="shared" si="12"/>
        <v>0.0</v>
      </c>
      <c r="Q225" s="57"/>
      <c r="R225" s="58"/>
    </row>
    <row r="226" spans="8:8" ht="15.0" hidden="1">
      <c r="B226" s="54">
        <v>243.0</v>
      </c>
      <c r="C226" s="8"/>
      <c r="D226" s="55"/>
      <c r="E226" s="8"/>
      <c r="F226" s="8"/>
      <c r="G226" s="8"/>
      <c r="H226" s="8"/>
      <c r="I226" s="55"/>
      <c r="J226" s="56" t="s">
        <v>7736</v>
      </c>
      <c r="K226" s="22">
        <v>0.0</v>
      </c>
      <c r="L226" s="22">
        <f>+SUMIF('حركه المخزن الرئيسي اليوميه'!$F:$F,$H:$H,'حركه المخزن الرئيسي اليوميه'!$H:$H)</f>
        <v>0.0</v>
      </c>
      <c r="M226" s="22">
        <f>+SUMIF('حركه المخزن الرئيسي اليوميه'!$F:$F,$H:$H,'حركه المخزن الرئيسي اليوميه'!$I:$I)</f>
        <v>0.0</v>
      </c>
      <c r="N226" s="22">
        <f t="shared" si="11"/>
        <v>0.0</v>
      </c>
      <c r="O226" s="22">
        <f t="shared" si="13" ref="O226:O289">+N226</f>
        <v>0.0</v>
      </c>
      <c r="P226" s="22">
        <f t="shared" si="12"/>
        <v>0.0</v>
      </c>
      <c r="Q226" s="57"/>
      <c r="R226" s="58"/>
    </row>
    <row r="227" spans="8:8" ht="15.0" hidden="1">
      <c r="B227" s="54">
        <v>244.0</v>
      </c>
      <c r="C227" s="8"/>
      <c r="D227" s="55"/>
      <c r="E227" s="8"/>
      <c r="F227" s="8"/>
      <c r="G227" s="8"/>
      <c r="H227" s="8"/>
      <c r="I227" s="55"/>
      <c r="J227" s="56" t="s">
        <v>7737</v>
      </c>
      <c r="K227" s="22">
        <v>0.0</v>
      </c>
      <c r="L227" s="22">
        <f>+SUMIF('حركه المخزن الرئيسي اليوميه'!$F:$F,$H:$H,'حركه المخزن الرئيسي اليوميه'!$H:$H)</f>
        <v>0.0</v>
      </c>
      <c r="M227" s="22">
        <f>+SUMIF('حركه المخزن الرئيسي اليوميه'!$F:$F,$H:$H,'حركه المخزن الرئيسي اليوميه'!$I:$I)</f>
        <v>0.0</v>
      </c>
      <c r="N227" s="22">
        <f t="shared" si="11"/>
        <v>0.0</v>
      </c>
      <c r="O227" s="22">
        <f t="shared" si="13"/>
        <v>0.0</v>
      </c>
      <c r="P227" s="22">
        <f t="shared" si="12"/>
        <v>0.0</v>
      </c>
      <c r="Q227" s="57"/>
      <c r="R227" s="58"/>
    </row>
    <row r="228" spans="8:8" ht="15.0" hidden="1">
      <c r="B228" s="54">
        <v>245.0</v>
      </c>
      <c r="C228" s="8"/>
      <c r="D228" s="55"/>
      <c r="E228" s="8"/>
      <c r="F228" s="8"/>
      <c r="G228" s="8"/>
      <c r="H228" s="8"/>
      <c r="I228" s="55"/>
      <c r="J228" s="56" t="s">
        <v>7738</v>
      </c>
      <c r="K228" s="22">
        <v>0.0</v>
      </c>
      <c r="L228" s="22">
        <f>+SUMIF('حركه المخزن الرئيسي اليوميه'!$F:$F,$H:$H,'حركه المخزن الرئيسي اليوميه'!$H:$H)</f>
        <v>0.0</v>
      </c>
      <c r="M228" s="22">
        <f>+SUMIF('حركه المخزن الرئيسي اليوميه'!$F:$F,$H:$H,'حركه المخزن الرئيسي اليوميه'!$I:$I)</f>
        <v>0.0</v>
      </c>
      <c r="N228" s="22">
        <f t="shared" si="11"/>
        <v>0.0</v>
      </c>
      <c r="O228" s="22">
        <f t="shared" si="13"/>
        <v>0.0</v>
      </c>
      <c r="P228" s="22">
        <f t="shared" si="12"/>
        <v>0.0</v>
      </c>
      <c r="Q228" s="57"/>
      <c r="R228" s="58"/>
    </row>
    <row r="229" spans="8:8" ht="15.0" hidden="1">
      <c r="B229" s="54">
        <v>246.0</v>
      </c>
      <c r="C229" s="8"/>
      <c r="D229" s="55"/>
      <c r="E229" s="8"/>
      <c r="F229" s="8"/>
      <c r="G229" s="8"/>
      <c r="H229" s="8"/>
      <c r="I229" s="55"/>
      <c r="J229" s="56" t="s">
        <v>7739</v>
      </c>
      <c r="K229" s="22">
        <v>0.0</v>
      </c>
      <c r="L229" s="22">
        <f>+SUMIF('حركه المخزن الرئيسي اليوميه'!$F:$F,$H:$H,'حركه المخزن الرئيسي اليوميه'!$H:$H)</f>
        <v>0.0</v>
      </c>
      <c r="M229" s="22">
        <f>+SUMIF('حركه المخزن الرئيسي اليوميه'!$F:$F,$H:$H,'حركه المخزن الرئيسي اليوميه'!$I:$I)</f>
        <v>0.0</v>
      </c>
      <c r="N229" s="22">
        <f t="shared" si="11"/>
        <v>0.0</v>
      </c>
      <c r="O229" s="22">
        <f t="shared" si="13"/>
        <v>0.0</v>
      </c>
      <c r="P229" s="22">
        <f t="shared" si="12"/>
        <v>0.0</v>
      </c>
      <c r="Q229" s="57"/>
      <c r="R229" s="58"/>
    </row>
    <row r="230" spans="8:8" ht="15.0" hidden="1">
      <c r="B230" s="54">
        <v>247.0</v>
      </c>
      <c r="C230" s="8"/>
      <c r="D230" s="55"/>
      <c r="E230" s="8"/>
      <c r="F230" s="8"/>
      <c r="G230" s="8"/>
      <c r="H230" s="8"/>
      <c r="I230" s="55"/>
      <c r="J230" s="56" t="s">
        <v>7740</v>
      </c>
      <c r="K230" s="22">
        <v>0.0</v>
      </c>
      <c r="L230" s="22">
        <f>+SUMIF('حركه المخزن الرئيسي اليوميه'!$F:$F,$H:$H,'حركه المخزن الرئيسي اليوميه'!$H:$H)</f>
        <v>0.0</v>
      </c>
      <c r="M230" s="22">
        <f>+SUMIF('حركه المخزن الرئيسي اليوميه'!$F:$F,$H:$H,'حركه المخزن الرئيسي اليوميه'!$I:$I)</f>
        <v>0.0</v>
      </c>
      <c r="N230" s="22">
        <f t="shared" si="11"/>
        <v>0.0</v>
      </c>
      <c r="O230" s="22">
        <f t="shared" si="13"/>
        <v>0.0</v>
      </c>
      <c r="P230" s="22">
        <f t="shared" si="12"/>
        <v>0.0</v>
      </c>
      <c r="Q230" s="57"/>
      <c r="R230" s="58"/>
    </row>
    <row r="231" spans="8:8" ht="15.0" hidden="1">
      <c r="B231" s="54">
        <v>248.0</v>
      </c>
      <c r="C231" s="8"/>
      <c r="D231" s="55"/>
      <c r="E231" s="8"/>
      <c r="F231" s="8"/>
      <c r="G231" s="8"/>
      <c r="H231" s="8"/>
      <c r="I231" s="55"/>
      <c r="J231" s="56" t="s">
        <v>7741</v>
      </c>
      <c r="K231" s="22">
        <v>0.0</v>
      </c>
      <c r="L231" s="22">
        <f>+SUMIF('حركه المخزن الرئيسي اليوميه'!$F:$F,$H:$H,'حركه المخزن الرئيسي اليوميه'!$H:$H)</f>
        <v>0.0</v>
      </c>
      <c r="M231" s="22">
        <f>+SUMIF('حركه المخزن الرئيسي اليوميه'!$F:$F,$H:$H,'حركه المخزن الرئيسي اليوميه'!$I:$I)</f>
        <v>0.0</v>
      </c>
      <c r="N231" s="22">
        <f t="shared" si="11"/>
        <v>0.0</v>
      </c>
      <c r="O231" s="22">
        <f t="shared" si="13"/>
        <v>0.0</v>
      </c>
      <c r="P231" s="22">
        <f t="shared" si="12"/>
        <v>0.0</v>
      </c>
      <c r="Q231" s="57"/>
      <c r="R231" s="58"/>
    </row>
    <row r="232" spans="8:8" ht="15.0" hidden="1">
      <c r="B232" s="54">
        <v>249.0</v>
      </c>
      <c r="C232" s="8"/>
      <c r="D232" s="55"/>
      <c r="E232" s="8"/>
      <c r="F232" s="8"/>
      <c r="G232" s="8"/>
      <c r="H232" s="8"/>
      <c r="I232" s="55"/>
      <c r="J232" s="56" t="s">
        <v>7742</v>
      </c>
      <c r="K232" s="22">
        <v>0.0</v>
      </c>
      <c r="L232" s="22">
        <f>+SUMIF('حركه المخزن الرئيسي اليوميه'!$F:$F,$H:$H,'حركه المخزن الرئيسي اليوميه'!$H:$H)</f>
        <v>0.0</v>
      </c>
      <c r="M232" s="22">
        <f>+SUMIF('حركه المخزن الرئيسي اليوميه'!$F:$F,$H:$H,'حركه المخزن الرئيسي اليوميه'!$I:$I)</f>
        <v>0.0</v>
      </c>
      <c r="N232" s="22">
        <f t="shared" si="11"/>
        <v>0.0</v>
      </c>
      <c r="O232" s="22">
        <f t="shared" si="13"/>
        <v>0.0</v>
      </c>
      <c r="P232" s="22">
        <f t="shared" si="12"/>
        <v>0.0</v>
      </c>
      <c r="Q232" s="57"/>
      <c r="R232" s="58"/>
    </row>
    <row r="233" spans="8:8" ht="15.0" hidden="1">
      <c r="B233" s="54">
        <v>250.0</v>
      </c>
      <c r="C233" s="8"/>
      <c r="D233" s="55"/>
      <c r="E233" s="8"/>
      <c r="F233" s="8"/>
      <c r="G233" s="8"/>
      <c r="H233" s="8"/>
      <c r="I233" s="55"/>
      <c r="J233" s="56" t="s">
        <v>7743</v>
      </c>
      <c r="K233" s="22">
        <v>0.0</v>
      </c>
      <c r="L233" s="22">
        <f>+SUMIF('حركه المخزن الرئيسي اليوميه'!$F:$F,$H:$H,'حركه المخزن الرئيسي اليوميه'!$H:$H)</f>
        <v>0.0</v>
      </c>
      <c r="M233" s="22">
        <f>+SUMIF('حركه المخزن الرئيسي اليوميه'!$F:$F,$H:$H,'حركه المخزن الرئيسي اليوميه'!$I:$I)</f>
        <v>0.0</v>
      </c>
      <c r="N233" s="22">
        <f t="shared" si="11"/>
        <v>0.0</v>
      </c>
      <c r="O233" s="22">
        <f t="shared" si="13"/>
        <v>0.0</v>
      </c>
      <c r="P233" s="22">
        <f t="shared" si="12"/>
        <v>0.0</v>
      </c>
      <c r="Q233" s="57"/>
      <c r="R233" s="58"/>
    </row>
    <row r="234" spans="8:8" ht="15.0" hidden="1">
      <c r="B234" s="54">
        <v>251.0</v>
      </c>
      <c r="C234" s="8"/>
      <c r="D234" s="55"/>
      <c r="E234" s="8"/>
      <c r="F234" s="8"/>
      <c r="G234" s="8"/>
      <c r="H234" s="8"/>
      <c r="I234" s="55"/>
      <c r="J234" s="56" t="s">
        <v>7744</v>
      </c>
      <c r="K234" s="22">
        <v>0.0</v>
      </c>
      <c r="L234" s="22">
        <f>+SUMIF('حركه المخزن الرئيسي اليوميه'!$F:$F,$H:$H,'حركه المخزن الرئيسي اليوميه'!$H:$H)</f>
        <v>0.0</v>
      </c>
      <c r="M234" s="22">
        <f>+SUMIF('حركه المخزن الرئيسي اليوميه'!$F:$F,$H:$H,'حركه المخزن الرئيسي اليوميه'!$I:$I)</f>
        <v>0.0</v>
      </c>
      <c r="N234" s="22">
        <f t="shared" si="11"/>
        <v>0.0</v>
      </c>
      <c r="O234" s="22">
        <f t="shared" si="13"/>
        <v>0.0</v>
      </c>
      <c r="P234" s="22">
        <f t="shared" si="12"/>
        <v>0.0</v>
      </c>
      <c r="Q234" s="57"/>
      <c r="R234" s="58"/>
    </row>
    <row r="235" spans="8:8" ht="15.0" hidden="1">
      <c r="B235" s="54">
        <v>252.0</v>
      </c>
      <c r="C235" s="8"/>
      <c r="D235" s="55"/>
      <c r="E235" s="8"/>
      <c r="F235" s="8"/>
      <c r="G235" s="8"/>
      <c r="H235" s="8"/>
      <c r="I235" s="55"/>
      <c r="J235" s="56" t="s">
        <v>7745</v>
      </c>
      <c r="K235" s="22">
        <v>0.0</v>
      </c>
      <c r="L235" s="22">
        <f>+SUMIF('حركه المخزن الرئيسي اليوميه'!$F:$F,$H:$H,'حركه المخزن الرئيسي اليوميه'!$H:$H)</f>
        <v>0.0</v>
      </c>
      <c r="M235" s="22">
        <f>+SUMIF('حركه المخزن الرئيسي اليوميه'!$F:$F,$H:$H,'حركه المخزن الرئيسي اليوميه'!$I:$I)</f>
        <v>0.0</v>
      </c>
      <c r="N235" s="22">
        <f t="shared" si="11"/>
        <v>0.0</v>
      </c>
      <c r="O235" s="22">
        <f t="shared" si="13"/>
        <v>0.0</v>
      </c>
      <c r="P235" s="22">
        <f t="shared" si="12"/>
        <v>0.0</v>
      </c>
      <c r="Q235" s="57"/>
      <c r="R235" s="58"/>
    </row>
    <row r="236" spans="8:8" ht="15.0" hidden="1">
      <c r="B236" s="54">
        <v>253.0</v>
      </c>
      <c r="C236" s="8"/>
      <c r="D236" s="55"/>
      <c r="E236" s="8"/>
      <c r="F236" s="8"/>
      <c r="G236" s="8"/>
      <c r="H236" s="8"/>
      <c r="I236" s="55"/>
      <c r="J236" s="56" t="s">
        <v>7746</v>
      </c>
      <c r="K236" s="22">
        <v>0.0</v>
      </c>
      <c r="L236" s="22">
        <f>+SUMIF('حركه المخزن الرئيسي اليوميه'!$F:$F,$H:$H,'حركه المخزن الرئيسي اليوميه'!$H:$H)</f>
        <v>0.0</v>
      </c>
      <c r="M236" s="22">
        <f>+SUMIF('حركه المخزن الرئيسي اليوميه'!$F:$F,$H:$H,'حركه المخزن الرئيسي اليوميه'!$I:$I)</f>
        <v>0.0</v>
      </c>
      <c r="N236" s="22">
        <f t="shared" si="11"/>
        <v>0.0</v>
      </c>
      <c r="O236" s="22">
        <f t="shared" si="13"/>
        <v>0.0</v>
      </c>
      <c r="P236" s="22">
        <f t="shared" si="12"/>
        <v>0.0</v>
      </c>
      <c r="Q236" s="57"/>
      <c r="R236" s="58"/>
    </row>
    <row r="237" spans="8:8" ht="15.0" hidden="1">
      <c r="B237" s="54">
        <v>254.0</v>
      </c>
      <c r="C237" s="8"/>
      <c r="D237" s="55"/>
      <c r="E237" s="8"/>
      <c r="F237" s="8"/>
      <c r="G237" s="8"/>
      <c r="H237" s="8"/>
      <c r="I237" s="55"/>
      <c r="J237" s="56" t="s">
        <v>7747</v>
      </c>
      <c r="K237" s="22">
        <v>0.0</v>
      </c>
      <c r="L237" s="22">
        <f>+SUMIF('حركه المخزن الرئيسي اليوميه'!$F:$F,$H:$H,'حركه المخزن الرئيسي اليوميه'!$H:$H)</f>
        <v>0.0</v>
      </c>
      <c r="M237" s="22">
        <f>+SUMIF('حركه المخزن الرئيسي اليوميه'!$F:$F,$H:$H,'حركه المخزن الرئيسي اليوميه'!$I:$I)</f>
        <v>0.0</v>
      </c>
      <c r="N237" s="22">
        <f t="shared" si="11"/>
        <v>0.0</v>
      </c>
      <c r="O237" s="22">
        <f t="shared" si="13"/>
        <v>0.0</v>
      </c>
      <c r="P237" s="22">
        <f t="shared" si="12"/>
        <v>0.0</v>
      </c>
      <c r="Q237" s="57"/>
      <c r="R237" s="58"/>
    </row>
    <row r="238" spans="8:8" ht="15.0" hidden="1">
      <c r="B238" s="54">
        <v>255.0</v>
      </c>
      <c r="C238" s="8"/>
      <c r="D238" s="55"/>
      <c r="E238" s="8"/>
      <c r="F238" s="8"/>
      <c r="G238" s="8"/>
      <c r="H238" s="8"/>
      <c r="I238" s="55"/>
      <c r="J238" s="56" t="s">
        <v>7748</v>
      </c>
      <c r="K238" s="22">
        <v>0.0</v>
      </c>
      <c r="L238" s="22">
        <f>+SUMIF('حركه المخزن الرئيسي اليوميه'!$F:$F,$H:$H,'حركه المخزن الرئيسي اليوميه'!$H:$H)</f>
        <v>0.0</v>
      </c>
      <c r="M238" s="22">
        <f>+SUMIF('حركه المخزن الرئيسي اليوميه'!$F:$F,$H:$H,'حركه المخزن الرئيسي اليوميه'!$I:$I)</f>
        <v>0.0</v>
      </c>
      <c r="N238" s="22">
        <f t="shared" si="11"/>
        <v>0.0</v>
      </c>
      <c r="O238" s="22">
        <f t="shared" si="13"/>
        <v>0.0</v>
      </c>
      <c r="P238" s="22">
        <f t="shared" si="12"/>
        <v>0.0</v>
      </c>
      <c r="Q238" s="57"/>
      <c r="R238" s="58"/>
    </row>
    <row r="239" spans="8:8" ht="15.0" hidden="1">
      <c r="B239" s="54">
        <v>256.0</v>
      </c>
      <c r="C239" s="8"/>
      <c r="D239" s="55"/>
      <c r="E239" s="8"/>
      <c r="F239" s="8"/>
      <c r="G239" s="8"/>
      <c r="H239" s="8"/>
      <c r="I239" s="55"/>
      <c r="J239" s="56" t="s">
        <v>7749</v>
      </c>
      <c r="K239" s="22">
        <v>0.0</v>
      </c>
      <c r="L239" s="22">
        <f>+SUMIF('حركه المخزن الرئيسي اليوميه'!$F:$F,$H:$H,'حركه المخزن الرئيسي اليوميه'!$H:$H)</f>
        <v>0.0</v>
      </c>
      <c r="M239" s="22">
        <f>+SUMIF('حركه المخزن الرئيسي اليوميه'!$F:$F,$H:$H,'حركه المخزن الرئيسي اليوميه'!$I:$I)</f>
        <v>0.0</v>
      </c>
      <c r="N239" s="22">
        <f t="shared" si="11"/>
        <v>0.0</v>
      </c>
      <c r="O239" s="22">
        <f t="shared" si="13"/>
        <v>0.0</v>
      </c>
      <c r="P239" s="22">
        <f t="shared" si="12"/>
        <v>0.0</v>
      </c>
      <c r="Q239" s="57"/>
      <c r="R239" s="58"/>
    </row>
    <row r="240" spans="8:8" ht="15.0" hidden="1">
      <c r="B240" s="54">
        <v>257.0</v>
      </c>
      <c r="C240" s="8"/>
      <c r="D240" s="55"/>
      <c r="E240" s="8"/>
      <c r="F240" s="8"/>
      <c r="G240" s="8"/>
      <c r="H240" s="8"/>
      <c r="I240" s="55"/>
      <c r="J240" s="56" t="s">
        <v>7750</v>
      </c>
      <c r="K240" s="22">
        <v>0.0</v>
      </c>
      <c r="L240" s="22">
        <f>+SUMIF('حركه المخزن الرئيسي اليوميه'!$F:$F,$H:$H,'حركه المخزن الرئيسي اليوميه'!$H:$H)</f>
        <v>0.0</v>
      </c>
      <c r="M240" s="22">
        <f>+SUMIF('حركه المخزن الرئيسي اليوميه'!$F:$F,$H:$H,'حركه المخزن الرئيسي اليوميه'!$I:$I)</f>
        <v>0.0</v>
      </c>
      <c r="N240" s="22">
        <f t="shared" si="11"/>
        <v>0.0</v>
      </c>
      <c r="O240" s="22">
        <f t="shared" si="13"/>
        <v>0.0</v>
      </c>
      <c r="P240" s="22">
        <f t="shared" si="12"/>
        <v>0.0</v>
      </c>
      <c r="Q240" s="57"/>
      <c r="R240" s="58"/>
    </row>
    <row r="241" spans="8:8" ht="15.0" hidden="1">
      <c r="B241" s="54">
        <v>258.0</v>
      </c>
      <c r="C241" s="8"/>
      <c r="D241" s="55"/>
      <c r="E241" s="8"/>
      <c r="F241" s="8"/>
      <c r="G241" s="8"/>
      <c r="H241" s="8"/>
      <c r="I241" s="55"/>
      <c r="J241" s="56" t="s">
        <v>7751</v>
      </c>
      <c r="K241" s="22">
        <v>0.0</v>
      </c>
      <c r="L241" s="22">
        <f>+SUMIF('حركه المخزن الرئيسي اليوميه'!$F:$F,$H:$H,'حركه المخزن الرئيسي اليوميه'!$H:$H)</f>
        <v>0.0</v>
      </c>
      <c r="M241" s="22">
        <f>+SUMIF('حركه المخزن الرئيسي اليوميه'!$F:$F,$H:$H,'حركه المخزن الرئيسي اليوميه'!$I:$I)</f>
        <v>0.0</v>
      </c>
      <c r="N241" s="22">
        <f t="shared" si="11"/>
        <v>0.0</v>
      </c>
      <c r="O241" s="22">
        <f t="shared" si="13"/>
        <v>0.0</v>
      </c>
      <c r="P241" s="22">
        <f t="shared" si="12"/>
        <v>0.0</v>
      </c>
      <c r="Q241" s="57"/>
      <c r="R241" s="58"/>
    </row>
    <row r="242" spans="8:8" ht="15.0" hidden="1">
      <c r="B242" s="54">
        <v>259.0</v>
      </c>
      <c r="C242" s="8"/>
      <c r="D242" s="55"/>
      <c r="E242" s="8"/>
      <c r="F242" s="8"/>
      <c r="G242" s="8"/>
      <c r="H242" s="8"/>
      <c r="I242" s="55"/>
      <c r="J242" s="56" t="s">
        <v>7752</v>
      </c>
      <c r="K242" s="22">
        <v>0.0</v>
      </c>
      <c r="L242" s="22">
        <f>+SUMIF('حركه المخزن الرئيسي اليوميه'!$F:$F,$H:$H,'حركه المخزن الرئيسي اليوميه'!$H:$H)</f>
        <v>0.0</v>
      </c>
      <c r="M242" s="22">
        <f>+SUMIF('حركه المخزن الرئيسي اليوميه'!$F:$F,$H:$H,'حركه المخزن الرئيسي اليوميه'!$I:$I)</f>
        <v>0.0</v>
      </c>
      <c r="N242" s="22">
        <f t="shared" si="11"/>
        <v>0.0</v>
      </c>
      <c r="O242" s="22">
        <f t="shared" si="13"/>
        <v>0.0</v>
      </c>
      <c r="P242" s="22">
        <f t="shared" si="12"/>
        <v>0.0</v>
      </c>
      <c r="Q242" s="57"/>
      <c r="R242" s="58"/>
    </row>
    <row r="243" spans="8:8" ht="15.0" hidden="1">
      <c r="B243" s="54">
        <v>260.0</v>
      </c>
      <c r="C243" s="8"/>
      <c r="D243" s="8"/>
      <c r="E243" s="8"/>
      <c r="F243" s="8"/>
      <c r="G243" s="8"/>
      <c r="H243" s="8"/>
      <c r="I243" s="55"/>
      <c r="J243" s="56" t="s">
        <v>7753</v>
      </c>
      <c r="K243" s="22">
        <v>0.0</v>
      </c>
      <c r="L243" s="22">
        <f>+SUMIF('حركه المخزن الرئيسي اليوميه'!$F:$F,$H:$H,'حركه المخزن الرئيسي اليوميه'!$H:$H)</f>
        <v>0.0</v>
      </c>
      <c r="M243" s="22">
        <f>+SUMIF('حركه المخزن الرئيسي اليوميه'!$F:$F,$H:$H,'حركه المخزن الرئيسي اليوميه'!$I:$I)</f>
        <v>0.0</v>
      </c>
      <c r="N243" s="22">
        <f t="shared" si="11"/>
        <v>0.0</v>
      </c>
      <c r="O243" s="22">
        <f t="shared" si="13"/>
        <v>0.0</v>
      </c>
      <c r="P243" s="22">
        <f t="shared" si="12"/>
        <v>0.0</v>
      </c>
      <c r="Q243" s="57"/>
      <c r="R243" s="58"/>
    </row>
    <row r="244" spans="8:8" ht="15.0" hidden="1">
      <c r="B244" s="54">
        <v>261.0</v>
      </c>
      <c r="C244" s="8"/>
      <c r="D244" s="8"/>
      <c r="E244" s="8"/>
      <c r="F244" s="8"/>
      <c r="G244" s="8"/>
      <c r="H244" s="8"/>
      <c r="I244" s="55"/>
      <c r="J244" s="56" t="s">
        <v>7754</v>
      </c>
      <c r="K244" s="22">
        <v>0.0</v>
      </c>
      <c r="L244" s="22">
        <f>+SUMIF('حركه المخزن الرئيسي اليوميه'!$F:$F,$H:$H,'حركه المخزن الرئيسي اليوميه'!$H:$H)</f>
        <v>0.0</v>
      </c>
      <c r="M244" s="22">
        <f>+SUMIF('حركه المخزن الرئيسي اليوميه'!$F:$F,$H:$H,'حركه المخزن الرئيسي اليوميه'!$I:$I)</f>
        <v>0.0</v>
      </c>
      <c r="N244" s="22">
        <f t="shared" si="11"/>
        <v>0.0</v>
      </c>
      <c r="O244" s="22">
        <f t="shared" si="13"/>
        <v>0.0</v>
      </c>
      <c r="P244" s="22">
        <f t="shared" si="12"/>
        <v>0.0</v>
      </c>
      <c r="Q244" s="57"/>
      <c r="R244" s="58"/>
    </row>
    <row r="245" spans="8:8" ht="15.0" hidden="1">
      <c r="B245" s="54">
        <v>262.0</v>
      </c>
      <c r="C245" s="8"/>
      <c r="D245" s="55"/>
      <c r="E245" s="8"/>
      <c r="F245" s="8"/>
      <c r="G245" s="8"/>
      <c r="H245" s="8"/>
      <c r="I245" s="55"/>
      <c r="J245" s="56" t="s">
        <v>7755</v>
      </c>
      <c r="K245" s="22">
        <v>0.0</v>
      </c>
      <c r="L245" s="22">
        <f>+SUMIF('حركه المخزن الرئيسي اليوميه'!$F:$F,$H:$H,'حركه المخزن الرئيسي اليوميه'!$H:$H)</f>
        <v>0.0</v>
      </c>
      <c r="M245" s="22">
        <f>+SUMIF('حركه المخزن الرئيسي اليوميه'!$F:$F,$H:$H,'حركه المخزن الرئيسي اليوميه'!$I:$I)</f>
        <v>0.0</v>
      </c>
      <c r="N245" s="22">
        <f t="shared" si="11"/>
        <v>0.0</v>
      </c>
      <c r="O245" s="22">
        <f t="shared" si="13"/>
        <v>0.0</v>
      </c>
      <c r="P245" s="22">
        <f t="shared" si="12"/>
        <v>0.0</v>
      </c>
      <c r="Q245" s="57"/>
      <c r="R245" s="58"/>
    </row>
    <row r="246" spans="8:8" ht="15.0" hidden="1">
      <c r="B246" s="54">
        <v>263.0</v>
      </c>
      <c r="C246" s="8"/>
      <c r="D246" s="55"/>
      <c r="E246" s="8"/>
      <c r="F246" s="8"/>
      <c r="G246" s="8"/>
      <c r="H246" s="8"/>
      <c r="I246" s="55"/>
      <c r="J246" s="56" t="s">
        <v>7756</v>
      </c>
      <c r="K246" s="22">
        <v>0.0</v>
      </c>
      <c r="L246" s="22">
        <f>+SUMIF('حركه المخزن الرئيسي اليوميه'!$F:$F,$H:$H,'حركه المخزن الرئيسي اليوميه'!$H:$H)</f>
        <v>0.0</v>
      </c>
      <c r="M246" s="22">
        <f>+SUMIF('حركه المخزن الرئيسي اليوميه'!$F:$F,$H:$H,'حركه المخزن الرئيسي اليوميه'!$I:$I)</f>
        <v>0.0</v>
      </c>
      <c r="N246" s="22">
        <f t="shared" si="11"/>
        <v>0.0</v>
      </c>
      <c r="O246" s="22">
        <f t="shared" si="13"/>
        <v>0.0</v>
      </c>
      <c r="P246" s="22">
        <f t="shared" si="12"/>
        <v>0.0</v>
      </c>
      <c r="Q246" s="57"/>
      <c r="R246" s="58"/>
    </row>
    <row r="247" spans="8:8" ht="15.0" hidden="1">
      <c r="B247" s="54">
        <v>264.0</v>
      </c>
      <c r="C247" s="8"/>
      <c r="D247" s="55"/>
      <c r="E247" s="8"/>
      <c r="F247" s="8"/>
      <c r="G247" s="8"/>
      <c r="H247" s="8"/>
      <c r="I247" s="55"/>
      <c r="J247" s="56" t="s">
        <v>7757</v>
      </c>
      <c r="K247" s="22">
        <v>0.0</v>
      </c>
      <c r="L247" s="22">
        <f>+SUMIF('حركه المخزن الرئيسي اليوميه'!$F:$F,$H:$H,'حركه المخزن الرئيسي اليوميه'!$H:$H)</f>
        <v>0.0</v>
      </c>
      <c r="M247" s="22">
        <f>+SUMIF('حركه المخزن الرئيسي اليوميه'!$F:$F,$H:$H,'حركه المخزن الرئيسي اليوميه'!$I:$I)</f>
        <v>0.0</v>
      </c>
      <c r="N247" s="22">
        <f t="shared" si="11"/>
        <v>0.0</v>
      </c>
      <c r="O247" s="22">
        <f t="shared" si="13"/>
        <v>0.0</v>
      </c>
      <c r="P247" s="22">
        <f t="shared" si="12"/>
        <v>0.0</v>
      </c>
      <c r="Q247" s="57"/>
      <c r="R247" s="58"/>
    </row>
    <row r="248" spans="8:8" ht="15.0" hidden="1">
      <c r="B248" s="54">
        <v>265.0</v>
      </c>
      <c r="C248" s="8"/>
      <c r="D248" s="55"/>
      <c r="E248" s="8"/>
      <c r="F248" s="8"/>
      <c r="G248" s="8"/>
      <c r="H248" s="8"/>
      <c r="I248" s="55"/>
      <c r="J248" s="56" t="s">
        <v>7758</v>
      </c>
      <c r="K248" s="22">
        <v>0.0</v>
      </c>
      <c r="L248" s="22">
        <f>+SUMIF('حركه المخزن الرئيسي اليوميه'!$F:$F,$H:$H,'حركه المخزن الرئيسي اليوميه'!$H:$H)</f>
        <v>0.0</v>
      </c>
      <c r="M248" s="22">
        <f>+SUMIF('حركه المخزن الرئيسي اليوميه'!$F:$F,$H:$H,'حركه المخزن الرئيسي اليوميه'!$I:$I)</f>
        <v>0.0</v>
      </c>
      <c r="N248" s="22">
        <f t="shared" si="11"/>
        <v>0.0</v>
      </c>
      <c r="O248" s="22">
        <f t="shared" si="13"/>
        <v>0.0</v>
      </c>
      <c r="P248" s="22">
        <f t="shared" si="12"/>
        <v>0.0</v>
      </c>
      <c r="Q248" s="57"/>
      <c r="R248" s="58"/>
    </row>
    <row r="249" spans="8:8" ht="15.0" hidden="1">
      <c r="B249" s="54">
        <v>266.0</v>
      </c>
      <c r="C249" s="8"/>
      <c r="D249" s="55"/>
      <c r="E249" s="8"/>
      <c r="F249" s="8"/>
      <c r="G249" s="8"/>
      <c r="H249" s="8"/>
      <c r="I249" s="55"/>
      <c r="J249" s="56" t="s">
        <v>7759</v>
      </c>
      <c r="K249" s="22">
        <v>0.0</v>
      </c>
      <c r="L249" s="22">
        <f>+SUMIF('حركه المخزن الرئيسي اليوميه'!$F:$F,$H:$H,'حركه المخزن الرئيسي اليوميه'!$H:$H)</f>
        <v>0.0</v>
      </c>
      <c r="M249" s="22">
        <f>+SUMIF('حركه المخزن الرئيسي اليوميه'!$F:$F,$H:$H,'حركه المخزن الرئيسي اليوميه'!$I:$I)</f>
        <v>0.0</v>
      </c>
      <c r="N249" s="22">
        <f t="shared" si="11"/>
        <v>0.0</v>
      </c>
      <c r="O249" s="22">
        <f t="shared" si="13"/>
        <v>0.0</v>
      </c>
      <c r="P249" s="22">
        <f t="shared" si="12"/>
        <v>0.0</v>
      </c>
      <c r="Q249" s="57"/>
      <c r="R249" s="58"/>
    </row>
    <row r="250" spans="8:8" ht="15.0" hidden="1">
      <c r="B250" s="54">
        <v>267.0</v>
      </c>
      <c r="C250" s="8"/>
      <c r="D250" s="8"/>
      <c r="E250" s="8"/>
      <c r="F250" s="8"/>
      <c r="G250" s="8"/>
      <c r="H250" s="8"/>
      <c r="I250" s="8"/>
      <c r="J250" s="56" t="s">
        <v>7760</v>
      </c>
      <c r="K250" s="22">
        <v>0.0</v>
      </c>
      <c r="L250" s="22">
        <f>+SUMIF('حركه المخزن الرئيسي اليوميه'!$F:$F,$H:$H,'حركه المخزن الرئيسي اليوميه'!$H:$H)</f>
        <v>0.0</v>
      </c>
      <c r="M250" s="22">
        <f>+SUMIF('حركه المخزن الرئيسي اليوميه'!$F:$F,$H:$H,'حركه المخزن الرئيسي اليوميه'!$I:$I)</f>
        <v>0.0</v>
      </c>
      <c r="N250" s="22">
        <f t="shared" si="11"/>
        <v>0.0</v>
      </c>
      <c r="O250" s="22">
        <f t="shared" si="13"/>
        <v>0.0</v>
      </c>
      <c r="P250" s="22">
        <f t="shared" si="12"/>
        <v>0.0</v>
      </c>
      <c r="Q250" s="57"/>
      <c r="R250" s="58"/>
    </row>
    <row r="251" spans="8:8" ht="15.0" hidden="1">
      <c r="B251" s="54">
        <v>268.0</v>
      </c>
      <c r="C251" s="8"/>
      <c r="D251" s="55"/>
      <c r="E251" s="8"/>
      <c r="F251" s="8"/>
      <c r="G251" s="8"/>
      <c r="H251" s="8"/>
      <c r="I251" s="55"/>
      <c r="J251" s="56" t="s">
        <v>7761</v>
      </c>
      <c r="K251" s="22">
        <v>0.0</v>
      </c>
      <c r="L251" s="22">
        <f>+SUMIF('حركه المخزن الرئيسي اليوميه'!$F:$F,$H:$H,'حركه المخزن الرئيسي اليوميه'!$H:$H)</f>
        <v>0.0</v>
      </c>
      <c r="M251" s="22">
        <f>+SUMIF('حركه المخزن الرئيسي اليوميه'!$F:$F,$H:$H,'حركه المخزن الرئيسي اليوميه'!$I:$I)</f>
        <v>0.0</v>
      </c>
      <c r="N251" s="22">
        <f t="shared" si="11"/>
        <v>0.0</v>
      </c>
      <c r="O251" s="22">
        <f t="shared" si="13"/>
        <v>0.0</v>
      </c>
      <c r="P251" s="22">
        <f t="shared" si="12"/>
        <v>0.0</v>
      </c>
      <c r="Q251" s="57"/>
      <c r="R251" s="58"/>
    </row>
    <row r="252" spans="8:8" ht="15.0" hidden="1">
      <c r="B252" s="54">
        <v>269.0</v>
      </c>
      <c r="C252" s="8"/>
      <c r="D252" s="55"/>
      <c r="E252" s="8"/>
      <c r="F252" s="8"/>
      <c r="G252" s="8"/>
      <c r="H252" s="8"/>
      <c r="I252" s="55"/>
      <c r="J252" s="56" t="s">
        <v>7762</v>
      </c>
      <c r="K252" s="22">
        <v>0.0</v>
      </c>
      <c r="L252" s="22">
        <f>+SUMIF('حركه المخزن الرئيسي اليوميه'!$F:$F,$H:$H,'حركه المخزن الرئيسي اليوميه'!$H:$H)</f>
        <v>0.0</v>
      </c>
      <c r="M252" s="22">
        <f>+SUMIF('حركه المخزن الرئيسي اليوميه'!$F:$F,$H:$H,'حركه المخزن الرئيسي اليوميه'!$I:$I)</f>
        <v>0.0</v>
      </c>
      <c r="N252" s="22">
        <f t="shared" si="11"/>
        <v>0.0</v>
      </c>
      <c r="O252" s="22">
        <f t="shared" si="13"/>
        <v>0.0</v>
      </c>
      <c r="P252" s="22">
        <f t="shared" si="12"/>
        <v>0.0</v>
      </c>
      <c r="Q252" s="57"/>
      <c r="R252" s="58"/>
    </row>
    <row r="253" spans="8:8" ht="15.0" hidden="1">
      <c r="B253" s="54">
        <v>270.0</v>
      </c>
      <c r="C253" s="8"/>
      <c r="D253" s="55"/>
      <c r="E253" s="8"/>
      <c r="F253" s="8"/>
      <c r="G253" s="8"/>
      <c r="H253" s="8"/>
      <c r="I253" s="55"/>
      <c r="J253" s="56" t="s">
        <v>7763</v>
      </c>
      <c r="K253" s="22">
        <v>0.0</v>
      </c>
      <c r="L253" s="22">
        <f>+SUMIF('حركه المخزن الرئيسي اليوميه'!$F:$F,$H:$H,'حركه المخزن الرئيسي اليوميه'!$H:$H)</f>
        <v>0.0</v>
      </c>
      <c r="M253" s="22">
        <f>+SUMIF('حركه المخزن الرئيسي اليوميه'!$F:$F,$H:$H,'حركه المخزن الرئيسي اليوميه'!$I:$I)</f>
        <v>0.0</v>
      </c>
      <c r="N253" s="22">
        <f t="shared" si="11"/>
        <v>0.0</v>
      </c>
      <c r="O253" s="22">
        <f t="shared" si="13"/>
        <v>0.0</v>
      </c>
      <c r="P253" s="22">
        <f t="shared" si="12"/>
        <v>0.0</v>
      </c>
      <c r="Q253" s="57"/>
      <c r="R253" s="58"/>
    </row>
    <row r="254" spans="8:8" ht="15.0" hidden="1">
      <c r="B254" s="54">
        <v>271.0</v>
      </c>
      <c r="C254" s="8"/>
      <c r="D254" s="55"/>
      <c r="E254" s="8"/>
      <c r="F254" s="8"/>
      <c r="G254" s="8"/>
      <c r="H254" s="8"/>
      <c r="I254" s="55"/>
      <c r="J254" s="56" t="s">
        <v>7764</v>
      </c>
      <c r="K254" s="22">
        <v>0.0</v>
      </c>
      <c r="L254" s="22">
        <f>+SUMIF('حركه المخزن الرئيسي اليوميه'!$F:$F,$H:$H,'حركه المخزن الرئيسي اليوميه'!$H:$H)</f>
        <v>0.0</v>
      </c>
      <c r="M254" s="22">
        <f>+SUMIF('حركه المخزن الرئيسي اليوميه'!$F:$F,$H:$H,'حركه المخزن الرئيسي اليوميه'!$I:$I)</f>
        <v>0.0</v>
      </c>
      <c r="N254" s="22">
        <f t="shared" si="11"/>
        <v>0.0</v>
      </c>
      <c r="O254" s="22">
        <f t="shared" si="13"/>
        <v>0.0</v>
      </c>
      <c r="P254" s="22">
        <f t="shared" si="12"/>
        <v>0.0</v>
      </c>
      <c r="Q254" s="57"/>
      <c r="R254" s="58"/>
    </row>
    <row r="255" spans="8:8" ht="15.0" hidden="1">
      <c r="B255" s="54">
        <v>272.0</v>
      </c>
      <c r="C255" s="8"/>
      <c r="D255" s="55"/>
      <c r="E255" s="8"/>
      <c r="F255" s="8"/>
      <c r="G255" s="8"/>
      <c r="H255" s="8"/>
      <c r="I255" s="55"/>
      <c r="J255" s="56" t="s">
        <v>7765</v>
      </c>
      <c r="K255" s="22">
        <v>0.0</v>
      </c>
      <c r="L255" s="22">
        <f>+SUMIF('حركه المخزن الرئيسي اليوميه'!$F:$F,$H:$H,'حركه المخزن الرئيسي اليوميه'!$H:$H)</f>
        <v>0.0</v>
      </c>
      <c r="M255" s="22">
        <f>+SUMIF('حركه المخزن الرئيسي اليوميه'!$F:$F,$H:$H,'حركه المخزن الرئيسي اليوميه'!$I:$I)</f>
        <v>0.0</v>
      </c>
      <c r="N255" s="22">
        <f t="shared" si="11"/>
        <v>0.0</v>
      </c>
      <c r="O255" s="22">
        <f t="shared" si="13"/>
        <v>0.0</v>
      </c>
      <c r="P255" s="22">
        <f t="shared" si="12"/>
        <v>0.0</v>
      </c>
      <c r="Q255" s="57"/>
      <c r="R255" s="58"/>
    </row>
    <row r="256" spans="8:8" ht="15.0" hidden="1">
      <c r="B256" s="54">
        <v>273.0</v>
      </c>
      <c r="C256" s="8"/>
      <c r="D256" s="55"/>
      <c r="E256" s="8"/>
      <c r="F256" s="8"/>
      <c r="G256" s="8"/>
      <c r="H256" s="8"/>
      <c r="I256" s="55"/>
      <c r="J256" s="56" t="s">
        <v>7766</v>
      </c>
      <c r="K256" s="22">
        <v>0.0</v>
      </c>
      <c r="L256" s="22">
        <f>+SUMIF('حركه المخزن الرئيسي اليوميه'!$F:$F,$H:$H,'حركه المخزن الرئيسي اليوميه'!$H:$H)</f>
        <v>0.0</v>
      </c>
      <c r="M256" s="22">
        <f>+SUMIF('حركه المخزن الرئيسي اليوميه'!$F:$F,$H:$H,'حركه المخزن الرئيسي اليوميه'!$I:$I)</f>
        <v>0.0</v>
      </c>
      <c r="N256" s="22">
        <f t="shared" si="11"/>
        <v>0.0</v>
      </c>
      <c r="O256" s="22">
        <f t="shared" si="13"/>
        <v>0.0</v>
      </c>
      <c r="P256" s="22">
        <f t="shared" si="12"/>
        <v>0.0</v>
      </c>
      <c r="Q256" s="57"/>
      <c r="R256" s="58"/>
    </row>
    <row r="257" spans="8:8" ht="15.0" hidden="1">
      <c r="B257" s="54">
        <v>274.0</v>
      </c>
      <c r="C257" s="8"/>
      <c r="D257" s="55"/>
      <c r="E257" s="8"/>
      <c r="F257" s="8"/>
      <c r="G257" s="8"/>
      <c r="H257" s="8"/>
      <c r="I257" s="55"/>
      <c r="J257" s="56" t="s">
        <v>7767</v>
      </c>
      <c r="K257" s="22">
        <v>0.0</v>
      </c>
      <c r="L257" s="22">
        <f>+SUMIF('حركه المخزن الرئيسي اليوميه'!$F:$F,$H:$H,'حركه المخزن الرئيسي اليوميه'!$H:$H)</f>
        <v>0.0</v>
      </c>
      <c r="M257" s="22">
        <f>+SUMIF('حركه المخزن الرئيسي اليوميه'!$F:$F,$H:$H,'حركه المخزن الرئيسي اليوميه'!$I:$I)</f>
        <v>0.0</v>
      </c>
      <c r="N257" s="22">
        <f t="shared" si="11"/>
        <v>0.0</v>
      </c>
      <c r="O257" s="22">
        <f t="shared" si="13"/>
        <v>0.0</v>
      </c>
      <c r="P257" s="22">
        <f t="shared" si="12"/>
        <v>0.0</v>
      </c>
      <c r="Q257" s="57"/>
      <c r="R257" s="58"/>
    </row>
    <row r="258" spans="8:8" ht="15.0" hidden="1">
      <c r="B258" s="54">
        <v>275.0</v>
      </c>
      <c r="C258" s="8"/>
      <c r="D258" s="55"/>
      <c r="E258" s="8"/>
      <c r="F258" s="8"/>
      <c r="G258" s="8"/>
      <c r="H258" s="8"/>
      <c r="I258" s="55"/>
      <c r="J258" s="56" t="s">
        <v>7768</v>
      </c>
      <c r="K258" s="22">
        <v>0.0</v>
      </c>
      <c r="L258" s="22">
        <f>+SUMIF('حركه المخزن الرئيسي اليوميه'!$F:$F,$H:$H,'حركه المخزن الرئيسي اليوميه'!$H:$H)</f>
        <v>0.0</v>
      </c>
      <c r="M258" s="22">
        <f>+SUMIF('حركه المخزن الرئيسي اليوميه'!$F:$F,$H:$H,'حركه المخزن الرئيسي اليوميه'!$I:$I)</f>
        <v>0.0</v>
      </c>
      <c r="N258" s="22">
        <f t="shared" si="11"/>
        <v>0.0</v>
      </c>
      <c r="O258" s="22">
        <f t="shared" si="13"/>
        <v>0.0</v>
      </c>
      <c r="P258" s="22">
        <f t="shared" si="12"/>
        <v>0.0</v>
      </c>
      <c r="Q258" s="57"/>
      <c r="R258" s="58"/>
    </row>
    <row r="259" spans="8:8" ht="15.0" hidden="1">
      <c r="B259" s="54">
        <v>276.0</v>
      </c>
      <c r="C259" s="8"/>
      <c r="D259" s="55"/>
      <c r="E259" s="8"/>
      <c r="F259" s="8"/>
      <c r="G259" s="8"/>
      <c r="H259" s="8"/>
      <c r="I259" s="55"/>
      <c r="J259" s="56" t="s">
        <v>7769</v>
      </c>
      <c r="K259" s="22">
        <v>0.0</v>
      </c>
      <c r="L259" s="22">
        <f>+SUMIF('حركه المخزن الرئيسي اليوميه'!$F:$F,$H:$H,'حركه المخزن الرئيسي اليوميه'!$H:$H)</f>
        <v>0.0</v>
      </c>
      <c r="M259" s="22">
        <f>+SUMIF('حركه المخزن الرئيسي اليوميه'!$F:$F,$H:$H,'حركه المخزن الرئيسي اليوميه'!$I:$I)</f>
        <v>0.0</v>
      </c>
      <c r="N259" s="22">
        <f t="shared" si="11"/>
        <v>0.0</v>
      </c>
      <c r="O259" s="22">
        <f t="shared" si="13"/>
        <v>0.0</v>
      </c>
      <c r="P259" s="22">
        <f t="shared" si="12"/>
        <v>0.0</v>
      </c>
      <c r="Q259" s="57"/>
      <c r="R259" s="58"/>
    </row>
    <row r="260" spans="8:8" ht="15.0" hidden="1">
      <c r="B260" s="54">
        <v>277.0</v>
      </c>
      <c r="C260" s="8"/>
      <c r="D260" s="55"/>
      <c r="E260" s="8"/>
      <c r="F260" s="8"/>
      <c r="G260" s="8"/>
      <c r="H260" s="8"/>
      <c r="I260" s="55"/>
      <c r="J260" s="56" t="s">
        <v>7770</v>
      </c>
      <c r="K260" s="22">
        <v>0.0</v>
      </c>
      <c r="L260" s="22">
        <f>+SUMIF('حركه المخزن الرئيسي اليوميه'!$F:$F,$H:$H,'حركه المخزن الرئيسي اليوميه'!$H:$H)</f>
        <v>0.0</v>
      </c>
      <c r="M260" s="22">
        <f>+SUMIF('حركه المخزن الرئيسي اليوميه'!$F:$F,$H:$H,'حركه المخزن الرئيسي اليوميه'!$I:$I)</f>
        <v>0.0</v>
      </c>
      <c r="N260" s="22">
        <f t="shared" si="11"/>
        <v>0.0</v>
      </c>
      <c r="O260" s="22">
        <f t="shared" si="13"/>
        <v>0.0</v>
      </c>
      <c r="P260" s="22">
        <f t="shared" si="12"/>
        <v>0.0</v>
      </c>
      <c r="Q260" s="57"/>
      <c r="R260" s="58"/>
    </row>
    <row r="261" spans="8:8" ht="15.0" hidden="1">
      <c r="B261" s="54">
        <v>278.0</v>
      </c>
      <c r="C261" s="8"/>
      <c r="D261" s="55"/>
      <c r="E261" s="8"/>
      <c r="F261" s="8"/>
      <c r="G261" s="8"/>
      <c r="H261" s="8"/>
      <c r="I261" s="55"/>
      <c r="J261" s="56" t="s">
        <v>7771</v>
      </c>
      <c r="K261" s="22">
        <v>0.0</v>
      </c>
      <c r="L261" s="22">
        <f>+SUMIF('حركه المخزن الرئيسي اليوميه'!$F:$F,$H:$H,'حركه المخزن الرئيسي اليوميه'!$H:$H)</f>
        <v>0.0</v>
      </c>
      <c r="M261" s="22">
        <f>+SUMIF('حركه المخزن الرئيسي اليوميه'!$F:$F,$H:$H,'حركه المخزن الرئيسي اليوميه'!$I:$I)</f>
        <v>0.0</v>
      </c>
      <c r="N261" s="22">
        <f t="shared" si="11"/>
        <v>0.0</v>
      </c>
      <c r="O261" s="22">
        <f t="shared" si="13"/>
        <v>0.0</v>
      </c>
      <c r="P261" s="22">
        <f t="shared" si="12"/>
        <v>0.0</v>
      </c>
      <c r="Q261" s="57"/>
      <c r="R261" s="58"/>
    </row>
    <row r="262" spans="8:8" ht="15.0" hidden="1">
      <c r="B262" s="54">
        <v>279.0</v>
      </c>
      <c r="C262" s="8"/>
      <c r="D262" s="55"/>
      <c r="E262" s="8"/>
      <c r="F262" s="8"/>
      <c r="G262" s="8"/>
      <c r="H262" s="8"/>
      <c r="I262" s="55"/>
      <c r="J262" s="56" t="s">
        <v>7772</v>
      </c>
      <c r="K262" s="22">
        <v>0.0</v>
      </c>
      <c r="L262" s="22">
        <f>+SUMIF('حركه المخزن الرئيسي اليوميه'!$F:$F,$H:$H,'حركه المخزن الرئيسي اليوميه'!$H:$H)</f>
        <v>0.0</v>
      </c>
      <c r="M262" s="22">
        <f>+SUMIF('حركه المخزن الرئيسي اليوميه'!$F:$F,$H:$H,'حركه المخزن الرئيسي اليوميه'!$I:$I)</f>
        <v>0.0</v>
      </c>
      <c r="N262" s="22">
        <f t="shared" si="11"/>
        <v>0.0</v>
      </c>
      <c r="O262" s="22">
        <f t="shared" si="13"/>
        <v>0.0</v>
      </c>
      <c r="P262" s="22">
        <f t="shared" si="12"/>
        <v>0.0</v>
      </c>
      <c r="Q262" s="57"/>
      <c r="R262" s="58"/>
    </row>
    <row r="263" spans="8:8" ht="15.0" hidden="1">
      <c r="B263" s="54">
        <v>280.0</v>
      </c>
      <c r="C263" s="8"/>
      <c r="D263" s="8"/>
      <c r="E263" s="8"/>
      <c r="F263" s="8"/>
      <c r="G263" s="8"/>
      <c r="H263" s="8"/>
      <c r="I263" s="55"/>
      <c r="J263" s="56" t="s">
        <v>7773</v>
      </c>
      <c r="K263" s="22">
        <v>0.0</v>
      </c>
      <c r="L263" s="22">
        <f>+SUMIF('حركه المخزن الرئيسي اليوميه'!$F:$F,$H:$H,'حركه المخزن الرئيسي اليوميه'!$H:$H)</f>
        <v>0.0</v>
      </c>
      <c r="M263" s="22">
        <f>+SUMIF('حركه المخزن الرئيسي اليوميه'!$F:$F,$H:$H,'حركه المخزن الرئيسي اليوميه'!$I:$I)</f>
        <v>0.0</v>
      </c>
      <c r="N263" s="22">
        <f t="shared" si="14" ref="N263:N301">+K263+L263-M263</f>
        <v>0.0</v>
      </c>
      <c r="O263" s="22">
        <f t="shared" si="13"/>
        <v>0.0</v>
      </c>
      <c r="P263" s="22">
        <f t="shared" si="12"/>
        <v>0.0</v>
      </c>
      <c r="Q263" s="57"/>
      <c r="R263" s="58"/>
    </row>
    <row r="264" spans="8:8" ht="15.0" hidden="1">
      <c r="B264" s="54">
        <v>281.0</v>
      </c>
      <c r="C264" s="8"/>
      <c r="D264" s="8"/>
      <c r="E264" s="8"/>
      <c r="F264" s="8"/>
      <c r="G264" s="8"/>
      <c r="H264" s="8"/>
      <c r="I264" s="55"/>
      <c r="J264" s="56" t="s">
        <v>7774</v>
      </c>
      <c r="K264" s="22">
        <v>0.0</v>
      </c>
      <c r="L264" s="22">
        <f>+SUMIF('حركه المخزن الرئيسي اليوميه'!$F:$F,$H:$H,'حركه المخزن الرئيسي اليوميه'!$H:$H)</f>
        <v>0.0</v>
      </c>
      <c r="M264" s="22">
        <f>+SUMIF('حركه المخزن الرئيسي اليوميه'!$F:$F,$H:$H,'حركه المخزن الرئيسي اليوميه'!$I:$I)</f>
        <v>0.0</v>
      </c>
      <c r="N264" s="22">
        <f t="shared" si="14"/>
        <v>0.0</v>
      </c>
      <c r="O264" s="22">
        <f t="shared" si="13"/>
        <v>0.0</v>
      </c>
      <c r="P264" s="22">
        <f t="shared" si="12"/>
        <v>0.0</v>
      </c>
      <c r="Q264" s="57"/>
      <c r="R264" s="58"/>
    </row>
    <row r="265" spans="8:8" ht="15.0" hidden="1">
      <c r="B265" s="54">
        <v>282.0</v>
      </c>
      <c r="C265" s="8"/>
      <c r="D265" s="8"/>
      <c r="E265" s="8"/>
      <c r="F265" s="8"/>
      <c r="G265" s="8"/>
      <c r="H265" s="8"/>
      <c r="I265" s="55"/>
      <c r="J265" s="56" t="s">
        <v>7775</v>
      </c>
      <c r="K265" s="22">
        <v>0.0</v>
      </c>
      <c r="L265" s="22">
        <f>+SUMIF('حركه المخزن الرئيسي اليوميه'!$F:$F,$H:$H,'حركه المخزن الرئيسي اليوميه'!$H:$H)</f>
        <v>0.0</v>
      </c>
      <c r="M265" s="22">
        <f>+SUMIF('حركه المخزن الرئيسي اليوميه'!$F:$F,$H:$H,'حركه المخزن الرئيسي اليوميه'!$I:$I)</f>
        <v>0.0</v>
      </c>
      <c r="N265" s="22">
        <f t="shared" si="14"/>
        <v>0.0</v>
      </c>
      <c r="O265" s="22">
        <f t="shared" si="13"/>
        <v>0.0</v>
      </c>
      <c r="P265" s="22">
        <f t="shared" si="15" ref="P265:P301">+N265-O265</f>
        <v>0.0</v>
      </c>
      <c r="Q265" s="57"/>
      <c r="R265" s="58"/>
    </row>
    <row r="266" spans="8:8" ht="15.0" hidden="1">
      <c r="B266" s="54">
        <v>283.0</v>
      </c>
      <c r="C266" s="8"/>
      <c r="D266" s="8"/>
      <c r="E266" s="8"/>
      <c r="F266" s="8"/>
      <c r="G266" s="8"/>
      <c r="H266" s="8"/>
      <c r="I266" s="55"/>
      <c r="J266" s="56" t="s">
        <v>7776</v>
      </c>
      <c r="K266" s="22">
        <v>0.0</v>
      </c>
      <c r="L266" s="22">
        <f>+SUMIF('حركه المخزن الرئيسي اليوميه'!$F:$F,$H:$H,'حركه المخزن الرئيسي اليوميه'!$H:$H)</f>
        <v>0.0</v>
      </c>
      <c r="M266" s="22">
        <f>+SUMIF('حركه المخزن الرئيسي اليوميه'!$F:$F,$H:$H,'حركه المخزن الرئيسي اليوميه'!$I:$I)</f>
        <v>0.0</v>
      </c>
      <c r="N266" s="22">
        <f t="shared" si="14"/>
        <v>0.0</v>
      </c>
      <c r="O266" s="22">
        <f t="shared" si="13"/>
        <v>0.0</v>
      </c>
      <c r="P266" s="22">
        <f t="shared" si="15"/>
        <v>0.0</v>
      </c>
      <c r="Q266" s="57"/>
      <c r="R266" s="58"/>
    </row>
    <row r="267" spans="8:8" ht="15.0" hidden="1">
      <c r="B267" s="54">
        <v>284.0</v>
      </c>
      <c r="C267" s="8"/>
      <c r="D267" s="8"/>
      <c r="E267" s="8"/>
      <c r="F267" s="8"/>
      <c r="G267" s="8"/>
      <c r="H267" s="8"/>
      <c r="I267" s="55"/>
      <c r="J267" s="56" t="s">
        <v>7777</v>
      </c>
      <c r="K267" s="22">
        <v>0.0</v>
      </c>
      <c r="L267" s="22">
        <f>+SUMIF('حركه المخزن الرئيسي اليوميه'!$F:$F,$H:$H,'حركه المخزن الرئيسي اليوميه'!$H:$H)</f>
        <v>0.0</v>
      </c>
      <c r="M267" s="22">
        <f>+SUMIF('حركه المخزن الرئيسي اليوميه'!$F:$F,$H:$H,'حركه المخزن الرئيسي اليوميه'!$I:$I)</f>
        <v>0.0</v>
      </c>
      <c r="N267" s="22">
        <f t="shared" si="14"/>
        <v>0.0</v>
      </c>
      <c r="O267" s="22">
        <f t="shared" si="13"/>
        <v>0.0</v>
      </c>
      <c r="P267" s="22">
        <f t="shared" si="15"/>
        <v>0.0</v>
      </c>
      <c r="Q267" s="57"/>
      <c r="R267" s="58"/>
    </row>
    <row r="268" spans="8:8" ht="15.0" hidden="1">
      <c r="B268" s="54">
        <v>285.0</v>
      </c>
      <c r="C268" s="8"/>
      <c r="D268" s="8"/>
      <c r="E268" s="8"/>
      <c r="F268" s="8"/>
      <c r="G268" s="8"/>
      <c r="H268" s="8"/>
      <c r="I268" s="55"/>
      <c r="J268" s="56" t="s">
        <v>7778</v>
      </c>
      <c r="K268" s="22">
        <v>0.0</v>
      </c>
      <c r="L268" s="22">
        <f>+SUMIF('حركه المخزن الرئيسي اليوميه'!$F:$F,$H:$H,'حركه المخزن الرئيسي اليوميه'!$H:$H)</f>
        <v>0.0</v>
      </c>
      <c r="M268" s="22">
        <f>+SUMIF('حركه المخزن الرئيسي اليوميه'!$F:$F,$H:$H,'حركه المخزن الرئيسي اليوميه'!$I:$I)</f>
        <v>0.0</v>
      </c>
      <c r="N268" s="22">
        <f t="shared" si="14"/>
        <v>0.0</v>
      </c>
      <c r="O268" s="22">
        <f t="shared" si="13"/>
        <v>0.0</v>
      </c>
      <c r="P268" s="22">
        <f t="shared" si="15"/>
        <v>0.0</v>
      </c>
      <c r="Q268" s="57"/>
      <c r="R268" s="58"/>
    </row>
    <row r="269" spans="8:8" ht="15.0" hidden="1">
      <c r="B269" s="54">
        <v>286.0</v>
      </c>
      <c r="C269" s="8"/>
      <c r="D269" s="8"/>
      <c r="E269" s="8"/>
      <c r="F269" s="8"/>
      <c r="G269" s="8"/>
      <c r="H269" s="8"/>
      <c r="I269" s="55"/>
      <c r="J269" s="56" t="s">
        <v>7779</v>
      </c>
      <c r="K269" s="22">
        <v>0.0</v>
      </c>
      <c r="L269" s="22">
        <f>+SUMIF('حركه المخزن الرئيسي اليوميه'!$F:$F,$H:$H,'حركه المخزن الرئيسي اليوميه'!$H:$H)</f>
        <v>0.0</v>
      </c>
      <c r="M269" s="22">
        <f>+SUMIF('حركه المخزن الرئيسي اليوميه'!$F:$F,$H:$H,'حركه المخزن الرئيسي اليوميه'!$I:$I)</f>
        <v>0.0</v>
      </c>
      <c r="N269" s="22">
        <f t="shared" si="14"/>
        <v>0.0</v>
      </c>
      <c r="O269" s="22">
        <f t="shared" si="13"/>
        <v>0.0</v>
      </c>
      <c r="P269" s="22">
        <f t="shared" si="15"/>
        <v>0.0</v>
      </c>
      <c r="Q269" s="57"/>
      <c r="R269" s="58"/>
    </row>
    <row r="270" spans="8:8" ht="15.0" hidden="1">
      <c r="B270" s="54">
        <v>287.0</v>
      </c>
      <c r="C270" s="8"/>
      <c r="D270" s="8"/>
      <c r="E270" s="8"/>
      <c r="F270" s="8"/>
      <c r="G270" s="8"/>
      <c r="H270" s="8"/>
      <c r="I270" s="55"/>
      <c r="J270" s="56" t="s">
        <v>7780</v>
      </c>
      <c r="K270" s="22">
        <v>0.0</v>
      </c>
      <c r="L270" s="22">
        <f>+SUMIF('حركه المخزن الرئيسي اليوميه'!$F:$F,$H:$H,'حركه المخزن الرئيسي اليوميه'!$H:$H)</f>
        <v>0.0</v>
      </c>
      <c r="M270" s="22">
        <f>+SUMIF('حركه المخزن الرئيسي اليوميه'!$F:$F,$H:$H,'حركه المخزن الرئيسي اليوميه'!$I:$I)</f>
        <v>0.0</v>
      </c>
      <c r="N270" s="22">
        <f t="shared" si="14"/>
        <v>0.0</v>
      </c>
      <c r="O270" s="22">
        <f t="shared" si="13"/>
        <v>0.0</v>
      </c>
      <c r="P270" s="22">
        <f t="shared" si="15"/>
        <v>0.0</v>
      </c>
      <c r="Q270" s="57"/>
      <c r="R270" s="58"/>
    </row>
    <row r="271" spans="8:8" ht="15.0" hidden="1">
      <c r="B271" s="54">
        <v>288.0</v>
      </c>
      <c r="C271" s="8"/>
      <c r="D271" s="8"/>
      <c r="E271" s="8"/>
      <c r="F271" s="8"/>
      <c r="G271" s="8"/>
      <c r="H271" s="8"/>
      <c r="I271" s="55"/>
      <c r="J271" s="56" t="s">
        <v>7781</v>
      </c>
      <c r="K271" s="22">
        <v>0.0</v>
      </c>
      <c r="L271" s="22">
        <f>+SUMIF('حركه المخزن الرئيسي اليوميه'!$F:$F,$H:$H,'حركه المخزن الرئيسي اليوميه'!$H:$H)</f>
        <v>0.0</v>
      </c>
      <c r="M271" s="22">
        <f>+SUMIF('حركه المخزن الرئيسي اليوميه'!$F:$F,$H:$H,'حركه المخزن الرئيسي اليوميه'!$I:$I)</f>
        <v>0.0</v>
      </c>
      <c r="N271" s="22">
        <f t="shared" si="14"/>
        <v>0.0</v>
      </c>
      <c r="O271" s="22">
        <f t="shared" si="13"/>
        <v>0.0</v>
      </c>
      <c r="P271" s="22">
        <f t="shared" si="15"/>
        <v>0.0</v>
      </c>
      <c r="Q271" s="57"/>
      <c r="R271" s="58"/>
    </row>
    <row r="272" spans="8:8" ht="15.0" hidden="1">
      <c r="B272" s="54">
        <v>289.0</v>
      </c>
      <c r="C272" s="8"/>
      <c r="D272" s="8"/>
      <c r="E272" s="8"/>
      <c r="F272" s="8"/>
      <c r="G272" s="8"/>
      <c r="H272" s="8"/>
      <c r="I272" s="55"/>
      <c r="J272" s="56" t="s">
        <v>7782</v>
      </c>
      <c r="K272" s="22">
        <v>0.0</v>
      </c>
      <c r="L272" s="22">
        <f>+SUMIF('حركه المخزن الرئيسي اليوميه'!$F:$F,$H:$H,'حركه المخزن الرئيسي اليوميه'!$H:$H)</f>
        <v>0.0</v>
      </c>
      <c r="M272" s="22">
        <f>+SUMIF('حركه المخزن الرئيسي اليوميه'!$F:$F,$H:$H,'حركه المخزن الرئيسي اليوميه'!$I:$I)</f>
        <v>0.0</v>
      </c>
      <c r="N272" s="22">
        <f t="shared" si="14"/>
        <v>0.0</v>
      </c>
      <c r="O272" s="22">
        <f t="shared" si="13"/>
        <v>0.0</v>
      </c>
      <c r="P272" s="22">
        <f t="shared" si="15"/>
        <v>0.0</v>
      </c>
      <c r="Q272" s="57"/>
      <c r="R272" s="58"/>
    </row>
    <row r="273" spans="8:8" ht="15.0" hidden="1">
      <c r="B273" s="54">
        <v>290.0</v>
      </c>
      <c r="C273" s="8"/>
      <c r="D273" s="8"/>
      <c r="E273" s="8"/>
      <c r="F273" s="8"/>
      <c r="G273" s="8"/>
      <c r="H273" s="8"/>
      <c r="I273" s="55"/>
      <c r="J273" s="56" t="s">
        <v>7783</v>
      </c>
      <c r="K273" s="22">
        <v>0.0</v>
      </c>
      <c r="L273" s="22">
        <f>+SUMIF('حركه المخزن الرئيسي اليوميه'!$F:$F,$H:$H,'حركه المخزن الرئيسي اليوميه'!$H:$H)</f>
        <v>0.0</v>
      </c>
      <c r="M273" s="22">
        <f>+SUMIF('حركه المخزن الرئيسي اليوميه'!$F:$F,$H:$H,'حركه المخزن الرئيسي اليوميه'!$I:$I)</f>
        <v>0.0</v>
      </c>
      <c r="N273" s="22">
        <f t="shared" si="14"/>
        <v>0.0</v>
      </c>
      <c r="O273" s="22">
        <f t="shared" si="13"/>
        <v>0.0</v>
      </c>
      <c r="P273" s="22">
        <f t="shared" si="15"/>
        <v>0.0</v>
      </c>
      <c r="Q273" s="57"/>
      <c r="R273" s="58"/>
    </row>
    <row r="274" spans="8:8" ht="15.0" hidden="1">
      <c r="B274" s="54">
        <v>291.0</v>
      </c>
      <c r="C274" s="8"/>
      <c r="D274" s="8"/>
      <c r="E274" s="8"/>
      <c r="F274" s="8"/>
      <c r="G274" s="8"/>
      <c r="H274" s="8"/>
      <c r="I274" s="55"/>
      <c r="J274" s="56" t="s">
        <v>7784</v>
      </c>
      <c r="K274" s="22">
        <v>0.0</v>
      </c>
      <c r="L274" s="22">
        <f>+SUMIF('حركه المخزن الرئيسي اليوميه'!$F:$F,$H:$H,'حركه المخزن الرئيسي اليوميه'!$H:$H)</f>
        <v>0.0</v>
      </c>
      <c r="M274" s="22">
        <f>+SUMIF('حركه المخزن الرئيسي اليوميه'!$F:$F,$H:$H,'حركه المخزن الرئيسي اليوميه'!$I:$I)</f>
        <v>0.0</v>
      </c>
      <c r="N274" s="22">
        <f t="shared" si="14"/>
        <v>0.0</v>
      </c>
      <c r="O274" s="22">
        <f t="shared" si="13"/>
        <v>0.0</v>
      </c>
      <c r="P274" s="22">
        <f t="shared" si="15"/>
        <v>0.0</v>
      </c>
      <c r="Q274" s="57"/>
      <c r="R274" s="58"/>
    </row>
    <row r="275" spans="8:8" ht="15.0" hidden="1">
      <c r="B275" s="54">
        <v>292.0</v>
      </c>
      <c r="C275" s="8"/>
      <c r="D275" s="8"/>
      <c r="E275" s="8"/>
      <c r="F275" s="8"/>
      <c r="G275" s="8"/>
      <c r="H275" s="8"/>
      <c r="I275" s="55"/>
      <c r="J275" s="56" t="s">
        <v>7785</v>
      </c>
      <c r="K275" s="22">
        <v>0.0</v>
      </c>
      <c r="L275" s="22">
        <f>+SUMIF('حركه المخزن الرئيسي اليوميه'!$F:$F,$H:$H,'حركه المخزن الرئيسي اليوميه'!$H:$H)</f>
        <v>0.0</v>
      </c>
      <c r="M275" s="22">
        <f>+SUMIF('حركه المخزن الرئيسي اليوميه'!$F:$F,$H:$H,'حركه المخزن الرئيسي اليوميه'!$I:$I)</f>
        <v>0.0</v>
      </c>
      <c r="N275" s="22">
        <f t="shared" si="14"/>
        <v>0.0</v>
      </c>
      <c r="O275" s="22">
        <f t="shared" si="13"/>
        <v>0.0</v>
      </c>
      <c r="P275" s="22">
        <f t="shared" si="15"/>
        <v>0.0</v>
      </c>
      <c r="Q275" s="57"/>
      <c r="R275" s="58"/>
    </row>
    <row r="276" spans="8:8" ht="15.0" hidden="1">
      <c r="B276" s="54">
        <v>293.0</v>
      </c>
      <c r="C276" s="8"/>
      <c r="D276" s="8"/>
      <c r="E276" s="8"/>
      <c r="F276" s="8"/>
      <c r="G276" s="8"/>
      <c r="H276" s="8"/>
      <c r="I276" s="55"/>
      <c r="J276" s="56" t="s">
        <v>7786</v>
      </c>
      <c r="K276" s="22">
        <v>0.0</v>
      </c>
      <c r="L276" s="22">
        <f>+SUMIF('حركه المخزن الرئيسي اليوميه'!$F:$F,$H:$H,'حركه المخزن الرئيسي اليوميه'!$H:$H)</f>
        <v>0.0</v>
      </c>
      <c r="M276" s="22">
        <f>+SUMIF('حركه المخزن الرئيسي اليوميه'!$F:$F,$H:$H,'حركه المخزن الرئيسي اليوميه'!$I:$I)</f>
        <v>0.0</v>
      </c>
      <c r="N276" s="22">
        <f t="shared" si="14"/>
        <v>0.0</v>
      </c>
      <c r="O276" s="22">
        <f t="shared" si="13"/>
        <v>0.0</v>
      </c>
      <c r="P276" s="22">
        <f t="shared" si="15"/>
        <v>0.0</v>
      </c>
      <c r="Q276" s="57"/>
      <c r="R276" s="58"/>
    </row>
    <row r="277" spans="8:8" ht="15.0" hidden="1">
      <c r="B277" s="54">
        <v>294.0</v>
      </c>
      <c r="C277" s="8"/>
      <c r="D277" s="8"/>
      <c r="E277" s="8"/>
      <c r="F277" s="8"/>
      <c r="G277" s="8"/>
      <c r="H277" s="8"/>
      <c r="I277" s="55"/>
      <c r="J277" s="56" t="s">
        <v>7787</v>
      </c>
      <c r="K277" s="22">
        <v>0.0</v>
      </c>
      <c r="L277" s="22">
        <f>+SUMIF('حركه المخزن الرئيسي اليوميه'!$F:$F,$H:$H,'حركه المخزن الرئيسي اليوميه'!$H:$H)</f>
        <v>0.0</v>
      </c>
      <c r="M277" s="22">
        <f>+SUMIF('حركه المخزن الرئيسي اليوميه'!$F:$F,$H:$H,'حركه المخزن الرئيسي اليوميه'!$I:$I)</f>
        <v>0.0</v>
      </c>
      <c r="N277" s="22">
        <f t="shared" si="14"/>
        <v>0.0</v>
      </c>
      <c r="O277" s="22">
        <f t="shared" si="13"/>
        <v>0.0</v>
      </c>
      <c r="P277" s="22">
        <f t="shared" si="15"/>
        <v>0.0</v>
      </c>
      <c r="Q277" s="57"/>
      <c r="R277" s="58"/>
    </row>
    <row r="278" spans="8:8" ht="15.0" hidden="1">
      <c r="B278" s="54">
        <v>295.0</v>
      </c>
      <c r="C278" s="8"/>
      <c r="D278" s="8"/>
      <c r="E278" s="8"/>
      <c r="F278" s="8"/>
      <c r="G278" s="8"/>
      <c r="H278" s="8"/>
      <c r="I278" s="55"/>
      <c r="J278" s="56" t="s">
        <v>7788</v>
      </c>
      <c r="K278" s="22">
        <v>0.0</v>
      </c>
      <c r="L278" s="22">
        <f>+SUMIF('حركه المخزن الرئيسي اليوميه'!$F:$F,$H:$H,'حركه المخزن الرئيسي اليوميه'!$H:$H)</f>
        <v>0.0</v>
      </c>
      <c r="M278" s="22">
        <f>+SUMIF('حركه المخزن الرئيسي اليوميه'!$F:$F,$H:$H,'حركه المخزن الرئيسي اليوميه'!$I:$I)</f>
        <v>0.0</v>
      </c>
      <c r="N278" s="22">
        <f t="shared" si="14"/>
        <v>0.0</v>
      </c>
      <c r="O278" s="22">
        <f t="shared" si="13"/>
        <v>0.0</v>
      </c>
      <c r="P278" s="22">
        <f t="shared" si="15"/>
        <v>0.0</v>
      </c>
      <c r="Q278" s="57"/>
      <c r="R278" s="58"/>
    </row>
    <row r="279" spans="8:8" ht="15.0" hidden="1">
      <c r="B279" s="54">
        <v>296.0</v>
      </c>
      <c r="C279" s="8"/>
      <c r="D279" s="8"/>
      <c r="E279" s="8"/>
      <c r="F279" s="8"/>
      <c r="G279" s="8"/>
      <c r="H279" s="8"/>
      <c r="I279" s="55"/>
      <c r="J279" s="56" t="s">
        <v>7789</v>
      </c>
      <c r="K279" s="22">
        <v>0.0</v>
      </c>
      <c r="L279" s="22">
        <f>+SUMIF('حركه المخزن الرئيسي اليوميه'!$F:$F,$H:$H,'حركه المخزن الرئيسي اليوميه'!$H:$H)</f>
        <v>0.0</v>
      </c>
      <c r="M279" s="22">
        <f>+SUMIF('حركه المخزن الرئيسي اليوميه'!$F:$F,$H:$H,'حركه المخزن الرئيسي اليوميه'!$I:$I)</f>
        <v>0.0</v>
      </c>
      <c r="N279" s="22">
        <f t="shared" si="14"/>
        <v>0.0</v>
      </c>
      <c r="O279" s="22">
        <f t="shared" si="13"/>
        <v>0.0</v>
      </c>
      <c r="P279" s="22">
        <f t="shared" si="15"/>
        <v>0.0</v>
      </c>
      <c r="Q279" s="57"/>
      <c r="R279" s="58"/>
    </row>
    <row r="280" spans="8:8" ht="15.0" hidden="1">
      <c r="B280" s="54">
        <v>297.0</v>
      </c>
      <c r="C280" s="8"/>
      <c r="D280" s="8"/>
      <c r="E280" s="8"/>
      <c r="F280" s="8"/>
      <c r="G280" s="8"/>
      <c r="H280" s="8"/>
      <c r="I280" s="55"/>
      <c r="J280" s="56" t="s">
        <v>7790</v>
      </c>
      <c r="K280" s="22">
        <v>0.0</v>
      </c>
      <c r="L280" s="22">
        <f>+SUMIF('حركه المخزن الرئيسي اليوميه'!$F:$F,$H:$H,'حركه المخزن الرئيسي اليوميه'!$H:$H)</f>
        <v>0.0</v>
      </c>
      <c r="M280" s="22">
        <f>+SUMIF('حركه المخزن الرئيسي اليوميه'!$F:$F,$H:$H,'حركه المخزن الرئيسي اليوميه'!$I:$I)</f>
        <v>0.0</v>
      </c>
      <c r="N280" s="22">
        <f t="shared" si="14"/>
        <v>0.0</v>
      </c>
      <c r="O280" s="22">
        <f t="shared" si="13"/>
        <v>0.0</v>
      </c>
      <c r="P280" s="22">
        <f t="shared" si="15"/>
        <v>0.0</v>
      </c>
      <c r="Q280" s="57"/>
      <c r="R280" s="58"/>
    </row>
    <row r="281" spans="8:8" ht="15.0" hidden="1">
      <c r="B281" s="54">
        <v>298.0</v>
      </c>
      <c r="C281" s="8"/>
      <c r="D281" s="8"/>
      <c r="E281" s="8"/>
      <c r="F281" s="8"/>
      <c r="G281" s="8"/>
      <c r="H281" s="8"/>
      <c r="I281" s="55"/>
      <c r="J281" s="56" t="s">
        <v>7791</v>
      </c>
      <c r="K281" s="22">
        <v>0.0</v>
      </c>
      <c r="L281" s="22">
        <f>+SUMIF('حركه المخزن الرئيسي اليوميه'!$F:$F,$H:$H,'حركه المخزن الرئيسي اليوميه'!$H:$H)</f>
        <v>0.0</v>
      </c>
      <c r="M281" s="22">
        <f>+SUMIF('حركه المخزن الرئيسي اليوميه'!$F:$F,$H:$H,'حركه المخزن الرئيسي اليوميه'!$I:$I)</f>
        <v>0.0</v>
      </c>
      <c r="N281" s="22">
        <f t="shared" si="14"/>
        <v>0.0</v>
      </c>
      <c r="O281" s="22">
        <f t="shared" si="13"/>
        <v>0.0</v>
      </c>
      <c r="P281" s="22">
        <f t="shared" si="15"/>
        <v>0.0</v>
      </c>
      <c r="Q281" s="57"/>
      <c r="R281" s="58"/>
    </row>
    <row r="282" spans="8:8" ht="15.0" hidden="1">
      <c r="B282" s="54">
        <v>299.0</v>
      </c>
      <c r="C282" s="8"/>
      <c r="D282" s="8"/>
      <c r="E282" s="8"/>
      <c r="F282" s="8"/>
      <c r="G282" s="8"/>
      <c r="H282" s="8"/>
      <c r="I282" s="55"/>
      <c r="J282" s="56" t="s">
        <v>7792</v>
      </c>
      <c r="K282" s="22">
        <v>0.0</v>
      </c>
      <c r="L282" s="22">
        <f>+SUMIF('حركه المخزن الرئيسي اليوميه'!$F:$F,$H:$H,'حركه المخزن الرئيسي اليوميه'!$H:$H)</f>
        <v>0.0</v>
      </c>
      <c r="M282" s="22">
        <f>+SUMIF('حركه المخزن الرئيسي اليوميه'!$F:$F,$H:$H,'حركه المخزن الرئيسي اليوميه'!$I:$I)</f>
        <v>0.0</v>
      </c>
      <c r="N282" s="22">
        <f t="shared" si="14"/>
        <v>0.0</v>
      </c>
      <c r="O282" s="22">
        <f t="shared" si="13"/>
        <v>0.0</v>
      </c>
      <c r="P282" s="22">
        <f t="shared" si="15"/>
        <v>0.0</v>
      </c>
      <c r="Q282" s="57"/>
      <c r="R282" s="58"/>
    </row>
    <row r="283" spans="8:8" ht="15.0" hidden="1">
      <c r="B283" s="54">
        <v>300.0</v>
      </c>
      <c r="C283" s="8"/>
      <c r="D283" s="8"/>
      <c r="E283" s="8"/>
      <c r="F283" s="8"/>
      <c r="G283" s="8"/>
      <c r="H283" s="8"/>
      <c r="I283" s="55"/>
      <c r="J283" s="56" t="s">
        <v>7793</v>
      </c>
      <c r="K283" s="22">
        <v>0.0</v>
      </c>
      <c r="L283" s="22">
        <f>+SUMIF('حركه المخزن الرئيسي اليوميه'!$F:$F,$H:$H,'حركه المخزن الرئيسي اليوميه'!$H:$H)</f>
        <v>0.0</v>
      </c>
      <c r="M283" s="22">
        <f>+SUMIF('حركه المخزن الرئيسي اليوميه'!$F:$F,$H:$H,'حركه المخزن الرئيسي اليوميه'!$I:$I)</f>
        <v>0.0</v>
      </c>
      <c r="N283" s="22">
        <f t="shared" si="14"/>
        <v>0.0</v>
      </c>
      <c r="O283" s="22">
        <f t="shared" si="13"/>
        <v>0.0</v>
      </c>
      <c r="P283" s="22">
        <f t="shared" si="15"/>
        <v>0.0</v>
      </c>
      <c r="Q283" s="57"/>
      <c r="R283" s="58"/>
    </row>
    <row r="284" spans="8:8" ht="15.0" hidden="1">
      <c r="B284" s="54">
        <v>301.0</v>
      </c>
      <c r="C284" s="8"/>
      <c r="D284" s="8"/>
      <c r="E284" s="8"/>
      <c r="F284" s="8"/>
      <c r="G284" s="8"/>
      <c r="H284" s="8"/>
      <c r="I284" s="55"/>
      <c r="J284" s="56" t="s">
        <v>7794</v>
      </c>
      <c r="K284" s="22">
        <v>0.0</v>
      </c>
      <c r="L284" s="22">
        <f>+SUMIF('حركه المخزن الرئيسي اليوميه'!$F:$F,$H:$H,'حركه المخزن الرئيسي اليوميه'!$H:$H)</f>
        <v>0.0</v>
      </c>
      <c r="M284" s="22">
        <f>+SUMIF('حركه المخزن الرئيسي اليوميه'!$F:$F,$H:$H,'حركه المخزن الرئيسي اليوميه'!$I:$I)</f>
        <v>0.0</v>
      </c>
      <c r="N284" s="22">
        <f t="shared" si="14"/>
        <v>0.0</v>
      </c>
      <c r="O284" s="22">
        <f t="shared" si="13"/>
        <v>0.0</v>
      </c>
      <c r="P284" s="22">
        <f t="shared" si="15"/>
        <v>0.0</v>
      </c>
      <c r="Q284" s="57"/>
      <c r="R284" s="58"/>
    </row>
    <row r="285" spans="8:8" ht="15.0" hidden="1">
      <c r="B285" s="54">
        <v>302.0</v>
      </c>
      <c r="C285" s="8"/>
      <c r="D285" s="8"/>
      <c r="E285" s="8"/>
      <c r="F285" s="8"/>
      <c r="G285" s="8"/>
      <c r="H285" s="8"/>
      <c r="I285" s="55"/>
      <c r="J285" s="56" t="s">
        <v>7795</v>
      </c>
      <c r="K285" s="22">
        <v>0.0</v>
      </c>
      <c r="L285" s="22">
        <f>+SUMIF('حركه المخزن الرئيسي اليوميه'!$F:$F,$H:$H,'حركه المخزن الرئيسي اليوميه'!$H:$H)</f>
        <v>0.0</v>
      </c>
      <c r="M285" s="22">
        <f>+SUMIF('حركه المخزن الرئيسي اليوميه'!$F:$F,$H:$H,'حركه المخزن الرئيسي اليوميه'!$I:$I)</f>
        <v>0.0</v>
      </c>
      <c r="N285" s="22">
        <f t="shared" si="14"/>
        <v>0.0</v>
      </c>
      <c r="O285" s="22">
        <f t="shared" si="13"/>
        <v>0.0</v>
      </c>
      <c r="P285" s="22">
        <f t="shared" si="15"/>
        <v>0.0</v>
      </c>
      <c r="Q285" s="57"/>
      <c r="R285" s="58"/>
    </row>
    <row r="286" spans="8:8" ht="15.0" hidden="1">
      <c r="B286" s="54">
        <v>303.0</v>
      </c>
      <c r="C286" s="8"/>
      <c r="D286" s="8"/>
      <c r="E286" s="8"/>
      <c r="F286" s="8"/>
      <c r="G286" s="8"/>
      <c r="H286" s="8"/>
      <c r="I286" s="55"/>
      <c r="J286" s="56" t="s">
        <v>7796</v>
      </c>
      <c r="K286" s="22">
        <v>0.0</v>
      </c>
      <c r="L286" s="22">
        <f>+SUMIF('حركه المخزن الرئيسي اليوميه'!$F:$F,$H:$H,'حركه المخزن الرئيسي اليوميه'!$H:$H)</f>
        <v>0.0</v>
      </c>
      <c r="M286" s="22">
        <f>+SUMIF('حركه المخزن الرئيسي اليوميه'!$F:$F,$H:$H,'حركه المخزن الرئيسي اليوميه'!$I:$I)</f>
        <v>0.0</v>
      </c>
      <c r="N286" s="22">
        <f t="shared" si="14"/>
        <v>0.0</v>
      </c>
      <c r="O286" s="22">
        <f t="shared" si="13"/>
        <v>0.0</v>
      </c>
      <c r="P286" s="22">
        <f t="shared" si="15"/>
        <v>0.0</v>
      </c>
      <c r="Q286" s="57"/>
      <c r="R286" s="58"/>
    </row>
    <row r="287" spans="8:8" ht="15.0" hidden="1">
      <c r="B287" s="54">
        <v>304.0</v>
      </c>
      <c r="C287" s="8"/>
      <c r="D287" s="8"/>
      <c r="E287" s="8"/>
      <c r="F287" s="8"/>
      <c r="G287" s="8"/>
      <c r="H287" s="8"/>
      <c r="I287" s="55"/>
      <c r="J287" s="56" t="s">
        <v>7797</v>
      </c>
      <c r="K287" s="22">
        <v>0.0</v>
      </c>
      <c r="L287" s="22">
        <f>+SUMIF('حركه المخزن الرئيسي اليوميه'!$F:$F,$H:$H,'حركه المخزن الرئيسي اليوميه'!$H:$H)</f>
        <v>0.0</v>
      </c>
      <c r="M287" s="22">
        <f>+SUMIF('حركه المخزن الرئيسي اليوميه'!$F:$F,$H:$H,'حركه المخزن الرئيسي اليوميه'!$I:$I)</f>
        <v>0.0</v>
      </c>
      <c r="N287" s="22">
        <f t="shared" si="14"/>
        <v>0.0</v>
      </c>
      <c r="O287" s="22">
        <f t="shared" si="13"/>
        <v>0.0</v>
      </c>
      <c r="P287" s="22">
        <f t="shared" si="15"/>
        <v>0.0</v>
      </c>
      <c r="Q287" s="57"/>
      <c r="R287" s="58"/>
    </row>
    <row r="288" spans="8:8" ht="15.0" hidden="1">
      <c r="B288" s="54">
        <v>305.0</v>
      </c>
      <c r="C288" s="8"/>
      <c r="D288" s="8"/>
      <c r="E288" s="8"/>
      <c r="F288" s="8"/>
      <c r="G288" s="8"/>
      <c r="H288" s="8"/>
      <c r="I288" s="55"/>
      <c r="J288" s="56" t="s">
        <v>7798</v>
      </c>
      <c r="K288" s="22">
        <v>0.0</v>
      </c>
      <c r="L288" s="22">
        <f>+SUMIF('حركه المخزن الرئيسي اليوميه'!$F:$F,$H:$H,'حركه المخزن الرئيسي اليوميه'!$H:$H)</f>
        <v>0.0</v>
      </c>
      <c r="M288" s="22">
        <f>+SUMIF('حركه المخزن الرئيسي اليوميه'!$F:$F,$H:$H,'حركه المخزن الرئيسي اليوميه'!$I:$I)</f>
        <v>0.0</v>
      </c>
      <c r="N288" s="22">
        <f t="shared" si="14"/>
        <v>0.0</v>
      </c>
      <c r="O288" s="22">
        <f t="shared" si="13"/>
        <v>0.0</v>
      </c>
      <c r="P288" s="22">
        <f t="shared" si="15"/>
        <v>0.0</v>
      </c>
      <c r="Q288" s="57"/>
      <c r="R288" s="58"/>
    </row>
    <row r="289" spans="8:8" ht="15.0" hidden="1">
      <c r="B289" s="54">
        <v>306.0</v>
      </c>
      <c r="C289" s="8"/>
      <c r="D289" s="8"/>
      <c r="E289" s="8"/>
      <c r="F289" s="8"/>
      <c r="G289" s="8"/>
      <c r="H289" s="8"/>
      <c r="I289" s="55"/>
      <c r="J289" s="56" t="s">
        <v>7799</v>
      </c>
      <c r="K289" s="22">
        <v>0.0</v>
      </c>
      <c r="L289" s="22">
        <f>+SUMIF('حركه المخزن الرئيسي اليوميه'!$F:$F,$H:$H,'حركه المخزن الرئيسي اليوميه'!$H:$H)</f>
        <v>0.0</v>
      </c>
      <c r="M289" s="22">
        <f>+SUMIF('حركه المخزن الرئيسي اليوميه'!$F:$F,$H:$H,'حركه المخزن الرئيسي اليوميه'!$I:$I)</f>
        <v>0.0</v>
      </c>
      <c r="N289" s="22">
        <f t="shared" si="14"/>
        <v>0.0</v>
      </c>
      <c r="O289" s="22">
        <f t="shared" si="13"/>
        <v>0.0</v>
      </c>
      <c r="P289" s="22">
        <f t="shared" si="15"/>
        <v>0.0</v>
      </c>
      <c r="Q289" s="57"/>
      <c r="R289" s="58"/>
    </row>
    <row r="290" spans="8:8" ht="15.0" hidden="1">
      <c r="B290" s="54">
        <v>307.0</v>
      </c>
      <c r="C290" s="8"/>
      <c r="D290" s="8"/>
      <c r="E290" s="8"/>
      <c r="F290" s="8"/>
      <c r="G290" s="8"/>
      <c r="H290" s="8"/>
      <c r="I290" s="55"/>
      <c r="J290" s="56" t="s">
        <v>7800</v>
      </c>
      <c r="K290" s="22">
        <v>0.0</v>
      </c>
      <c r="L290" s="22">
        <f>+SUMIF('حركه المخزن الرئيسي اليوميه'!$F:$F,$H:$H,'حركه المخزن الرئيسي اليوميه'!$H:$H)</f>
        <v>0.0</v>
      </c>
      <c r="M290" s="22">
        <f>+SUMIF('حركه المخزن الرئيسي اليوميه'!$F:$F,$H:$H,'حركه المخزن الرئيسي اليوميه'!$I:$I)</f>
        <v>0.0</v>
      </c>
      <c r="N290" s="22">
        <f t="shared" si="14"/>
        <v>0.0</v>
      </c>
      <c r="O290" s="22">
        <f t="shared" si="16" ref="O290:O301">+N290</f>
        <v>0.0</v>
      </c>
      <c r="P290" s="22">
        <f t="shared" si="15"/>
        <v>0.0</v>
      </c>
      <c r="Q290" s="57"/>
      <c r="R290" s="58"/>
    </row>
    <row r="291" spans="8:8" ht="15.0" hidden="1">
      <c r="B291" s="54">
        <v>308.0</v>
      </c>
      <c r="C291" s="8"/>
      <c r="D291" s="8"/>
      <c r="E291" s="8"/>
      <c r="F291" s="8"/>
      <c r="G291" s="8"/>
      <c r="H291" s="8"/>
      <c r="I291" s="55"/>
      <c r="J291" s="56" t="s">
        <v>7801</v>
      </c>
      <c r="K291" s="22">
        <v>0.0</v>
      </c>
      <c r="L291" s="22">
        <f>+SUMIF('حركه المخزن الرئيسي اليوميه'!$F:$F,$H:$H,'حركه المخزن الرئيسي اليوميه'!$H:$H)</f>
        <v>0.0</v>
      </c>
      <c r="M291" s="22">
        <f>+SUMIF('حركه المخزن الرئيسي اليوميه'!$F:$F,$H:$H,'حركه المخزن الرئيسي اليوميه'!$I:$I)</f>
        <v>0.0</v>
      </c>
      <c r="N291" s="22">
        <f t="shared" si="14"/>
        <v>0.0</v>
      </c>
      <c r="O291" s="22">
        <f t="shared" si="16"/>
        <v>0.0</v>
      </c>
      <c r="P291" s="22">
        <f t="shared" si="15"/>
        <v>0.0</v>
      </c>
      <c r="Q291" s="57"/>
      <c r="R291" s="58"/>
    </row>
    <row r="292" spans="8:8" ht="15.0" hidden="1">
      <c r="B292" s="54">
        <v>309.0</v>
      </c>
      <c r="C292" s="8"/>
      <c r="D292" s="8"/>
      <c r="E292" s="8"/>
      <c r="F292" s="8"/>
      <c r="G292" s="8"/>
      <c r="H292" s="8"/>
      <c r="I292" s="55"/>
      <c r="J292" s="56" t="s">
        <v>7802</v>
      </c>
      <c r="K292" s="22">
        <v>0.0</v>
      </c>
      <c r="L292" s="22">
        <f>+SUMIF('حركه المخزن الرئيسي اليوميه'!$F:$F,$H:$H,'حركه المخزن الرئيسي اليوميه'!$H:$H)</f>
        <v>0.0</v>
      </c>
      <c r="M292" s="22">
        <f>+SUMIF('حركه المخزن الرئيسي اليوميه'!$F:$F,$H:$H,'حركه المخزن الرئيسي اليوميه'!$I:$I)</f>
        <v>0.0</v>
      </c>
      <c r="N292" s="22">
        <f t="shared" si="14"/>
        <v>0.0</v>
      </c>
      <c r="O292" s="22">
        <f t="shared" si="16"/>
        <v>0.0</v>
      </c>
      <c r="P292" s="22">
        <f t="shared" si="15"/>
        <v>0.0</v>
      </c>
      <c r="Q292" s="57"/>
      <c r="R292" s="58"/>
    </row>
    <row r="293" spans="8:8" ht="15.0" hidden="1">
      <c r="B293" s="54">
        <v>310.0</v>
      </c>
      <c r="C293" s="8"/>
      <c r="D293" s="8"/>
      <c r="E293" s="8"/>
      <c r="F293" s="8"/>
      <c r="G293" s="8"/>
      <c r="H293" s="8"/>
      <c r="I293" s="55"/>
      <c r="J293" s="56" t="s">
        <v>7803</v>
      </c>
      <c r="K293" s="22">
        <v>0.0</v>
      </c>
      <c r="L293" s="22">
        <f>+SUMIF('حركه المخزن الرئيسي اليوميه'!$F:$F,$H:$H,'حركه المخزن الرئيسي اليوميه'!$H:$H)</f>
        <v>0.0</v>
      </c>
      <c r="M293" s="22">
        <f>+SUMIF('حركه المخزن الرئيسي اليوميه'!$F:$F,$H:$H,'حركه المخزن الرئيسي اليوميه'!$I:$I)</f>
        <v>0.0</v>
      </c>
      <c r="N293" s="22">
        <f t="shared" si="14"/>
        <v>0.0</v>
      </c>
      <c r="O293" s="22">
        <f t="shared" si="16"/>
        <v>0.0</v>
      </c>
      <c r="P293" s="22">
        <f t="shared" si="15"/>
        <v>0.0</v>
      </c>
      <c r="Q293" s="57"/>
      <c r="R293" s="58"/>
    </row>
    <row r="294" spans="8:8" ht="15.0" hidden="1">
      <c r="B294" s="54">
        <v>311.0</v>
      </c>
      <c r="C294" s="8"/>
      <c r="D294" s="8"/>
      <c r="E294" s="8"/>
      <c r="F294" s="8"/>
      <c r="G294" s="8"/>
      <c r="H294" s="8"/>
      <c r="I294" s="55"/>
      <c r="J294" s="56" t="s">
        <v>7804</v>
      </c>
      <c r="K294" s="22">
        <v>0.0</v>
      </c>
      <c r="L294" s="22">
        <f>+SUMIF('حركه المخزن الرئيسي اليوميه'!$F:$F,$H:$H,'حركه المخزن الرئيسي اليوميه'!$H:$H)</f>
        <v>0.0</v>
      </c>
      <c r="M294" s="22">
        <f>+SUMIF('حركه المخزن الرئيسي اليوميه'!$F:$F,$H:$H,'حركه المخزن الرئيسي اليوميه'!$I:$I)</f>
        <v>0.0</v>
      </c>
      <c r="N294" s="22">
        <f t="shared" si="14"/>
        <v>0.0</v>
      </c>
      <c r="O294" s="22">
        <f t="shared" si="16"/>
        <v>0.0</v>
      </c>
      <c r="P294" s="22">
        <f t="shared" si="15"/>
        <v>0.0</v>
      </c>
      <c r="Q294" s="57"/>
      <c r="R294" s="58"/>
    </row>
    <row r="295" spans="8:8" ht="15.0" hidden="1">
      <c r="B295" s="54">
        <v>312.0</v>
      </c>
      <c r="C295" s="8"/>
      <c r="D295" s="8"/>
      <c r="E295" s="8"/>
      <c r="F295" s="8"/>
      <c r="G295" s="8"/>
      <c r="H295" s="8"/>
      <c r="I295" s="55"/>
      <c r="J295" s="56" t="s">
        <v>7805</v>
      </c>
      <c r="K295" s="22">
        <v>0.0</v>
      </c>
      <c r="L295" s="22">
        <f>+SUMIF('حركه المخزن الرئيسي اليوميه'!$F:$F,$H:$H,'حركه المخزن الرئيسي اليوميه'!$H:$H)</f>
        <v>0.0</v>
      </c>
      <c r="M295" s="22">
        <f>+SUMIF('حركه المخزن الرئيسي اليوميه'!$F:$F,$H:$H,'حركه المخزن الرئيسي اليوميه'!$I:$I)</f>
        <v>0.0</v>
      </c>
      <c r="N295" s="22">
        <f t="shared" si="14"/>
        <v>0.0</v>
      </c>
      <c r="O295" s="22">
        <f t="shared" si="16"/>
        <v>0.0</v>
      </c>
      <c r="P295" s="22">
        <f t="shared" si="15"/>
        <v>0.0</v>
      </c>
      <c r="Q295" s="57"/>
      <c r="R295" s="58"/>
    </row>
    <row r="296" spans="8:8" ht="15.0" hidden="1">
      <c r="B296" s="54">
        <v>313.0</v>
      </c>
      <c r="C296" s="8"/>
      <c r="D296" s="8"/>
      <c r="E296" s="8"/>
      <c r="F296" s="8"/>
      <c r="G296" s="8"/>
      <c r="H296" s="8"/>
      <c r="I296" s="55"/>
      <c r="J296" s="56" t="s">
        <v>7806</v>
      </c>
      <c r="K296" s="22">
        <v>0.0</v>
      </c>
      <c r="L296" s="22">
        <f>+SUMIF('حركه المخزن الرئيسي اليوميه'!$F:$F,$H:$H,'حركه المخزن الرئيسي اليوميه'!$H:$H)</f>
        <v>0.0</v>
      </c>
      <c r="M296" s="22">
        <f>+SUMIF('حركه المخزن الرئيسي اليوميه'!$F:$F,$H:$H,'حركه المخزن الرئيسي اليوميه'!$I:$I)</f>
        <v>0.0</v>
      </c>
      <c r="N296" s="22">
        <f t="shared" si="14"/>
        <v>0.0</v>
      </c>
      <c r="O296" s="22">
        <f t="shared" si="16"/>
        <v>0.0</v>
      </c>
      <c r="P296" s="22">
        <f t="shared" si="15"/>
        <v>0.0</v>
      </c>
      <c r="Q296" s="57"/>
      <c r="R296" s="58"/>
    </row>
    <row r="297" spans="8:8" ht="15.0" hidden="1">
      <c r="B297" s="54">
        <v>314.0</v>
      </c>
      <c r="C297" s="8"/>
      <c r="D297" s="8"/>
      <c r="E297" s="8"/>
      <c r="F297" s="8"/>
      <c r="G297" s="8"/>
      <c r="H297" s="8"/>
      <c r="I297" s="55"/>
      <c r="J297" s="56" t="s">
        <v>7807</v>
      </c>
      <c r="K297" s="22">
        <v>0.0</v>
      </c>
      <c r="L297" s="22">
        <f>+SUMIF('حركه المخزن الرئيسي اليوميه'!$F:$F,$H:$H,'حركه المخزن الرئيسي اليوميه'!$H:$H)</f>
        <v>0.0</v>
      </c>
      <c r="M297" s="22">
        <f>+SUMIF('حركه المخزن الرئيسي اليوميه'!$F:$F,$H:$H,'حركه المخزن الرئيسي اليوميه'!$I:$I)</f>
        <v>0.0</v>
      </c>
      <c r="N297" s="22">
        <f t="shared" si="14"/>
        <v>0.0</v>
      </c>
      <c r="O297" s="22">
        <f t="shared" si="16"/>
        <v>0.0</v>
      </c>
      <c r="P297" s="22">
        <f t="shared" si="15"/>
        <v>0.0</v>
      </c>
      <c r="Q297" s="57"/>
      <c r="R297" s="58"/>
    </row>
    <row r="298" spans="8:8" ht="15.0" hidden="1">
      <c r="B298" s="54">
        <v>315.0</v>
      </c>
      <c r="C298" s="8"/>
      <c r="D298" s="8"/>
      <c r="E298" s="8"/>
      <c r="F298" s="8"/>
      <c r="G298" s="8"/>
      <c r="H298" s="8"/>
      <c r="I298" s="55"/>
      <c r="J298" s="56" t="s">
        <v>7808</v>
      </c>
      <c r="K298" s="22">
        <v>0.0</v>
      </c>
      <c r="L298" s="22">
        <f>+SUMIF('حركه المخزن الرئيسي اليوميه'!$F:$F,$H:$H,'حركه المخزن الرئيسي اليوميه'!$H:$H)</f>
        <v>0.0</v>
      </c>
      <c r="M298" s="22">
        <f>+SUMIF('حركه المخزن الرئيسي اليوميه'!$F:$F,$H:$H,'حركه المخزن الرئيسي اليوميه'!$I:$I)</f>
        <v>0.0</v>
      </c>
      <c r="N298" s="22">
        <f t="shared" si="14"/>
        <v>0.0</v>
      </c>
      <c r="O298" s="22">
        <f t="shared" si="16"/>
        <v>0.0</v>
      </c>
      <c r="P298" s="22">
        <f t="shared" si="15"/>
        <v>0.0</v>
      </c>
      <c r="Q298" s="57"/>
      <c r="R298" s="58"/>
    </row>
    <row r="299" spans="8:8" ht="15.0" hidden="1">
      <c r="B299" s="54">
        <v>316.0</v>
      </c>
      <c r="C299" s="8"/>
      <c r="D299" s="8"/>
      <c r="E299" s="8"/>
      <c r="F299" s="8"/>
      <c r="G299" s="8"/>
      <c r="H299" s="8"/>
      <c r="I299" s="55"/>
      <c r="J299" s="56" t="s">
        <v>7809</v>
      </c>
      <c r="K299" s="22">
        <v>0.0</v>
      </c>
      <c r="L299" s="22">
        <f>+SUMIF('حركه المخزن الرئيسي اليوميه'!$F:$F,$H:$H,'حركه المخزن الرئيسي اليوميه'!$H:$H)</f>
        <v>0.0</v>
      </c>
      <c r="M299" s="22">
        <f>+SUMIF('حركه المخزن الرئيسي اليوميه'!$F:$F,$H:$H,'حركه المخزن الرئيسي اليوميه'!$I:$I)</f>
        <v>0.0</v>
      </c>
      <c r="N299" s="22">
        <f t="shared" si="14"/>
        <v>0.0</v>
      </c>
      <c r="O299" s="22">
        <f t="shared" si="16"/>
        <v>0.0</v>
      </c>
      <c r="P299" s="22">
        <f t="shared" si="15"/>
        <v>0.0</v>
      </c>
      <c r="Q299" s="57"/>
      <c r="R299" s="58"/>
    </row>
    <row r="300" spans="8:8" ht="15.0" hidden="1">
      <c r="B300" s="54">
        <v>317.0</v>
      </c>
      <c r="C300" s="8"/>
      <c r="D300" s="8"/>
      <c r="E300" s="8"/>
      <c r="F300" s="8"/>
      <c r="G300" s="8"/>
      <c r="H300" s="8"/>
      <c r="I300" s="55"/>
      <c r="J300" s="56" t="s">
        <v>7810</v>
      </c>
      <c r="K300" s="22">
        <v>0.0</v>
      </c>
      <c r="L300" s="22">
        <f>+SUMIF('حركه المخزن الرئيسي اليوميه'!$F:$F,$H:$H,'حركه المخزن الرئيسي اليوميه'!$H:$H)</f>
        <v>0.0</v>
      </c>
      <c r="M300" s="22">
        <f>+SUMIF('حركه المخزن الرئيسي اليوميه'!$F:$F,$H:$H,'حركه المخزن الرئيسي اليوميه'!$I:$I)</f>
        <v>0.0</v>
      </c>
      <c r="N300" s="22">
        <f t="shared" si="14"/>
        <v>0.0</v>
      </c>
      <c r="O300" s="22">
        <f t="shared" si="16"/>
        <v>0.0</v>
      </c>
      <c r="P300" s="22">
        <f t="shared" si="15"/>
        <v>0.0</v>
      </c>
      <c r="Q300" s="57"/>
      <c r="R300" s="58"/>
    </row>
    <row r="301" spans="8:8" ht="15.0" hidden="1">
      <c r="B301" s="54">
        <v>318.0</v>
      </c>
      <c r="C301" s="8"/>
      <c r="D301" s="8"/>
      <c r="E301" s="8"/>
      <c r="F301" s="8"/>
      <c r="G301" s="8"/>
      <c r="H301" s="8"/>
      <c r="I301" s="55"/>
      <c r="J301" s="56" t="s">
        <v>7811</v>
      </c>
      <c r="K301" s="22">
        <v>0.0</v>
      </c>
      <c r="L301" s="22">
        <f>+SUMIF('حركه المخزن الرئيسي اليوميه'!$F:$F,$H:$H,'حركه المخزن الرئيسي اليوميه'!$H:$H)</f>
        <v>0.0</v>
      </c>
      <c r="M301" s="22">
        <f>+SUMIF('حركه المخزن الرئيسي اليوميه'!$F:$F,$H:$H,'حركه المخزن الرئيسي اليوميه'!$I:$I)</f>
        <v>0.0</v>
      </c>
      <c r="N301" s="22">
        <f t="shared" si="14"/>
        <v>0.0</v>
      </c>
      <c r="O301" s="22">
        <f t="shared" si="16"/>
        <v>0.0</v>
      </c>
      <c r="P301" s="22">
        <f t="shared" si="15"/>
        <v>0.0</v>
      </c>
      <c r="Q301" s="57"/>
      <c r="R301" s="58"/>
    </row>
  </sheetData>
  <autoFilter ref="B9:P301">
    <filterColumn colId="6" showButton="1">
      <filters>
        <filter val="stailess wiring screen استيل ول"/>
        <filter val="بلاستيك  lower cone line"/>
        <filter val="بلاستيك  Spigot"/>
        <filter val="بلاستيك fortex findar"/>
        <filter val="بوماستيك"/>
        <filter val="حوض غسيل استيل"/>
        <filter val="سلك بلاستيك - الطاقة كيبل"/>
        <filter val="سلك رباط (استيل)"/>
        <filter val="سله مهملات ( استيل ) 10 لتر"/>
        <filter val="صوف كاثود فلتر الخلية ( استيل )"/>
        <filter val="فلنشة استيل DN20"/>
        <filter val="فلنشة استيل DN40"/>
        <filter val="فلنشة استيل DN50"/>
        <filter val="فلنشة استيل DN65"/>
        <filter val="فلنشة استيل DN80"/>
        <filter val="ماسورة  بلاستيك صغيره -الابار"/>
        <filter val="ماسورة  بلاستيك كبيره -الابار"/>
        <filter val="مراوح  بلاستيك ربر"/>
      </filters>
    </filterColumn>
  </autoFilter>
  <mergeCells count="3">
    <mergeCell ref="M2:N3"/>
    <mergeCell ref="K8:O8"/>
    <mergeCell ref="R8:R9"/>
  </mergeCells>
  <pageMargins left="0.25" right="0.25" top="0.75" bottom="0.75" header="0.3" footer="0.3"/>
  <pageSetup paperSize="9" scale="63" orientation="landscape"/>
  <drawing r:id="rId1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FF0000"/>
    <pageSetUpPr fitToPage="1"/>
  </sheetPr>
  <dimension ref="A1:X291"/>
  <sheetViews>
    <sheetView workbookViewId="0" rightToLeft="1" zoomScale="60">
      <pane ySplit="9" topLeftCell="A10" state="frozen" activePane="bottomLeft"/>
      <selection pane="bottomLeft" activeCell="J251" sqref="J251"/>
    </sheetView>
  </sheetViews>
  <sheetFormatPr defaultRowHeight="15.0" defaultColWidth="9"/>
  <cols>
    <col min="1" max="1" customWidth="1" width="1.375" style="1"/>
    <col min="2" max="2" customWidth="1" bestFit="1" width="10.25" style="2"/>
    <col min="3" max="3" customWidth="1" width="7.0" style="2"/>
    <col min="4" max="4" customWidth="1" width="10.625" style="2"/>
    <col min="5" max="5" customWidth="1" bestFit="1" width="38.875" style="2"/>
    <col min="6" max="6" customWidth="1" width="10.875" style="2"/>
    <col min="7" max="7" customWidth="1" bestFit="1" width="28.0" style="2"/>
    <col min="8" max="8" customWidth="1" bestFit="1" width="33.5" style="1"/>
    <col min="9" max="9" customWidth="1" bestFit="1" width="22.375" style="2"/>
    <col min="10" max="10" customWidth="1" width="10.125" style="3"/>
    <col min="11" max="11" customWidth="1" width="10.625" style="4"/>
    <col min="12" max="12" customWidth="1" width="9.25" style="4"/>
    <col min="13" max="13" customWidth="1" width="9.375" style="4"/>
    <col min="14" max="14" customWidth="1" bestFit="1" width="10.875" style="4"/>
    <col min="15" max="16" customWidth="1" width="9.25" style="4"/>
    <col min="17" max="17" customWidth="1" width="11.75" style="5"/>
    <col min="18" max="18" customWidth="1" bestFit="1" width="28.0" style="6"/>
    <col min="19" max="16384" customWidth="0" width="9.125" style="1"/>
  </cols>
  <sheetData>
    <row r="1" spans="8:8" ht="16.5">
      <c r="A1" s="7"/>
      <c r="B1" s="8"/>
      <c r="C1" s="8"/>
      <c r="D1" s="8"/>
      <c r="E1" s="8"/>
      <c r="F1" s="8"/>
      <c r="G1" s="8"/>
      <c r="H1" s="9"/>
      <c r="I1" s="8"/>
      <c r="J1" s="10"/>
      <c r="K1" s="11"/>
      <c r="L1" s="11"/>
      <c r="M1" s="12"/>
      <c r="N1" s="12"/>
      <c r="O1" s="11"/>
      <c r="P1" s="11"/>
      <c r="Q1" s="13"/>
      <c r="R1" s="14"/>
    </row>
    <row r="2" spans="8:8" ht="15.75">
      <c r="A2" s="7"/>
      <c r="B2" s="8"/>
      <c r="H2" s="9"/>
      <c r="I2" s="8"/>
      <c r="J2" s="10"/>
      <c r="K2" s="11"/>
      <c r="L2" s="15"/>
      <c r="M2" s="16" t="s">
        <v>8201</v>
      </c>
      <c r="N2" s="17"/>
      <c r="O2" s="18"/>
      <c r="P2" s="11"/>
      <c r="Q2" s="13"/>
      <c r="R2" s="14"/>
    </row>
    <row r="3" spans="8:8" ht="16.5">
      <c r="A3" s="7"/>
      <c r="B3" s="8"/>
      <c r="C3" s="8"/>
      <c r="D3" s="8"/>
      <c r="F3" s="8"/>
      <c r="G3" s="8"/>
      <c r="H3" s="9"/>
      <c r="I3" s="55"/>
      <c r="J3" s="10" t="s">
        <v>3901</v>
      </c>
      <c r="K3" s="11"/>
      <c r="L3" s="15"/>
      <c r="M3" s="19"/>
      <c r="N3" s="20"/>
      <c r="O3" s="18"/>
      <c r="P3" s="11"/>
      <c r="Q3" s="13"/>
      <c r="R3" s="14"/>
    </row>
    <row r="4" spans="8:8" ht="15.75">
      <c r="A4" s="7"/>
      <c r="B4" s="8"/>
      <c r="C4" s="8"/>
      <c r="D4" s="8"/>
      <c r="E4" s="8"/>
      <c r="F4" s="8"/>
      <c r="G4" s="21"/>
      <c r="H4" s="9"/>
      <c r="I4" s="55"/>
      <c r="J4" s="10"/>
      <c r="K4" s="11"/>
      <c r="L4" s="11"/>
      <c r="M4" s="22"/>
      <c r="N4" s="22"/>
      <c r="O4" s="11"/>
      <c r="P4" s="11"/>
      <c r="Q4" s="11"/>
      <c r="R4" s="14"/>
    </row>
    <row r="5" spans="8:8" ht="15.75">
      <c r="A5" s="7"/>
      <c r="B5" s="7"/>
      <c r="C5" s="7"/>
      <c r="D5" s="7"/>
      <c r="E5" s="23"/>
      <c r="F5" s="7" t="s">
        <v>1436</v>
      </c>
      <c r="G5" s="7"/>
      <c r="H5" s="8"/>
      <c r="I5" s="8"/>
      <c r="J5" s="10"/>
      <c r="K5" s="11"/>
      <c r="L5" s="11"/>
      <c r="M5" s="11"/>
      <c r="N5" s="11"/>
      <c r="O5" s="11"/>
      <c r="P5" s="11"/>
      <c r="Q5" s="13"/>
      <c r="R5" s="14"/>
    </row>
    <row r="6" spans="8:8" ht="19.5">
      <c r="A6" s="7"/>
      <c r="B6" s="24"/>
      <c r="C6" s="8"/>
      <c r="D6" s="25"/>
      <c r="E6" s="26" t="s">
        <v>1542</v>
      </c>
      <c r="F6" s="27"/>
      <c r="G6" s="28"/>
      <c r="H6" s="9"/>
      <c r="I6" s="24"/>
      <c r="J6" s="29"/>
      <c r="K6" s="30"/>
      <c r="L6" s="31"/>
      <c r="M6" s="31"/>
      <c r="N6" s="31"/>
      <c r="O6" s="31"/>
      <c r="P6" s="31"/>
      <c r="Q6" s="24"/>
      <c r="R6" s="14"/>
    </row>
    <row r="7" spans="8:8" ht="19.5">
      <c r="A7" s="7"/>
      <c r="B7" s="24"/>
      <c r="C7" s="24"/>
      <c r="D7" s="32"/>
      <c r="E7" s="26" t="s">
        <v>3645</v>
      </c>
      <c r="F7" s="27"/>
      <c r="G7" s="28"/>
      <c r="H7" s="9"/>
      <c r="I7" s="24"/>
      <c r="J7" s="29"/>
      <c r="K7" s="33"/>
      <c r="L7" s="34"/>
      <c r="M7" s="34"/>
      <c r="N7" s="34"/>
      <c r="O7" s="34"/>
      <c r="P7" s="31"/>
      <c r="Q7" s="24"/>
      <c r="R7" s="35"/>
    </row>
    <row r="8" spans="8:8" ht="16.5">
      <c r="E8" s="36"/>
      <c r="H8" s="37"/>
      <c r="K8" s="38" t="s">
        <v>1</v>
      </c>
      <c r="L8" s="39"/>
      <c r="M8" s="39"/>
      <c r="N8" s="39"/>
      <c r="O8" s="40"/>
      <c r="P8" s="41"/>
      <c r="Q8" s="42"/>
      <c r="R8" s="43" t="s">
        <v>2</v>
      </c>
    </row>
    <row r="9" spans="8:8" ht="48.75" customHeight="1">
      <c r="A9" s="44"/>
      <c r="B9" s="45" t="s">
        <v>8</v>
      </c>
      <c r="C9" s="45" t="s">
        <v>18</v>
      </c>
      <c r="D9" s="45" t="s">
        <v>653</v>
      </c>
      <c r="E9" s="46" t="s">
        <v>1678</v>
      </c>
      <c r="F9" s="46" t="s">
        <v>874</v>
      </c>
      <c r="G9" s="46" t="s">
        <v>1679</v>
      </c>
      <c r="H9" s="47" t="s">
        <v>1872</v>
      </c>
      <c r="I9" s="48" t="s">
        <v>4</v>
      </c>
      <c r="J9" s="49" t="s">
        <v>3625</v>
      </c>
      <c r="K9" s="50" t="s">
        <v>10</v>
      </c>
      <c r="L9" s="50" t="s">
        <v>1441</v>
      </c>
      <c r="M9" s="50" t="s">
        <v>7</v>
      </c>
      <c r="N9" s="50" t="s">
        <v>1015</v>
      </c>
      <c r="O9" s="50" t="s">
        <v>8198</v>
      </c>
      <c r="P9" s="51" t="s">
        <v>3</v>
      </c>
      <c r="Q9" s="52"/>
      <c r="R9" s="53"/>
    </row>
    <row r="10" spans="8:8">
      <c r="B10" s="54">
        <v>3.0</v>
      </c>
      <c r="C10" s="8" t="s">
        <v>814</v>
      </c>
      <c r="D10" s="8" t="s">
        <v>820</v>
      </c>
      <c r="E10" s="8" t="s">
        <v>1041</v>
      </c>
      <c r="F10" s="8" t="s">
        <v>68</v>
      </c>
      <c r="G10" s="8" t="s">
        <v>2342</v>
      </c>
      <c r="H10" s="8" t="s">
        <v>1041</v>
      </c>
      <c r="I10" s="55" t="s">
        <v>3608</v>
      </c>
      <c r="J10" s="60" t="s">
        <v>7812</v>
      </c>
      <c r="K10" s="22">
        <v>9.0</v>
      </c>
      <c r="L10" s="22">
        <f>+SUMIF('حركه المخزن الرئيسي اليوميه'!$F:$F,$H:$H,'حركه المخزن الرئيسي اليوميه'!$H:$H)</f>
        <v>0.0</v>
      </c>
      <c r="M10" s="22">
        <f>+SUMIF('حركه المخزن الرئيسي اليوميه'!$F:$F,$H:$H,'حركه المخزن الرئيسي اليوميه'!$I:$I)</f>
        <v>0.0</v>
      </c>
      <c r="N10" s="22">
        <f t="shared" si="0" ref="N10">+K10+L10-M10</f>
        <v>9.0</v>
      </c>
      <c r="O10" s="22">
        <f t="shared" si="1" ref="O10">+N10</f>
        <v>9.0</v>
      </c>
      <c r="P10" s="22">
        <f t="shared" si="2" ref="P10">+N10-O10</f>
        <v>0.0</v>
      </c>
      <c r="Q10" s="57"/>
      <c r="R10" s="58"/>
    </row>
    <row r="11" spans="8:8">
      <c r="B11" s="54">
        <v>4.0</v>
      </c>
      <c r="C11" s="8" t="s">
        <v>814</v>
      </c>
      <c r="D11" s="8" t="s">
        <v>3486</v>
      </c>
      <c r="E11" s="8" t="s">
        <v>824</v>
      </c>
      <c r="F11" s="8" t="s">
        <v>68</v>
      </c>
      <c r="G11" s="8" t="s">
        <v>2393</v>
      </c>
      <c r="H11" s="8" t="s">
        <v>824</v>
      </c>
      <c r="I11" s="55" t="s">
        <v>3609</v>
      </c>
      <c r="J11" s="60" t="s">
        <v>7813</v>
      </c>
      <c r="K11" s="22">
        <v>0.0</v>
      </c>
      <c r="L11" s="22">
        <f>+SUMIF('حركه المخزن الرئيسي اليوميه'!$F:$F,$H:$H,'حركه المخزن الرئيسي اليوميه'!$H:$H)</f>
        <v>0.0</v>
      </c>
      <c r="M11" s="22">
        <f>+SUMIF('حركه المخزن الرئيسي اليوميه'!$F:$F,$H:$H,'حركه المخزن الرئيسي اليوميه'!$I:$I)</f>
        <v>0.0</v>
      </c>
      <c r="N11" s="22">
        <f t="shared" si="3" ref="N11:N14">+K11+L11-M11</f>
        <v>0.0</v>
      </c>
      <c r="O11" s="22">
        <f t="shared" si="4" ref="O11:O14">+N11</f>
        <v>0.0</v>
      </c>
      <c r="P11" s="22">
        <f t="shared" si="5" ref="P11:P12">+N11-O11</f>
        <v>0.0</v>
      </c>
      <c r="Q11" s="57"/>
      <c r="R11" s="58"/>
    </row>
    <row r="12" spans="8:8">
      <c r="B12" s="54">
        <v>5.0</v>
      </c>
      <c r="C12" s="8" t="s">
        <v>814</v>
      </c>
      <c r="D12" s="8" t="s">
        <v>3664</v>
      </c>
      <c r="E12" s="8" t="s">
        <v>2694</v>
      </c>
      <c r="F12" s="8" t="s">
        <v>68</v>
      </c>
      <c r="G12" s="8"/>
      <c r="H12" s="8" t="s">
        <v>2694</v>
      </c>
      <c r="I12" s="55" t="s">
        <v>3609</v>
      </c>
      <c r="J12" s="60" t="s">
        <v>7814</v>
      </c>
      <c r="K12" s="22">
        <v>0.0</v>
      </c>
      <c r="L12" s="22">
        <f>+SUMIF('حركه المخزن الرئيسي اليوميه'!$F:$F,$H:$H,'حركه المخزن الرئيسي اليوميه'!$H:$H)</f>
        <v>0.0</v>
      </c>
      <c r="M12" s="22">
        <f>+SUMIF('حركه المخزن الرئيسي اليوميه'!$F:$F,$H:$H,'حركه المخزن الرئيسي اليوميه'!$I:$I)</f>
        <v>0.0</v>
      </c>
      <c r="N12" s="22">
        <f t="shared" si="3"/>
        <v>0.0</v>
      </c>
      <c r="O12" s="22">
        <f t="shared" si="4"/>
        <v>0.0</v>
      </c>
      <c r="P12" s="22">
        <f t="shared" si="5"/>
        <v>0.0</v>
      </c>
      <c r="Q12" s="57"/>
      <c r="R12" s="58"/>
    </row>
    <row r="13" spans="8:8">
      <c r="B13" s="54">
        <v>6.0</v>
      </c>
      <c r="C13" s="8" t="s">
        <v>814</v>
      </c>
      <c r="D13" s="8" t="s">
        <v>828</v>
      </c>
      <c r="E13" s="8" t="s">
        <v>2675</v>
      </c>
      <c r="F13" s="8" t="s">
        <v>68</v>
      </c>
      <c r="G13" s="8"/>
      <c r="H13" s="8" t="s">
        <v>2675</v>
      </c>
      <c r="I13" s="55" t="s">
        <v>2539</v>
      </c>
      <c r="J13" s="60" t="s">
        <v>7815</v>
      </c>
      <c r="K13" s="22">
        <v>0.0</v>
      </c>
      <c r="L13" s="22">
        <f>+SUMIF('حركه المخزن الرئيسي اليوميه'!$F:$F,$H:$H,'حركه المخزن الرئيسي اليوميه'!$H:$H)</f>
        <v>0.0</v>
      </c>
      <c r="M13" s="22">
        <f>+SUMIF('حركه المخزن الرئيسي اليوميه'!$F:$F,$H:$H,'حركه المخزن الرئيسي اليوميه'!$I:$I)</f>
        <v>0.0</v>
      </c>
      <c r="N13" s="22">
        <f t="shared" si="3"/>
        <v>0.0</v>
      </c>
      <c r="O13" s="22">
        <f t="shared" si="4"/>
        <v>0.0</v>
      </c>
      <c r="P13" s="22">
        <f t="shared" si="6" ref="P13:P15">+N13-O13</f>
        <v>0.0</v>
      </c>
      <c r="Q13" s="57"/>
      <c r="R13" s="58"/>
    </row>
    <row r="14" spans="8:8">
      <c r="B14" s="54">
        <v>9.0</v>
      </c>
      <c r="C14" s="8" t="s">
        <v>814</v>
      </c>
      <c r="D14" s="8" t="s">
        <v>828</v>
      </c>
      <c r="E14" s="8" t="s">
        <v>3821</v>
      </c>
      <c r="F14" s="8" t="s">
        <v>68</v>
      </c>
      <c r="G14" s="8" t="s">
        <v>2141</v>
      </c>
      <c r="H14" s="8" t="s">
        <v>3661</v>
      </c>
      <c r="I14" s="55" t="s">
        <v>3662</v>
      </c>
      <c r="J14" s="60" t="s">
        <v>7816</v>
      </c>
      <c r="K14" s="22">
        <v>1.0</v>
      </c>
      <c r="L14" s="22">
        <f>+SUMIF('حركه المخزن الرئيسي اليوميه'!$F:$F,$H:$H,'حركه المخزن الرئيسي اليوميه'!$H:$H)</f>
        <v>0.0</v>
      </c>
      <c r="M14" s="22">
        <f>+SUMIF('حركه المخزن الرئيسي اليوميه'!$F:$F,$H:$H,'حركه المخزن الرئيسي اليوميه'!$I:$I)</f>
        <v>0.0</v>
      </c>
      <c r="N14" s="22">
        <f t="shared" si="3"/>
        <v>1.0</v>
      </c>
      <c r="O14" s="22">
        <f t="shared" si="4"/>
        <v>1.0</v>
      </c>
      <c r="P14" s="22">
        <f t="shared" si="6"/>
        <v>0.0</v>
      </c>
      <c r="Q14" s="57"/>
      <c r="R14" s="58"/>
    </row>
    <row r="15" spans="8:8">
      <c r="B15" s="54">
        <v>10.0</v>
      </c>
      <c r="C15" s="8" t="s">
        <v>814</v>
      </c>
      <c r="D15" s="8" t="s">
        <v>828</v>
      </c>
      <c r="E15" s="8" t="s">
        <v>1186</v>
      </c>
      <c r="F15" s="8" t="s">
        <v>1187</v>
      </c>
      <c r="G15" s="8" t="s">
        <v>2223</v>
      </c>
      <c r="H15" s="8" t="s">
        <v>1186</v>
      </c>
      <c r="I15" s="55" t="s">
        <v>818</v>
      </c>
      <c r="J15" s="60" t="s">
        <v>7817</v>
      </c>
      <c r="K15" s="22">
        <v>0.0</v>
      </c>
      <c r="L15" s="22">
        <f>+SUMIF('حركه المخزن الرئيسي اليوميه'!$F:$F,$H:$H,'حركه المخزن الرئيسي اليوميه'!$H:$H)</f>
        <v>0.0</v>
      </c>
      <c r="M15" s="22">
        <f>+SUMIF('حركه المخزن الرئيسي اليوميه'!$F:$F,$H:$H,'حركه المخزن الرئيسي اليوميه'!$I:$I)</f>
        <v>0.0</v>
      </c>
      <c r="N15" s="22">
        <f t="shared" si="7" ref="N15:N16">+K15+L15-M15</f>
        <v>0.0</v>
      </c>
      <c r="O15" s="22">
        <f t="shared" si="8" ref="O15">+N15</f>
        <v>0.0</v>
      </c>
      <c r="P15" s="22">
        <f t="shared" si="6"/>
        <v>0.0</v>
      </c>
      <c r="Q15" s="57"/>
      <c r="R15" s="58"/>
    </row>
    <row r="16" spans="8:8">
      <c r="B16" s="54">
        <v>17.0</v>
      </c>
      <c r="C16" s="8" t="s">
        <v>814</v>
      </c>
      <c r="D16" s="8" t="s">
        <v>820</v>
      </c>
      <c r="E16" s="8" t="s">
        <v>8195</v>
      </c>
      <c r="F16" s="8" t="s">
        <v>2833</v>
      </c>
      <c r="G16" s="8"/>
      <c r="H16" s="8" t="s">
        <v>8195</v>
      </c>
      <c r="I16" s="55" t="s">
        <v>3662</v>
      </c>
      <c r="J16" s="60" t="s">
        <v>7818</v>
      </c>
      <c r="K16" s="22">
        <v>1.0</v>
      </c>
      <c r="L16" s="22">
        <f>+SUMIF('حركه المخزن الرئيسي اليوميه'!$F:$F,$H:$H,'حركه المخزن الرئيسي اليوميه'!$H:$H)</f>
        <v>0.0</v>
      </c>
      <c r="M16" s="22">
        <f>+SUMIF('حركه المخزن الرئيسي اليوميه'!$F:$F,$H:$H,'حركه المخزن الرئيسي اليوميه'!$I:$I)</f>
        <v>0.0</v>
      </c>
      <c r="N16" s="22">
        <f t="shared" si="7"/>
        <v>1.0</v>
      </c>
      <c r="O16" s="22">
        <f t="shared" si="9" ref="O16:O25">+N16</f>
        <v>1.0</v>
      </c>
      <c r="P16" s="22">
        <f t="shared" si="10" ref="P16:P63">+N16-O16</f>
        <v>0.0</v>
      </c>
      <c r="Q16" s="57"/>
      <c r="R16" s="58"/>
    </row>
    <row r="17" spans="8:8">
      <c r="B17" s="54">
        <v>18.0</v>
      </c>
      <c r="C17" s="8" t="s">
        <v>814</v>
      </c>
      <c r="D17" s="8" t="s">
        <v>811</v>
      </c>
      <c r="E17" s="8" t="s">
        <v>2847</v>
      </c>
      <c r="F17" s="8" t="s">
        <v>2833</v>
      </c>
      <c r="G17" s="8"/>
      <c r="H17" s="8" t="s">
        <v>3425</v>
      </c>
      <c r="I17" s="55" t="s">
        <v>2539</v>
      </c>
      <c r="J17" s="60" t="s">
        <v>7819</v>
      </c>
      <c r="K17" s="22">
        <v>0.0</v>
      </c>
      <c r="L17" s="22">
        <f>+SUMIF('حركه المخزن الرئيسي اليوميه'!$F:$F,$H:$H,'حركه المخزن الرئيسي اليوميه'!$H:$H)</f>
        <v>0.0</v>
      </c>
      <c r="M17" s="22">
        <f>+SUMIF('حركه المخزن الرئيسي اليوميه'!$F:$F,$H:$H,'حركه المخزن الرئيسي اليوميه'!$I:$I)</f>
        <v>0.0</v>
      </c>
      <c r="N17" s="22">
        <f t="shared" si="11" ref="N17:N25">+K17+L17-M17</f>
        <v>0.0</v>
      </c>
      <c r="O17" s="22">
        <f t="shared" si="9"/>
        <v>0.0</v>
      </c>
      <c r="P17" s="22">
        <f t="shared" si="10"/>
        <v>0.0</v>
      </c>
      <c r="Q17" s="57"/>
      <c r="R17" s="58"/>
    </row>
    <row r="18" spans="8:8">
      <c r="B18" s="54">
        <v>19.0</v>
      </c>
      <c r="C18" s="8" t="s">
        <v>814</v>
      </c>
      <c r="D18" s="8" t="s">
        <v>828</v>
      </c>
      <c r="E18" s="8" t="s">
        <v>3685</v>
      </c>
      <c r="F18" s="8" t="s">
        <v>2833</v>
      </c>
      <c r="G18" s="8"/>
      <c r="H18" s="8" t="s">
        <v>3685</v>
      </c>
      <c r="I18" s="55" t="s">
        <v>1444</v>
      </c>
      <c r="J18" s="60" t="s">
        <v>7820</v>
      </c>
      <c r="K18" s="22">
        <v>1.0</v>
      </c>
      <c r="L18" s="22">
        <f>+SUMIF('حركه المخزن الرئيسي اليوميه'!$F:$F,$H:$H,'حركه المخزن الرئيسي اليوميه'!$H:$H)</f>
        <v>0.0</v>
      </c>
      <c r="M18" s="22">
        <f>+SUMIF('حركه المخزن الرئيسي اليوميه'!$F:$F,$H:$H,'حركه المخزن الرئيسي اليوميه'!$I:$I)</f>
        <v>0.0</v>
      </c>
      <c r="N18" s="22">
        <f t="shared" si="11"/>
        <v>1.0</v>
      </c>
      <c r="O18" s="22">
        <f t="shared" si="9"/>
        <v>1.0</v>
      </c>
      <c r="P18" s="22">
        <f t="shared" si="10"/>
        <v>0.0</v>
      </c>
      <c r="Q18" s="57"/>
      <c r="R18" s="58"/>
    </row>
    <row r="19" spans="8:8">
      <c r="B19" s="54">
        <v>20.0</v>
      </c>
      <c r="C19" s="8" t="s">
        <v>2528</v>
      </c>
      <c r="D19" s="8" t="s">
        <v>811</v>
      </c>
      <c r="E19" s="8" t="s">
        <v>2834</v>
      </c>
      <c r="F19" s="8" t="s">
        <v>2833</v>
      </c>
      <c r="G19" s="8"/>
      <c r="H19" s="8" t="s">
        <v>2835</v>
      </c>
      <c r="I19" s="55" t="s">
        <v>2539</v>
      </c>
      <c r="J19" s="60" t="s">
        <v>7821</v>
      </c>
      <c r="K19" s="22">
        <v>0.0</v>
      </c>
      <c r="L19" s="22">
        <f>+SUMIF('حركه المخزن الرئيسي اليوميه'!$F:$F,$H:$H,'حركه المخزن الرئيسي اليوميه'!$H:$H)</f>
        <v>0.0</v>
      </c>
      <c r="M19" s="22">
        <f>+SUMIF('حركه المخزن الرئيسي اليوميه'!$F:$F,$H:$H,'حركه المخزن الرئيسي اليوميه'!$I:$I)</f>
        <v>0.0</v>
      </c>
      <c r="N19" s="22">
        <f t="shared" si="11"/>
        <v>0.0</v>
      </c>
      <c r="O19" s="22">
        <f t="shared" si="9"/>
        <v>0.0</v>
      </c>
      <c r="P19" s="22">
        <f t="shared" si="10"/>
        <v>0.0</v>
      </c>
      <c r="Q19" s="57"/>
      <c r="R19" s="58"/>
    </row>
    <row r="20" spans="8:8">
      <c r="B20" s="54">
        <v>21.0</v>
      </c>
      <c r="C20" s="8"/>
      <c r="D20" s="8"/>
      <c r="E20" s="8"/>
      <c r="F20" s="8"/>
      <c r="G20" s="8"/>
      <c r="H20" s="8"/>
      <c r="I20" s="57"/>
      <c r="J20" s="60" t="s">
        <v>7822</v>
      </c>
      <c r="K20" s="22">
        <v>0.0</v>
      </c>
      <c r="L20" s="22">
        <f>+SUMIF('حركه المخزن الرئيسي اليوميه'!$F:$F,$H:$H,'حركه المخزن الرئيسي اليوميه'!$H:$H)</f>
        <v>0.0</v>
      </c>
      <c r="M20" s="22">
        <f>+SUMIF('حركه المخزن الرئيسي اليوميه'!$F:$F,$H:$H,'حركه المخزن الرئيسي اليوميه'!$I:$I)</f>
        <v>0.0</v>
      </c>
      <c r="N20" s="22">
        <f t="shared" si="11"/>
        <v>0.0</v>
      </c>
      <c r="O20" s="22">
        <f t="shared" si="9"/>
        <v>0.0</v>
      </c>
      <c r="P20" s="22">
        <f t="shared" si="10"/>
        <v>0.0</v>
      </c>
      <c r="Q20" s="57"/>
      <c r="R20" s="58"/>
    </row>
    <row r="21" spans="8:8">
      <c r="B21" s="54">
        <v>22.0</v>
      </c>
      <c r="C21" s="8" t="s">
        <v>814</v>
      </c>
      <c r="D21" s="8" t="s">
        <v>820</v>
      </c>
      <c r="E21" s="8" t="s">
        <v>1067</v>
      </c>
      <c r="F21" s="8" t="s">
        <v>68</v>
      </c>
      <c r="G21" s="8" t="s">
        <v>2427</v>
      </c>
      <c r="H21" s="8" t="s">
        <v>1067</v>
      </c>
      <c r="I21" s="55" t="s">
        <v>3608</v>
      </c>
      <c r="J21" s="60" t="s">
        <v>7823</v>
      </c>
      <c r="K21" s="22">
        <v>17.0</v>
      </c>
      <c r="L21" s="22">
        <f>+SUMIF('حركه المخزن الرئيسي اليوميه'!$F:$F,$H:$H,'حركه المخزن الرئيسي اليوميه'!$H:$H)</f>
        <v>0.0</v>
      </c>
      <c r="M21" s="22">
        <f>+SUMIF('حركه المخزن الرئيسي اليوميه'!$F:$F,$H:$H,'حركه المخزن الرئيسي اليوميه'!$I:$I)</f>
        <v>0.0</v>
      </c>
      <c r="N21" s="22">
        <f t="shared" si="11"/>
        <v>17.0</v>
      </c>
      <c r="O21" s="22">
        <f t="shared" si="9"/>
        <v>17.0</v>
      </c>
      <c r="P21" s="22">
        <f t="shared" si="10"/>
        <v>0.0</v>
      </c>
      <c r="Q21" s="57"/>
      <c r="R21" s="58"/>
    </row>
    <row r="22" spans="8:8">
      <c r="B22" s="54">
        <v>23.0</v>
      </c>
      <c r="C22" s="8" t="s">
        <v>814</v>
      </c>
      <c r="D22" s="8" t="s">
        <v>820</v>
      </c>
      <c r="E22" s="8" t="s">
        <v>2576</v>
      </c>
      <c r="F22" s="8" t="s">
        <v>68</v>
      </c>
      <c r="G22" s="8" t="s">
        <v>1068</v>
      </c>
      <c r="H22" s="8" t="s">
        <v>1068</v>
      </c>
      <c r="I22" s="55" t="s">
        <v>3608</v>
      </c>
      <c r="J22" s="60" t="s">
        <v>7824</v>
      </c>
      <c r="K22" s="22">
        <v>120.0</v>
      </c>
      <c r="L22" s="22">
        <f>+SUMIF('حركه المخزن الرئيسي اليوميه'!$F:$F,$H:$H,'حركه المخزن الرئيسي اليوميه'!$H:$H)</f>
        <v>0.0</v>
      </c>
      <c r="M22" s="22">
        <f>+SUMIF('حركه المخزن الرئيسي اليوميه'!$F:$F,$H:$H,'حركه المخزن الرئيسي اليوميه'!$I:$I)</f>
        <v>0.0</v>
      </c>
      <c r="N22" s="22">
        <f t="shared" si="11"/>
        <v>120.0</v>
      </c>
      <c r="O22" s="22">
        <f t="shared" si="9"/>
        <v>120.0</v>
      </c>
      <c r="P22" s="22">
        <f t="shared" si="10"/>
        <v>0.0</v>
      </c>
      <c r="Q22" s="57"/>
      <c r="R22" s="58"/>
    </row>
    <row r="23" spans="8:8">
      <c r="B23" s="54">
        <v>24.0</v>
      </c>
      <c r="C23" s="8" t="s">
        <v>814</v>
      </c>
      <c r="D23" s="8" t="s">
        <v>820</v>
      </c>
      <c r="E23" s="8" t="s">
        <v>2577</v>
      </c>
      <c r="F23" s="8" t="s">
        <v>68</v>
      </c>
      <c r="G23" s="8" t="s">
        <v>1069</v>
      </c>
      <c r="H23" s="8" t="s">
        <v>1069</v>
      </c>
      <c r="I23" s="55" t="s">
        <v>3608</v>
      </c>
      <c r="J23" s="60" t="s">
        <v>7825</v>
      </c>
      <c r="K23" s="22">
        <v>18.0</v>
      </c>
      <c r="L23" s="22">
        <f>+SUMIF('حركه المخزن الرئيسي اليوميه'!$F:$F,$H:$H,'حركه المخزن الرئيسي اليوميه'!$H:$H)</f>
        <v>0.0</v>
      </c>
      <c r="M23" s="22">
        <f>+SUMIF('حركه المخزن الرئيسي اليوميه'!$F:$F,$H:$H,'حركه المخزن الرئيسي اليوميه'!$I:$I)</f>
        <v>0.0</v>
      </c>
      <c r="N23" s="22">
        <f t="shared" si="11"/>
        <v>18.0</v>
      </c>
      <c r="O23" s="22">
        <f t="shared" si="9"/>
        <v>18.0</v>
      </c>
      <c r="P23" s="22">
        <f t="shared" si="10"/>
        <v>0.0</v>
      </c>
      <c r="Q23" s="57"/>
      <c r="R23" s="58"/>
    </row>
    <row r="24" spans="8:8">
      <c r="B24" s="54">
        <v>25.0</v>
      </c>
      <c r="C24" s="8" t="s">
        <v>814</v>
      </c>
      <c r="D24" s="8" t="s">
        <v>820</v>
      </c>
      <c r="E24" s="8" t="s">
        <v>1179</v>
      </c>
      <c r="F24" s="8" t="s">
        <v>68</v>
      </c>
      <c r="G24" s="8" t="s">
        <v>2220</v>
      </c>
      <c r="H24" s="8" t="s">
        <v>2786</v>
      </c>
      <c r="I24" s="55" t="s">
        <v>814</v>
      </c>
      <c r="J24" s="60" t="s">
        <v>7826</v>
      </c>
      <c r="K24" s="22">
        <v>0.0</v>
      </c>
      <c r="L24" s="22">
        <f>+SUMIF('حركه المخزن الرئيسي اليوميه'!$F:$F,$H:$H,'حركه المخزن الرئيسي اليوميه'!$H:$H)</f>
        <v>0.0</v>
      </c>
      <c r="M24" s="22">
        <f>+SUMIF('حركه المخزن الرئيسي اليوميه'!$F:$F,$H:$H,'حركه المخزن الرئيسي اليوميه'!$I:$I)</f>
        <v>0.0</v>
      </c>
      <c r="N24" s="22">
        <f t="shared" si="11"/>
        <v>0.0</v>
      </c>
      <c r="O24" s="22">
        <f t="shared" si="9"/>
        <v>0.0</v>
      </c>
      <c r="P24" s="22">
        <f t="shared" si="10"/>
        <v>0.0</v>
      </c>
      <c r="Q24" s="57"/>
      <c r="R24" s="58"/>
    </row>
    <row r="25" spans="8:8">
      <c r="B25" s="54">
        <v>26.0</v>
      </c>
      <c r="C25" s="8" t="s">
        <v>814</v>
      </c>
      <c r="D25" s="8" t="s">
        <v>3486</v>
      </c>
      <c r="E25" s="8" t="s">
        <v>1277</v>
      </c>
      <c r="F25" s="8" t="s">
        <v>68</v>
      </c>
      <c r="G25" s="8" t="s">
        <v>2253</v>
      </c>
      <c r="H25" s="8" t="s">
        <v>1277</v>
      </c>
      <c r="I25" s="55" t="s">
        <v>3609</v>
      </c>
      <c r="J25" s="60" t="s">
        <v>7827</v>
      </c>
      <c r="K25" s="22">
        <v>0.0</v>
      </c>
      <c r="L25" s="22">
        <f>+SUMIF('حركه المخزن الرئيسي اليوميه'!$F:$F,$H:$H,'حركه المخزن الرئيسي اليوميه'!$H:$H)</f>
        <v>0.0</v>
      </c>
      <c r="M25" s="22">
        <f>+SUMIF('حركه المخزن الرئيسي اليوميه'!$F:$F,$H:$H,'حركه المخزن الرئيسي اليوميه'!$I:$I)</f>
        <v>0.0</v>
      </c>
      <c r="N25" s="22">
        <f t="shared" si="11"/>
        <v>0.0</v>
      </c>
      <c r="O25" s="22">
        <f t="shared" si="9"/>
        <v>0.0</v>
      </c>
      <c r="P25" s="22">
        <f t="shared" si="10"/>
        <v>0.0</v>
      </c>
      <c r="Q25" s="57"/>
      <c r="R25" s="58"/>
    </row>
    <row r="26" spans="8:8">
      <c r="B26" s="54">
        <v>27.0</v>
      </c>
      <c r="C26" s="8" t="s">
        <v>814</v>
      </c>
      <c r="D26" s="8" t="s">
        <v>820</v>
      </c>
      <c r="E26" s="8" t="s">
        <v>1039</v>
      </c>
      <c r="F26" s="8" t="s">
        <v>68</v>
      </c>
      <c r="G26" s="8" t="s">
        <v>2177</v>
      </c>
      <c r="H26" s="8" t="s">
        <v>1039</v>
      </c>
      <c r="I26" s="55" t="s">
        <v>3609</v>
      </c>
      <c r="J26" s="60" t="s">
        <v>7828</v>
      </c>
      <c r="K26" s="22">
        <v>11.0</v>
      </c>
      <c r="L26" s="22">
        <f>+SUMIF('حركه المخزن الرئيسي اليوميه'!$F:$F,$H:$H,'حركه المخزن الرئيسي اليوميه'!$H:$H)</f>
        <v>0.0</v>
      </c>
      <c r="M26" s="22">
        <f>+SUMIF('حركه المخزن الرئيسي اليوميه'!$F:$F,$H:$H,'حركه المخزن الرئيسي اليوميه'!$I:$I)</f>
        <v>0.0</v>
      </c>
      <c r="N26" s="22">
        <f t="shared" si="12" ref="N26:N71">+K26+L26-M26</f>
        <v>11.0</v>
      </c>
      <c r="O26" s="22">
        <f t="shared" si="13" ref="O26:O70">+N26</f>
        <v>11.0</v>
      </c>
      <c r="P26" s="22">
        <f t="shared" si="10"/>
        <v>0.0</v>
      </c>
      <c r="Q26" s="57"/>
      <c r="R26" s="58"/>
    </row>
    <row r="27" spans="8:8">
      <c r="B27" s="54">
        <v>28.0</v>
      </c>
      <c r="C27" s="8" t="s">
        <v>814</v>
      </c>
      <c r="D27" s="8" t="s">
        <v>820</v>
      </c>
      <c r="E27" s="8" t="s">
        <v>1969</v>
      </c>
      <c r="F27" s="8" t="s">
        <v>68</v>
      </c>
      <c r="G27" s="8" t="s">
        <v>2228</v>
      </c>
      <c r="H27" s="8" t="s">
        <v>3341</v>
      </c>
      <c r="I27" s="55" t="s">
        <v>3609</v>
      </c>
      <c r="J27" s="60" t="s">
        <v>7829</v>
      </c>
      <c r="K27" s="22">
        <v>2.0</v>
      </c>
      <c r="L27" s="22">
        <f>+SUMIF('حركه المخزن الرئيسي اليوميه'!$F:$F,$H:$H,'حركه المخزن الرئيسي اليوميه'!$H:$H)</f>
        <v>0.0</v>
      </c>
      <c r="M27" s="22">
        <f>+SUMIF('حركه المخزن الرئيسي اليوميه'!$F:$F,$H:$H,'حركه المخزن الرئيسي اليوميه'!$I:$I)</f>
        <v>0.0</v>
      </c>
      <c r="N27" s="22">
        <f t="shared" si="12"/>
        <v>2.0</v>
      </c>
      <c r="O27" s="22">
        <f t="shared" si="13"/>
        <v>2.0</v>
      </c>
      <c r="P27" s="22">
        <f t="shared" si="10"/>
        <v>0.0</v>
      </c>
      <c r="Q27" s="57"/>
      <c r="R27" s="58"/>
    </row>
    <row r="28" spans="8:8">
      <c r="B28" s="54">
        <v>29.0</v>
      </c>
      <c r="C28" s="8" t="s">
        <v>814</v>
      </c>
      <c r="D28" s="8" t="s">
        <v>820</v>
      </c>
      <c r="E28" s="8" t="s">
        <v>896</v>
      </c>
      <c r="F28" s="8" t="s">
        <v>68</v>
      </c>
      <c r="G28" s="8"/>
      <c r="H28" s="8" t="s">
        <v>896</v>
      </c>
      <c r="I28" s="55" t="s">
        <v>3608</v>
      </c>
      <c r="J28" s="60" t="s">
        <v>7830</v>
      </c>
      <c r="K28" s="22">
        <v>5.0</v>
      </c>
      <c r="L28" s="22">
        <f>+SUMIF('حركه المخزن الرئيسي اليوميه'!$F:$F,$H:$H,'حركه المخزن الرئيسي اليوميه'!$H:$H)</f>
        <v>0.0</v>
      </c>
      <c r="M28" s="22">
        <f>+SUMIF('حركه المخزن الرئيسي اليوميه'!$F:$F,$H:$H,'حركه المخزن الرئيسي اليوميه'!$I:$I)</f>
        <v>1.0</v>
      </c>
      <c r="N28" s="22">
        <f t="shared" si="12"/>
        <v>4.0</v>
      </c>
      <c r="O28" s="22">
        <f t="shared" si="13"/>
        <v>4.0</v>
      </c>
      <c r="P28" s="22">
        <f t="shared" si="10"/>
        <v>0.0</v>
      </c>
      <c r="Q28" s="57"/>
      <c r="R28" s="58"/>
    </row>
    <row r="29" spans="8:8">
      <c r="B29" s="54">
        <v>30.0</v>
      </c>
      <c r="C29" s="8" t="s">
        <v>814</v>
      </c>
      <c r="D29" s="8" t="s">
        <v>828</v>
      </c>
      <c r="E29" s="8" t="s">
        <v>1253</v>
      </c>
      <c r="F29" s="8" t="s">
        <v>68</v>
      </c>
      <c r="G29" s="8" t="s">
        <v>2438</v>
      </c>
      <c r="H29" s="8" t="s">
        <v>1253</v>
      </c>
      <c r="I29" s="55" t="s">
        <v>3608</v>
      </c>
      <c r="J29" s="60" t="s">
        <v>7831</v>
      </c>
      <c r="K29" s="22">
        <v>18.0</v>
      </c>
      <c r="L29" s="22">
        <f>+SUMIF('حركه المخزن الرئيسي اليوميه'!$F:$F,$H:$H,'حركه المخزن الرئيسي اليوميه'!$H:$H)</f>
        <v>0.0</v>
      </c>
      <c r="M29" s="22">
        <f>+SUMIF('حركه المخزن الرئيسي اليوميه'!$F:$F,$H:$H,'حركه المخزن الرئيسي اليوميه'!$I:$I)</f>
        <v>0.0</v>
      </c>
      <c r="N29" s="22">
        <f t="shared" si="12"/>
        <v>18.0</v>
      </c>
      <c r="O29" s="22">
        <f t="shared" si="13"/>
        <v>18.0</v>
      </c>
      <c r="P29" s="22">
        <f t="shared" si="10"/>
        <v>0.0</v>
      </c>
      <c r="Q29" s="57"/>
      <c r="R29" s="58"/>
    </row>
    <row r="30" spans="8:8">
      <c r="B30" s="54">
        <v>31.0</v>
      </c>
      <c r="C30" s="8" t="s">
        <v>814</v>
      </c>
      <c r="D30" s="8" t="s">
        <v>1019</v>
      </c>
      <c r="E30" s="8" t="s">
        <v>1162</v>
      </c>
      <c r="F30" s="8" t="s">
        <v>1165</v>
      </c>
      <c r="G30" s="8" t="s">
        <v>2216</v>
      </c>
      <c r="H30" s="8" t="s">
        <v>1163</v>
      </c>
      <c r="I30" s="55" t="s">
        <v>3609</v>
      </c>
      <c r="J30" s="60" t="s">
        <v>7832</v>
      </c>
      <c r="K30" s="22">
        <v>4.0</v>
      </c>
      <c r="L30" s="22">
        <f>+SUMIF('حركه المخزن الرئيسي اليوميه'!$F:$F,$H:$H,'حركه المخزن الرئيسي اليوميه'!$H:$H)</f>
        <v>0.0</v>
      </c>
      <c r="M30" s="22">
        <f>+SUMIF('حركه المخزن الرئيسي اليوميه'!$F:$F,$H:$H,'حركه المخزن الرئيسي اليوميه'!$I:$I)</f>
        <v>0.0</v>
      </c>
      <c r="N30" s="22">
        <v>4.0</v>
      </c>
      <c r="O30" s="22">
        <f t="shared" si="13"/>
        <v>4.0</v>
      </c>
      <c r="P30" s="22">
        <f t="shared" si="10"/>
        <v>0.0</v>
      </c>
      <c r="Q30" s="57"/>
      <c r="R30" s="58"/>
    </row>
    <row r="31" spans="8:8">
      <c r="B31" s="54">
        <v>32.0</v>
      </c>
      <c r="C31" s="8" t="s">
        <v>814</v>
      </c>
      <c r="D31" s="8" t="s">
        <v>820</v>
      </c>
      <c r="E31" s="8" t="s">
        <v>888</v>
      </c>
      <c r="F31" s="8" t="s">
        <v>68</v>
      </c>
      <c r="G31" s="8" t="s">
        <v>2408</v>
      </c>
      <c r="H31" s="8" t="s">
        <v>888</v>
      </c>
      <c r="I31" s="55" t="s">
        <v>3609</v>
      </c>
      <c r="J31" s="60" t="s">
        <v>7833</v>
      </c>
      <c r="K31" s="22">
        <v>25.0</v>
      </c>
      <c r="L31" s="22">
        <f>+SUMIF('حركه المخزن الرئيسي اليوميه'!$F:$F,$H:$H,'حركه المخزن الرئيسي اليوميه'!$H:$H)</f>
        <v>0.0</v>
      </c>
      <c r="M31" s="22">
        <f>+SUMIF('حركه المخزن الرئيسي اليوميه'!$F:$F,$H:$H,'حركه المخزن الرئيسي اليوميه'!$I:$I)</f>
        <v>0.0</v>
      </c>
      <c r="N31" s="22">
        <f t="shared" si="12"/>
        <v>25.0</v>
      </c>
      <c r="O31" s="22">
        <f t="shared" si="13"/>
        <v>25.0</v>
      </c>
      <c r="P31" s="22">
        <f t="shared" si="10"/>
        <v>0.0</v>
      </c>
      <c r="Q31" s="57"/>
      <c r="R31" s="58"/>
    </row>
    <row r="32" spans="8:8">
      <c r="B32" s="54">
        <v>33.0</v>
      </c>
      <c r="C32" s="8" t="s">
        <v>814</v>
      </c>
      <c r="D32" s="8" t="s">
        <v>1019</v>
      </c>
      <c r="E32" s="8" t="s">
        <v>1171</v>
      </c>
      <c r="F32" s="8" t="s">
        <v>68</v>
      </c>
      <c r="G32" s="8" t="s">
        <v>2435</v>
      </c>
      <c r="H32" s="8" t="s">
        <v>1172</v>
      </c>
      <c r="I32" s="55" t="s">
        <v>814</v>
      </c>
      <c r="J32" s="60" t="s">
        <v>7834</v>
      </c>
      <c r="K32" s="22">
        <v>0.0</v>
      </c>
      <c r="L32" s="22">
        <f>+SUMIF('حركه المخزن الرئيسي اليوميه'!$F:$F,$H:$H,'حركه المخزن الرئيسي اليوميه'!$H:$H)</f>
        <v>0.0</v>
      </c>
      <c r="M32" s="22">
        <f>+SUMIF('حركه المخزن الرئيسي اليوميه'!$F:$F,$H:$H,'حركه المخزن الرئيسي اليوميه'!$I:$I)</f>
        <v>0.0</v>
      </c>
      <c r="N32" s="22">
        <f t="shared" si="12"/>
        <v>0.0</v>
      </c>
      <c r="O32" s="22">
        <f t="shared" si="13"/>
        <v>0.0</v>
      </c>
      <c r="P32" s="22">
        <f t="shared" si="10"/>
        <v>0.0</v>
      </c>
      <c r="Q32" s="57"/>
      <c r="R32" s="58"/>
    </row>
    <row r="33" spans="8:8">
      <c r="B33" s="54">
        <v>34.0</v>
      </c>
      <c r="C33" s="8" t="s">
        <v>814</v>
      </c>
      <c r="D33" s="8" t="s">
        <v>1019</v>
      </c>
      <c r="E33" s="8" t="s">
        <v>1164</v>
      </c>
      <c r="F33" s="8" t="s">
        <v>1166</v>
      </c>
      <c r="G33" s="8" t="s">
        <v>2217</v>
      </c>
      <c r="H33" s="8" t="s">
        <v>2822</v>
      </c>
      <c r="I33" s="55" t="s">
        <v>3609</v>
      </c>
      <c r="J33" s="60" t="s">
        <v>7835</v>
      </c>
      <c r="K33" s="22">
        <v>2.0</v>
      </c>
      <c r="L33" s="22">
        <f>+SUMIF('حركه المخزن الرئيسي اليوميه'!$F:$F,$H:$H,'حركه المخزن الرئيسي اليوميه'!$H:$H)</f>
        <v>0.0</v>
      </c>
      <c r="M33" s="22">
        <f>+SUMIF('حركه المخزن الرئيسي اليوميه'!$F:$F,$H:$H,'حركه المخزن الرئيسي اليوميه'!$I:$I)</f>
        <v>0.0</v>
      </c>
      <c r="N33" s="22">
        <v>2.0</v>
      </c>
      <c r="O33" s="22">
        <f t="shared" si="13"/>
        <v>2.0</v>
      </c>
      <c r="P33" s="22">
        <f t="shared" si="10"/>
        <v>0.0</v>
      </c>
      <c r="Q33" s="57"/>
      <c r="R33" s="58"/>
    </row>
    <row r="34" spans="8:8">
      <c r="B34" s="54">
        <v>35.0</v>
      </c>
      <c r="C34" s="8" t="s">
        <v>814</v>
      </c>
      <c r="D34" s="8" t="s">
        <v>820</v>
      </c>
      <c r="E34" s="8" t="s">
        <v>3544</v>
      </c>
      <c r="F34" s="8" t="s">
        <v>68</v>
      </c>
      <c r="G34" s="8" t="s">
        <v>2065</v>
      </c>
      <c r="H34" s="8" t="s">
        <v>3544</v>
      </c>
      <c r="I34" s="55" t="s">
        <v>3609</v>
      </c>
      <c r="J34" s="60" t="s">
        <v>7836</v>
      </c>
      <c r="K34" s="22">
        <v>0.0</v>
      </c>
      <c r="L34" s="22">
        <f>+SUMIF('حركه المخزن الرئيسي اليوميه'!$F:$F,$H:$H,'حركه المخزن الرئيسي اليوميه'!$H:$H)</f>
        <v>0.0</v>
      </c>
      <c r="M34" s="22">
        <f>+SUMIF('حركه المخزن الرئيسي اليوميه'!$F:$F,$H:$H,'حركه المخزن الرئيسي اليوميه'!$I:$I)</f>
        <v>0.0</v>
      </c>
      <c r="N34" s="22">
        <f t="shared" si="14" ref="N34:N36">+K34+L34-M34</f>
        <v>0.0</v>
      </c>
      <c r="O34" s="22">
        <f t="shared" si="13"/>
        <v>0.0</v>
      </c>
      <c r="P34" s="22">
        <f t="shared" si="10"/>
        <v>0.0</v>
      </c>
      <c r="Q34" s="57"/>
      <c r="R34" s="58"/>
    </row>
    <row r="35" spans="8:8">
      <c r="B35" s="54">
        <v>36.0</v>
      </c>
      <c r="C35" s="8" t="s">
        <v>814</v>
      </c>
      <c r="D35" s="8" t="s">
        <v>820</v>
      </c>
      <c r="E35" s="8" t="s">
        <v>890</v>
      </c>
      <c r="F35" s="8" t="s">
        <v>68</v>
      </c>
      <c r="G35" s="8" t="s">
        <v>2177</v>
      </c>
      <c r="H35" s="8" t="s">
        <v>890</v>
      </c>
      <c r="I35" s="55" t="s">
        <v>814</v>
      </c>
      <c r="J35" s="60" t="s">
        <v>7837</v>
      </c>
      <c r="K35" s="22">
        <v>0.0</v>
      </c>
      <c r="L35" s="22">
        <f>+SUMIF('حركه المخزن الرئيسي اليوميه'!$F:$F,$H:$H,'حركه المخزن الرئيسي اليوميه'!$H:$H)</f>
        <v>0.0</v>
      </c>
      <c r="M35" s="22">
        <f>+SUMIF('حركه المخزن الرئيسي اليوميه'!$F:$F,$H:$H,'حركه المخزن الرئيسي اليوميه'!$I:$I)</f>
        <v>0.0</v>
      </c>
      <c r="N35" s="22">
        <f t="shared" si="14"/>
        <v>0.0</v>
      </c>
      <c r="O35" s="22">
        <f t="shared" si="13"/>
        <v>0.0</v>
      </c>
      <c r="P35" s="22">
        <f t="shared" si="10"/>
        <v>0.0</v>
      </c>
      <c r="Q35" s="57"/>
      <c r="R35" s="58"/>
    </row>
    <row r="36" spans="8:8">
      <c r="B36" s="54">
        <v>37.0</v>
      </c>
      <c r="C36" s="8" t="s">
        <v>814</v>
      </c>
      <c r="D36" s="8" t="s">
        <v>820</v>
      </c>
      <c r="E36" s="8" t="s">
        <v>2806</v>
      </c>
      <c r="F36" s="8" t="s">
        <v>68</v>
      </c>
      <c r="G36" s="8" t="s">
        <v>2177</v>
      </c>
      <c r="H36" s="8" t="s">
        <v>2806</v>
      </c>
      <c r="I36" s="55" t="s">
        <v>814</v>
      </c>
      <c r="J36" s="60" t="s">
        <v>7838</v>
      </c>
      <c r="K36" s="22">
        <v>0.0</v>
      </c>
      <c r="L36" s="22">
        <f>+SUMIF('حركه المخزن الرئيسي اليوميه'!$F:$F,$H:$H,'حركه المخزن الرئيسي اليوميه'!$H:$H)</f>
        <v>0.0</v>
      </c>
      <c r="M36" s="22">
        <f>+SUMIF('حركه المخزن الرئيسي اليوميه'!$F:$F,$H:$H,'حركه المخزن الرئيسي اليوميه'!$I:$I)</f>
        <v>0.0</v>
      </c>
      <c r="N36" s="22">
        <f t="shared" si="14"/>
        <v>0.0</v>
      </c>
      <c r="O36" s="22">
        <f t="shared" si="13"/>
        <v>0.0</v>
      </c>
      <c r="P36" s="22">
        <f t="shared" si="10"/>
        <v>0.0</v>
      </c>
      <c r="Q36" s="57"/>
      <c r="R36" s="58"/>
    </row>
    <row r="37" spans="8:8">
      <c r="B37" s="54">
        <v>38.0</v>
      </c>
      <c r="C37" s="8" t="s">
        <v>814</v>
      </c>
      <c r="D37" s="8" t="s">
        <v>820</v>
      </c>
      <c r="E37" s="8" t="s">
        <v>1040</v>
      </c>
      <c r="F37" s="8" t="s">
        <v>1573</v>
      </c>
      <c r="G37" s="8" t="s">
        <v>2342</v>
      </c>
      <c r="H37" s="8" t="s">
        <v>1040</v>
      </c>
      <c r="I37" s="55" t="s">
        <v>3608</v>
      </c>
      <c r="J37" s="60" t="s">
        <v>7839</v>
      </c>
      <c r="K37" s="22">
        <v>12.0</v>
      </c>
      <c r="L37" s="22">
        <f>+SUMIF('حركه المخزن الرئيسي اليوميه'!$F:$F,$H:$H,'حركه المخزن الرئيسي اليوميه'!$H:$H)</f>
        <v>0.0</v>
      </c>
      <c r="M37" s="22">
        <f>+SUMIF('حركه المخزن الرئيسي اليوميه'!$F:$F,$H:$H,'حركه المخزن الرئيسي اليوميه'!$I:$I)</f>
        <v>0.0</v>
      </c>
      <c r="N37" s="22">
        <v>12.0</v>
      </c>
      <c r="O37" s="22">
        <f t="shared" si="13"/>
        <v>12.0</v>
      </c>
      <c r="P37" s="22">
        <f t="shared" si="10"/>
        <v>0.0</v>
      </c>
      <c r="Q37" s="57"/>
      <c r="R37" s="58"/>
    </row>
    <row r="38" spans="8:8">
      <c r="B38" s="54">
        <v>39.0</v>
      </c>
      <c r="C38" s="8" t="s">
        <v>814</v>
      </c>
      <c r="D38" s="8" t="s">
        <v>1019</v>
      </c>
      <c r="E38" s="8" t="s">
        <v>1169</v>
      </c>
      <c r="F38" s="8" t="s">
        <v>68</v>
      </c>
      <c r="G38" s="8" t="s">
        <v>2434</v>
      </c>
      <c r="H38" s="8" t="s">
        <v>1170</v>
      </c>
      <c r="I38" s="55" t="s">
        <v>814</v>
      </c>
      <c r="J38" s="60" t="s">
        <v>7840</v>
      </c>
      <c r="K38" s="22">
        <v>0.0</v>
      </c>
      <c r="L38" s="22">
        <f>+SUMIF('حركه المخزن الرئيسي اليوميه'!$F:$F,$H:$H,'حركه المخزن الرئيسي اليوميه'!$H:$H)</f>
        <v>0.0</v>
      </c>
      <c r="M38" s="22">
        <f>+SUMIF('حركه المخزن الرئيسي اليوميه'!$F:$F,$H:$H,'حركه المخزن الرئيسي اليوميه'!$I:$I)</f>
        <v>0.0</v>
      </c>
      <c r="N38" s="22">
        <f t="shared" si="15" ref="N38">+K38+L38-M38</f>
        <v>0.0</v>
      </c>
      <c r="O38" s="22">
        <f t="shared" si="13"/>
        <v>0.0</v>
      </c>
      <c r="P38" s="22">
        <f t="shared" si="10"/>
        <v>0.0</v>
      </c>
      <c r="Q38" s="57"/>
      <c r="R38" s="58"/>
    </row>
    <row r="39" spans="8:8">
      <c r="B39" s="54">
        <v>40.0</v>
      </c>
      <c r="C39" s="8" t="s">
        <v>814</v>
      </c>
      <c r="D39" s="8" t="s">
        <v>820</v>
      </c>
      <c r="E39" s="8" t="s">
        <v>1038</v>
      </c>
      <c r="F39" s="8" t="s">
        <v>68</v>
      </c>
      <c r="G39" s="8" t="s">
        <v>2177</v>
      </c>
      <c r="H39" s="8" t="s">
        <v>1038</v>
      </c>
      <c r="I39" s="55" t="s">
        <v>3609</v>
      </c>
      <c r="J39" s="60" t="s">
        <v>7841</v>
      </c>
      <c r="K39" s="22">
        <v>9.0</v>
      </c>
      <c r="L39" s="22">
        <f>+SUMIF('حركه المخزن الرئيسي اليوميه'!$F:$F,$H:$H,'حركه المخزن الرئيسي اليوميه'!$H:$H)</f>
        <v>0.0</v>
      </c>
      <c r="M39" s="22">
        <f>+SUMIF('حركه المخزن الرئيسي اليوميه'!$F:$F,$H:$H,'حركه المخزن الرئيسي اليوميه'!$I:$I)</f>
        <v>0.0</v>
      </c>
      <c r="N39" s="22">
        <f t="shared" si="12"/>
        <v>9.0</v>
      </c>
      <c r="O39" s="22">
        <f t="shared" si="13"/>
        <v>9.0</v>
      </c>
      <c r="P39" s="22">
        <f t="shared" si="10"/>
        <v>0.0</v>
      </c>
      <c r="Q39" s="57"/>
      <c r="R39" s="58"/>
    </row>
    <row r="40" spans="8:8">
      <c r="B40" s="54">
        <v>41.0</v>
      </c>
      <c r="C40" s="8" t="s">
        <v>814</v>
      </c>
      <c r="D40" s="8" t="s">
        <v>820</v>
      </c>
      <c r="E40" s="8" t="s">
        <v>1970</v>
      </c>
      <c r="F40" s="8" t="s">
        <v>68</v>
      </c>
      <c r="G40" s="8" t="s">
        <v>2229</v>
      </c>
      <c r="H40" s="8" t="s">
        <v>3342</v>
      </c>
      <c r="I40" s="8" t="s">
        <v>814</v>
      </c>
      <c r="J40" s="60" t="s">
        <v>7842</v>
      </c>
      <c r="K40" s="22">
        <v>0.0</v>
      </c>
      <c r="L40" s="22">
        <f>+SUMIF('حركه المخزن الرئيسي اليوميه'!$F:$F,$H:$H,'حركه المخزن الرئيسي اليوميه'!$H:$H)</f>
        <v>0.0</v>
      </c>
      <c r="M40" s="22">
        <f>+SUMIF('حركه المخزن الرئيسي اليوميه'!$F:$F,$H:$H,'حركه المخزن الرئيسي اليوميه'!$I:$I)</f>
        <v>0.0</v>
      </c>
      <c r="N40" s="22">
        <f t="shared" si="12"/>
        <v>0.0</v>
      </c>
      <c r="O40" s="22">
        <f t="shared" si="13"/>
        <v>0.0</v>
      </c>
      <c r="P40" s="22">
        <f t="shared" si="10"/>
        <v>0.0</v>
      </c>
      <c r="Q40" s="57"/>
      <c r="R40" s="58"/>
    </row>
    <row r="41" spans="8:8">
      <c r="B41" s="54">
        <v>42.0</v>
      </c>
      <c r="C41" s="8" t="s">
        <v>1132</v>
      </c>
      <c r="D41" s="8" t="s">
        <v>568</v>
      </c>
      <c r="E41" s="8" t="s">
        <v>3748</v>
      </c>
      <c r="F41" s="8" t="s">
        <v>68</v>
      </c>
      <c r="G41" s="8"/>
      <c r="H41" s="8" t="s">
        <v>3748</v>
      </c>
      <c r="I41" s="8" t="s">
        <v>767</v>
      </c>
      <c r="J41" s="60" t="s">
        <v>7843</v>
      </c>
      <c r="K41" s="22">
        <v>31.0</v>
      </c>
      <c r="L41" s="22">
        <f>+SUMIF('حركه المخزن الرئيسي اليوميه'!$F:$F,$H:$H,'حركه المخزن الرئيسي اليوميه'!$H:$H)</f>
        <v>0.0</v>
      </c>
      <c r="M41" s="22">
        <f>+SUMIF('حركه المخزن الرئيسي اليوميه'!$F:$F,$H:$H,'حركه المخزن الرئيسي اليوميه'!$I:$I)</f>
        <v>0.0</v>
      </c>
      <c r="N41" s="22">
        <f t="shared" si="12"/>
        <v>31.0</v>
      </c>
      <c r="O41" s="22">
        <f t="shared" si="13"/>
        <v>31.0</v>
      </c>
      <c r="P41" s="22">
        <f t="shared" si="10"/>
        <v>0.0</v>
      </c>
      <c r="Q41" s="57"/>
      <c r="R41" s="58"/>
    </row>
    <row r="42" spans="8:8">
      <c r="B42" s="54">
        <v>43.0</v>
      </c>
      <c r="C42" s="8" t="s">
        <v>814</v>
      </c>
      <c r="D42" s="8" t="s">
        <v>820</v>
      </c>
      <c r="E42" s="8" t="s">
        <v>892</v>
      </c>
      <c r="F42" s="8" t="s">
        <v>68</v>
      </c>
      <c r="G42" s="8" t="s">
        <v>2181</v>
      </c>
      <c r="H42" s="8" t="s">
        <v>892</v>
      </c>
      <c r="I42" s="8" t="s">
        <v>814</v>
      </c>
      <c r="J42" s="60" t="s">
        <v>7844</v>
      </c>
      <c r="K42" s="22">
        <v>0.0</v>
      </c>
      <c r="L42" s="22">
        <f>+SUMIF('حركه المخزن الرئيسي اليوميه'!$F:$F,$H:$H,'حركه المخزن الرئيسي اليوميه'!$H:$H)</f>
        <v>0.0</v>
      </c>
      <c r="M42" s="22">
        <f>+SUMIF('حركه المخزن الرئيسي اليوميه'!$F:$F,$H:$H,'حركه المخزن الرئيسي اليوميه'!$I:$I)</f>
        <v>0.0</v>
      </c>
      <c r="N42" s="22">
        <f t="shared" si="12"/>
        <v>0.0</v>
      </c>
      <c r="O42" s="22">
        <f t="shared" si="13"/>
        <v>0.0</v>
      </c>
      <c r="P42" s="22">
        <f t="shared" si="10"/>
        <v>0.0</v>
      </c>
      <c r="Q42" s="57"/>
      <c r="R42" s="58"/>
    </row>
    <row r="43" spans="8:8">
      <c r="B43" s="54">
        <v>44.0</v>
      </c>
      <c r="C43" s="8" t="s">
        <v>814</v>
      </c>
      <c r="D43" s="8" t="s">
        <v>820</v>
      </c>
      <c r="E43" s="8" t="s">
        <v>2869</v>
      </c>
      <c r="F43" s="8" t="s">
        <v>68</v>
      </c>
      <c r="G43" s="8" t="s">
        <v>2179</v>
      </c>
      <c r="H43" s="8" t="s">
        <v>2869</v>
      </c>
      <c r="I43" s="55" t="s">
        <v>3608</v>
      </c>
      <c r="J43" s="60" t="s">
        <v>7845</v>
      </c>
      <c r="K43" s="22">
        <v>2.0</v>
      </c>
      <c r="L43" s="22">
        <f>+SUMIF('حركه المخزن الرئيسي اليوميه'!$F:$F,$H:$H,'حركه المخزن الرئيسي اليوميه'!$H:$H)</f>
        <v>0.0</v>
      </c>
      <c r="M43" s="22">
        <f>+SUMIF('حركه المخزن الرئيسي اليوميه'!$F:$F,$H:$H,'حركه المخزن الرئيسي اليوميه'!$I:$I)</f>
        <v>0.0</v>
      </c>
      <c r="N43" s="22">
        <f t="shared" si="12"/>
        <v>2.0</v>
      </c>
      <c r="O43" s="22">
        <f t="shared" si="13"/>
        <v>2.0</v>
      </c>
      <c r="P43" s="22">
        <f t="shared" si="10"/>
        <v>0.0</v>
      </c>
      <c r="Q43" s="57"/>
      <c r="R43" s="58"/>
    </row>
    <row r="44" spans="8:8">
      <c r="B44" s="54">
        <v>45.0</v>
      </c>
      <c r="C44" s="8" t="s">
        <v>814</v>
      </c>
      <c r="D44" s="8" t="s">
        <v>820</v>
      </c>
      <c r="E44" s="8" t="s">
        <v>1146</v>
      </c>
      <c r="F44" s="8" t="s">
        <v>68</v>
      </c>
      <c r="G44" s="8" t="s">
        <v>2209</v>
      </c>
      <c r="H44" s="8" t="s">
        <v>1146</v>
      </c>
      <c r="I44" s="55" t="s">
        <v>3609</v>
      </c>
      <c r="J44" s="60" t="s">
        <v>7846</v>
      </c>
      <c r="K44" s="22">
        <v>0.0</v>
      </c>
      <c r="L44" s="22">
        <f>+SUMIF('حركه المخزن الرئيسي اليوميه'!$F:$F,$H:$H,'حركه المخزن الرئيسي اليوميه'!$H:$H)</f>
        <v>0.0</v>
      </c>
      <c r="M44" s="22">
        <f>+SUMIF('حركه المخزن الرئيسي اليوميه'!$F:$F,$H:$H,'حركه المخزن الرئيسي اليوميه'!$I:$I)</f>
        <v>0.0</v>
      </c>
      <c r="N44" s="22">
        <f t="shared" si="12"/>
        <v>0.0</v>
      </c>
      <c r="O44" s="22">
        <f t="shared" si="13"/>
        <v>0.0</v>
      </c>
      <c r="P44" s="22">
        <f t="shared" si="10"/>
        <v>0.0</v>
      </c>
      <c r="Q44" s="57"/>
      <c r="R44" s="58"/>
    </row>
    <row r="45" spans="8:8">
      <c r="B45" s="54">
        <v>46.0</v>
      </c>
      <c r="C45" s="8" t="s">
        <v>814</v>
      </c>
      <c r="D45" s="8" t="s">
        <v>820</v>
      </c>
      <c r="E45" s="8" t="s">
        <v>2689</v>
      </c>
      <c r="F45" s="8" t="s">
        <v>68</v>
      </c>
      <c r="G45" s="8"/>
      <c r="H45" s="8" t="s">
        <v>2689</v>
      </c>
      <c r="I45" s="8" t="s">
        <v>814</v>
      </c>
      <c r="J45" s="60" t="s">
        <v>7847</v>
      </c>
      <c r="K45" s="22">
        <v>0.0</v>
      </c>
      <c r="L45" s="22">
        <f>+SUMIF('حركه المخزن الرئيسي اليوميه'!$F:$F,$H:$H,'حركه المخزن الرئيسي اليوميه'!$H:$H)</f>
        <v>0.0</v>
      </c>
      <c r="M45" s="22">
        <f>+SUMIF('حركه المخزن الرئيسي اليوميه'!$F:$F,$H:$H,'حركه المخزن الرئيسي اليوميه'!$I:$I)</f>
        <v>0.0</v>
      </c>
      <c r="N45" s="22">
        <f t="shared" si="12"/>
        <v>0.0</v>
      </c>
      <c r="O45" s="22">
        <f t="shared" si="13"/>
        <v>0.0</v>
      </c>
      <c r="P45" s="22">
        <f t="shared" si="10"/>
        <v>0.0</v>
      </c>
      <c r="Q45" s="57"/>
      <c r="R45" s="58"/>
    </row>
    <row r="46" spans="8:8">
      <c r="B46" s="54">
        <v>47.0</v>
      </c>
      <c r="C46" s="8" t="s">
        <v>814</v>
      </c>
      <c r="D46" s="8" t="s">
        <v>828</v>
      </c>
      <c r="E46" s="8" t="s">
        <v>1235</v>
      </c>
      <c r="F46" s="8" t="s">
        <v>1236</v>
      </c>
      <c r="G46" s="8" t="s">
        <v>2437</v>
      </c>
      <c r="H46" s="8" t="s">
        <v>1235</v>
      </c>
      <c r="I46" s="55" t="s">
        <v>3608</v>
      </c>
      <c r="J46" s="60" t="s">
        <v>7848</v>
      </c>
      <c r="K46" s="22">
        <v>18.0</v>
      </c>
      <c r="L46" s="22">
        <f>+SUMIF('حركه المخزن الرئيسي اليوميه'!$F:$F,$H:$H,'حركه المخزن الرئيسي اليوميه'!$H:$H)</f>
        <v>0.0</v>
      </c>
      <c r="M46" s="22">
        <f>+SUMIF('حركه المخزن الرئيسي اليوميه'!$F:$F,$H:$H,'حركه المخزن الرئيسي اليوميه'!$I:$I)</f>
        <v>0.0</v>
      </c>
      <c r="N46" s="22">
        <f t="shared" si="12"/>
        <v>18.0</v>
      </c>
      <c r="O46" s="22">
        <f t="shared" si="13"/>
        <v>18.0</v>
      </c>
      <c r="P46" s="22">
        <f t="shared" si="10"/>
        <v>0.0</v>
      </c>
      <c r="Q46" s="57"/>
      <c r="R46" s="58"/>
    </row>
    <row r="47" spans="8:8">
      <c r="B47" s="54">
        <v>48.0</v>
      </c>
      <c r="C47" s="8" t="s">
        <v>814</v>
      </c>
      <c r="D47" s="8" t="s">
        <v>1019</v>
      </c>
      <c r="E47" s="8" t="s">
        <v>1175</v>
      </c>
      <c r="F47" s="8" t="s">
        <v>68</v>
      </c>
      <c r="G47" s="8" t="s">
        <v>2219</v>
      </c>
      <c r="H47" s="8" t="s">
        <v>1176</v>
      </c>
      <c r="I47" s="8" t="s">
        <v>814</v>
      </c>
      <c r="J47" s="60" t="s">
        <v>7849</v>
      </c>
      <c r="K47" s="22">
        <v>0.0</v>
      </c>
      <c r="L47" s="22">
        <f>+SUMIF('حركه المخزن الرئيسي اليوميه'!$F:$F,$H:$H,'حركه المخزن الرئيسي اليوميه'!$H:$H)</f>
        <v>0.0</v>
      </c>
      <c r="M47" s="22">
        <f>+SUMIF('حركه المخزن الرئيسي اليوميه'!$F:$F,$H:$H,'حركه المخزن الرئيسي اليوميه'!$I:$I)</f>
        <v>0.0</v>
      </c>
      <c r="N47" s="22">
        <f t="shared" si="12"/>
        <v>0.0</v>
      </c>
      <c r="O47" s="22">
        <f t="shared" si="13"/>
        <v>0.0</v>
      </c>
      <c r="P47" s="22">
        <f t="shared" si="10"/>
        <v>0.0</v>
      </c>
      <c r="Q47" s="57"/>
      <c r="R47" s="58"/>
    </row>
    <row r="48" spans="8:8">
      <c r="B48" s="54">
        <v>49.0</v>
      </c>
      <c r="C48" s="8" t="s">
        <v>814</v>
      </c>
      <c r="D48" s="8" t="s">
        <v>820</v>
      </c>
      <c r="E48" s="8" t="s">
        <v>2663</v>
      </c>
      <c r="F48" s="8" t="s">
        <v>1501</v>
      </c>
      <c r="G48" s="8"/>
      <c r="H48" s="8" t="s">
        <v>2663</v>
      </c>
      <c r="I48" s="55" t="s">
        <v>3608</v>
      </c>
      <c r="J48" s="60" t="s">
        <v>7850</v>
      </c>
      <c r="K48" s="22">
        <v>2.0</v>
      </c>
      <c r="L48" s="22">
        <f>+SUMIF('حركه المخزن الرئيسي اليوميه'!$F:$F,$H:$H,'حركه المخزن الرئيسي اليوميه'!$H:$H)</f>
        <v>0.0</v>
      </c>
      <c r="M48" s="22">
        <f>+SUMIF('حركه المخزن الرئيسي اليوميه'!$F:$F,$H:$H,'حركه المخزن الرئيسي اليوميه'!$I:$I)</f>
        <v>0.0</v>
      </c>
      <c r="N48" s="22">
        <f t="shared" si="12"/>
        <v>2.0</v>
      </c>
      <c r="O48" s="22">
        <f t="shared" si="13"/>
        <v>2.0</v>
      </c>
      <c r="P48" s="22">
        <f t="shared" si="10"/>
        <v>0.0</v>
      </c>
      <c r="Q48" s="57"/>
      <c r="R48" s="58"/>
    </row>
    <row r="49" spans="8:8">
      <c r="B49" s="54">
        <v>50.0</v>
      </c>
      <c r="C49" s="8" t="s">
        <v>814</v>
      </c>
      <c r="D49" s="8" t="s">
        <v>1019</v>
      </c>
      <c r="E49" s="8" t="s">
        <v>1188</v>
      </c>
      <c r="F49" s="8" t="s">
        <v>1190</v>
      </c>
      <c r="G49" s="8" t="s">
        <v>2224</v>
      </c>
      <c r="H49" s="8" t="s">
        <v>1188</v>
      </c>
      <c r="I49" s="55" t="s">
        <v>814</v>
      </c>
      <c r="J49" s="60" t="s">
        <v>7851</v>
      </c>
      <c r="K49" s="22">
        <v>0.0</v>
      </c>
      <c r="L49" s="22">
        <f>+SUMIF('حركه المخزن الرئيسي اليوميه'!$F:$F,$H:$H,'حركه المخزن الرئيسي اليوميه'!$H:$H)</f>
        <v>0.0</v>
      </c>
      <c r="M49" s="22">
        <f>+SUMIF('حركه المخزن الرئيسي اليوميه'!$F:$F,$H:$H,'حركه المخزن الرئيسي اليوميه'!$I:$I)</f>
        <v>0.0</v>
      </c>
      <c r="N49" s="22">
        <f t="shared" si="12"/>
        <v>0.0</v>
      </c>
      <c r="O49" s="22">
        <f t="shared" si="13"/>
        <v>0.0</v>
      </c>
      <c r="P49" s="22">
        <f t="shared" si="10"/>
        <v>0.0</v>
      </c>
      <c r="Q49" s="57"/>
      <c r="R49" s="58"/>
    </row>
    <row r="50" spans="8:8">
      <c r="B50" s="54">
        <v>51.0</v>
      </c>
      <c r="C50" s="8" t="s">
        <v>814</v>
      </c>
      <c r="D50" s="8" t="s">
        <v>820</v>
      </c>
      <c r="E50" s="8" t="s">
        <v>8194</v>
      </c>
      <c r="F50" s="8" t="s">
        <v>1501</v>
      </c>
      <c r="G50" s="8"/>
      <c r="H50" s="8" t="s">
        <v>8194</v>
      </c>
      <c r="I50" s="55" t="s">
        <v>3608</v>
      </c>
      <c r="J50" s="60" t="s">
        <v>7852</v>
      </c>
      <c r="K50" s="22">
        <v>1.0</v>
      </c>
      <c r="L50" s="22">
        <f>+SUMIF('حركه المخزن الرئيسي اليوميه'!$F:$F,$H:$H,'حركه المخزن الرئيسي اليوميه'!$H:$H)</f>
        <v>0.0</v>
      </c>
      <c r="M50" s="22">
        <f>+SUMIF('حركه المخزن الرئيسي اليوميه'!$F:$F,$H:$H,'حركه المخزن الرئيسي اليوميه'!$I:$I)</f>
        <v>0.0</v>
      </c>
      <c r="N50" s="22">
        <f t="shared" si="12"/>
        <v>1.0</v>
      </c>
      <c r="O50" s="22">
        <f t="shared" si="13"/>
        <v>1.0</v>
      </c>
      <c r="P50" s="22">
        <f t="shared" si="10"/>
        <v>0.0</v>
      </c>
      <c r="Q50" s="57"/>
      <c r="R50" s="58"/>
    </row>
    <row r="51" spans="8:8">
      <c r="B51" s="54">
        <v>52.0</v>
      </c>
      <c r="C51" s="8" t="s">
        <v>814</v>
      </c>
      <c r="D51" s="8" t="s">
        <v>820</v>
      </c>
      <c r="E51" s="8" t="s">
        <v>1147</v>
      </c>
      <c r="F51" s="8" t="s">
        <v>68</v>
      </c>
      <c r="G51" s="8"/>
      <c r="H51" s="8" t="s">
        <v>1147</v>
      </c>
      <c r="I51" s="8" t="s">
        <v>814</v>
      </c>
      <c r="J51" s="60" t="s">
        <v>7853</v>
      </c>
      <c r="K51" s="22">
        <v>0.0</v>
      </c>
      <c r="L51" s="22">
        <f>+SUMIF('حركه المخزن الرئيسي اليوميه'!$F:$F,$H:$H,'حركه المخزن الرئيسي اليوميه'!$H:$H)</f>
        <v>0.0</v>
      </c>
      <c r="M51" s="22">
        <f>+SUMIF('حركه المخزن الرئيسي اليوميه'!$F:$F,$H:$H,'حركه المخزن الرئيسي اليوميه'!$I:$I)</f>
        <v>0.0</v>
      </c>
      <c r="N51" s="22">
        <f t="shared" si="12"/>
        <v>0.0</v>
      </c>
      <c r="O51" s="22">
        <f t="shared" si="13"/>
        <v>0.0</v>
      </c>
      <c r="P51" s="22">
        <f t="shared" si="10"/>
        <v>0.0</v>
      </c>
      <c r="Q51" s="57"/>
      <c r="R51" s="58"/>
    </row>
    <row r="52" spans="8:8">
      <c r="B52" s="54">
        <v>53.0</v>
      </c>
      <c r="C52" s="8" t="s">
        <v>814</v>
      </c>
      <c r="D52" s="8" t="s">
        <v>820</v>
      </c>
      <c r="E52" s="8" t="s">
        <v>891</v>
      </c>
      <c r="F52" s="8" t="s">
        <v>68</v>
      </c>
      <c r="G52" s="8" t="s">
        <v>2178</v>
      </c>
      <c r="H52" s="8" t="s">
        <v>891</v>
      </c>
      <c r="I52" s="8" t="s">
        <v>814</v>
      </c>
      <c r="J52" s="60" t="s">
        <v>7854</v>
      </c>
      <c r="K52" s="22">
        <v>0.0</v>
      </c>
      <c r="L52" s="22">
        <f>+SUMIF('حركه المخزن الرئيسي اليوميه'!$F:$F,$H:$H,'حركه المخزن الرئيسي اليوميه'!$H:$H)</f>
        <v>0.0</v>
      </c>
      <c r="M52" s="22">
        <f>+SUMIF('حركه المخزن الرئيسي اليوميه'!$F:$F,$H:$H,'حركه المخزن الرئيسي اليوميه'!$I:$I)</f>
        <v>0.0</v>
      </c>
      <c r="N52" s="22">
        <f t="shared" si="12"/>
        <v>0.0</v>
      </c>
      <c r="O52" s="22">
        <f t="shared" si="13"/>
        <v>0.0</v>
      </c>
      <c r="P52" s="22">
        <f t="shared" si="10"/>
        <v>0.0</v>
      </c>
      <c r="Q52" s="57"/>
      <c r="R52" s="58"/>
    </row>
    <row r="53" spans="8:8">
      <c r="B53" s="54">
        <v>54.0</v>
      </c>
      <c r="C53" s="8" t="s">
        <v>814</v>
      </c>
      <c r="D53" s="8" t="s">
        <v>820</v>
      </c>
      <c r="E53" s="8" t="s">
        <v>1182</v>
      </c>
      <c r="F53" s="8" t="s">
        <v>1182</v>
      </c>
      <c r="G53" s="8" t="s">
        <v>2221</v>
      </c>
      <c r="H53" s="8" t="s">
        <v>1182</v>
      </c>
      <c r="I53" s="8" t="s">
        <v>814</v>
      </c>
      <c r="J53" s="60" t="s">
        <v>7855</v>
      </c>
      <c r="K53" s="22">
        <v>0.0</v>
      </c>
      <c r="L53" s="22">
        <f>+SUMIF('حركه المخزن الرئيسي اليوميه'!$F:$F,$H:$H,'حركه المخزن الرئيسي اليوميه'!$H:$H)</f>
        <v>0.0</v>
      </c>
      <c r="M53" s="22">
        <f>+SUMIF('حركه المخزن الرئيسي اليوميه'!$F:$F,$H:$H,'حركه المخزن الرئيسي اليوميه'!$I:$I)</f>
        <v>0.0</v>
      </c>
      <c r="N53" s="22">
        <f t="shared" si="12"/>
        <v>0.0</v>
      </c>
      <c r="O53" s="22">
        <f t="shared" si="13"/>
        <v>0.0</v>
      </c>
      <c r="P53" s="22">
        <f t="shared" si="10"/>
        <v>0.0</v>
      </c>
      <c r="Q53" s="57"/>
      <c r="R53" s="58"/>
    </row>
    <row r="54" spans="8:8">
      <c r="B54" s="54">
        <v>55.0</v>
      </c>
      <c r="C54" s="8" t="s">
        <v>814</v>
      </c>
      <c r="D54" s="8" t="s">
        <v>820</v>
      </c>
      <c r="E54" s="8" t="s">
        <v>3795</v>
      </c>
      <c r="F54" s="8" t="s">
        <v>125</v>
      </c>
      <c r="G54" s="8"/>
      <c r="H54" s="8" t="s">
        <v>3795</v>
      </c>
      <c r="I54" s="55" t="s">
        <v>3608</v>
      </c>
      <c r="J54" s="60" t="s">
        <v>7856</v>
      </c>
      <c r="K54" s="22">
        <v>2.0</v>
      </c>
      <c r="L54" s="22">
        <f>+SUMIF('حركه المخزن الرئيسي اليوميه'!$F:$F,$H:$H,'حركه المخزن الرئيسي اليوميه'!$H:$H)</f>
        <v>0.0</v>
      </c>
      <c r="M54" s="22">
        <f>+SUMIF('حركه المخزن الرئيسي اليوميه'!$F:$F,$H:$H,'حركه المخزن الرئيسي اليوميه'!$I:$I)</f>
        <v>0.0</v>
      </c>
      <c r="N54" s="22">
        <f t="shared" si="12"/>
        <v>2.0</v>
      </c>
      <c r="O54" s="22">
        <f t="shared" si="13"/>
        <v>2.0</v>
      </c>
      <c r="P54" s="22">
        <f t="shared" si="10"/>
        <v>0.0</v>
      </c>
      <c r="Q54" s="57"/>
      <c r="R54" s="58"/>
    </row>
    <row r="55" spans="8:8">
      <c r="B55" s="54">
        <v>56.0</v>
      </c>
      <c r="C55" s="8" t="s">
        <v>814</v>
      </c>
      <c r="D55" s="8" t="s">
        <v>3486</v>
      </c>
      <c r="E55" s="8" t="s">
        <v>894</v>
      </c>
      <c r="F55" s="8" t="s">
        <v>92</v>
      </c>
      <c r="G55" s="8" t="s">
        <v>2183</v>
      </c>
      <c r="H55" s="8" t="s">
        <v>894</v>
      </c>
      <c r="I55" s="8" t="s">
        <v>814</v>
      </c>
      <c r="J55" s="60" t="s">
        <v>7857</v>
      </c>
      <c r="K55" s="22">
        <v>0.0</v>
      </c>
      <c r="L55" s="22">
        <f>+SUMIF('حركه المخزن الرئيسي اليوميه'!$F:$F,$H:$H,'حركه المخزن الرئيسي اليوميه'!$H:$H)</f>
        <v>0.0</v>
      </c>
      <c r="M55" s="22">
        <f>+SUMIF('حركه المخزن الرئيسي اليوميه'!$F:$F,$H:$H,'حركه المخزن الرئيسي اليوميه'!$I:$I)</f>
        <v>0.0</v>
      </c>
      <c r="N55" s="22">
        <f t="shared" si="12"/>
        <v>0.0</v>
      </c>
      <c r="O55" s="22">
        <f t="shared" si="13"/>
        <v>0.0</v>
      </c>
      <c r="P55" s="22">
        <f t="shared" si="10"/>
        <v>0.0</v>
      </c>
      <c r="Q55" s="57"/>
      <c r="R55" s="58"/>
    </row>
    <row r="56" spans="8:8">
      <c r="B56" s="54">
        <v>57.0</v>
      </c>
      <c r="C56" s="8" t="s">
        <v>814</v>
      </c>
      <c r="D56" s="8" t="s">
        <v>1486</v>
      </c>
      <c r="E56" s="8" t="s">
        <v>1184</v>
      </c>
      <c r="F56" s="8" t="s">
        <v>1185</v>
      </c>
      <c r="G56" s="61" t="s">
        <v>2222</v>
      </c>
      <c r="H56" s="8" t="s">
        <v>1184</v>
      </c>
      <c r="I56" s="8" t="s">
        <v>814</v>
      </c>
      <c r="J56" s="60" t="s">
        <v>7858</v>
      </c>
      <c r="K56" s="22">
        <v>0.0</v>
      </c>
      <c r="L56" s="22">
        <f>+SUMIF('حركه المخزن الرئيسي اليوميه'!$F:$F,$H:$H,'حركه المخزن الرئيسي اليوميه'!$H:$H)</f>
        <v>0.0</v>
      </c>
      <c r="M56" s="22">
        <f>+SUMIF('حركه المخزن الرئيسي اليوميه'!$F:$F,$H:$H,'حركه المخزن الرئيسي اليوميه'!$I:$I)</f>
        <v>0.0</v>
      </c>
      <c r="N56" s="22">
        <f t="shared" si="12"/>
        <v>0.0</v>
      </c>
      <c r="O56" s="22">
        <f t="shared" si="13"/>
        <v>0.0</v>
      </c>
      <c r="P56" s="22">
        <f t="shared" si="10"/>
        <v>0.0</v>
      </c>
      <c r="Q56" s="57"/>
      <c r="R56" s="58"/>
    </row>
    <row r="57" spans="8:8">
      <c r="B57" s="54">
        <v>58.0</v>
      </c>
      <c r="C57" s="8" t="s">
        <v>814</v>
      </c>
      <c r="D57" s="8" t="s">
        <v>3486</v>
      </c>
      <c r="E57" s="8" t="s">
        <v>895</v>
      </c>
      <c r="F57" s="8" t="s">
        <v>68</v>
      </c>
      <c r="G57" s="8" t="s">
        <v>2409</v>
      </c>
      <c r="H57" s="8" t="s">
        <v>895</v>
      </c>
      <c r="I57" s="8" t="s">
        <v>814</v>
      </c>
      <c r="J57" s="60" t="s">
        <v>7859</v>
      </c>
      <c r="K57" s="22">
        <v>0.0</v>
      </c>
      <c r="L57" s="22">
        <f>+SUMIF('حركه المخزن الرئيسي اليوميه'!$F:$F,$H:$H,'حركه المخزن الرئيسي اليوميه'!$H:$H)</f>
        <v>0.0</v>
      </c>
      <c r="M57" s="22">
        <f>+SUMIF('حركه المخزن الرئيسي اليوميه'!$F:$F,$H:$H,'حركه المخزن الرئيسي اليوميه'!$I:$I)</f>
        <v>0.0</v>
      </c>
      <c r="N57" s="22">
        <f t="shared" si="12"/>
        <v>0.0</v>
      </c>
      <c r="O57" s="22">
        <f t="shared" si="13"/>
        <v>0.0</v>
      </c>
      <c r="P57" s="22">
        <f t="shared" si="10"/>
        <v>0.0</v>
      </c>
      <c r="Q57" s="57"/>
      <c r="R57" s="58"/>
    </row>
    <row r="58" spans="8:8">
      <c r="B58" s="54">
        <v>59.0</v>
      </c>
      <c r="C58" s="8" t="s">
        <v>814</v>
      </c>
      <c r="D58" s="8" t="s">
        <v>1019</v>
      </c>
      <c r="E58" s="8" t="s">
        <v>1189</v>
      </c>
      <c r="F58" s="8" t="s">
        <v>1191</v>
      </c>
      <c r="G58" s="8"/>
      <c r="H58" s="8" t="s">
        <v>1189</v>
      </c>
      <c r="I58" s="55" t="s">
        <v>814</v>
      </c>
      <c r="J58" s="60" t="s">
        <v>7860</v>
      </c>
      <c r="K58" s="22">
        <v>0.0</v>
      </c>
      <c r="L58" s="22">
        <f>+SUMIF('حركه المخزن الرئيسي اليوميه'!$F:$F,$H:$H,'حركه المخزن الرئيسي اليوميه'!$H:$H)</f>
        <v>0.0</v>
      </c>
      <c r="M58" s="22">
        <f>+SUMIF('حركه المخزن الرئيسي اليوميه'!$F:$F,$H:$H,'حركه المخزن الرئيسي اليوميه'!$I:$I)</f>
        <v>0.0</v>
      </c>
      <c r="N58" s="22">
        <f t="shared" si="12"/>
        <v>0.0</v>
      </c>
      <c r="O58" s="22">
        <f t="shared" si="13"/>
        <v>0.0</v>
      </c>
      <c r="P58" s="22">
        <f t="shared" si="10"/>
        <v>0.0</v>
      </c>
      <c r="Q58" s="57"/>
      <c r="R58" s="58"/>
    </row>
    <row r="59" spans="8:8">
      <c r="B59" s="54">
        <v>60.0</v>
      </c>
      <c r="C59" s="8" t="s">
        <v>814</v>
      </c>
      <c r="D59" s="8" t="s">
        <v>820</v>
      </c>
      <c r="E59" s="8" t="s">
        <v>3259</v>
      </c>
      <c r="F59" s="8" t="s">
        <v>68</v>
      </c>
      <c r="G59" s="8" t="s">
        <v>2419</v>
      </c>
      <c r="H59" s="8" t="s">
        <v>1042</v>
      </c>
      <c r="I59" s="55" t="s">
        <v>3608</v>
      </c>
      <c r="J59" s="60" t="s">
        <v>7861</v>
      </c>
      <c r="K59" s="22">
        <v>9.0</v>
      </c>
      <c r="L59" s="22">
        <f>+SUMIF('حركه المخزن الرئيسي اليوميه'!$F:$F,$H:$H,'حركه المخزن الرئيسي اليوميه'!$H:$H)</f>
        <v>0.0</v>
      </c>
      <c r="M59" s="22">
        <f>+SUMIF('حركه المخزن الرئيسي اليوميه'!$F:$F,$H:$H,'حركه المخزن الرئيسي اليوميه'!$I:$I)</f>
        <v>9.0</v>
      </c>
      <c r="N59" s="22">
        <f t="shared" si="12"/>
        <v>0.0</v>
      </c>
      <c r="O59" s="22">
        <f t="shared" si="13"/>
        <v>0.0</v>
      </c>
      <c r="P59" s="22">
        <f t="shared" si="10"/>
        <v>0.0</v>
      </c>
      <c r="Q59" s="57"/>
      <c r="R59" s="58"/>
    </row>
    <row r="60" spans="8:8">
      <c r="B60" s="54">
        <v>61.0</v>
      </c>
      <c r="C60" s="8" t="s">
        <v>2539</v>
      </c>
      <c r="D60" s="8" t="s">
        <v>3486</v>
      </c>
      <c r="E60" s="8" t="s">
        <v>3260</v>
      </c>
      <c r="F60" s="8" t="s">
        <v>68</v>
      </c>
      <c r="G60" s="8" t="s">
        <v>2418</v>
      </c>
      <c r="H60" s="8" t="s">
        <v>2808</v>
      </c>
      <c r="I60" s="55" t="s">
        <v>3607</v>
      </c>
      <c r="J60" s="60" t="s">
        <v>7862</v>
      </c>
      <c r="K60" s="22">
        <v>0.0</v>
      </c>
      <c r="L60" s="22">
        <f>+SUMIF('حركه المخزن الرئيسي اليوميه'!$F:$F,$H:$H,'حركه المخزن الرئيسي اليوميه'!$H:$H)</f>
        <v>0.0</v>
      </c>
      <c r="M60" s="22">
        <f>+SUMIF('حركه المخزن الرئيسي اليوميه'!$F:$F,$H:$H,'حركه المخزن الرئيسي اليوميه'!$I:$I)</f>
        <v>0.0</v>
      </c>
      <c r="N60" s="22">
        <f t="shared" si="12"/>
        <v>0.0</v>
      </c>
      <c r="O60" s="22">
        <f t="shared" si="13"/>
        <v>0.0</v>
      </c>
      <c r="P60" s="22">
        <f t="shared" si="10"/>
        <v>0.0</v>
      </c>
      <c r="Q60" s="57"/>
      <c r="R60" s="58"/>
    </row>
    <row r="61" spans="8:8">
      <c r="B61" s="54">
        <v>62.0</v>
      </c>
      <c r="C61" s="8" t="s">
        <v>814</v>
      </c>
      <c r="D61" s="8" t="s">
        <v>820</v>
      </c>
      <c r="E61" s="8" t="s">
        <v>1178</v>
      </c>
      <c r="F61" s="8" t="s">
        <v>92</v>
      </c>
      <c r="G61" s="8"/>
      <c r="H61" s="8" t="s">
        <v>1178</v>
      </c>
      <c r="I61" s="8" t="s">
        <v>814</v>
      </c>
      <c r="J61" s="60" t="s">
        <v>7863</v>
      </c>
      <c r="K61" s="22">
        <v>0.0</v>
      </c>
      <c r="L61" s="22">
        <f>+SUMIF('حركه المخزن الرئيسي اليوميه'!$F:$F,$H:$H,'حركه المخزن الرئيسي اليوميه'!$H:$H)</f>
        <v>0.0</v>
      </c>
      <c r="M61" s="22">
        <f>+SUMIF('حركه المخزن الرئيسي اليوميه'!$F:$F,$H:$H,'حركه المخزن الرئيسي اليوميه'!$I:$I)</f>
        <v>0.0</v>
      </c>
      <c r="N61" s="22">
        <f t="shared" si="12"/>
        <v>0.0</v>
      </c>
      <c r="O61" s="22">
        <f t="shared" si="13"/>
        <v>0.0</v>
      </c>
      <c r="P61" s="22">
        <f t="shared" si="10"/>
        <v>0.0</v>
      </c>
      <c r="Q61" s="57"/>
      <c r="R61" s="58"/>
    </row>
    <row r="62" spans="8:8">
      <c r="B62" s="54">
        <v>63.0</v>
      </c>
      <c r="C62" s="8" t="s">
        <v>814</v>
      </c>
      <c r="D62" s="8" t="s">
        <v>820</v>
      </c>
      <c r="E62" s="8" t="s">
        <v>3579</v>
      </c>
      <c r="F62" s="8" t="s">
        <v>68</v>
      </c>
      <c r="G62" s="8"/>
      <c r="H62" s="8" t="s">
        <v>3579</v>
      </c>
      <c r="I62" s="8" t="s">
        <v>814</v>
      </c>
      <c r="J62" s="60" t="s">
        <v>7864</v>
      </c>
      <c r="K62" s="22">
        <v>0.0</v>
      </c>
      <c r="L62" s="22">
        <f>+SUMIF('حركه المخزن الرئيسي اليوميه'!$F:$F,$H:$H,'حركه المخزن الرئيسي اليوميه'!$H:$H)</f>
        <v>0.0</v>
      </c>
      <c r="M62" s="22">
        <f>+SUMIF('حركه المخزن الرئيسي اليوميه'!$F:$F,$H:$H,'حركه المخزن الرئيسي اليوميه'!$I:$I)</f>
        <v>0.0</v>
      </c>
      <c r="N62" s="22">
        <f t="shared" si="12"/>
        <v>0.0</v>
      </c>
      <c r="O62" s="22">
        <f t="shared" si="13"/>
        <v>0.0</v>
      </c>
      <c r="P62" s="22">
        <f t="shared" si="10"/>
        <v>0.0</v>
      </c>
      <c r="Q62" s="57"/>
      <c r="R62" s="58"/>
    </row>
    <row r="63" spans="8:8">
      <c r="B63" s="54">
        <v>64.0</v>
      </c>
      <c r="C63" s="8" t="s">
        <v>814</v>
      </c>
      <c r="D63" s="8" t="s">
        <v>820</v>
      </c>
      <c r="E63" s="8" t="s">
        <v>893</v>
      </c>
      <c r="F63" s="8" t="s">
        <v>68</v>
      </c>
      <c r="G63" s="8" t="s">
        <v>2182</v>
      </c>
      <c r="H63" s="8" t="s">
        <v>893</v>
      </c>
      <c r="I63" s="55" t="s">
        <v>814</v>
      </c>
      <c r="J63" s="60" t="s">
        <v>7865</v>
      </c>
      <c r="K63" s="22">
        <v>0.0</v>
      </c>
      <c r="L63" s="22">
        <f>+SUMIF('حركه المخزن الرئيسي اليوميه'!$F:$F,$H:$H,'حركه المخزن الرئيسي اليوميه'!$H:$H)</f>
        <v>0.0</v>
      </c>
      <c r="M63" s="22">
        <f>+SUMIF('حركه المخزن الرئيسي اليوميه'!$F:$F,$H:$H,'حركه المخزن الرئيسي اليوميه'!$I:$I)</f>
        <v>0.0</v>
      </c>
      <c r="N63" s="22">
        <f t="shared" si="12"/>
        <v>0.0</v>
      </c>
      <c r="O63" s="22">
        <f t="shared" si="13"/>
        <v>0.0</v>
      </c>
      <c r="P63" s="22">
        <f t="shared" si="10"/>
        <v>0.0</v>
      </c>
      <c r="Q63" s="57"/>
      <c r="R63" s="58"/>
    </row>
    <row r="64" spans="8:8">
      <c r="B64" s="54">
        <v>65.0</v>
      </c>
      <c r="C64" s="8" t="s">
        <v>814</v>
      </c>
      <c r="D64" s="8" t="s">
        <v>3665</v>
      </c>
      <c r="E64" s="8" t="s">
        <v>2884</v>
      </c>
      <c r="F64" s="8" t="s">
        <v>2885</v>
      </c>
      <c r="G64" s="8"/>
      <c r="H64" s="8" t="s">
        <v>2884</v>
      </c>
      <c r="I64" s="55" t="s">
        <v>3608</v>
      </c>
      <c r="J64" s="60" t="s">
        <v>7866</v>
      </c>
      <c r="K64" s="22">
        <v>0.0</v>
      </c>
      <c r="L64" s="22">
        <f>+SUMIF('حركه المخزن الرئيسي اليوميه'!$F:$F,$H:$H,'حركه المخزن الرئيسي اليوميه'!$H:$H)</f>
        <v>0.0</v>
      </c>
      <c r="M64" s="22">
        <f>+SUMIF('حركه المخزن الرئيسي اليوميه'!$F:$F,$H:$H,'حركه المخزن الرئيسي اليوميه'!$I:$I)</f>
        <v>0.0</v>
      </c>
      <c r="N64" s="22">
        <f t="shared" si="12"/>
        <v>0.0</v>
      </c>
      <c r="O64" s="22">
        <f t="shared" si="13"/>
        <v>0.0</v>
      </c>
      <c r="P64" s="22">
        <f t="shared" si="16" ref="P64:P82">+N64-O64</f>
        <v>0.0</v>
      </c>
      <c r="Q64" s="57"/>
      <c r="R64" s="58"/>
    </row>
    <row r="65" spans="8:8">
      <c r="B65" s="54">
        <v>66.0</v>
      </c>
      <c r="C65" s="8" t="s">
        <v>814</v>
      </c>
      <c r="D65" s="8" t="s">
        <v>820</v>
      </c>
      <c r="E65" s="8" t="s">
        <v>823</v>
      </c>
      <c r="F65" s="8" t="s">
        <v>68</v>
      </c>
      <c r="G65" s="8" t="s">
        <v>2165</v>
      </c>
      <c r="H65" s="8" t="s">
        <v>823</v>
      </c>
      <c r="I65" s="55" t="s">
        <v>3608</v>
      </c>
      <c r="J65" s="60" t="s">
        <v>7867</v>
      </c>
      <c r="K65" s="22">
        <v>0.0</v>
      </c>
      <c r="L65" s="22">
        <f>+SUMIF('حركه المخزن الرئيسي اليوميه'!$F:$F,$H:$H,'حركه المخزن الرئيسي اليوميه'!$H:$H)</f>
        <v>0.0</v>
      </c>
      <c r="M65" s="22">
        <f>+SUMIF('حركه المخزن الرئيسي اليوميه'!$F:$F,$H:$H,'حركه المخزن الرئيسي اليوميه'!$I:$I)</f>
        <v>0.0</v>
      </c>
      <c r="N65" s="22">
        <f t="shared" si="12"/>
        <v>0.0</v>
      </c>
      <c r="O65" s="22">
        <f t="shared" si="13"/>
        <v>0.0</v>
      </c>
      <c r="P65" s="22">
        <f t="shared" si="16"/>
        <v>0.0</v>
      </c>
      <c r="Q65" s="57"/>
      <c r="R65" s="58"/>
    </row>
    <row r="66" spans="8:8">
      <c r="B66" s="54">
        <v>67.0</v>
      </c>
      <c r="C66" s="8" t="s">
        <v>814</v>
      </c>
      <c r="D66" s="8" t="s">
        <v>820</v>
      </c>
      <c r="E66" s="8" t="s">
        <v>3369</v>
      </c>
      <c r="F66" s="8" t="s">
        <v>68</v>
      </c>
      <c r="G66" s="8"/>
      <c r="H66" s="8" t="s">
        <v>3370</v>
      </c>
      <c r="I66" s="8" t="s">
        <v>814</v>
      </c>
      <c r="J66" s="60" t="s">
        <v>7868</v>
      </c>
      <c r="K66" s="22">
        <v>0.0</v>
      </c>
      <c r="L66" s="22">
        <f>+SUMIF('حركه المخزن الرئيسي اليوميه'!$F:$F,$H:$H,'حركه المخزن الرئيسي اليوميه'!$H:$H)</f>
        <v>0.0</v>
      </c>
      <c r="M66" s="22">
        <f>+SUMIF('حركه المخزن الرئيسي اليوميه'!$F:$F,$H:$H,'حركه المخزن الرئيسي اليوميه'!$I:$I)</f>
        <v>0.0</v>
      </c>
      <c r="N66" s="22">
        <f t="shared" si="12"/>
        <v>0.0</v>
      </c>
      <c r="O66" s="22">
        <f t="shared" si="13"/>
        <v>0.0</v>
      </c>
      <c r="P66" s="22">
        <f t="shared" si="16"/>
        <v>0.0</v>
      </c>
      <c r="Q66" s="57"/>
      <c r="R66" s="58"/>
    </row>
    <row r="67" spans="8:8">
      <c r="B67" s="54">
        <v>68.0</v>
      </c>
      <c r="C67" s="8" t="s">
        <v>814</v>
      </c>
      <c r="D67" s="8" t="s">
        <v>820</v>
      </c>
      <c r="E67" s="8" t="s">
        <v>2662</v>
      </c>
      <c r="F67" s="8" t="s">
        <v>68</v>
      </c>
      <c r="G67" s="8" t="s">
        <v>1926</v>
      </c>
      <c r="H67" s="8" t="s">
        <v>2662</v>
      </c>
      <c r="I67" s="55" t="s">
        <v>3608</v>
      </c>
      <c r="J67" s="60" t="s">
        <v>7869</v>
      </c>
      <c r="K67" s="22">
        <v>15.0</v>
      </c>
      <c r="L67" s="22">
        <f>+SUMIF('حركه المخزن الرئيسي اليوميه'!$F:$F,$H:$H,'حركه المخزن الرئيسي اليوميه'!$H:$H)</f>
        <v>0.0</v>
      </c>
      <c r="M67" s="22">
        <f>+SUMIF('حركه المخزن الرئيسي اليوميه'!$F:$F,$H:$H,'حركه المخزن الرئيسي اليوميه'!$I:$I)</f>
        <v>0.0</v>
      </c>
      <c r="N67" s="22">
        <f t="shared" si="12"/>
        <v>15.0</v>
      </c>
      <c r="O67" s="22">
        <f t="shared" si="13"/>
        <v>15.0</v>
      </c>
      <c r="P67" s="22">
        <f t="shared" si="16"/>
        <v>0.0</v>
      </c>
      <c r="Q67" s="57"/>
      <c r="R67" s="58"/>
    </row>
    <row r="68" spans="8:8">
      <c r="B68" s="54">
        <v>69.0</v>
      </c>
      <c r="C68" s="8" t="s">
        <v>814</v>
      </c>
      <c r="D68" s="8" t="s">
        <v>820</v>
      </c>
      <c r="E68" s="8" t="s">
        <v>1145</v>
      </c>
      <c r="F68" s="8" t="s">
        <v>68</v>
      </c>
      <c r="G68" s="8" t="s">
        <v>2208</v>
      </c>
      <c r="H68" s="8" t="s">
        <v>1145</v>
      </c>
      <c r="I68" s="55" t="s">
        <v>3609</v>
      </c>
      <c r="J68" s="60" t="s">
        <v>7870</v>
      </c>
      <c r="K68" s="22">
        <v>5.0</v>
      </c>
      <c r="L68" s="22">
        <f>+SUMIF('حركه المخزن الرئيسي اليوميه'!$F:$F,$H:$H,'حركه المخزن الرئيسي اليوميه'!$H:$H)</f>
        <v>0.0</v>
      </c>
      <c r="M68" s="22">
        <f>+SUMIF('حركه المخزن الرئيسي اليوميه'!$F:$F,$H:$H,'حركه المخزن الرئيسي اليوميه'!$I:$I)</f>
        <v>0.0</v>
      </c>
      <c r="N68" s="22">
        <f t="shared" si="12"/>
        <v>5.0</v>
      </c>
      <c r="O68" s="22">
        <f t="shared" si="13"/>
        <v>5.0</v>
      </c>
      <c r="P68" s="22">
        <f t="shared" si="16"/>
        <v>0.0</v>
      </c>
      <c r="Q68" s="57"/>
      <c r="R68" s="58"/>
    </row>
    <row r="69" spans="8:8">
      <c r="B69" s="54">
        <v>70.0</v>
      </c>
      <c r="C69" s="8" t="s">
        <v>814</v>
      </c>
      <c r="D69" s="8" t="s">
        <v>3665</v>
      </c>
      <c r="E69" s="8" t="s">
        <v>1043</v>
      </c>
      <c r="F69" s="8" t="s">
        <v>1044</v>
      </c>
      <c r="G69" s="8" t="s">
        <v>2420</v>
      </c>
      <c r="H69" s="8" t="s">
        <v>1043</v>
      </c>
      <c r="I69" s="55" t="s">
        <v>3609</v>
      </c>
      <c r="J69" s="60" t="s">
        <v>7871</v>
      </c>
      <c r="K69" s="22">
        <v>3.0</v>
      </c>
      <c r="L69" s="22">
        <f>+SUMIF('حركه المخزن الرئيسي اليوميه'!$F:$F,$H:$H,'حركه المخزن الرئيسي اليوميه'!$H:$H)</f>
        <v>0.0</v>
      </c>
      <c r="M69" s="22">
        <f>+SUMIF('حركه المخزن الرئيسي اليوميه'!$F:$F,$H:$H,'حركه المخزن الرئيسي اليوميه'!$I:$I)</f>
        <v>0.0</v>
      </c>
      <c r="N69" s="22">
        <f t="shared" si="12"/>
        <v>3.0</v>
      </c>
      <c r="O69" s="22">
        <f t="shared" si="13"/>
        <v>3.0</v>
      </c>
      <c r="P69" s="22">
        <f t="shared" si="16"/>
        <v>0.0</v>
      </c>
      <c r="Q69" s="57"/>
      <c r="R69" s="58"/>
    </row>
    <row r="70" spans="8:8">
      <c r="B70" s="54">
        <v>71.0</v>
      </c>
      <c r="C70" s="8" t="s">
        <v>814</v>
      </c>
      <c r="D70" s="8" t="s">
        <v>820</v>
      </c>
      <c r="E70" s="8" t="s">
        <v>2600</v>
      </c>
      <c r="F70" s="8" t="s">
        <v>68</v>
      </c>
      <c r="G70" s="8" t="s">
        <v>2096</v>
      </c>
      <c r="H70" s="8" t="s">
        <v>2600</v>
      </c>
      <c r="I70" s="55" t="s">
        <v>3609</v>
      </c>
      <c r="J70" s="60" t="s">
        <v>7872</v>
      </c>
      <c r="K70" s="22">
        <v>4.0</v>
      </c>
      <c r="L70" s="22">
        <f>+SUMIF('حركه المخزن الرئيسي اليوميه'!$F:$F,$H:$H,'حركه المخزن الرئيسي اليوميه'!$H:$H)</f>
        <v>0.0</v>
      </c>
      <c r="M70" s="22">
        <f>+SUMIF('حركه المخزن الرئيسي اليوميه'!$F:$F,$H:$H,'حركه المخزن الرئيسي اليوميه'!$I:$I)</f>
        <v>0.0</v>
      </c>
      <c r="N70" s="22">
        <f t="shared" si="12"/>
        <v>4.0</v>
      </c>
      <c r="O70" s="22">
        <f t="shared" si="13"/>
        <v>4.0</v>
      </c>
      <c r="P70" s="22">
        <f t="shared" si="16"/>
        <v>0.0</v>
      </c>
      <c r="Q70" s="57"/>
      <c r="R70" s="58"/>
    </row>
    <row r="71" spans="8:8">
      <c r="B71" s="54">
        <v>72.0</v>
      </c>
      <c r="C71" s="8" t="s">
        <v>814</v>
      </c>
      <c r="D71" s="8" t="s">
        <v>3486</v>
      </c>
      <c r="E71" s="8" t="s">
        <v>1251</v>
      </c>
      <c r="F71" s="8" t="s">
        <v>68</v>
      </c>
      <c r="G71" s="8" t="s">
        <v>1926</v>
      </c>
      <c r="H71" s="8" t="s">
        <v>1251</v>
      </c>
      <c r="I71" s="55" t="s">
        <v>814</v>
      </c>
      <c r="J71" s="60" t="s">
        <v>7873</v>
      </c>
      <c r="K71" s="22">
        <v>0.0</v>
      </c>
      <c r="L71" s="22">
        <f>+SUMIF('حركه المخزن الرئيسي اليوميه'!$F:$F,$H:$H,'حركه المخزن الرئيسي اليوميه'!$H:$H)</f>
        <v>0.0</v>
      </c>
      <c r="M71" s="22">
        <f>+SUMIF('حركه المخزن الرئيسي اليوميه'!$F:$F,$H:$H,'حركه المخزن الرئيسي اليوميه'!$I:$I)</f>
        <v>0.0</v>
      </c>
      <c r="N71" s="22">
        <f t="shared" si="12"/>
        <v>0.0</v>
      </c>
      <c r="O71" s="22">
        <f t="shared" si="17" ref="O71:O83">+N71</f>
        <v>0.0</v>
      </c>
      <c r="P71" s="22">
        <f t="shared" si="16"/>
        <v>0.0</v>
      </c>
      <c r="Q71" s="57"/>
      <c r="R71" s="58"/>
    </row>
    <row r="72" spans="8:8">
      <c r="B72" s="54">
        <v>73.0</v>
      </c>
      <c r="C72" s="8" t="s">
        <v>814</v>
      </c>
      <c r="D72" s="8" t="s">
        <v>3486</v>
      </c>
      <c r="E72" s="8" t="s">
        <v>1392</v>
      </c>
      <c r="F72" s="8" t="s">
        <v>68</v>
      </c>
      <c r="G72" s="8" t="s">
        <v>1926</v>
      </c>
      <c r="H72" s="8" t="s">
        <v>1250</v>
      </c>
      <c r="I72" s="55" t="s">
        <v>3609</v>
      </c>
      <c r="J72" s="60" t="s">
        <v>7874</v>
      </c>
      <c r="K72" s="22">
        <v>1.0</v>
      </c>
      <c r="L72" s="22">
        <f>+SUMIF('حركه المخزن الرئيسي اليوميه'!$F:$F,$H:$H,'حركه المخزن الرئيسي اليوميه'!$H:$H)</f>
        <v>0.0</v>
      </c>
      <c r="M72" s="22">
        <f>+SUMIF('حركه المخزن الرئيسي اليوميه'!$F:$F,$H:$H,'حركه المخزن الرئيسي اليوميه'!$I:$I)</f>
        <v>0.0</v>
      </c>
      <c r="N72" s="22">
        <f t="shared" si="18" ref="N72:N83">+K72+L72-M72</f>
        <v>1.0</v>
      </c>
      <c r="O72" s="22">
        <f t="shared" si="17"/>
        <v>1.0</v>
      </c>
      <c r="P72" s="22">
        <f t="shared" si="16"/>
        <v>0.0</v>
      </c>
      <c r="Q72" s="57"/>
      <c r="R72" s="58"/>
    </row>
    <row r="73" spans="8:8">
      <c r="B73" s="54">
        <v>74.0</v>
      </c>
      <c r="C73" s="8" t="s">
        <v>814</v>
      </c>
      <c r="D73" s="8" t="s">
        <v>1019</v>
      </c>
      <c r="E73" s="8" t="s">
        <v>1173</v>
      </c>
      <c r="F73" s="8" t="s">
        <v>68</v>
      </c>
      <c r="G73" s="8" t="s">
        <v>2218</v>
      </c>
      <c r="H73" s="8" t="s">
        <v>1174</v>
      </c>
      <c r="I73" s="55" t="s">
        <v>814</v>
      </c>
      <c r="J73" s="60" t="s">
        <v>7875</v>
      </c>
      <c r="K73" s="22">
        <v>0.0</v>
      </c>
      <c r="L73" s="22">
        <f>+SUMIF('حركه المخزن الرئيسي اليوميه'!$F:$F,$H:$H,'حركه المخزن الرئيسي اليوميه'!$H:$H)</f>
        <v>0.0</v>
      </c>
      <c r="M73" s="22">
        <f>+SUMIF('حركه المخزن الرئيسي اليوميه'!$F:$F,$H:$H,'حركه المخزن الرئيسي اليوميه'!$I:$I)</f>
        <v>0.0</v>
      </c>
      <c r="N73" s="22">
        <f t="shared" si="18"/>
        <v>0.0</v>
      </c>
      <c r="O73" s="22">
        <f t="shared" si="17"/>
        <v>0.0</v>
      </c>
      <c r="P73" s="22">
        <f t="shared" si="16"/>
        <v>0.0</v>
      </c>
      <c r="Q73" s="57"/>
      <c r="R73" s="58"/>
    </row>
    <row r="74" spans="8:8">
      <c r="B74" s="54">
        <v>75.0</v>
      </c>
      <c r="C74" s="8" t="s">
        <v>814</v>
      </c>
      <c r="D74" s="8" t="s">
        <v>1019</v>
      </c>
      <c r="E74" s="8" t="s">
        <v>2830</v>
      </c>
      <c r="F74" s="8" t="s">
        <v>68</v>
      </c>
      <c r="G74" s="8"/>
      <c r="H74" s="8" t="s">
        <v>2830</v>
      </c>
      <c r="I74" s="55" t="s">
        <v>814</v>
      </c>
      <c r="J74" s="60" t="s">
        <v>7876</v>
      </c>
      <c r="K74" s="22">
        <v>0.0</v>
      </c>
      <c r="L74" s="22">
        <f>+SUMIF('حركه المخزن الرئيسي اليوميه'!$F:$F,$H:$H,'حركه المخزن الرئيسي اليوميه'!$H:$H)</f>
        <v>0.0</v>
      </c>
      <c r="M74" s="22">
        <f>+SUMIF('حركه المخزن الرئيسي اليوميه'!$F:$F,$H:$H,'حركه المخزن الرئيسي اليوميه'!$I:$I)</f>
        <v>0.0</v>
      </c>
      <c r="N74" s="22">
        <f t="shared" si="18"/>
        <v>0.0</v>
      </c>
      <c r="O74" s="22">
        <f t="shared" si="17"/>
        <v>0.0</v>
      </c>
      <c r="P74" s="22">
        <f t="shared" si="16"/>
        <v>0.0</v>
      </c>
      <c r="Q74" s="57"/>
      <c r="R74" s="58"/>
    </row>
    <row r="75" spans="8:8">
      <c r="B75" s="54">
        <v>76.0</v>
      </c>
      <c r="C75" s="8" t="s">
        <v>814</v>
      </c>
      <c r="D75" s="8" t="s">
        <v>3486</v>
      </c>
      <c r="E75" s="8" t="s">
        <v>2875</v>
      </c>
      <c r="F75" s="8" t="s">
        <v>1044</v>
      </c>
      <c r="G75" s="8"/>
      <c r="H75" s="8" t="s">
        <v>2875</v>
      </c>
      <c r="I75" s="55" t="s">
        <v>3608</v>
      </c>
      <c r="J75" s="60" t="s">
        <v>7877</v>
      </c>
      <c r="K75" s="22">
        <v>4.0</v>
      </c>
      <c r="L75" s="22">
        <f>+SUMIF('حركه المخزن الرئيسي اليوميه'!$F:$F,$H:$H,'حركه المخزن الرئيسي اليوميه'!$H:$H)</f>
        <v>0.0</v>
      </c>
      <c r="M75" s="22">
        <f>+SUMIF('حركه المخزن الرئيسي اليوميه'!$F:$F,$H:$H,'حركه المخزن الرئيسي اليوميه'!$I:$I)</f>
        <v>2.0</v>
      </c>
      <c r="N75" s="22">
        <f t="shared" si="18"/>
        <v>2.0</v>
      </c>
      <c r="O75" s="22">
        <f t="shared" si="17"/>
        <v>2.0</v>
      </c>
      <c r="P75" s="22">
        <f t="shared" si="16"/>
        <v>0.0</v>
      </c>
      <c r="Q75" s="57"/>
      <c r="R75" s="58"/>
    </row>
    <row r="76" spans="8:8">
      <c r="B76" s="54">
        <v>77.0</v>
      </c>
      <c r="C76" s="8" t="s">
        <v>814</v>
      </c>
      <c r="D76" s="8" t="s">
        <v>820</v>
      </c>
      <c r="E76" s="8" t="s">
        <v>2690</v>
      </c>
      <c r="F76" s="8" t="s">
        <v>68</v>
      </c>
      <c r="G76" s="8"/>
      <c r="H76" s="8" t="s">
        <v>2690</v>
      </c>
      <c r="I76" s="55" t="s">
        <v>3609</v>
      </c>
      <c r="J76" s="60" t="s">
        <v>7878</v>
      </c>
      <c r="K76" s="22">
        <v>2.0</v>
      </c>
      <c r="L76" s="22">
        <f>+SUMIF('حركه المخزن الرئيسي اليوميه'!$F:$F,$H:$H,'حركه المخزن الرئيسي اليوميه'!$H:$H)</f>
        <v>0.0</v>
      </c>
      <c r="M76" s="22">
        <f>+SUMIF('حركه المخزن الرئيسي اليوميه'!$F:$F,$H:$H,'حركه المخزن الرئيسي اليوميه'!$I:$I)</f>
        <v>0.0</v>
      </c>
      <c r="N76" s="22">
        <f t="shared" si="18"/>
        <v>2.0</v>
      </c>
      <c r="O76" s="22">
        <f t="shared" si="17"/>
        <v>2.0</v>
      </c>
      <c r="P76" s="22">
        <f t="shared" si="16"/>
        <v>0.0</v>
      </c>
      <c r="Q76" s="57"/>
      <c r="R76" s="58"/>
    </row>
    <row r="77" spans="8:8">
      <c r="B77" s="54">
        <v>78.0</v>
      </c>
      <c r="C77" s="8" t="s">
        <v>814</v>
      </c>
      <c r="D77" s="8" t="s">
        <v>820</v>
      </c>
      <c r="E77" s="8" t="s">
        <v>2664</v>
      </c>
      <c r="F77" s="8" t="s">
        <v>1501</v>
      </c>
      <c r="G77" s="8"/>
      <c r="H77" s="8" t="s">
        <v>2664</v>
      </c>
      <c r="I77" s="55" t="s">
        <v>814</v>
      </c>
      <c r="J77" s="60" t="s">
        <v>7879</v>
      </c>
      <c r="K77" s="22">
        <v>0.0</v>
      </c>
      <c r="L77" s="22">
        <f>+SUMIF('حركه المخزن الرئيسي اليوميه'!$F:$F,$H:$H,'حركه المخزن الرئيسي اليوميه'!$H:$H)</f>
        <v>0.0</v>
      </c>
      <c r="M77" s="22">
        <f>+SUMIF('حركه المخزن الرئيسي اليوميه'!$F:$F,$H:$H,'حركه المخزن الرئيسي اليوميه'!$I:$I)</f>
        <v>0.0</v>
      </c>
      <c r="N77" s="22">
        <f t="shared" si="18"/>
        <v>0.0</v>
      </c>
      <c r="O77" s="22">
        <f t="shared" si="17"/>
        <v>0.0</v>
      </c>
      <c r="P77" s="22">
        <f t="shared" si="16"/>
        <v>0.0</v>
      </c>
      <c r="Q77" s="57"/>
      <c r="R77" s="58"/>
    </row>
    <row r="78" spans="8:8">
      <c r="B78" s="54">
        <v>79.0</v>
      </c>
      <c r="C78" s="8" t="s">
        <v>814</v>
      </c>
      <c r="D78" s="8" t="s">
        <v>820</v>
      </c>
      <c r="E78" s="8" t="s">
        <v>2599</v>
      </c>
      <c r="F78" s="8" t="s">
        <v>68</v>
      </c>
      <c r="G78" s="8" t="s">
        <v>1820</v>
      </c>
      <c r="H78" s="8" t="s">
        <v>2599</v>
      </c>
      <c r="I78" s="55" t="s">
        <v>3609</v>
      </c>
      <c r="J78" s="60" t="s">
        <v>7880</v>
      </c>
      <c r="K78" s="22">
        <v>3.0</v>
      </c>
      <c r="L78" s="22">
        <f>+SUMIF('حركه المخزن الرئيسي اليوميه'!$F:$F,$H:$H,'حركه المخزن الرئيسي اليوميه'!$H:$H)</f>
        <v>0.0</v>
      </c>
      <c r="M78" s="22">
        <f>+SUMIF('حركه المخزن الرئيسي اليوميه'!$F:$F,$H:$H,'حركه المخزن الرئيسي اليوميه'!$I:$I)</f>
        <v>0.0</v>
      </c>
      <c r="N78" s="22">
        <f t="shared" si="18"/>
        <v>3.0</v>
      </c>
      <c r="O78" s="22">
        <f t="shared" si="17"/>
        <v>3.0</v>
      </c>
      <c r="P78" s="22">
        <f t="shared" si="16"/>
        <v>0.0</v>
      </c>
      <c r="Q78" s="57"/>
      <c r="R78" s="58"/>
    </row>
    <row r="79" spans="8:8">
      <c r="B79" s="54">
        <v>80.0</v>
      </c>
      <c r="C79" s="8" t="s">
        <v>1013</v>
      </c>
      <c r="D79" s="8" t="s">
        <v>820</v>
      </c>
      <c r="E79" s="8" t="s">
        <v>1430</v>
      </c>
      <c r="F79" s="8" t="s">
        <v>68</v>
      </c>
      <c r="G79" s="8" t="s">
        <v>1756</v>
      </c>
      <c r="H79" s="8" t="s">
        <v>3734</v>
      </c>
      <c r="I79" s="55" t="s">
        <v>3609</v>
      </c>
      <c r="J79" s="60" t="s">
        <v>7881</v>
      </c>
      <c r="K79" s="22">
        <v>3.0</v>
      </c>
      <c r="L79" s="22">
        <f>+SUMIF('حركه المخزن الرئيسي اليوميه'!$F:$F,$H:$H,'حركه المخزن الرئيسي اليوميه'!$H:$H)</f>
        <v>0.0</v>
      </c>
      <c r="M79" s="22">
        <f>+SUMIF('حركه المخزن الرئيسي اليوميه'!$F:$F,$H:$H,'حركه المخزن الرئيسي اليوميه'!$I:$I)</f>
        <v>0.0</v>
      </c>
      <c r="N79" s="22">
        <f t="shared" si="18"/>
        <v>3.0</v>
      </c>
      <c r="O79" s="22">
        <f t="shared" si="17"/>
        <v>3.0</v>
      </c>
      <c r="P79" s="22">
        <f t="shared" si="16"/>
        <v>0.0</v>
      </c>
      <c r="Q79" s="57"/>
      <c r="R79" s="58"/>
    </row>
    <row r="80" spans="8:8">
      <c r="B80" s="54">
        <v>81.0</v>
      </c>
      <c r="C80" s="8" t="s">
        <v>767</v>
      </c>
      <c r="D80" s="8" t="s">
        <v>1018</v>
      </c>
      <c r="E80" s="8" t="s">
        <v>2789</v>
      </c>
      <c r="F80" s="8" t="s">
        <v>1501</v>
      </c>
      <c r="G80" s="8"/>
      <c r="H80" s="8" t="s">
        <v>2789</v>
      </c>
      <c r="I80" s="55" t="s">
        <v>1132</v>
      </c>
      <c r="J80" s="60" t="s">
        <v>7882</v>
      </c>
      <c r="K80" s="22">
        <v>2.0</v>
      </c>
      <c r="L80" s="22">
        <f>+SUMIF('حركه المخزن الرئيسي اليوميه'!$F:$F,$H:$H,'حركه المخزن الرئيسي اليوميه'!$H:$H)</f>
        <v>0.0</v>
      </c>
      <c r="M80" s="22">
        <f>+SUMIF('حركه المخزن الرئيسي اليوميه'!$F:$F,$H:$H,'حركه المخزن الرئيسي اليوميه'!$I:$I)</f>
        <v>0.0</v>
      </c>
      <c r="N80" s="22">
        <f t="shared" si="18"/>
        <v>2.0</v>
      </c>
      <c r="O80" s="22">
        <f t="shared" si="17"/>
        <v>2.0</v>
      </c>
      <c r="P80" s="22">
        <f t="shared" si="16"/>
        <v>0.0</v>
      </c>
      <c r="Q80" s="55"/>
      <c r="R80" s="58"/>
    </row>
    <row r="81" spans="8:8">
      <c r="B81" s="54">
        <v>82.0</v>
      </c>
      <c r="C81" s="8" t="s">
        <v>767</v>
      </c>
      <c r="D81" s="8" t="s">
        <v>1460</v>
      </c>
      <c r="E81" s="8" t="s">
        <v>3002</v>
      </c>
      <c r="F81" s="8" t="s">
        <v>125</v>
      </c>
      <c r="G81" s="8"/>
      <c r="H81" s="8" t="s">
        <v>3002</v>
      </c>
      <c r="I81" s="55" t="s">
        <v>1132</v>
      </c>
      <c r="J81" s="60" t="s">
        <v>7883</v>
      </c>
      <c r="K81" s="22">
        <v>0.0</v>
      </c>
      <c r="L81" s="22">
        <f>+SUMIF('حركه المخزن الرئيسي اليوميه'!$F:$F,$H:$H,'حركه المخزن الرئيسي اليوميه'!$H:$H)</f>
        <v>0.0</v>
      </c>
      <c r="M81" s="22">
        <f>+SUMIF('حركه المخزن الرئيسي اليوميه'!$F:$F,$H:$H,'حركه المخزن الرئيسي اليوميه'!$I:$I)</f>
        <v>0.0</v>
      </c>
      <c r="N81" s="22">
        <f t="shared" si="18"/>
        <v>0.0</v>
      </c>
      <c r="O81" s="22">
        <f t="shared" si="17"/>
        <v>0.0</v>
      </c>
      <c r="P81" s="22">
        <f t="shared" si="16"/>
        <v>0.0</v>
      </c>
      <c r="Q81" s="57"/>
      <c r="R81" s="58"/>
    </row>
    <row r="82" spans="8:8">
      <c r="B82" s="54">
        <v>83.0</v>
      </c>
      <c r="C82" s="8" t="s">
        <v>767</v>
      </c>
      <c r="D82" s="8" t="s">
        <v>1018</v>
      </c>
      <c r="E82" s="8" t="s">
        <v>3379</v>
      </c>
      <c r="F82" s="8" t="s">
        <v>68</v>
      </c>
      <c r="G82" s="8"/>
      <c r="H82" s="8" t="s">
        <v>3379</v>
      </c>
      <c r="I82" s="8" t="s">
        <v>1132</v>
      </c>
      <c r="J82" s="60" t="s">
        <v>7884</v>
      </c>
      <c r="K82" s="22">
        <v>1.0</v>
      </c>
      <c r="L82" s="22">
        <f>+SUMIF('حركه المخزن الرئيسي اليوميه'!$F:$F,$H:$H,'حركه المخزن الرئيسي اليوميه'!$H:$H)</f>
        <v>0.0</v>
      </c>
      <c r="M82" s="22">
        <f>+SUMIF('حركه المخزن الرئيسي اليوميه'!$F:$F,$H:$H,'حركه المخزن الرئيسي اليوميه'!$I:$I)</f>
        <v>0.0</v>
      </c>
      <c r="N82" s="22">
        <f t="shared" si="18"/>
        <v>1.0</v>
      </c>
      <c r="O82" s="22">
        <f t="shared" si="17"/>
        <v>1.0</v>
      </c>
      <c r="P82" s="22">
        <f t="shared" si="16"/>
        <v>0.0</v>
      </c>
      <c r="Q82" s="55"/>
      <c r="R82" s="58"/>
    </row>
    <row r="83" spans="8:8">
      <c r="B83" s="54">
        <v>84.0</v>
      </c>
      <c r="C83" s="8" t="s">
        <v>814</v>
      </c>
      <c r="D83" s="8" t="s">
        <v>820</v>
      </c>
      <c r="E83" s="8" t="s">
        <v>1283</v>
      </c>
      <c r="F83" s="8" t="s">
        <v>1282</v>
      </c>
      <c r="G83" s="8" t="s">
        <v>1281</v>
      </c>
      <c r="H83" s="8" t="s">
        <v>1281</v>
      </c>
      <c r="I83" s="55"/>
      <c r="J83" s="60" t="s">
        <v>7885</v>
      </c>
      <c r="K83" s="22">
        <v>0.0</v>
      </c>
      <c r="L83" s="22">
        <f>+SUMIF('حركه المخزن الرئيسي اليوميه'!$F:$F,$H:$H,'حركه المخزن الرئيسي اليوميه'!$H:$H)</f>
        <v>0.0</v>
      </c>
      <c r="M83" s="22">
        <f>+SUMIF('حركه المخزن الرئيسي اليوميه'!$F:$F,$H:$H,'حركه المخزن الرئيسي اليوميه'!$I:$I)</f>
        <v>0.0</v>
      </c>
      <c r="N83" s="22">
        <f t="shared" si="18"/>
        <v>0.0</v>
      </c>
      <c r="O83" s="22">
        <f t="shared" si="17"/>
        <v>0.0</v>
      </c>
      <c r="P83" s="22">
        <f t="shared" si="19" ref="P83:P85">+N83-O83</f>
        <v>0.0</v>
      </c>
      <c r="Q83" s="57"/>
      <c r="R83" s="58"/>
    </row>
    <row r="84" spans="8:8">
      <c r="B84" s="54">
        <v>85.0</v>
      </c>
      <c r="C84" s="8" t="s">
        <v>814</v>
      </c>
      <c r="D84" s="8" t="s">
        <v>820</v>
      </c>
      <c r="E84" s="8" t="s">
        <v>1285</v>
      </c>
      <c r="F84" s="8" t="s">
        <v>68</v>
      </c>
      <c r="G84" s="8" t="s">
        <v>1284</v>
      </c>
      <c r="H84" s="8" t="s">
        <v>1284</v>
      </c>
      <c r="I84" s="55" t="s">
        <v>3609</v>
      </c>
      <c r="J84" s="60" t="s">
        <v>7886</v>
      </c>
      <c r="K84" s="22">
        <v>1.0</v>
      </c>
      <c r="L84" s="22">
        <f>+SUMIF('حركه المخزن الرئيسي اليوميه'!$F:$F,$H:$H,'حركه المخزن الرئيسي اليوميه'!$H:$H)</f>
        <v>0.0</v>
      </c>
      <c r="M84" s="22">
        <f>+SUMIF('حركه المخزن الرئيسي اليوميه'!$F:$F,$H:$H,'حركه المخزن الرئيسي اليوميه'!$I:$I)</f>
        <v>0.0</v>
      </c>
      <c r="N84" s="22">
        <f t="shared" si="20" ref="N84:N87">+K84+L84-M84</f>
        <v>1.0</v>
      </c>
      <c r="O84" s="22">
        <f t="shared" si="21" ref="O84:O85">+N84</f>
        <v>1.0</v>
      </c>
      <c r="P84" s="22">
        <f t="shared" si="19"/>
        <v>0.0</v>
      </c>
      <c r="Q84" s="57"/>
      <c r="R84" s="58"/>
    </row>
    <row r="85" spans="8:8">
      <c r="B85" s="54">
        <v>86.0</v>
      </c>
      <c r="C85" s="8" t="s">
        <v>814</v>
      </c>
      <c r="D85" s="8" t="s">
        <v>820</v>
      </c>
      <c r="E85" s="8" t="s">
        <v>1287</v>
      </c>
      <c r="F85" s="8" t="s">
        <v>68</v>
      </c>
      <c r="G85" s="8" t="s">
        <v>2447</v>
      </c>
      <c r="H85" s="8" t="s">
        <v>1286</v>
      </c>
      <c r="I85" s="55"/>
      <c r="J85" s="60" t="s">
        <v>7887</v>
      </c>
      <c r="K85" s="22">
        <v>0.0</v>
      </c>
      <c r="L85" s="22">
        <f>+SUMIF('حركه المخزن الرئيسي اليوميه'!$F:$F,$H:$H,'حركه المخزن الرئيسي اليوميه'!$H:$H)</f>
        <v>0.0</v>
      </c>
      <c r="M85" s="22">
        <f>+SUMIF('حركه المخزن الرئيسي اليوميه'!$F:$F,$H:$H,'حركه المخزن الرئيسي اليوميه'!$I:$I)</f>
        <v>0.0</v>
      </c>
      <c r="N85" s="22">
        <f t="shared" si="20"/>
        <v>0.0</v>
      </c>
      <c r="O85" s="22">
        <f t="shared" si="21"/>
        <v>0.0</v>
      </c>
      <c r="P85" s="22">
        <f t="shared" si="19"/>
        <v>0.0</v>
      </c>
      <c r="Q85" s="57"/>
      <c r="R85" s="58"/>
    </row>
    <row r="86" spans="8:8">
      <c r="B86" s="54">
        <v>87.0</v>
      </c>
      <c r="C86" s="8" t="s">
        <v>2045</v>
      </c>
      <c r="D86" s="8"/>
      <c r="E86" s="8"/>
      <c r="F86" s="8"/>
      <c r="G86" s="8"/>
      <c r="H86" s="8"/>
      <c r="I86" s="55"/>
      <c r="J86" s="60" t="s">
        <v>7888</v>
      </c>
      <c r="K86" s="22">
        <v>0.0</v>
      </c>
      <c r="L86" s="22">
        <f>+SUMIF('حركه المخزن الرئيسي اليوميه'!$F:$F,$H:$H,'حركه المخزن الرئيسي اليوميه'!$H:$H)</f>
        <v>0.0</v>
      </c>
      <c r="M86" s="22">
        <f>+SUMIF('حركه المخزن الرئيسي اليوميه'!$F:$F,$H:$H,'حركه المخزن الرئيسي اليوميه'!$I:$I)</f>
        <v>0.0</v>
      </c>
      <c r="N86" s="22">
        <f t="shared" si="20"/>
        <v>0.0</v>
      </c>
      <c r="O86" s="22">
        <f t="shared" si="22" ref="O86:O88">+N86</f>
        <v>0.0</v>
      </c>
      <c r="P86" s="22">
        <f t="shared" si="23" ref="P86:P88">+N86-O86</f>
        <v>0.0</v>
      </c>
      <c r="Q86" s="55"/>
      <c r="R86" s="58"/>
    </row>
    <row r="87" spans="8:8">
      <c r="B87" s="54">
        <v>88.0</v>
      </c>
      <c r="C87" s="8" t="s">
        <v>767</v>
      </c>
      <c r="D87" s="8" t="s">
        <v>3666</v>
      </c>
      <c r="E87" s="8" t="s">
        <v>511</v>
      </c>
      <c r="F87" s="8" t="s">
        <v>68</v>
      </c>
      <c r="G87" s="8" t="s">
        <v>2146</v>
      </c>
      <c r="H87" s="8" t="s">
        <v>511</v>
      </c>
      <c r="I87" s="55"/>
      <c r="J87" s="60" t="s">
        <v>7889</v>
      </c>
      <c r="K87" s="22">
        <v>0.0</v>
      </c>
      <c r="L87" s="22">
        <f>+SUMIF('حركه المخزن الرئيسي اليوميه'!$F:$F,$H:$H,'حركه المخزن الرئيسي اليوميه'!$H:$H)</f>
        <v>0.0</v>
      </c>
      <c r="M87" s="22">
        <f>+SUMIF('حركه المخزن الرئيسي اليوميه'!$F:$F,$H:$H,'حركه المخزن الرئيسي اليوميه'!$I:$I)</f>
        <v>0.0</v>
      </c>
      <c r="N87" s="22">
        <f t="shared" si="20"/>
        <v>0.0</v>
      </c>
      <c r="O87" s="22">
        <f t="shared" si="22"/>
        <v>0.0</v>
      </c>
      <c r="P87" s="22">
        <f t="shared" si="23"/>
        <v>0.0</v>
      </c>
      <c r="Q87" s="57"/>
      <c r="R87" s="58"/>
    </row>
    <row r="88" spans="8:8">
      <c r="B88" s="54">
        <v>89.0</v>
      </c>
      <c r="C88" s="8" t="s">
        <v>2045</v>
      </c>
      <c r="D88" s="8" t="s">
        <v>3664</v>
      </c>
      <c r="E88" s="8" t="s">
        <v>3545</v>
      </c>
      <c r="F88" s="8" t="s">
        <v>1443</v>
      </c>
      <c r="G88" s="8" t="s">
        <v>2455</v>
      </c>
      <c r="H88" s="8" t="s">
        <v>3545</v>
      </c>
      <c r="I88" s="55" t="s">
        <v>2898</v>
      </c>
      <c r="J88" s="60" t="s">
        <v>7890</v>
      </c>
      <c r="K88" s="22">
        <v>6.0</v>
      </c>
      <c r="L88" s="22">
        <f>+SUMIF('حركه المخزن الرئيسي اليوميه'!$F:$F,$H:$H,'حركه المخزن الرئيسي اليوميه'!$H:$H)</f>
        <v>0.0</v>
      </c>
      <c r="M88" s="22">
        <f>+SUMIF('حركه المخزن الرئيسي اليوميه'!$F:$F,$H:$H,'حركه المخزن الرئيسي اليوميه'!$I:$I)</f>
        <v>0.0</v>
      </c>
      <c r="N88" s="22">
        <f t="shared" si="24" ref="N88:N90">+K88+L88-M88</f>
        <v>6.0</v>
      </c>
      <c r="O88" s="22">
        <f t="shared" si="22"/>
        <v>6.0</v>
      </c>
      <c r="P88" s="22">
        <f t="shared" si="23"/>
        <v>0.0</v>
      </c>
      <c r="Q88" s="55"/>
      <c r="R88" s="58"/>
    </row>
    <row r="89" spans="8:8">
      <c r="B89" s="54">
        <v>90.0</v>
      </c>
      <c r="C89" s="8" t="s">
        <v>814</v>
      </c>
      <c r="D89" s="8" t="s">
        <v>820</v>
      </c>
      <c r="E89" s="8" t="s">
        <v>2598</v>
      </c>
      <c r="F89" s="8" t="s">
        <v>68</v>
      </c>
      <c r="G89" s="8" t="s">
        <v>2079</v>
      </c>
      <c r="H89" s="8" t="s">
        <v>2598</v>
      </c>
      <c r="I89" s="55"/>
      <c r="J89" s="60" t="s">
        <v>7891</v>
      </c>
      <c r="K89" s="22">
        <v>0.0</v>
      </c>
      <c r="L89" s="22">
        <f>+SUMIF('حركه المخزن الرئيسي اليوميه'!$F:$F,$H:$H,'حركه المخزن الرئيسي اليوميه'!$H:$H)</f>
        <v>0.0</v>
      </c>
      <c r="M89" s="22">
        <f>+SUMIF('حركه المخزن الرئيسي اليوميه'!$F:$F,$H:$H,'حركه المخزن الرئيسي اليوميه'!$I:$I)</f>
        <v>0.0</v>
      </c>
      <c r="N89" s="22">
        <f t="shared" si="24"/>
        <v>0.0</v>
      </c>
      <c r="O89" s="22">
        <f t="shared" si="25" ref="O89:O91">+N89</f>
        <v>0.0</v>
      </c>
      <c r="P89" s="22">
        <f t="shared" si="26" ref="P89:P91">+N89-O89</f>
        <v>0.0</v>
      </c>
      <c r="Q89" s="57"/>
      <c r="R89" s="58"/>
    </row>
    <row r="90" spans="8:8">
      <c r="B90" s="54"/>
      <c r="C90" s="8" t="s">
        <v>814</v>
      </c>
      <c r="D90" s="8" t="s">
        <v>820</v>
      </c>
      <c r="E90" s="8" t="s">
        <v>3467</v>
      </c>
      <c r="F90" s="8" t="s">
        <v>68</v>
      </c>
      <c r="G90" s="8"/>
      <c r="H90" s="8" t="s">
        <v>3467</v>
      </c>
      <c r="I90" s="8" t="s">
        <v>814</v>
      </c>
      <c r="J90" s="60" t="s">
        <v>7892</v>
      </c>
      <c r="K90" s="22">
        <v>0.0</v>
      </c>
      <c r="L90" s="22">
        <f>+SUMIF('حركه المخزن الرئيسي اليوميه'!$F:$F,$H:$H,'حركه المخزن الرئيسي اليوميه'!$H:$H)</f>
        <v>0.0</v>
      </c>
      <c r="M90" s="22">
        <f>+SUMIF('حركه المخزن الرئيسي اليوميه'!$F:$F,$H:$H,'حركه المخزن الرئيسي اليوميه'!$I:$I)</f>
        <v>0.0</v>
      </c>
      <c r="N90" s="22">
        <f t="shared" si="24"/>
        <v>0.0</v>
      </c>
      <c r="O90" s="22">
        <f t="shared" si="25"/>
        <v>0.0</v>
      </c>
      <c r="P90" s="22">
        <f t="shared" si="26"/>
        <v>0.0</v>
      </c>
      <c r="Q90" s="57"/>
      <c r="R90" s="58"/>
    </row>
    <row r="91" spans="8:8">
      <c r="B91" s="54">
        <v>91.0</v>
      </c>
      <c r="C91" s="8" t="s">
        <v>814</v>
      </c>
      <c r="D91" s="8" t="s">
        <v>3486</v>
      </c>
      <c r="E91" s="8" t="s">
        <v>3646</v>
      </c>
      <c r="F91" s="8" t="s">
        <v>1044</v>
      </c>
      <c r="G91" s="8"/>
      <c r="H91" s="8" t="s">
        <v>3646</v>
      </c>
      <c r="I91" s="55" t="s">
        <v>3608</v>
      </c>
      <c r="J91" s="60" t="s">
        <v>7893</v>
      </c>
      <c r="K91" s="22">
        <v>3.0</v>
      </c>
      <c r="L91" s="22">
        <f>+SUMIF('حركه المخزن الرئيسي اليوميه'!$F:$F,$H:$H,'حركه المخزن الرئيسي اليوميه'!$H:$H)</f>
        <v>0.0</v>
      </c>
      <c r="M91" s="22">
        <f>+SUMIF('حركه المخزن الرئيسي اليوميه'!$F:$F,$H:$H,'حركه المخزن الرئيسي اليوميه'!$I:$I)</f>
        <v>2.0</v>
      </c>
      <c r="N91" s="22">
        <f t="shared" si="27" ref="N91:N93">+K91+L91-M91</f>
        <v>1.0</v>
      </c>
      <c r="O91" s="22">
        <f t="shared" si="25"/>
        <v>1.0</v>
      </c>
      <c r="P91" s="22">
        <f t="shared" si="26"/>
        <v>0.0</v>
      </c>
      <c r="Q91" s="57"/>
      <c r="R91" s="58"/>
    </row>
    <row r="92" spans="8:8">
      <c r="B92" s="54">
        <v>92.0</v>
      </c>
      <c r="C92" s="8" t="s">
        <v>767</v>
      </c>
      <c r="D92" s="8" t="s">
        <v>3666</v>
      </c>
      <c r="E92" s="8" t="s">
        <v>2739</v>
      </c>
      <c r="F92" s="8" t="s">
        <v>2959</v>
      </c>
      <c r="G92" s="8"/>
      <c r="H92" s="8" t="s">
        <v>2739</v>
      </c>
      <c r="I92" s="55"/>
      <c r="J92" s="60" t="s">
        <v>7894</v>
      </c>
      <c r="K92" s="22">
        <v>0.0</v>
      </c>
      <c r="L92" s="22">
        <f>+SUMIF('حركه المخزن الرئيسي اليوميه'!$F:$F,$H:$H,'حركه المخزن الرئيسي اليوميه'!$H:$H)</f>
        <v>0.0</v>
      </c>
      <c r="M92" s="22">
        <f>+SUMIF('حركه المخزن الرئيسي اليوميه'!$F:$F,$H:$H,'حركه المخزن الرئيسي اليوميه'!$I:$I)</f>
        <v>0.0</v>
      </c>
      <c r="N92" s="22">
        <f t="shared" si="27"/>
        <v>0.0</v>
      </c>
      <c r="O92" s="22">
        <f t="shared" si="28" ref="O92:O156">+N92</f>
        <v>0.0</v>
      </c>
      <c r="P92" s="22">
        <f t="shared" si="29" ref="P92:P178">+N92-O92</f>
        <v>0.0</v>
      </c>
      <c r="Q92" s="57"/>
      <c r="R92" s="58"/>
    </row>
    <row r="93" spans="8:8">
      <c r="B93" s="54">
        <v>93.0</v>
      </c>
      <c r="C93" s="8" t="s">
        <v>814</v>
      </c>
      <c r="D93" s="8" t="s">
        <v>766</v>
      </c>
      <c r="E93" s="8" t="s">
        <v>2779</v>
      </c>
      <c r="F93" s="8" t="s">
        <v>389</v>
      </c>
      <c r="G93" s="8"/>
      <c r="H93" s="8" t="s">
        <v>2779</v>
      </c>
      <c r="I93" s="55"/>
      <c r="J93" s="60" t="s">
        <v>7895</v>
      </c>
      <c r="K93" s="22">
        <v>0.0</v>
      </c>
      <c r="L93" s="22">
        <f>+SUMIF('حركه المخزن الرئيسي اليوميه'!$F:$F,$H:$H,'حركه المخزن الرئيسي اليوميه'!$H:$H)</f>
        <v>0.0</v>
      </c>
      <c r="M93" s="22">
        <f>+SUMIF('حركه المخزن الرئيسي اليوميه'!$F:$F,$H:$H,'حركه المخزن الرئيسي اليوميه'!$I:$I)</f>
        <v>0.0</v>
      </c>
      <c r="N93" s="22">
        <f t="shared" si="27"/>
        <v>0.0</v>
      </c>
      <c r="O93" s="22">
        <f t="shared" si="28"/>
        <v>0.0</v>
      </c>
      <c r="P93" s="22">
        <f t="shared" si="29"/>
        <v>0.0</v>
      </c>
      <c r="Q93" s="57"/>
      <c r="R93" s="58"/>
    </row>
    <row r="94" spans="8:8">
      <c r="B94" s="54">
        <v>94.0</v>
      </c>
      <c r="C94" s="8" t="s">
        <v>814</v>
      </c>
      <c r="D94" s="8" t="s">
        <v>766</v>
      </c>
      <c r="E94" s="8" t="s">
        <v>3610</v>
      </c>
      <c r="F94" s="8" t="s">
        <v>1501</v>
      </c>
      <c r="G94" s="8"/>
      <c r="H94" s="8" t="s">
        <v>3610</v>
      </c>
      <c r="I94" s="55" t="s">
        <v>3609</v>
      </c>
      <c r="J94" s="60" t="s">
        <v>7896</v>
      </c>
      <c r="K94" s="22">
        <v>1.0</v>
      </c>
      <c r="L94" s="22">
        <f>+SUMIF('حركه المخزن الرئيسي اليوميه'!$F:$F,$H:$H,'حركه المخزن الرئيسي اليوميه'!$H:$H)</f>
        <v>0.0</v>
      </c>
      <c r="M94" s="22">
        <f>+SUMIF('حركه المخزن الرئيسي اليوميه'!$F:$F,$H:$H,'حركه المخزن الرئيسي اليوميه'!$I:$I)</f>
        <v>0.0</v>
      </c>
      <c r="N94" s="22">
        <f t="shared" si="30" ref="N94:N156">+K94+L94-M94</f>
        <v>1.0</v>
      </c>
      <c r="O94" s="22">
        <f t="shared" si="28"/>
        <v>1.0</v>
      </c>
      <c r="P94" s="22">
        <f t="shared" si="29"/>
        <v>0.0</v>
      </c>
      <c r="Q94" s="57"/>
      <c r="R94" s="58"/>
    </row>
    <row r="95" spans="8:8">
      <c r="B95" s="54">
        <v>95.0</v>
      </c>
      <c r="C95" s="8" t="s">
        <v>814</v>
      </c>
      <c r="D95" s="8" t="s">
        <v>766</v>
      </c>
      <c r="E95" s="8" t="s">
        <v>3611</v>
      </c>
      <c r="F95" s="8" t="s">
        <v>1501</v>
      </c>
      <c r="G95" s="8"/>
      <c r="H95" s="8" t="s">
        <v>3611</v>
      </c>
      <c r="I95" s="55" t="s">
        <v>3609</v>
      </c>
      <c r="J95" s="60" t="s">
        <v>7897</v>
      </c>
      <c r="K95" s="22">
        <v>1.0</v>
      </c>
      <c r="L95" s="22">
        <f>+SUMIF('حركه المخزن الرئيسي اليوميه'!$F:$F,$H:$H,'حركه المخزن الرئيسي اليوميه'!$H:$H)</f>
        <v>0.0</v>
      </c>
      <c r="M95" s="22">
        <f>+SUMIF('حركه المخزن الرئيسي اليوميه'!$F:$F,$H:$H,'حركه المخزن الرئيسي اليوميه'!$I:$I)</f>
        <v>0.0</v>
      </c>
      <c r="N95" s="22">
        <f t="shared" si="30"/>
        <v>1.0</v>
      </c>
      <c r="O95" s="22">
        <f t="shared" si="28"/>
        <v>1.0</v>
      </c>
      <c r="P95" s="22">
        <f t="shared" si="29"/>
        <v>0.0</v>
      </c>
      <c r="Q95" s="57"/>
      <c r="R95" s="58"/>
    </row>
    <row r="96" spans="8:8">
      <c r="B96" s="54">
        <v>96.0</v>
      </c>
      <c r="C96" s="8" t="s">
        <v>814</v>
      </c>
      <c r="D96" s="8" t="s">
        <v>766</v>
      </c>
      <c r="E96" s="8" t="s">
        <v>3612</v>
      </c>
      <c r="F96" s="8" t="s">
        <v>1501</v>
      </c>
      <c r="G96" s="8"/>
      <c r="H96" s="8" t="s">
        <v>3612</v>
      </c>
      <c r="I96" s="55" t="s">
        <v>3609</v>
      </c>
      <c r="J96" s="60" t="s">
        <v>7898</v>
      </c>
      <c r="K96" s="22">
        <v>18.0</v>
      </c>
      <c r="L96" s="22">
        <f>+SUMIF('حركه المخزن الرئيسي اليوميه'!$F:$F,$H:$H,'حركه المخزن الرئيسي اليوميه'!$H:$H)</f>
        <v>0.0</v>
      </c>
      <c r="M96" s="22">
        <f>+SUMIF('حركه المخزن الرئيسي اليوميه'!$F:$F,$H:$H,'حركه المخزن الرئيسي اليوميه'!$I:$I)</f>
        <v>0.0</v>
      </c>
      <c r="N96" s="22">
        <f t="shared" si="30"/>
        <v>18.0</v>
      </c>
      <c r="O96" s="22">
        <f t="shared" si="28"/>
        <v>18.0</v>
      </c>
      <c r="P96" s="22">
        <f t="shared" si="29"/>
        <v>0.0</v>
      </c>
      <c r="Q96" s="57"/>
      <c r="R96" s="58"/>
    </row>
    <row r="97" spans="8:8">
      <c r="B97" s="54">
        <v>97.0</v>
      </c>
      <c r="C97" s="8" t="s">
        <v>814</v>
      </c>
      <c r="D97" s="8" t="s">
        <v>766</v>
      </c>
      <c r="E97" s="8" t="s">
        <v>3550</v>
      </c>
      <c r="F97" s="8" t="s">
        <v>1501</v>
      </c>
      <c r="G97" s="8"/>
      <c r="H97" s="8" t="s">
        <v>3550</v>
      </c>
      <c r="I97" s="55" t="s">
        <v>3609</v>
      </c>
      <c r="J97" s="60" t="s">
        <v>7899</v>
      </c>
      <c r="K97" s="22">
        <v>0.0</v>
      </c>
      <c r="L97" s="22">
        <f>+SUMIF('حركه المخزن الرئيسي اليوميه'!$F:$F,$H:$H,'حركه المخزن الرئيسي اليوميه'!$H:$H)</f>
        <v>0.0</v>
      </c>
      <c r="M97" s="22">
        <f>+SUMIF('حركه المخزن الرئيسي اليوميه'!$F:$F,$H:$H,'حركه المخزن الرئيسي اليوميه'!$I:$I)</f>
        <v>0.0</v>
      </c>
      <c r="N97" s="22">
        <f t="shared" si="30"/>
        <v>0.0</v>
      </c>
      <c r="O97" s="22">
        <f t="shared" si="28"/>
        <v>0.0</v>
      </c>
      <c r="P97" s="22">
        <f t="shared" si="29"/>
        <v>0.0</v>
      </c>
      <c r="Q97" s="57"/>
      <c r="R97" s="58"/>
    </row>
    <row r="98" spans="8:8">
      <c r="B98" s="54">
        <v>154.0</v>
      </c>
      <c r="C98" s="8" t="s">
        <v>2528</v>
      </c>
      <c r="D98" s="8" t="s">
        <v>2532</v>
      </c>
      <c r="E98" s="8" t="s">
        <v>3551</v>
      </c>
      <c r="F98" s="8" t="s">
        <v>68</v>
      </c>
      <c r="G98" s="8" t="s">
        <v>2315</v>
      </c>
      <c r="H98" s="8" t="s">
        <v>3551</v>
      </c>
      <c r="I98" s="55" t="s">
        <v>3608</v>
      </c>
      <c r="J98" s="60" t="s">
        <v>7900</v>
      </c>
      <c r="K98" s="22">
        <v>9.0</v>
      </c>
      <c r="L98" s="22">
        <f>+SUMIF('حركه المخزن الرئيسي اليوميه'!$F:$F,$H:$H,'حركه المخزن الرئيسي اليوميه'!$H:$H)</f>
        <v>0.0</v>
      </c>
      <c r="M98" s="22">
        <f>+SUMIF('حركه المخزن الرئيسي اليوميه'!$F:$F,$H:$H,'حركه المخزن الرئيسي اليوميه'!$I:$I)</f>
        <v>0.0</v>
      </c>
      <c r="N98" s="22">
        <f t="shared" si="30"/>
        <v>9.0</v>
      </c>
      <c r="O98" s="22">
        <f t="shared" si="28"/>
        <v>9.0</v>
      </c>
      <c r="P98" s="22">
        <f t="shared" si="29"/>
        <v>0.0</v>
      </c>
      <c r="Q98" s="57"/>
      <c r="R98" s="58"/>
    </row>
    <row r="99" spans="8:8">
      <c r="B99" s="54">
        <v>99.0</v>
      </c>
      <c r="C99" s="8" t="s">
        <v>2528</v>
      </c>
      <c r="D99" s="8" t="s">
        <v>2532</v>
      </c>
      <c r="E99" s="8" t="s">
        <v>3552</v>
      </c>
      <c r="F99" s="8" t="s">
        <v>68</v>
      </c>
      <c r="G99" s="8"/>
      <c r="H99" s="8" t="s">
        <v>3552</v>
      </c>
      <c r="I99" s="55" t="s">
        <v>3609</v>
      </c>
      <c r="J99" s="60" t="s">
        <v>7901</v>
      </c>
      <c r="K99" s="22">
        <v>2.0</v>
      </c>
      <c r="L99" s="22">
        <f>+SUMIF('حركه المخزن الرئيسي اليوميه'!$F:$F,$H:$H,'حركه المخزن الرئيسي اليوميه'!$H:$H)</f>
        <v>0.0</v>
      </c>
      <c r="M99" s="22">
        <f>+SUMIF('حركه المخزن الرئيسي اليوميه'!$F:$F,$H:$H,'حركه المخزن الرئيسي اليوميه'!$I:$I)</f>
        <v>0.0</v>
      </c>
      <c r="N99" s="22">
        <f t="shared" si="30"/>
        <v>2.0</v>
      </c>
      <c r="O99" s="22">
        <f t="shared" si="28"/>
        <v>2.0</v>
      </c>
      <c r="P99" s="22">
        <f t="shared" si="29"/>
        <v>0.0</v>
      </c>
      <c r="Q99" s="57"/>
      <c r="R99" s="58"/>
    </row>
    <row r="100" spans="8:8">
      <c r="B100" s="54">
        <v>116.0</v>
      </c>
      <c r="C100" s="8"/>
      <c r="D100" s="8" t="s">
        <v>3486</v>
      </c>
      <c r="E100" s="8" t="s">
        <v>2825</v>
      </c>
      <c r="F100" s="8" t="s">
        <v>68</v>
      </c>
      <c r="G100" s="8"/>
      <c r="H100" s="8" t="s">
        <v>2825</v>
      </c>
      <c r="I100" s="8"/>
      <c r="J100" s="60" t="s">
        <v>7902</v>
      </c>
      <c r="K100" s="22">
        <v>0.0</v>
      </c>
      <c r="L100" s="22">
        <f>+SUMIF('حركه المخزن الرئيسي اليوميه'!$F:$F,$H:$H,'حركه المخزن الرئيسي اليوميه'!$H:$H)</f>
        <v>0.0</v>
      </c>
      <c r="M100" s="22">
        <f>+SUMIF('حركه المخزن الرئيسي اليوميه'!$F:$F,$H:$H,'حركه المخزن الرئيسي اليوميه'!$I:$I)</f>
        <v>0.0</v>
      </c>
      <c r="N100" s="22">
        <f t="shared" si="30"/>
        <v>0.0</v>
      </c>
      <c r="O100" s="22">
        <f t="shared" si="28"/>
        <v>0.0</v>
      </c>
      <c r="P100" s="22">
        <f t="shared" si="29"/>
        <v>0.0</v>
      </c>
      <c r="Q100" s="57"/>
      <c r="R100" s="58"/>
    </row>
    <row r="101" spans="8:8">
      <c r="B101" s="54">
        <v>117.0</v>
      </c>
      <c r="C101" s="8"/>
      <c r="D101" s="8" t="s">
        <v>811</v>
      </c>
      <c r="E101" s="8" t="s">
        <v>2828</v>
      </c>
      <c r="F101" s="8" t="s">
        <v>389</v>
      </c>
      <c r="G101" s="8"/>
      <c r="H101" s="8" t="s">
        <v>2828</v>
      </c>
      <c r="I101" s="8"/>
      <c r="J101" s="60" t="s">
        <v>7903</v>
      </c>
      <c r="K101" s="22">
        <v>0.0</v>
      </c>
      <c r="L101" s="22">
        <f>+SUMIF('حركه المخزن الرئيسي اليوميه'!$F:$F,$H:$H,'حركه المخزن الرئيسي اليوميه'!$H:$H)</f>
        <v>0.0</v>
      </c>
      <c r="M101" s="22">
        <f>+SUMIF('حركه المخزن الرئيسي اليوميه'!$F:$F,$H:$H,'حركه المخزن الرئيسي اليوميه'!$I:$I)</f>
        <v>0.0</v>
      </c>
      <c r="N101" s="22">
        <f t="shared" si="30"/>
        <v>0.0</v>
      </c>
      <c r="O101" s="22">
        <f t="shared" si="28"/>
        <v>0.0</v>
      </c>
      <c r="P101" s="22">
        <f t="shared" si="29"/>
        <v>0.0</v>
      </c>
      <c r="Q101" s="57"/>
      <c r="R101" s="58"/>
    </row>
    <row r="102" spans="8:8">
      <c r="B102" s="54">
        <v>119.0</v>
      </c>
      <c r="C102" s="8"/>
      <c r="D102" s="8" t="s">
        <v>828</v>
      </c>
      <c r="E102" s="8" t="s">
        <v>2848</v>
      </c>
      <c r="F102" s="8" t="s">
        <v>2833</v>
      </c>
      <c r="G102" s="8"/>
      <c r="H102" s="8" t="s">
        <v>2848</v>
      </c>
      <c r="I102" s="55"/>
      <c r="J102" s="60" t="s">
        <v>7904</v>
      </c>
      <c r="K102" s="22">
        <v>0.0</v>
      </c>
      <c r="L102" s="22">
        <f>+SUMIF('حركه المخزن الرئيسي اليوميه'!$F:$F,$H:$H,'حركه المخزن الرئيسي اليوميه'!$H:$H)</f>
        <v>0.0</v>
      </c>
      <c r="M102" s="22">
        <f>+SUMIF('حركه المخزن الرئيسي اليوميه'!$F:$F,$H:$H,'حركه المخزن الرئيسي اليوميه'!$I:$I)</f>
        <v>0.0</v>
      </c>
      <c r="N102" s="22">
        <f t="shared" si="30"/>
        <v>0.0</v>
      </c>
      <c r="O102" s="22">
        <f t="shared" si="28"/>
        <v>0.0</v>
      </c>
      <c r="P102" s="22">
        <f t="shared" si="29"/>
        <v>0.0</v>
      </c>
      <c r="Q102" s="57"/>
      <c r="R102" s="58"/>
    </row>
    <row r="103" spans="8:8">
      <c r="B103" s="54">
        <v>120.0</v>
      </c>
      <c r="C103" s="8" t="s">
        <v>814</v>
      </c>
      <c r="D103" s="8" t="s">
        <v>828</v>
      </c>
      <c r="E103" s="8" t="s">
        <v>2987</v>
      </c>
      <c r="F103" s="8" t="s">
        <v>2833</v>
      </c>
      <c r="G103" s="8"/>
      <c r="H103" s="8" t="s">
        <v>2987</v>
      </c>
      <c r="I103" s="55"/>
      <c r="J103" s="60" t="s">
        <v>7905</v>
      </c>
      <c r="K103" s="22">
        <v>0.0</v>
      </c>
      <c r="L103" s="22">
        <f>+SUMIF('حركه المخزن الرئيسي اليوميه'!$F:$F,$H:$H,'حركه المخزن الرئيسي اليوميه'!$H:$H)</f>
        <v>0.0</v>
      </c>
      <c r="M103" s="22">
        <f>+SUMIF('حركه المخزن الرئيسي اليوميه'!$F:$F,$H:$H,'حركه المخزن الرئيسي اليوميه'!$I:$I)</f>
        <v>0.0</v>
      </c>
      <c r="N103" s="22">
        <f t="shared" si="30"/>
        <v>0.0</v>
      </c>
      <c r="O103" s="22">
        <f t="shared" si="28"/>
        <v>0.0</v>
      </c>
      <c r="P103" s="22">
        <f t="shared" si="29"/>
        <v>0.0</v>
      </c>
      <c r="Q103" s="57"/>
      <c r="R103" s="58"/>
    </row>
    <row r="104" spans="8:8">
      <c r="B104" s="54">
        <v>121.0</v>
      </c>
      <c r="C104" s="8" t="s">
        <v>767</v>
      </c>
      <c r="D104" s="8" t="s">
        <v>828</v>
      </c>
      <c r="E104" s="8" t="s">
        <v>529</v>
      </c>
      <c r="F104" s="8" t="s">
        <v>68</v>
      </c>
      <c r="G104" s="8" t="s">
        <v>2364</v>
      </c>
      <c r="H104" s="8" t="s">
        <v>529</v>
      </c>
      <c r="I104" s="55" t="s">
        <v>1132</v>
      </c>
      <c r="J104" s="60" t="s">
        <v>7906</v>
      </c>
      <c r="K104" s="22">
        <v>1.0</v>
      </c>
      <c r="L104" s="22">
        <f>+SUMIF('حركه المخزن الرئيسي اليوميه'!$F:$F,$H:$H,'حركه المخزن الرئيسي اليوميه'!$H:$H)</f>
        <v>0.0</v>
      </c>
      <c r="M104" s="22">
        <f>+SUMIF('حركه المخزن الرئيسي اليوميه'!$F:$F,$H:$H,'حركه المخزن الرئيسي اليوميه'!$I:$I)</f>
        <v>0.0</v>
      </c>
      <c r="N104" s="22">
        <f t="shared" si="30"/>
        <v>1.0</v>
      </c>
      <c r="O104" s="22">
        <f t="shared" si="28"/>
        <v>1.0</v>
      </c>
      <c r="P104" s="22">
        <f t="shared" si="29"/>
        <v>0.0</v>
      </c>
      <c r="Q104" s="55"/>
      <c r="R104" s="58"/>
    </row>
    <row r="105" spans="8:8">
      <c r="B105" s="54">
        <v>122.0</v>
      </c>
      <c r="C105" s="8" t="s">
        <v>2898</v>
      </c>
      <c r="D105" s="8" t="s">
        <v>828</v>
      </c>
      <c r="E105" s="8" t="s">
        <v>1045</v>
      </c>
      <c r="F105" s="8" t="s">
        <v>1046</v>
      </c>
      <c r="G105" s="8" t="s">
        <v>2421</v>
      </c>
      <c r="H105" s="8" t="s">
        <v>1045</v>
      </c>
      <c r="I105" s="55"/>
      <c r="J105" s="60" t="s">
        <v>7907</v>
      </c>
      <c r="K105" s="22">
        <v>0.0</v>
      </c>
      <c r="L105" s="22">
        <f>+SUMIF('حركه المخزن الرئيسي اليوميه'!$F:$F,$H:$H,'حركه المخزن الرئيسي اليوميه'!$H:$H)</f>
        <v>0.0</v>
      </c>
      <c r="M105" s="22">
        <f>+SUMIF('حركه المخزن الرئيسي اليوميه'!$F:$F,$H:$H,'حركه المخزن الرئيسي اليوميه'!$I:$I)</f>
        <v>0.0</v>
      </c>
      <c r="N105" s="22">
        <f t="shared" si="30"/>
        <v>0.0</v>
      </c>
      <c r="O105" s="22">
        <f t="shared" si="28"/>
        <v>0.0</v>
      </c>
      <c r="P105" s="22">
        <f t="shared" si="29"/>
        <v>0.0</v>
      </c>
      <c r="Q105" s="57"/>
      <c r="R105" s="58"/>
    </row>
    <row r="106" spans="8:8">
      <c r="B106" s="54">
        <v>123.0</v>
      </c>
      <c r="C106" s="8" t="s">
        <v>2045</v>
      </c>
      <c r="D106" s="8" t="s">
        <v>820</v>
      </c>
      <c r="E106" s="8" t="s">
        <v>2730</v>
      </c>
      <c r="F106" s="8" t="s">
        <v>68</v>
      </c>
      <c r="G106" s="8"/>
      <c r="H106" s="8" t="s">
        <v>2730</v>
      </c>
      <c r="I106" s="55" t="s">
        <v>3609</v>
      </c>
      <c r="J106" s="60" t="s">
        <v>7908</v>
      </c>
      <c r="K106" s="22">
        <v>1.0</v>
      </c>
      <c r="L106" s="22">
        <f>+SUMIF('حركه المخزن الرئيسي اليوميه'!$F:$F,$H:$H,'حركه المخزن الرئيسي اليوميه'!$H:$H)</f>
        <v>0.0</v>
      </c>
      <c r="M106" s="22">
        <f>+SUMIF('حركه المخزن الرئيسي اليوميه'!$F:$F,$H:$H,'حركه المخزن الرئيسي اليوميه'!$I:$I)</f>
        <v>0.0</v>
      </c>
      <c r="N106" s="22">
        <f t="shared" si="30"/>
        <v>1.0</v>
      </c>
      <c r="O106" s="22">
        <f t="shared" si="28"/>
        <v>1.0</v>
      </c>
      <c r="P106" s="22">
        <f t="shared" si="29"/>
        <v>0.0</v>
      </c>
      <c r="Q106" s="57"/>
      <c r="R106" s="58"/>
    </row>
    <row r="107" spans="8:8">
      <c r="B107" s="54">
        <v>124.0</v>
      </c>
      <c r="C107" s="8" t="s">
        <v>2539</v>
      </c>
      <c r="D107" s="8" t="s">
        <v>3486</v>
      </c>
      <c r="E107" s="8" t="s">
        <v>1203</v>
      </c>
      <c r="F107" s="8" t="s">
        <v>68</v>
      </c>
      <c r="G107" s="61" t="s">
        <v>2225</v>
      </c>
      <c r="H107" s="8" t="s">
        <v>1203</v>
      </c>
      <c r="I107" s="55" t="s">
        <v>3613</v>
      </c>
      <c r="J107" s="60" t="s">
        <v>7909</v>
      </c>
      <c r="K107" s="22">
        <v>0.0</v>
      </c>
      <c r="L107" s="22">
        <f>+SUMIF('حركه المخزن الرئيسي اليوميه'!$F:$F,$H$107:$H$153,'حركه المخزن الرئيسي اليوميه'!$H:$H)</f>
        <v>0.0</v>
      </c>
      <c r="M107" s="22">
        <f>+SUMIF('حركه المخزن الرئيسي اليوميه'!$F:$F,$H$107:$H$153,'حركه المخزن الرئيسي اليوميه'!$I:$I)</f>
        <v>0.0</v>
      </c>
      <c r="N107" s="22">
        <f t="shared" si="30"/>
        <v>0.0</v>
      </c>
      <c r="O107" s="22">
        <f t="shared" si="31" ref="O107:O135">+N107</f>
        <v>0.0</v>
      </c>
      <c r="P107" s="22">
        <f t="shared" si="32" ref="P107:P130">+N107-O107</f>
        <v>0.0</v>
      </c>
      <c r="Q107" s="57"/>
      <c r="R107" s="58"/>
    </row>
    <row r="108" spans="8:8">
      <c r="B108" s="54">
        <v>125.0</v>
      </c>
      <c r="C108" s="8" t="s">
        <v>814</v>
      </c>
      <c r="D108" s="8" t="s">
        <v>1013</v>
      </c>
      <c r="E108" s="8" t="s">
        <v>2661</v>
      </c>
      <c r="F108" s="8" t="s">
        <v>1501</v>
      </c>
      <c r="G108" s="8" t="s">
        <v>2287</v>
      </c>
      <c r="H108" s="8" t="s">
        <v>2661</v>
      </c>
      <c r="I108" s="55" t="s">
        <v>3608</v>
      </c>
      <c r="J108" s="60" t="s">
        <v>7910</v>
      </c>
      <c r="K108" s="22">
        <v>42.0</v>
      </c>
      <c r="L108" s="22">
        <f>+SUMIF('حركه المخزن الرئيسي اليوميه'!$F:$F,$H$107:$H$153,'حركه المخزن الرئيسي اليوميه'!$H:$H)</f>
        <v>0.0</v>
      </c>
      <c r="M108" s="22">
        <f>+SUMIF('حركه المخزن الرئيسي اليوميه'!$F:$F,$H$107:$H$153,'حركه المخزن الرئيسي اليوميه'!$I:$I)</f>
        <v>8.0</v>
      </c>
      <c r="N108" s="22">
        <f t="shared" si="33" ref="N108:N135">+K108+L108-M108</f>
        <v>34.0</v>
      </c>
      <c r="O108" s="22">
        <f t="shared" si="31"/>
        <v>34.0</v>
      </c>
      <c r="P108" s="22">
        <f t="shared" si="32"/>
        <v>0.0</v>
      </c>
      <c r="Q108" s="57"/>
      <c r="R108" s="58"/>
    </row>
    <row r="109" spans="8:8">
      <c r="B109" s="54">
        <v>126.0</v>
      </c>
      <c r="C109" s="8" t="s">
        <v>1168</v>
      </c>
      <c r="D109" s="8"/>
      <c r="E109" s="8"/>
      <c r="F109" s="8"/>
      <c r="G109" s="8"/>
      <c r="H109" s="8"/>
      <c r="I109" s="55"/>
      <c r="J109" s="60" t="s">
        <v>7911</v>
      </c>
      <c r="K109" s="22">
        <v>0.0</v>
      </c>
      <c r="L109" s="22">
        <f>+SUMIF('حركه المخزن الرئيسي اليوميه'!$F:$F,$H$107:$H$153,'حركه المخزن الرئيسي اليوميه'!$H:$H)</f>
        <v>0.0</v>
      </c>
      <c r="M109" s="22">
        <f>+SUMIF('حركه المخزن الرئيسي اليوميه'!$F:$F,$H$107:$H$153,'حركه المخزن الرئيسي اليوميه'!$I:$I)</f>
        <v>0.0</v>
      </c>
      <c r="N109" s="22">
        <f t="shared" si="33"/>
        <v>0.0</v>
      </c>
      <c r="O109" s="22">
        <f t="shared" si="31"/>
        <v>0.0</v>
      </c>
      <c r="P109" s="22">
        <f t="shared" si="32"/>
        <v>0.0</v>
      </c>
      <c r="Q109" s="55"/>
      <c r="R109" s="58"/>
    </row>
    <row r="110" spans="8:8">
      <c r="B110" s="54">
        <v>127.0</v>
      </c>
      <c r="C110" s="8" t="s">
        <v>814</v>
      </c>
      <c r="D110" s="8" t="s">
        <v>1019</v>
      </c>
      <c r="E110" s="8" t="s">
        <v>1490</v>
      </c>
      <c r="F110" s="8" t="s">
        <v>68</v>
      </c>
      <c r="G110" s="8" t="s">
        <v>2047</v>
      </c>
      <c r="H110" s="8" t="s">
        <v>1167</v>
      </c>
      <c r="I110" s="55" t="s">
        <v>814</v>
      </c>
      <c r="J110" s="60" t="s">
        <v>7912</v>
      </c>
      <c r="K110" s="22">
        <v>0.0</v>
      </c>
      <c r="L110" s="22">
        <f>+SUMIF('حركه المخزن الرئيسي اليوميه'!$F:$F,$H$107:$H$153,'حركه المخزن الرئيسي اليوميه'!$H:$H)</f>
        <v>0.0</v>
      </c>
      <c r="M110" s="22">
        <f>+SUMIF('حركه المخزن الرئيسي اليوميه'!$F:$F,$H$107:$H$153,'حركه المخزن الرئيسي اليوميه'!$I:$I)</f>
        <v>0.0</v>
      </c>
      <c r="N110" s="22">
        <f t="shared" si="33"/>
        <v>0.0</v>
      </c>
      <c r="O110" s="22">
        <f t="shared" si="31"/>
        <v>0.0</v>
      </c>
      <c r="P110" s="22">
        <f t="shared" si="32"/>
        <v>0.0</v>
      </c>
      <c r="Q110" s="57"/>
      <c r="R110" s="58"/>
    </row>
    <row r="111" spans="8:8">
      <c r="B111" s="54">
        <v>128.0</v>
      </c>
      <c r="C111" s="8" t="s">
        <v>814</v>
      </c>
      <c r="D111" s="8" t="s">
        <v>820</v>
      </c>
      <c r="E111" s="8" t="s">
        <v>1278</v>
      </c>
      <c r="F111" s="8" t="s">
        <v>68</v>
      </c>
      <c r="G111" s="8" t="s">
        <v>2252</v>
      </c>
      <c r="H111" s="8" t="s">
        <v>1278</v>
      </c>
      <c r="I111" s="55" t="s">
        <v>3609</v>
      </c>
      <c r="J111" s="60" t="s">
        <v>7913</v>
      </c>
      <c r="K111" s="22">
        <v>0.0</v>
      </c>
      <c r="L111" s="22">
        <f>+SUMIF('حركه المخزن الرئيسي اليوميه'!$F:$F,$H$107:$H$153,'حركه المخزن الرئيسي اليوميه'!$H:$H)</f>
        <v>0.0</v>
      </c>
      <c r="M111" s="22">
        <f>+SUMIF('حركه المخزن الرئيسي اليوميه'!$F:$F,$H$107:$H$153,'حركه المخزن الرئيسي اليوميه'!$I:$I)</f>
        <v>0.0</v>
      </c>
      <c r="N111" s="22">
        <f t="shared" si="33"/>
        <v>0.0</v>
      </c>
      <c r="O111" s="22">
        <f t="shared" si="31"/>
        <v>0.0</v>
      </c>
      <c r="P111" s="22">
        <f t="shared" si="32"/>
        <v>0.0</v>
      </c>
      <c r="Q111" s="57"/>
      <c r="R111" s="58"/>
    </row>
    <row r="112" spans="8:8">
      <c r="B112" s="54">
        <v>129.0</v>
      </c>
      <c r="C112" s="8" t="s">
        <v>814</v>
      </c>
      <c r="D112" s="8" t="s">
        <v>820</v>
      </c>
      <c r="E112" s="8" t="s">
        <v>3546</v>
      </c>
      <c r="F112" s="8" t="s">
        <v>68</v>
      </c>
      <c r="G112" s="8" t="s">
        <v>2394</v>
      </c>
      <c r="H112" s="8" t="s">
        <v>3546</v>
      </c>
      <c r="I112" s="55" t="s">
        <v>3608</v>
      </c>
      <c r="J112" s="60" t="s">
        <v>7914</v>
      </c>
      <c r="K112" s="22">
        <v>12.0</v>
      </c>
      <c r="L112" s="22">
        <f>+SUMIF('حركه المخزن الرئيسي اليوميه'!$F:$F,$H$107:$H$153,'حركه المخزن الرئيسي اليوميه'!$H:$H)</f>
        <v>0.0</v>
      </c>
      <c r="M112" s="22">
        <f>+SUMIF('حركه المخزن الرئيسي اليوميه'!$F:$F,$H$107:$H$153,'حركه المخزن الرئيسي اليوميه'!$I:$I)</f>
        <v>0.0</v>
      </c>
      <c r="N112" s="22">
        <f t="shared" si="33"/>
        <v>12.0</v>
      </c>
      <c r="O112" s="22">
        <f t="shared" si="31"/>
        <v>12.0</v>
      </c>
      <c r="P112" s="22">
        <f t="shared" si="32"/>
        <v>0.0</v>
      </c>
      <c r="Q112" s="57"/>
      <c r="R112" s="58"/>
    </row>
    <row r="113" spans="8:8">
      <c r="B113" s="54">
        <v>130.0</v>
      </c>
      <c r="C113" s="8" t="s">
        <v>814</v>
      </c>
      <c r="D113" s="8" t="s">
        <v>820</v>
      </c>
      <c r="E113" s="8" t="s">
        <v>3547</v>
      </c>
      <c r="F113" s="8" t="s">
        <v>68</v>
      </c>
      <c r="G113" s="8" t="s">
        <v>2167</v>
      </c>
      <c r="H113" s="8" t="s">
        <v>3547</v>
      </c>
      <c r="I113" s="55" t="s">
        <v>3608</v>
      </c>
      <c r="J113" s="60" t="s">
        <v>7915</v>
      </c>
      <c r="K113" s="22">
        <v>11.0</v>
      </c>
      <c r="L113" s="22">
        <f>+SUMIF('حركه المخزن الرئيسي اليوميه'!$F:$F,$H$107:$H$153,'حركه المخزن الرئيسي اليوميه'!$H:$H)</f>
        <v>0.0</v>
      </c>
      <c r="M113" s="22">
        <f>+SUMIF('حركه المخزن الرئيسي اليوميه'!$F:$F,$H$107:$H$153,'حركه المخزن الرئيسي اليوميه'!$I:$I)</f>
        <v>0.0</v>
      </c>
      <c r="N113" s="22">
        <f t="shared" si="33"/>
        <v>11.0</v>
      </c>
      <c r="O113" s="22">
        <f t="shared" si="31"/>
        <v>11.0</v>
      </c>
      <c r="P113" s="22">
        <f t="shared" si="32"/>
        <v>0.0</v>
      </c>
      <c r="Q113" s="57"/>
      <c r="R113" s="58"/>
    </row>
    <row r="114" spans="8:8">
      <c r="B114" s="54">
        <v>131.0</v>
      </c>
      <c r="C114" s="8" t="s">
        <v>814</v>
      </c>
      <c r="D114" s="8" t="s">
        <v>820</v>
      </c>
      <c r="E114" s="8" t="s">
        <v>2595</v>
      </c>
      <c r="F114" s="8" t="s">
        <v>68</v>
      </c>
      <c r="G114" s="8" t="s">
        <v>1676</v>
      </c>
      <c r="H114" s="8" t="s">
        <v>2595</v>
      </c>
      <c r="I114" s="55" t="s">
        <v>3608</v>
      </c>
      <c r="J114" s="60" t="s">
        <v>7916</v>
      </c>
      <c r="K114" s="22">
        <v>1.0</v>
      </c>
      <c r="L114" s="22">
        <f>+SUMIF('حركه المخزن الرئيسي اليوميه'!$F:$F,$H$107:$H$153,'حركه المخزن الرئيسي اليوميه'!$H:$H)</f>
        <v>0.0</v>
      </c>
      <c r="M114" s="22">
        <f>+SUMIF('حركه المخزن الرئيسي اليوميه'!$F:$F,$H$107:$H$153,'حركه المخزن الرئيسي اليوميه'!$I:$I)</f>
        <v>0.0</v>
      </c>
      <c r="N114" s="22">
        <f t="shared" si="33"/>
        <v>1.0</v>
      </c>
      <c r="O114" s="22">
        <f t="shared" si="31"/>
        <v>1.0</v>
      </c>
      <c r="P114" s="22">
        <f t="shared" si="32"/>
        <v>0.0</v>
      </c>
      <c r="Q114" s="57"/>
      <c r="R114" s="58"/>
    </row>
    <row r="115" spans="8:8">
      <c r="B115" s="54">
        <v>132.0</v>
      </c>
      <c r="C115" s="8" t="s">
        <v>814</v>
      </c>
      <c r="D115" s="8" t="s">
        <v>820</v>
      </c>
      <c r="E115" s="8" t="s">
        <v>2593</v>
      </c>
      <c r="F115" s="8" t="s">
        <v>68</v>
      </c>
      <c r="G115" s="8" t="s">
        <v>2064</v>
      </c>
      <c r="H115" s="8" t="s">
        <v>2593</v>
      </c>
      <c r="I115" s="55" t="s">
        <v>3608</v>
      </c>
      <c r="J115" s="60" t="s">
        <v>7917</v>
      </c>
      <c r="K115" s="22">
        <v>1.0</v>
      </c>
      <c r="L115" s="22">
        <f>+SUMIF('حركه المخزن الرئيسي اليوميه'!$F:$F,$H$107:$H$153,'حركه المخزن الرئيسي اليوميه'!$H:$H)</f>
        <v>0.0</v>
      </c>
      <c r="M115" s="22">
        <f>+SUMIF('حركه المخزن الرئيسي اليوميه'!$F:$F,$H$107:$H$153,'حركه المخزن الرئيسي اليوميه'!$I:$I)</f>
        <v>0.0</v>
      </c>
      <c r="N115" s="22">
        <f t="shared" si="33"/>
        <v>1.0</v>
      </c>
      <c r="O115" s="22">
        <f t="shared" si="31"/>
        <v>1.0</v>
      </c>
      <c r="P115" s="22">
        <f t="shared" si="32"/>
        <v>0.0</v>
      </c>
      <c r="Q115" s="57"/>
      <c r="R115" s="58"/>
    </row>
    <row r="116" spans="8:8">
      <c r="B116" s="54">
        <v>133.0</v>
      </c>
      <c r="C116" s="8" t="s">
        <v>814</v>
      </c>
      <c r="D116" s="8" t="s">
        <v>820</v>
      </c>
      <c r="E116" s="8" t="s">
        <v>2594</v>
      </c>
      <c r="F116" s="8" t="s">
        <v>68</v>
      </c>
      <c r="G116" s="8" t="s">
        <v>2319</v>
      </c>
      <c r="H116" s="8" t="s">
        <v>2594</v>
      </c>
      <c r="I116" s="55" t="s">
        <v>3608</v>
      </c>
      <c r="J116" s="60" t="s">
        <v>7918</v>
      </c>
      <c r="K116" s="22">
        <v>0.0</v>
      </c>
      <c r="L116" s="22">
        <f>+SUMIF('حركه المخزن الرئيسي اليوميه'!$F:$F,$H$107:$H$153,'حركه المخزن الرئيسي اليوميه'!$H:$H)</f>
        <v>0.0</v>
      </c>
      <c r="M116" s="22">
        <f>+SUMIF('حركه المخزن الرئيسي اليوميه'!$F:$F,$H$107:$H$153,'حركه المخزن الرئيسي اليوميه'!$I:$I)</f>
        <v>0.0</v>
      </c>
      <c r="N116" s="22">
        <f t="shared" si="33"/>
        <v>0.0</v>
      </c>
      <c r="O116" s="22">
        <f t="shared" si="31"/>
        <v>0.0</v>
      </c>
      <c r="P116" s="22">
        <f t="shared" si="32"/>
        <v>0.0</v>
      </c>
      <c r="Q116" s="57"/>
      <c r="R116" s="58"/>
    </row>
    <row r="117" spans="8:8">
      <c r="B117" s="54">
        <v>134.0</v>
      </c>
      <c r="C117" s="8" t="s">
        <v>814</v>
      </c>
      <c r="D117" s="8" t="s">
        <v>3486</v>
      </c>
      <c r="E117" s="8" t="s">
        <v>1582</v>
      </c>
      <c r="F117" s="8" t="s">
        <v>1044</v>
      </c>
      <c r="G117" s="8"/>
      <c r="H117" s="8" t="s">
        <v>1582</v>
      </c>
      <c r="I117" s="8" t="s">
        <v>814</v>
      </c>
      <c r="J117" s="60" t="s">
        <v>7919</v>
      </c>
      <c r="K117" s="22">
        <v>0.0</v>
      </c>
      <c r="L117" s="22">
        <f>+SUMIF('حركه المخزن الرئيسي اليوميه'!$F:$F,$H$107:$H$153,'حركه المخزن الرئيسي اليوميه'!$H:$H)</f>
        <v>0.0</v>
      </c>
      <c r="M117" s="22">
        <f>+SUMIF('حركه المخزن الرئيسي اليوميه'!$F:$F,$H$107:$H$153,'حركه المخزن الرئيسي اليوميه'!$I:$I)</f>
        <v>0.0</v>
      </c>
      <c r="N117" s="22">
        <f t="shared" si="33"/>
        <v>0.0</v>
      </c>
      <c r="O117" s="22">
        <f t="shared" si="31"/>
        <v>0.0</v>
      </c>
      <c r="P117" s="22">
        <f t="shared" si="32"/>
        <v>0.0</v>
      </c>
      <c r="Q117" s="57"/>
      <c r="R117" s="58"/>
    </row>
    <row r="118" spans="8:8">
      <c r="B118" s="54">
        <v>135.0</v>
      </c>
      <c r="C118" s="8" t="s">
        <v>814</v>
      </c>
      <c r="D118" s="8" t="s">
        <v>3497</v>
      </c>
      <c r="E118" s="8" t="s">
        <v>1447</v>
      </c>
      <c r="F118" s="8" t="s">
        <v>68</v>
      </c>
      <c r="G118" s="8" t="s">
        <v>2239</v>
      </c>
      <c r="H118" s="8" t="s">
        <v>1447</v>
      </c>
      <c r="I118" s="8" t="s">
        <v>3607</v>
      </c>
      <c r="J118" s="60" t="s">
        <v>7920</v>
      </c>
      <c r="K118" s="22">
        <v>0.0</v>
      </c>
      <c r="L118" s="22">
        <f>+SUMIF('حركه المخزن الرئيسي اليوميه'!$F:$F,$H$107:$H$153,'حركه المخزن الرئيسي اليوميه'!$H:$H)</f>
        <v>0.0</v>
      </c>
      <c r="M118" s="22">
        <f>+SUMIF('حركه المخزن الرئيسي اليوميه'!$F:$F,$H$107:$H$153,'حركه المخزن الرئيسي اليوميه'!$I:$I)</f>
        <v>0.0</v>
      </c>
      <c r="N118" s="22">
        <f t="shared" si="33"/>
        <v>0.0</v>
      </c>
      <c r="O118" s="22">
        <f t="shared" si="31"/>
        <v>0.0</v>
      </c>
      <c r="P118" s="22">
        <f t="shared" si="32"/>
        <v>0.0</v>
      </c>
      <c r="Q118" s="57"/>
      <c r="R118" s="58"/>
    </row>
    <row r="119" spans="8:8">
      <c r="B119" s="54">
        <v>136.0</v>
      </c>
      <c r="C119" s="8" t="s">
        <v>814</v>
      </c>
      <c r="D119" s="8" t="s">
        <v>3486</v>
      </c>
      <c r="E119" s="8" t="s">
        <v>2722</v>
      </c>
      <c r="F119" s="8" t="s">
        <v>68</v>
      </c>
      <c r="G119" s="8"/>
      <c r="H119" s="8" t="s">
        <v>2722</v>
      </c>
      <c r="I119" s="55" t="s">
        <v>3608</v>
      </c>
      <c r="J119" s="60" t="s">
        <v>7921</v>
      </c>
      <c r="K119" s="22">
        <v>12.0</v>
      </c>
      <c r="L119" s="22">
        <f>+SUMIF('حركه المخزن الرئيسي اليوميه'!$F:$F,$H$107:$H$153,'حركه المخزن الرئيسي اليوميه'!$H:$H)</f>
        <v>0.0</v>
      </c>
      <c r="M119" s="22">
        <f>+SUMIF('حركه المخزن الرئيسي اليوميه'!$F:$F,$H$107:$H$153,'حركه المخزن الرئيسي اليوميه'!$I:$I)</f>
        <v>4.0</v>
      </c>
      <c r="N119" s="22">
        <f t="shared" si="33"/>
        <v>8.0</v>
      </c>
      <c r="O119" s="22">
        <f t="shared" si="31"/>
        <v>8.0</v>
      </c>
      <c r="P119" s="22">
        <f t="shared" si="32"/>
        <v>0.0</v>
      </c>
      <c r="Q119" s="57"/>
      <c r="R119" s="58"/>
    </row>
    <row r="120" spans="8:8">
      <c r="B120" s="54">
        <v>138.0</v>
      </c>
      <c r="C120" s="8" t="s">
        <v>814</v>
      </c>
      <c r="D120" s="8" t="s">
        <v>1013</v>
      </c>
      <c r="E120" s="8" t="s">
        <v>2667</v>
      </c>
      <c r="F120" s="8" t="s">
        <v>68</v>
      </c>
      <c r="G120" s="8"/>
      <c r="H120" s="8" t="s">
        <v>2667</v>
      </c>
      <c r="I120" s="55" t="s">
        <v>3609</v>
      </c>
      <c r="J120" s="60" t="s">
        <v>7922</v>
      </c>
      <c r="K120" s="22">
        <v>5.0</v>
      </c>
      <c r="L120" s="22">
        <f>+SUMIF('حركه المخزن الرئيسي اليوميه'!$F:$F,$H$107:$H$153,'حركه المخزن الرئيسي اليوميه'!$H:$H)</f>
        <v>0.0</v>
      </c>
      <c r="M120" s="22">
        <f>+SUMIF('حركه المخزن الرئيسي اليوميه'!$F:$F,$H$107:$H$153,'حركه المخزن الرئيسي اليوميه'!$I:$I)</f>
        <v>0.0</v>
      </c>
      <c r="N120" s="22">
        <f t="shared" si="33"/>
        <v>5.0</v>
      </c>
      <c r="O120" s="22">
        <f t="shared" si="31"/>
        <v>5.0</v>
      </c>
      <c r="P120" s="22">
        <f t="shared" si="32"/>
        <v>0.0</v>
      </c>
      <c r="Q120" s="57"/>
      <c r="R120" s="58"/>
    </row>
    <row r="121" spans="8:8">
      <c r="B121" s="54">
        <v>139.0</v>
      </c>
      <c r="C121" s="8" t="s">
        <v>814</v>
      </c>
      <c r="D121" s="8" t="s">
        <v>1013</v>
      </c>
      <c r="E121" s="8" t="s">
        <v>2665</v>
      </c>
      <c r="F121" s="8" t="s">
        <v>1501</v>
      </c>
      <c r="G121" s="8"/>
      <c r="H121" s="8" t="s">
        <v>2665</v>
      </c>
      <c r="I121" s="55" t="s">
        <v>3609</v>
      </c>
      <c r="J121" s="60" t="s">
        <v>7923</v>
      </c>
      <c r="K121" s="22">
        <v>4.0</v>
      </c>
      <c r="L121" s="22">
        <f>+SUMIF('حركه المخزن الرئيسي اليوميه'!$F:$F,$H$107:$H$153,'حركه المخزن الرئيسي اليوميه'!$H:$H)</f>
        <v>0.0</v>
      </c>
      <c r="M121" s="22">
        <f>+SUMIF('حركه المخزن الرئيسي اليوميه'!$F:$F,$H$107:$H$153,'حركه المخزن الرئيسي اليوميه'!$I:$I)</f>
        <v>0.0</v>
      </c>
      <c r="N121" s="22">
        <f t="shared" si="33"/>
        <v>4.0</v>
      </c>
      <c r="O121" s="22">
        <f t="shared" si="31"/>
        <v>4.0</v>
      </c>
      <c r="P121" s="22">
        <f t="shared" si="32"/>
        <v>0.0</v>
      </c>
      <c r="Q121" s="57"/>
      <c r="R121" s="58"/>
    </row>
    <row r="122" spans="8:8">
      <c r="B122" s="54">
        <v>140.0</v>
      </c>
      <c r="C122" s="8" t="s">
        <v>814</v>
      </c>
      <c r="D122" s="8" t="s">
        <v>1013</v>
      </c>
      <c r="E122" s="8" t="s">
        <v>2666</v>
      </c>
      <c r="F122" s="8" t="s">
        <v>68</v>
      </c>
      <c r="G122" s="8"/>
      <c r="H122" s="8" t="s">
        <v>2666</v>
      </c>
      <c r="I122" s="55" t="s">
        <v>3609</v>
      </c>
      <c r="J122" s="60" t="s">
        <v>7924</v>
      </c>
      <c r="K122" s="22">
        <v>3.0</v>
      </c>
      <c r="L122" s="22">
        <f>+SUMIF('حركه المخزن الرئيسي اليوميه'!$F:$F,$H$107:$H$153,'حركه المخزن الرئيسي اليوميه'!$H:$H)</f>
        <v>0.0</v>
      </c>
      <c r="M122" s="22">
        <f>+SUMIF('حركه المخزن الرئيسي اليوميه'!$F:$F,$H$107:$H$153,'حركه المخزن الرئيسي اليوميه'!$I:$I)</f>
        <v>0.0</v>
      </c>
      <c r="N122" s="22">
        <f t="shared" si="33"/>
        <v>3.0</v>
      </c>
      <c r="O122" s="22">
        <f t="shared" si="31"/>
        <v>3.0</v>
      </c>
      <c r="P122" s="22">
        <f t="shared" si="32"/>
        <v>0.0</v>
      </c>
      <c r="Q122" s="57"/>
      <c r="R122" s="58"/>
    </row>
    <row r="123" spans="8:8">
      <c r="B123" s="54">
        <v>141.0</v>
      </c>
      <c r="C123" s="8" t="s">
        <v>814</v>
      </c>
      <c r="D123" s="8" t="s">
        <v>2532</v>
      </c>
      <c r="E123" s="8" t="s">
        <v>2597</v>
      </c>
      <c r="F123" s="8" t="s">
        <v>68</v>
      </c>
      <c r="G123" s="8" t="s">
        <v>107</v>
      </c>
      <c r="H123" s="8" t="s">
        <v>2597</v>
      </c>
      <c r="I123" s="55" t="s">
        <v>3608</v>
      </c>
      <c r="J123" s="60" t="s">
        <v>7925</v>
      </c>
      <c r="K123" s="22">
        <v>1.0</v>
      </c>
      <c r="L123" s="22">
        <f>+SUMIF('حركه المخزن الرئيسي اليوميه'!$F:$F,$H$107:$H$153,'حركه المخزن الرئيسي اليوميه'!$H:$H)</f>
        <v>0.0</v>
      </c>
      <c r="M123" s="22">
        <f>+SUMIF('حركه المخزن الرئيسي اليوميه'!$F:$F,$H$107:$H$153,'حركه المخزن الرئيسي اليوميه'!$I:$I)</f>
        <v>0.0</v>
      </c>
      <c r="N123" s="22">
        <f t="shared" si="33"/>
        <v>1.0</v>
      </c>
      <c r="O123" s="22">
        <f t="shared" si="31"/>
        <v>1.0</v>
      </c>
      <c r="P123" s="22">
        <f t="shared" si="32"/>
        <v>0.0</v>
      </c>
      <c r="Q123" s="57"/>
      <c r="R123" s="58"/>
    </row>
    <row r="124" spans="8:8">
      <c r="B124" s="54">
        <v>142.0</v>
      </c>
      <c r="C124" s="8" t="s">
        <v>814</v>
      </c>
      <c r="D124" s="8" t="s">
        <v>3665</v>
      </c>
      <c r="E124" s="8" t="s">
        <v>1130</v>
      </c>
      <c r="F124" s="8" t="s">
        <v>68</v>
      </c>
      <c r="G124" s="8" t="s">
        <v>1674</v>
      </c>
      <c r="H124" s="8" t="s">
        <v>1130</v>
      </c>
      <c r="I124" s="8" t="s">
        <v>814</v>
      </c>
      <c r="J124" s="60" t="s">
        <v>7926</v>
      </c>
      <c r="K124" s="22">
        <v>0.0</v>
      </c>
      <c r="L124" s="22">
        <f>+SUMIF('حركه المخزن الرئيسي اليوميه'!$F:$F,$H$107:$H$153,'حركه المخزن الرئيسي اليوميه'!$H:$H)</f>
        <v>0.0</v>
      </c>
      <c r="M124" s="22">
        <f>+SUMIF('حركه المخزن الرئيسي اليوميه'!$F:$F,$H$107:$H$153,'حركه المخزن الرئيسي اليوميه'!$I:$I)</f>
        <v>0.0</v>
      </c>
      <c r="N124" s="22">
        <f t="shared" si="33"/>
        <v>0.0</v>
      </c>
      <c r="O124" s="22">
        <f t="shared" si="31"/>
        <v>0.0</v>
      </c>
      <c r="P124" s="22">
        <f t="shared" si="32"/>
        <v>0.0</v>
      </c>
      <c r="Q124" s="57"/>
      <c r="R124" s="58"/>
    </row>
    <row r="125" spans="8:8">
      <c r="B125" s="54">
        <v>144.0</v>
      </c>
      <c r="C125" s="8" t="s">
        <v>814</v>
      </c>
      <c r="D125" s="8" t="s">
        <v>1013</v>
      </c>
      <c r="E125" s="8" t="s">
        <v>2775</v>
      </c>
      <c r="F125" s="8" t="s">
        <v>389</v>
      </c>
      <c r="G125" s="8" t="s">
        <v>2482</v>
      </c>
      <c r="H125" s="8" t="s">
        <v>2775</v>
      </c>
      <c r="I125" s="55" t="s">
        <v>814</v>
      </c>
      <c r="J125" s="60" t="s">
        <v>7927</v>
      </c>
      <c r="K125" s="22">
        <v>0.0</v>
      </c>
      <c r="L125" s="22">
        <f>+SUMIF('حركه المخزن الرئيسي اليوميه'!$F:$F,$H$107:$H$153,'حركه المخزن الرئيسي اليوميه'!$H:$H)</f>
        <v>0.0</v>
      </c>
      <c r="M125" s="22">
        <f>+SUMIF('حركه المخزن الرئيسي اليوميه'!$F:$F,$H$107:$H$153,'حركه المخزن الرئيسي اليوميه'!$I:$I)</f>
        <v>0.0</v>
      </c>
      <c r="N125" s="22">
        <f t="shared" si="33"/>
        <v>0.0</v>
      </c>
      <c r="O125" s="22">
        <f t="shared" si="31"/>
        <v>0.0</v>
      </c>
      <c r="P125" s="22">
        <f t="shared" si="32"/>
        <v>0.0</v>
      </c>
      <c r="Q125" s="57"/>
      <c r="R125" s="58"/>
    </row>
    <row r="126" spans="8:8">
      <c r="B126" s="54">
        <v>145.0</v>
      </c>
      <c r="C126" s="8" t="s">
        <v>814</v>
      </c>
      <c r="D126" s="8" t="s">
        <v>1013</v>
      </c>
      <c r="E126" s="8" t="s">
        <v>3702</v>
      </c>
      <c r="F126" s="8" t="s">
        <v>68</v>
      </c>
      <c r="G126" s="8" t="s">
        <v>2419</v>
      </c>
      <c r="H126" s="8" t="s">
        <v>3702</v>
      </c>
      <c r="I126" s="55" t="s">
        <v>3609</v>
      </c>
      <c r="J126" s="60" t="s">
        <v>7928</v>
      </c>
      <c r="K126" s="22">
        <v>41.0</v>
      </c>
      <c r="L126" s="22">
        <f>+SUMIF('حركه المخزن الرئيسي اليوميه'!$F:$F,$H$107:$H$153,'حركه المخزن الرئيسي اليوميه'!$H:$H)</f>
        <v>0.0</v>
      </c>
      <c r="M126" s="22">
        <f>+SUMIF('حركه المخزن الرئيسي اليوميه'!$F:$F,$H$107:$H$153,'حركه المخزن الرئيسي اليوميه'!$I:$I)</f>
        <v>4.0</v>
      </c>
      <c r="N126" s="22">
        <f t="shared" si="33"/>
        <v>37.0</v>
      </c>
      <c r="O126" s="22">
        <f t="shared" si="31"/>
        <v>37.0</v>
      </c>
      <c r="P126" s="22">
        <f t="shared" si="32"/>
        <v>0.0</v>
      </c>
      <c r="Q126" s="57"/>
      <c r="R126" s="58"/>
    </row>
    <row r="127" spans="8:8">
      <c r="B127" s="54">
        <v>146.0</v>
      </c>
      <c r="C127" s="8" t="s">
        <v>814</v>
      </c>
      <c r="D127" s="8" t="s">
        <v>1013</v>
      </c>
      <c r="E127" s="8" t="s">
        <v>3586</v>
      </c>
      <c r="F127" s="8" t="s">
        <v>68</v>
      </c>
      <c r="G127" s="8" t="s">
        <v>2419</v>
      </c>
      <c r="H127" s="8" t="s">
        <v>3586</v>
      </c>
      <c r="I127" s="55" t="s">
        <v>3609</v>
      </c>
      <c r="J127" s="60" t="s">
        <v>7929</v>
      </c>
      <c r="K127" s="22">
        <v>117.0</v>
      </c>
      <c r="L127" s="22">
        <f>+SUMIF('حركه المخزن الرئيسي اليوميه'!$F:$F,$H$107:$H$153,'حركه المخزن الرئيسي اليوميه'!$H:$H)</f>
        <v>0.0</v>
      </c>
      <c r="M127" s="22">
        <f>+SUMIF('حركه المخزن الرئيسي اليوميه'!$F:$F,$H$107:$H$153,'حركه المخزن الرئيسي اليوميه'!$I:$I)</f>
        <v>0.0</v>
      </c>
      <c r="N127" s="22">
        <f t="shared" si="33"/>
        <v>117.0</v>
      </c>
      <c r="O127" s="22">
        <f t="shared" si="31"/>
        <v>117.0</v>
      </c>
      <c r="P127" s="22">
        <f t="shared" si="32"/>
        <v>0.0</v>
      </c>
      <c r="Q127" s="57"/>
      <c r="R127" s="58"/>
    </row>
    <row r="128" spans="8:8">
      <c r="B128" s="54">
        <v>147.0</v>
      </c>
      <c r="C128" s="8" t="s">
        <v>814</v>
      </c>
      <c r="D128" s="8" t="s">
        <v>820</v>
      </c>
      <c r="E128" s="8" t="s">
        <v>3548</v>
      </c>
      <c r="F128" s="8" t="s">
        <v>68</v>
      </c>
      <c r="G128" s="8" t="s">
        <v>1927</v>
      </c>
      <c r="H128" s="8" t="s">
        <v>3548</v>
      </c>
      <c r="I128" s="55" t="s">
        <v>814</v>
      </c>
      <c r="J128" s="60" t="s">
        <v>7930</v>
      </c>
      <c r="K128" s="22">
        <v>0.0</v>
      </c>
      <c r="L128" s="22">
        <f>+SUMIF('حركه المخزن الرئيسي اليوميه'!$F:$F,$H$107:$H$153,'حركه المخزن الرئيسي اليوميه'!$H:$H)</f>
        <v>0.0</v>
      </c>
      <c r="M128" s="22">
        <f>+SUMIF('حركه المخزن الرئيسي اليوميه'!$F:$F,$H$107:$H$153,'حركه المخزن الرئيسي اليوميه'!$I:$I)</f>
        <v>0.0</v>
      </c>
      <c r="N128" s="22">
        <f t="shared" si="33"/>
        <v>0.0</v>
      </c>
      <c r="O128" s="22">
        <f t="shared" si="31"/>
        <v>0.0</v>
      </c>
      <c r="P128" s="22">
        <f t="shared" si="32"/>
        <v>0.0</v>
      </c>
      <c r="Q128" s="57"/>
      <c r="R128" s="58"/>
    </row>
    <row r="129" spans="8:8">
      <c r="B129" s="54">
        <v>148.0</v>
      </c>
      <c r="C129" s="8" t="s">
        <v>814</v>
      </c>
      <c r="D129" s="8" t="s">
        <v>3497</v>
      </c>
      <c r="E129" s="8" t="s">
        <v>1448</v>
      </c>
      <c r="F129" s="8" t="s">
        <v>68</v>
      </c>
      <c r="G129" s="8" t="s">
        <v>2239</v>
      </c>
      <c r="H129" s="8" t="s">
        <v>1448</v>
      </c>
      <c r="I129" s="8" t="s">
        <v>3607</v>
      </c>
      <c r="J129" s="60" t="s">
        <v>7931</v>
      </c>
      <c r="K129" s="22">
        <v>0.0</v>
      </c>
      <c r="L129" s="22">
        <f>+SUMIF('حركه المخزن الرئيسي اليوميه'!$F:$F,$H$107:$H$153,'حركه المخزن الرئيسي اليوميه'!$H:$H)</f>
        <v>0.0</v>
      </c>
      <c r="M129" s="22">
        <f>+SUMIF('حركه المخزن الرئيسي اليوميه'!$F:$F,$H$107:$H$153,'حركه المخزن الرئيسي اليوميه'!$I:$I)</f>
        <v>0.0</v>
      </c>
      <c r="N129" s="22">
        <f t="shared" si="33"/>
        <v>0.0</v>
      </c>
      <c r="O129" s="22">
        <f t="shared" si="31"/>
        <v>0.0</v>
      </c>
      <c r="P129" s="22">
        <f t="shared" si="32"/>
        <v>0.0</v>
      </c>
      <c r="Q129" s="57"/>
      <c r="R129" s="58"/>
    </row>
    <row r="130" spans="8:8">
      <c r="B130" s="54">
        <v>150.0</v>
      </c>
      <c r="C130" s="8" t="s">
        <v>814</v>
      </c>
      <c r="D130" s="8" t="s">
        <v>820</v>
      </c>
      <c r="E130" s="8" t="s">
        <v>2660</v>
      </c>
      <c r="F130" s="8" t="s">
        <v>125</v>
      </c>
      <c r="G130" s="8" t="s">
        <v>1302</v>
      </c>
      <c r="H130" s="8" t="s">
        <v>2660</v>
      </c>
      <c r="I130" s="55" t="s">
        <v>3608</v>
      </c>
      <c r="J130" s="60" t="s">
        <v>7932</v>
      </c>
      <c r="K130" s="22">
        <v>1.0</v>
      </c>
      <c r="L130" s="22">
        <f>+SUMIF('حركه المخزن الرئيسي اليوميه'!$F:$F,$H$107:$H$153,'حركه المخزن الرئيسي اليوميه'!$H:$H)</f>
        <v>0.0</v>
      </c>
      <c r="M130" s="22">
        <f>+SUMIF('حركه المخزن الرئيسي اليوميه'!$F:$F,$H$107:$H$153,'حركه المخزن الرئيسي اليوميه'!$I:$I)</f>
        <v>0.0</v>
      </c>
      <c r="N130" s="22">
        <f t="shared" si="33"/>
        <v>1.0</v>
      </c>
      <c r="O130" s="22">
        <f t="shared" si="31"/>
        <v>1.0</v>
      </c>
      <c r="P130" s="22">
        <f t="shared" si="32"/>
        <v>0.0</v>
      </c>
      <c r="Q130" s="57"/>
      <c r="R130" s="58"/>
    </row>
    <row r="131" spans="8:8">
      <c r="B131" s="54">
        <v>151.0</v>
      </c>
      <c r="C131" s="8" t="s">
        <v>814</v>
      </c>
      <c r="D131" s="8" t="s">
        <v>820</v>
      </c>
      <c r="E131" s="8" t="s">
        <v>2596</v>
      </c>
      <c r="F131" s="8" t="s">
        <v>68</v>
      </c>
      <c r="G131" s="8" t="s">
        <v>132</v>
      </c>
      <c r="H131" s="8" t="s">
        <v>2596</v>
      </c>
      <c r="I131" s="55" t="s">
        <v>3609</v>
      </c>
      <c r="J131" s="60" t="s">
        <v>7933</v>
      </c>
      <c r="K131" s="22">
        <v>1.0</v>
      </c>
      <c r="L131" s="22">
        <f>+SUMIF('حركه المخزن الرئيسي اليوميه'!$F:$F,$H$107:$H$153,'حركه المخزن الرئيسي اليوميه'!$H:$H)</f>
        <v>0.0</v>
      </c>
      <c r="M131" s="22">
        <f>+SUMIF('حركه المخزن الرئيسي اليوميه'!$F:$F,$H$107:$H$153,'حركه المخزن الرئيسي اليوميه'!$I:$I)</f>
        <v>0.0</v>
      </c>
      <c r="N131" s="22">
        <f t="shared" si="33"/>
        <v>1.0</v>
      </c>
      <c r="O131" s="22">
        <f t="shared" si="31"/>
        <v>1.0</v>
      </c>
      <c r="P131" s="22"/>
      <c r="Q131" s="57"/>
      <c r="R131" s="58"/>
    </row>
    <row r="132" spans="8:8">
      <c r="B132" s="54">
        <v>152.0</v>
      </c>
      <c r="C132" s="8" t="s">
        <v>814</v>
      </c>
      <c r="D132" s="8" t="s">
        <v>1013</v>
      </c>
      <c r="E132" s="8" t="s">
        <v>8171</v>
      </c>
      <c r="F132" s="8" t="s">
        <v>68</v>
      </c>
      <c r="G132" s="8"/>
      <c r="H132" s="8" t="s">
        <v>8171</v>
      </c>
      <c r="I132" s="55" t="s">
        <v>3609</v>
      </c>
      <c r="J132" s="60" t="s">
        <v>7934</v>
      </c>
      <c r="K132" s="22">
        <v>1.0</v>
      </c>
      <c r="L132" s="22">
        <f>+SUMIF('حركه المخزن الرئيسي اليوميه'!$F:$F,$H$107:$H$153,'حركه المخزن الرئيسي اليوميه'!$H:$H)</f>
        <v>0.0</v>
      </c>
      <c r="M132" s="22">
        <f>+SUMIF('حركه المخزن الرئيسي اليوميه'!$F:$F,$H$107:$H$153,'حركه المخزن الرئيسي اليوميه'!$I:$I)</f>
        <v>0.0</v>
      </c>
      <c r="N132" s="22">
        <f t="shared" si="33"/>
        <v>1.0</v>
      </c>
      <c r="O132" s="22">
        <f t="shared" si="31"/>
        <v>1.0</v>
      </c>
      <c r="P132" s="22">
        <f t="shared" si="34" ref="P132:P153">+N132-O132</f>
        <v>0.0</v>
      </c>
      <c r="Q132" s="57"/>
      <c r="R132" s="58"/>
    </row>
    <row r="133" spans="8:8">
      <c r="B133" s="54">
        <v>153.0</v>
      </c>
      <c r="C133" s="8" t="s">
        <v>814</v>
      </c>
      <c r="D133" s="8" t="s">
        <v>1013</v>
      </c>
      <c r="E133" s="8" t="s">
        <v>2763</v>
      </c>
      <c r="F133" s="8"/>
      <c r="G133" s="8"/>
      <c r="H133" s="8" t="s">
        <v>2763</v>
      </c>
      <c r="I133" s="55" t="s">
        <v>3609</v>
      </c>
      <c r="J133" s="60" t="s">
        <v>7935</v>
      </c>
      <c r="K133" s="22">
        <v>3.0</v>
      </c>
      <c r="L133" s="22">
        <f>+SUMIF('حركه المخزن الرئيسي اليوميه'!$F:$F,$H$107:$H$153,'حركه المخزن الرئيسي اليوميه'!$H:$H)</f>
        <v>0.0</v>
      </c>
      <c r="M133" s="22">
        <f>+SUMIF('حركه المخزن الرئيسي اليوميه'!$F:$F,$H$107:$H$153,'حركه المخزن الرئيسي اليوميه'!$I:$I)</f>
        <v>0.0</v>
      </c>
      <c r="N133" s="22">
        <f t="shared" si="33"/>
        <v>3.0</v>
      </c>
      <c r="O133" s="22">
        <f t="shared" si="31"/>
        <v>3.0</v>
      </c>
      <c r="P133" s="22">
        <f t="shared" si="34"/>
        <v>0.0</v>
      </c>
      <c r="Q133" s="57"/>
      <c r="R133" s="58"/>
    </row>
    <row r="134" spans="8:8">
      <c r="B134" s="54">
        <v>154.0</v>
      </c>
      <c r="C134" s="8" t="s">
        <v>2528</v>
      </c>
      <c r="D134" s="8" t="s">
        <v>1013</v>
      </c>
      <c r="E134" s="8" t="s">
        <v>2579</v>
      </c>
      <c r="F134" s="8" t="s">
        <v>68</v>
      </c>
      <c r="G134" s="8" t="s">
        <v>2315</v>
      </c>
      <c r="H134" s="8" t="s">
        <v>2579</v>
      </c>
      <c r="I134" s="55" t="s">
        <v>3608</v>
      </c>
      <c r="J134" s="60" t="s">
        <v>7936</v>
      </c>
      <c r="K134" s="22">
        <v>4.0</v>
      </c>
      <c r="L134" s="22">
        <f>+SUMIF('حركه المخزن الرئيسي اليوميه'!$F:$F,$H$107:$H$153,'حركه المخزن الرئيسي اليوميه'!$H:$H)</f>
        <v>0.0</v>
      </c>
      <c r="M134" s="22">
        <f>+SUMIF('حركه المخزن الرئيسي اليوميه'!$F:$F,$H$107:$H$153,'حركه المخزن الرئيسي اليوميه'!$I:$I)</f>
        <v>0.0</v>
      </c>
      <c r="N134" s="22">
        <f t="shared" si="33"/>
        <v>4.0</v>
      </c>
      <c r="O134" s="22">
        <f t="shared" si="31"/>
        <v>4.0</v>
      </c>
      <c r="P134" s="22">
        <f t="shared" si="34"/>
        <v>0.0</v>
      </c>
      <c r="Q134" s="57"/>
      <c r="R134" s="58"/>
    </row>
    <row r="135" spans="8:8">
      <c r="B135" s="54">
        <v>155.0</v>
      </c>
      <c r="C135" s="8" t="s">
        <v>2528</v>
      </c>
      <c r="D135" s="8" t="s">
        <v>1013</v>
      </c>
      <c r="E135" s="8" t="s">
        <v>2592</v>
      </c>
      <c r="F135" s="8" t="s">
        <v>1501</v>
      </c>
      <c r="G135" s="8" t="s">
        <v>1934</v>
      </c>
      <c r="H135" s="8" t="s">
        <v>2592</v>
      </c>
      <c r="I135" s="55" t="s">
        <v>3608</v>
      </c>
      <c r="J135" s="60" t="s">
        <v>7937</v>
      </c>
      <c r="K135" s="22">
        <v>1.0</v>
      </c>
      <c r="L135" s="22">
        <f>+SUMIF('حركه المخزن الرئيسي اليوميه'!$F:$F,$H$107:$H$153,'حركه المخزن الرئيسي اليوميه'!$H:$H)</f>
        <v>0.0</v>
      </c>
      <c r="M135" s="22">
        <f>+SUMIF('حركه المخزن الرئيسي اليوميه'!$F:$F,$H$107:$H$153,'حركه المخزن الرئيسي اليوميه'!$I:$I)</f>
        <v>0.0</v>
      </c>
      <c r="N135" s="22">
        <f t="shared" si="33"/>
        <v>1.0</v>
      </c>
      <c r="O135" s="22">
        <f t="shared" si="31"/>
        <v>1.0</v>
      </c>
      <c r="P135" s="22">
        <f t="shared" si="34"/>
        <v>0.0</v>
      </c>
      <c r="Q135" s="57"/>
      <c r="R135" s="58"/>
    </row>
    <row r="136" spans="8:8">
      <c r="B136" s="54">
        <v>156.0</v>
      </c>
      <c r="C136" s="8" t="s">
        <v>2528</v>
      </c>
      <c r="D136" s="8" t="s">
        <v>1013</v>
      </c>
      <c r="E136" s="8" t="s">
        <v>1538</v>
      </c>
      <c r="F136" s="8" t="s">
        <v>1501</v>
      </c>
      <c r="G136" s="8"/>
      <c r="H136" s="8" t="s">
        <v>1538</v>
      </c>
      <c r="I136" s="55" t="s">
        <v>3609</v>
      </c>
      <c r="J136" s="60" t="s">
        <v>7938</v>
      </c>
      <c r="K136" s="22">
        <v>4.0</v>
      </c>
      <c r="L136" s="22">
        <f>+SUMIF('حركه المخزن الرئيسي اليوميه'!$F:$F,$H$107:$H$153,'حركه المخزن الرئيسي اليوميه'!$H:$H)</f>
        <v>0.0</v>
      </c>
      <c r="M136" s="22">
        <f>+SUMIF('حركه المخزن الرئيسي اليوميه'!$F:$F,$H$107:$H$153,'حركه المخزن الرئيسي اليوميه'!$I:$I)</f>
        <v>2.0</v>
      </c>
      <c r="N136" s="22">
        <f t="shared" si="35" ref="N136:N155">+K136+L136-M136</f>
        <v>2.0</v>
      </c>
      <c r="O136" s="22">
        <f t="shared" si="36" ref="O136:O152">+N136</f>
        <v>2.0</v>
      </c>
      <c r="P136" s="22">
        <f t="shared" si="34"/>
        <v>0.0</v>
      </c>
      <c r="Q136" s="57"/>
      <c r="R136" s="58"/>
    </row>
    <row r="137" spans="8:8">
      <c r="B137" s="54">
        <v>157.0</v>
      </c>
      <c r="C137" s="8" t="s">
        <v>2528</v>
      </c>
      <c r="D137" s="8" t="s">
        <v>820</v>
      </c>
      <c r="E137" s="8" t="s">
        <v>1429</v>
      </c>
      <c r="F137" s="8" t="s">
        <v>68</v>
      </c>
      <c r="G137" s="8" t="s">
        <v>1756</v>
      </c>
      <c r="H137" s="8" t="s">
        <v>3733</v>
      </c>
      <c r="I137" s="55" t="s">
        <v>3609</v>
      </c>
      <c r="J137" s="60" t="s">
        <v>7939</v>
      </c>
      <c r="K137" s="22">
        <v>2.0</v>
      </c>
      <c r="L137" s="22">
        <f>+SUMIF('حركه المخزن الرئيسي اليوميه'!$F:$F,$H$107:$H$153,'حركه المخزن الرئيسي اليوميه'!$H:$H)</f>
        <v>0.0</v>
      </c>
      <c r="M137" s="22">
        <f>+SUMIF('حركه المخزن الرئيسي اليوميه'!$F:$F,$H$107:$H$153,'حركه المخزن الرئيسي اليوميه'!$I:$I)</f>
        <v>0.0</v>
      </c>
      <c r="N137" s="22">
        <v>2.0</v>
      </c>
      <c r="O137" s="22">
        <f t="shared" si="36"/>
        <v>2.0</v>
      </c>
      <c r="P137" s="22">
        <f t="shared" si="34"/>
        <v>0.0</v>
      </c>
      <c r="Q137" s="57"/>
      <c r="R137" s="58"/>
    </row>
    <row r="138" spans="8:8">
      <c r="B138" s="54">
        <v>158.0</v>
      </c>
      <c r="C138" s="8" t="s">
        <v>2528</v>
      </c>
      <c r="D138" s="8" t="s">
        <v>1013</v>
      </c>
      <c r="E138" s="8" t="s">
        <v>2011</v>
      </c>
      <c r="F138" s="8" t="s">
        <v>68</v>
      </c>
      <c r="G138" s="8"/>
      <c r="H138" s="8" t="s">
        <v>2011</v>
      </c>
      <c r="I138" s="55" t="s">
        <v>8172</v>
      </c>
      <c r="J138" s="60" t="s">
        <v>7940</v>
      </c>
      <c r="K138" s="22">
        <v>5.0</v>
      </c>
      <c r="L138" s="22">
        <f>+SUMIF('حركه المخزن الرئيسي اليوميه'!$F:$F,$H$107:$H$153,'حركه المخزن الرئيسي اليوميه'!$H:$H)</f>
        <v>0.0</v>
      </c>
      <c r="M138" s="22">
        <f>+SUMIF('حركه المخزن الرئيسي اليوميه'!$F:$F,$H$107:$H$153,'حركه المخزن الرئيسي اليوميه'!$I:$I)</f>
        <v>0.0</v>
      </c>
      <c r="N138" s="22">
        <f t="shared" si="35"/>
        <v>5.0</v>
      </c>
      <c r="O138" s="22">
        <f t="shared" si="36"/>
        <v>5.0</v>
      </c>
      <c r="P138" s="22">
        <f t="shared" si="34"/>
        <v>0.0</v>
      </c>
      <c r="Q138" s="57"/>
      <c r="R138" s="58"/>
    </row>
    <row r="139" spans="8:8">
      <c r="B139" s="54">
        <v>159.0</v>
      </c>
      <c r="C139" s="8" t="s">
        <v>2528</v>
      </c>
      <c r="D139" s="8" t="s">
        <v>1013</v>
      </c>
      <c r="E139" s="8" t="s">
        <v>1568</v>
      </c>
      <c r="F139" s="8" t="s">
        <v>92</v>
      </c>
      <c r="G139" s="8"/>
      <c r="H139" s="8" t="s">
        <v>1568</v>
      </c>
      <c r="I139" s="55" t="s">
        <v>3608</v>
      </c>
      <c r="J139" s="60" t="s">
        <v>7941</v>
      </c>
      <c r="K139" s="22">
        <v>1.0</v>
      </c>
      <c r="L139" s="22">
        <f>+SUMIF('حركه المخزن الرئيسي اليوميه'!$F:$F,$H$107:$H$153,'حركه المخزن الرئيسي اليوميه'!$H:$H)</f>
        <v>0.0</v>
      </c>
      <c r="M139" s="22">
        <f>+SUMIF('حركه المخزن الرئيسي اليوميه'!$F:$F,$H$107:$H$153,'حركه المخزن الرئيسي اليوميه'!$I:$I)</f>
        <v>0.0</v>
      </c>
      <c r="N139" s="22">
        <f t="shared" si="35"/>
        <v>1.0</v>
      </c>
      <c r="O139" s="22">
        <f t="shared" si="36"/>
        <v>1.0</v>
      </c>
      <c r="P139" s="22">
        <f t="shared" si="34"/>
        <v>0.0</v>
      </c>
      <c r="Q139" s="57"/>
      <c r="R139" s="58"/>
    </row>
    <row r="140" spans="8:8">
      <c r="B140" s="54">
        <v>160.0</v>
      </c>
      <c r="C140" s="8" t="s">
        <v>2528</v>
      </c>
      <c r="D140" s="8" t="s">
        <v>1013</v>
      </c>
      <c r="E140" s="8" t="s">
        <v>1567</v>
      </c>
      <c r="F140" s="8" t="s">
        <v>92</v>
      </c>
      <c r="G140" s="8"/>
      <c r="H140" s="8" t="s">
        <v>1567</v>
      </c>
      <c r="I140" s="55" t="s">
        <v>3608</v>
      </c>
      <c r="J140" s="60" t="s">
        <v>7942</v>
      </c>
      <c r="K140" s="22">
        <v>2.0</v>
      </c>
      <c r="L140" s="22">
        <f>+SUMIF('حركه المخزن الرئيسي اليوميه'!$F:$F,$H$107:$H$153,'حركه المخزن الرئيسي اليوميه'!$H:$H)</f>
        <v>0.0</v>
      </c>
      <c r="M140" s="22">
        <f>+SUMIF('حركه المخزن الرئيسي اليوميه'!$F:$F,$H$107:$H$153,'حركه المخزن الرئيسي اليوميه'!$I:$I)</f>
        <v>0.0</v>
      </c>
      <c r="N140" s="22">
        <f t="shared" si="35"/>
        <v>2.0</v>
      </c>
      <c r="O140" s="22">
        <f t="shared" si="36"/>
        <v>2.0</v>
      </c>
      <c r="P140" s="22">
        <f t="shared" si="34"/>
        <v>0.0</v>
      </c>
      <c r="Q140" s="57"/>
      <c r="R140" s="58"/>
    </row>
    <row r="141" spans="8:8">
      <c r="B141" s="54">
        <v>161.0</v>
      </c>
      <c r="C141" s="8" t="s">
        <v>2528</v>
      </c>
      <c r="D141" s="8" t="s">
        <v>1013</v>
      </c>
      <c r="E141" s="8" t="s">
        <v>1930</v>
      </c>
      <c r="F141" s="8" t="s">
        <v>1573</v>
      </c>
      <c r="G141" s="8" t="s">
        <v>1931</v>
      </c>
      <c r="H141" s="8" t="s">
        <v>1930</v>
      </c>
      <c r="I141" s="8" t="s">
        <v>3615</v>
      </c>
      <c r="J141" s="60" t="s">
        <v>7943</v>
      </c>
      <c r="K141" s="22">
        <v>2.0</v>
      </c>
      <c r="L141" s="22">
        <f>+SUMIF('حركه المخزن الرئيسي اليوميه'!$F:$F,$H$107:$H$153,'حركه المخزن الرئيسي اليوميه'!$H:$H)</f>
        <v>0.0</v>
      </c>
      <c r="M141" s="22">
        <f>+SUMIF('حركه المخزن الرئيسي اليوميه'!$F:$F,$H$107:$H$153,'حركه المخزن الرئيسي اليوميه'!$I:$I)</f>
        <v>0.0</v>
      </c>
      <c r="N141" s="22">
        <f t="shared" si="35"/>
        <v>2.0</v>
      </c>
      <c r="O141" s="22">
        <f t="shared" si="36"/>
        <v>2.0</v>
      </c>
      <c r="P141" s="22">
        <f t="shared" si="34"/>
        <v>0.0</v>
      </c>
      <c r="Q141" s="8"/>
      <c r="R141" s="8" t="s">
        <v>3615</v>
      </c>
    </row>
    <row r="142" spans="8:8">
      <c r="B142" s="54">
        <v>162.0</v>
      </c>
      <c r="C142" s="8" t="s">
        <v>2528</v>
      </c>
      <c r="D142" s="8" t="s">
        <v>1013</v>
      </c>
      <c r="E142" s="8" t="s">
        <v>1928</v>
      </c>
      <c r="F142" s="8" t="s">
        <v>1573</v>
      </c>
      <c r="G142" s="8" t="s">
        <v>1929</v>
      </c>
      <c r="H142" s="8" t="s">
        <v>1928</v>
      </c>
      <c r="I142" s="8" t="s">
        <v>3615</v>
      </c>
      <c r="J142" s="60" t="s">
        <v>7944</v>
      </c>
      <c r="K142" s="22">
        <v>3.0</v>
      </c>
      <c r="L142" s="22">
        <f>+SUMIF('حركه المخزن الرئيسي اليوميه'!$F:$F,$H$107:$H$153,'حركه المخزن الرئيسي اليوميه'!$H:$H)</f>
        <v>0.0</v>
      </c>
      <c r="M142" s="22">
        <f>+SUMIF('حركه المخزن الرئيسي اليوميه'!$F:$F,$H$107:$H$153,'حركه المخزن الرئيسي اليوميه'!$I:$I)</f>
        <v>0.0</v>
      </c>
      <c r="N142" s="22">
        <f t="shared" si="35"/>
        <v>3.0</v>
      </c>
      <c r="O142" s="22">
        <f t="shared" si="36"/>
        <v>3.0</v>
      </c>
      <c r="P142" s="22">
        <f t="shared" si="34"/>
        <v>0.0</v>
      </c>
      <c r="Q142" s="8"/>
      <c r="R142" s="8" t="s">
        <v>3615</v>
      </c>
    </row>
    <row r="143" spans="8:8">
      <c r="B143" s="54">
        <v>163.0</v>
      </c>
      <c r="C143" s="8" t="s">
        <v>2528</v>
      </c>
      <c r="D143" s="8" t="s">
        <v>1013</v>
      </c>
      <c r="E143" s="8" t="s">
        <v>1932</v>
      </c>
      <c r="F143" s="8" t="s">
        <v>1573</v>
      </c>
      <c r="G143" s="8" t="s">
        <v>1933</v>
      </c>
      <c r="H143" s="8" t="s">
        <v>1932</v>
      </c>
      <c r="I143" s="8" t="s">
        <v>3615</v>
      </c>
      <c r="J143" s="60" t="s">
        <v>7945</v>
      </c>
      <c r="K143" s="22">
        <v>0.0</v>
      </c>
      <c r="L143" s="22">
        <f>+SUMIF('حركه المخزن الرئيسي اليوميه'!$F:$F,$H$107:$H$153,'حركه المخزن الرئيسي اليوميه'!$H:$H)</f>
        <v>0.0</v>
      </c>
      <c r="M143" s="22">
        <f>+SUMIF('حركه المخزن الرئيسي اليوميه'!$F:$F,$H$107:$H$153,'حركه المخزن الرئيسي اليوميه'!$I:$I)</f>
        <v>0.0</v>
      </c>
      <c r="N143" s="22">
        <f t="shared" si="35"/>
        <v>0.0</v>
      </c>
      <c r="O143" s="22">
        <f t="shared" si="36"/>
        <v>0.0</v>
      </c>
      <c r="P143" s="22">
        <f t="shared" si="34"/>
        <v>0.0</v>
      </c>
      <c r="Q143" s="57"/>
      <c r="R143" s="58"/>
    </row>
    <row r="144" spans="8:8">
      <c r="B144" s="54">
        <v>164.0</v>
      </c>
      <c r="C144" s="8" t="s">
        <v>2528</v>
      </c>
      <c r="D144" s="8" t="s">
        <v>1013</v>
      </c>
      <c r="E144" s="8" t="s">
        <v>1878</v>
      </c>
      <c r="F144" s="8" t="s">
        <v>1501</v>
      </c>
      <c r="G144" s="8" t="s">
        <v>1926</v>
      </c>
      <c r="H144" s="8" t="s">
        <v>1878</v>
      </c>
      <c r="I144" s="55" t="s">
        <v>3608</v>
      </c>
      <c r="J144" s="60" t="s">
        <v>7946</v>
      </c>
      <c r="K144" s="22">
        <v>2.0</v>
      </c>
      <c r="L144" s="22">
        <f>+SUMIF('حركه المخزن الرئيسي اليوميه'!$F:$F,$H$107:$H$153,'حركه المخزن الرئيسي اليوميه'!$H:$H)</f>
        <v>0.0</v>
      </c>
      <c r="M144" s="22">
        <f>+SUMIF('حركه المخزن الرئيسي اليوميه'!$F:$F,$H$107:$H$153,'حركه المخزن الرئيسي اليوميه'!$I:$I)</f>
        <v>0.0</v>
      </c>
      <c r="N144" s="22">
        <f t="shared" si="35"/>
        <v>2.0</v>
      </c>
      <c r="O144" s="22">
        <f t="shared" si="36"/>
        <v>2.0</v>
      </c>
      <c r="P144" s="22">
        <f t="shared" si="34"/>
        <v>0.0</v>
      </c>
      <c r="Q144" s="57"/>
      <c r="R144" s="58"/>
    </row>
    <row r="145" spans="8:8">
      <c r="B145" s="54">
        <v>165.0</v>
      </c>
      <c r="C145" s="8" t="s">
        <v>2528</v>
      </c>
      <c r="D145" s="8" t="s">
        <v>1013</v>
      </c>
      <c r="E145" s="8" t="s">
        <v>1879</v>
      </c>
      <c r="F145" s="8" t="s">
        <v>1501</v>
      </c>
      <c r="G145" s="8" t="s">
        <v>1926</v>
      </c>
      <c r="H145" s="8" t="s">
        <v>1879</v>
      </c>
      <c r="I145" s="55" t="s">
        <v>3609</v>
      </c>
      <c r="J145" s="60" t="s">
        <v>7947</v>
      </c>
      <c r="K145" s="22">
        <v>0.0</v>
      </c>
      <c r="L145" s="22">
        <f>+SUMIF('حركه المخزن الرئيسي اليوميه'!$F:$F,$H$107:$H$153,'حركه المخزن الرئيسي اليوميه'!$H:$H)</f>
        <v>0.0</v>
      </c>
      <c r="M145" s="22">
        <f>+SUMIF('حركه المخزن الرئيسي اليوميه'!$F:$F,$H$107:$H$153,'حركه المخزن الرئيسي اليوميه'!$I:$I)</f>
        <v>0.0</v>
      </c>
      <c r="N145" s="22">
        <f t="shared" si="35"/>
        <v>0.0</v>
      </c>
      <c r="O145" s="22">
        <f t="shared" si="36"/>
        <v>0.0</v>
      </c>
      <c r="P145" s="22">
        <f t="shared" si="34"/>
        <v>0.0</v>
      </c>
      <c r="Q145" s="57"/>
      <c r="R145" s="58"/>
    </row>
    <row r="146" spans="8:8">
      <c r="B146" s="54">
        <v>166.0</v>
      </c>
      <c r="C146" s="8" t="s">
        <v>2745</v>
      </c>
      <c r="D146" s="8" t="s">
        <v>820</v>
      </c>
      <c r="E146" s="8" t="s">
        <v>1070</v>
      </c>
      <c r="F146" s="8" t="s">
        <v>68</v>
      </c>
      <c r="G146" s="8" t="s">
        <v>1938</v>
      </c>
      <c r="H146" s="8" t="s">
        <v>1070</v>
      </c>
      <c r="I146" s="8" t="s">
        <v>2745</v>
      </c>
      <c r="J146" s="60" t="s">
        <v>7948</v>
      </c>
      <c r="K146" s="22">
        <v>124.0</v>
      </c>
      <c r="L146" s="22">
        <f>+SUMIF('حركه المخزن الرئيسي اليوميه'!$F:$F,$H$107:$H$153,'حركه المخزن الرئيسي اليوميه'!$H:$H)</f>
        <v>0.0</v>
      </c>
      <c r="M146" s="22">
        <f>+SUMIF('حركه المخزن الرئيسي اليوميه'!$F:$F,$H$107:$H$153,'حركه المخزن الرئيسي اليوميه'!$I:$I)</f>
        <v>12.0</v>
      </c>
      <c r="N146" s="22">
        <f t="shared" si="35"/>
        <v>112.0</v>
      </c>
      <c r="O146" s="22">
        <f t="shared" si="36"/>
        <v>112.0</v>
      </c>
      <c r="P146" s="22">
        <f t="shared" si="34"/>
        <v>0.0</v>
      </c>
      <c r="Q146" s="8"/>
      <c r="R146" s="8" t="s">
        <v>2745</v>
      </c>
    </row>
    <row r="147" spans="8:8">
      <c r="B147" s="54">
        <v>167.0</v>
      </c>
      <c r="C147" s="8" t="s">
        <v>1132</v>
      </c>
      <c r="D147" s="8" t="s">
        <v>1257</v>
      </c>
      <c r="E147" s="8" t="s">
        <v>3667</v>
      </c>
      <c r="F147" s="8" t="s">
        <v>68</v>
      </c>
      <c r="G147" s="8" t="s">
        <v>1799</v>
      </c>
      <c r="H147" s="8" t="s">
        <v>3668</v>
      </c>
      <c r="I147" s="62" t="s">
        <v>1132</v>
      </c>
      <c r="J147" s="60" t="s">
        <v>7949</v>
      </c>
      <c r="K147" s="22">
        <v>0.0</v>
      </c>
      <c r="L147" s="22">
        <f>+SUMIF('حركه المخزن الرئيسي اليوميه'!$F:$F,$H$107:$H$153,'حركه المخزن الرئيسي اليوميه'!$H:$H)</f>
        <v>0.0</v>
      </c>
      <c r="M147" s="22">
        <f>+SUMIF('حركه المخزن الرئيسي اليوميه'!$F:$F,$H$107:$H$153,'حركه المخزن الرئيسي اليوميه'!$I:$I)</f>
        <v>0.0</v>
      </c>
      <c r="N147" s="22">
        <f t="shared" si="35"/>
        <v>0.0</v>
      </c>
      <c r="O147" s="22">
        <f t="shared" si="36"/>
        <v>0.0</v>
      </c>
      <c r="P147" s="22">
        <f t="shared" si="34"/>
        <v>0.0</v>
      </c>
      <c r="Q147" s="57"/>
      <c r="R147" s="58"/>
    </row>
    <row r="148" spans="8:8">
      <c r="B148" s="54">
        <v>168.0</v>
      </c>
      <c r="C148" s="8" t="s">
        <v>1132</v>
      </c>
      <c r="D148" s="8" t="s">
        <v>1486</v>
      </c>
      <c r="E148" s="8" t="s">
        <v>2729</v>
      </c>
      <c r="F148" s="8" t="s">
        <v>68</v>
      </c>
      <c r="G148" s="8"/>
      <c r="H148" s="8" t="s">
        <v>2729</v>
      </c>
      <c r="I148" s="8" t="s">
        <v>1132</v>
      </c>
      <c r="J148" s="60" t="s">
        <v>7950</v>
      </c>
      <c r="K148" s="22">
        <v>2.0</v>
      </c>
      <c r="L148" s="22">
        <f>+SUMIF('حركه المخزن الرئيسي اليوميه'!$F:$F,$H$107:$H$153,'حركه المخزن الرئيسي اليوميه'!$H:$H)</f>
        <v>0.0</v>
      </c>
      <c r="M148" s="22">
        <f>+SUMIF('حركه المخزن الرئيسي اليوميه'!$F:$F,$H$107:$H$153,'حركه المخزن الرئيسي اليوميه'!$I:$I)</f>
        <v>2.0</v>
      </c>
      <c r="N148" s="22">
        <f t="shared" si="35"/>
        <v>0.0</v>
      </c>
      <c r="O148" s="22">
        <f t="shared" si="36"/>
        <v>0.0</v>
      </c>
      <c r="P148" s="22">
        <f t="shared" si="34"/>
        <v>0.0</v>
      </c>
      <c r="Q148" s="8"/>
      <c r="R148" s="58"/>
    </row>
    <row r="149" spans="8:8">
      <c r="B149" s="54">
        <v>169.0</v>
      </c>
      <c r="C149" s="8" t="s">
        <v>1132</v>
      </c>
      <c r="D149" s="8" t="s">
        <v>3669</v>
      </c>
      <c r="E149" s="8" t="s">
        <v>2760</v>
      </c>
      <c r="F149" s="8" t="s">
        <v>2761</v>
      </c>
      <c r="G149" s="8"/>
      <c r="H149" s="8" t="s">
        <v>2760</v>
      </c>
      <c r="I149" s="55" t="s">
        <v>1132</v>
      </c>
      <c r="J149" s="60" t="s">
        <v>7951</v>
      </c>
      <c r="K149" s="22">
        <v>0.0</v>
      </c>
      <c r="L149" s="22">
        <f>+SUMIF('حركه المخزن الرئيسي اليوميه'!$F:$F,$H$107:$H$153,'حركه المخزن الرئيسي اليوميه'!$H:$H)</f>
        <v>0.0</v>
      </c>
      <c r="M149" s="22">
        <f>+SUMIF('حركه المخزن الرئيسي اليوميه'!$F:$F,$H$107:$H$153,'حركه المخزن الرئيسي اليوميه'!$I:$I)</f>
        <v>0.0</v>
      </c>
      <c r="N149" s="22">
        <f t="shared" si="35"/>
        <v>0.0</v>
      </c>
      <c r="O149" s="22">
        <f t="shared" si="36"/>
        <v>0.0</v>
      </c>
      <c r="P149" s="22">
        <f t="shared" si="34"/>
        <v>0.0</v>
      </c>
      <c r="Q149" s="57"/>
      <c r="R149" s="58"/>
    </row>
    <row r="150" spans="8:8">
      <c r="B150" s="54">
        <v>170.0</v>
      </c>
      <c r="C150" s="8" t="s">
        <v>1132</v>
      </c>
      <c r="D150" s="8" t="s">
        <v>3665</v>
      </c>
      <c r="E150" s="8" t="s">
        <v>2590</v>
      </c>
      <c r="F150" s="8" t="s">
        <v>68</v>
      </c>
      <c r="G150" s="8" t="s">
        <v>2316</v>
      </c>
      <c r="H150" s="8" t="s">
        <v>2590</v>
      </c>
      <c r="I150" s="55" t="s">
        <v>1132</v>
      </c>
      <c r="J150" s="60" t="s">
        <v>7952</v>
      </c>
      <c r="K150" s="22">
        <v>5.0</v>
      </c>
      <c r="L150" s="22">
        <f>+SUMIF('حركه المخزن الرئيسي اليوميه'!$F:$F,$H$107:$H$153,'حركه المخزن الرئيسي اليوميه'!$H:$H)</f>
        <v>0.0</v>
      </c>
      <c r="M150" s="22">
        <f>+SUMIF('حركه المخزن الرئيسي اليوميه'!$F:$F,$H$107:$H$153,'حركه المخزن الرئيسي اليوميه'!$I:$I)</f>
        <v>1.0</v>
      </c>
      <c r="N150" s="22">
        <f t="shared" si="35"/>
        <v>4.0</v>
      </c>
      <c r="O150" s="22">
        <f t="shared" si="36"/>
        <v>4.0</v>
      </c>
      <c r="P150" s="22">
        <f t="shared" si="34"/>
        <v>0.0</v>
      </c>
      <c r="Q150" s="55"/>
      <c r="R150" s="58"/>
    </row>
    <row r="151" spans="8:8">
      <c r="B151" s="54">
        <v>172.0</v>
      </c>
      <c r="C151" s="8" t="s">
        <v>2957</v>
      </c>
      <c r="D151" s="8"/>
      <c r="E151" s="8"/>
      <c r="F151" s="8"/>
      <c r="G151" s="8"/>
      <c r="H151" s="8"/>
      <c r="I151" s="55"/>
      <c r="J151" s="60" t="s">
        <v>7953</v>
      </c>
      <c r="K151" s="22">
        <v>0.0</v>
      </c>
      <c r="L151" s="22">
        <f>+SUMIF('حركه المخزن الرئيسي اليوميه'!$F:$F,$H$107:$H$153,'حركه المخزن الرئيسي اليوميه'!$H:$H)</f>
        <v>0.0</v>
      </c>
      <c r="M151" s="22">
        <f>+SUMIF('حركه المخزن الرئيسي اليوميه'!$F:$F,$H$107:$H$153,'حركه المخزن الرئيسي اليوميه'!$I:$I)</f>
        <v>0.0</v>
      </c>
      <c r="N151" s="22">
        <f t="shared" si="35"/>
        <v>0.0</v>
      </c>
      <c r="O151" s="22">
        <f t="shared" si="36"/>
        <v>0.0</v>
      </c>
      <c r="P151" s="22">
        <f t="shared" si="34"/>
        <v>0.0</v>
      </c>
      <c r="Q151" s="55"/>
      <c r="R151" s="58"/>
    </row>
    <row r="152" spans="8:8">
      <c r="B152" s="54">
        <v>173.0</v>
      </c>
      <c r="C152" s="8" t="s">
        <v>2958</v>
      </c>
      <c r="D152" s="8" t="s">
        <v>1013</v>
      </c>
      <c r="E152" s="8" t="s">
        <v>1888</v>
      </c>
      <c r="F152" s="8" t="s">
        <v>92</v>
      </c>
      <c r="G152" s="8" t="s">
        <v>2487</v>
      </c>
      <c r="H152" s="8" t="s">
        <v>1888</v>
      </c>
      <c r="I152" s="55" t="s">
        <v>3616</v>
      </c>
      <c r="J152" s="60" t="s">
        <v>7954</v>
      </c>
      <c r="K152" s="22">
        <v>0.0</v>
      </c>
      <c r="L152" s="22">
        <f>+SUMIF('حركه المخزن الرئيسي اليوميه'!$F:$F,$H$107:$H$153,'حركه المخزن الرئيسي اليوميه'!$H:$H)</f>
        <v>0.0</v>
      </c>
      <c r="M152" s="22">
        <f>+SUMIF('حركه المخزن الرئيسي اليوميه'!$F:$F,$H$107:$H$153,'حركه المخزن الرئيسي اليوميه'!$I:$I)</f>
        <v>0.0</v>
      </c>
      <c r="N152" s="22">
        <f t="shared" si="35"/>
        <v>0.0</v>
      </c>
      <c r="O152" s="22">
        <f t="shared" si="36"/>
        <v>0.0</v>
      </c>
      <c r="P152" s="22">
        <f t="shared" si="34"/>
        <v>0.0</v>
      </c>
      <c r="Q152" s="57"/>
      <c r="R152" s="58"/>
    </row>
    <row r="153" spans="8:8">
      <c r="B153" s="54">
        <v>174.0</v>
      </c>
      <c r="C153" s="8" t="s">
        <v>2958</v>
      </c>
      <c r="D153" s="8" t="s">
        <v>1013</v>
      </c>
      <c r="E153" s="63" t="s">
        <v>1889</v>
      </c>
      <c r="F153" s="8" t="s">
        <v>1501</v>
      </c>
      <c r="G153" s="8" t="s">
        <v>2488</v>
      </c>
      <c r="H153" s="63" t="s">
        <v>1889</v>
      </c>
      <c r="I153" s="55" t="s">
        <v>2958</v>
      </c>
      <c r="J153" s="60" t="s">
        <v>7955</v>
      </c>
      <c r="K153" s="22">
        <v>0.0</v>
      </c>
      <c r="L153" s="22">
        <f>+SUMIF('حركه المخزن الرئيسي اليوميه'!$F:$F,$H$107:$H$153,'حركه المخزن الرئيسي اليوميه'!$H:$H)</f>
        <v>0.0</v>
      </c>
      <c r="M153" s="22">
        <f>+SUMIF('حركه المخزن الرئيسي اليوميه'!$F:$F,$H$107:$H$153,'حركه المخزن الرئيسي اليوميه'!$I:$I)</f>
        <v>0.0</v>
      </c>
      <c r="N153" s="22">
        <f t="shared" si="35"/>
        <v>0.0</v>
      </c>
      <c r="O153" s="22">
        <v>0.0</v>
      </c>
      <c r="P153" s="22">
        <f t="shared" si="34"/>
        <v>0.0</v>
      </c>
      <c r="Q153" s="57"/>
      <c r="R153" s="58"/>
    </row>
    <row r="154" spans="8:8">
      <c r="B154" s="54">
        <v>175.0</v>
      </c>
      <c r="C154" s="8" t="s">
        <v>1444</v>
      </c>
      <c r="D154" s="8" t="s">
        <v>3670</v>
      </c>
      <c r="E154" s="8" t="s">
        <v>3009</v>
      </c>
      <c r="F154" s="8" t="s">
        <v>1501</v>
      </c>
      <c r="G154" s="8"/>
      <c r="H154" s="64" t="s">
        <v>3010</v>
      </c>
      <c r="I154" s="55" t="s">
        <v>1444</v>
      </c>
      <c r="J154" s="60" t="s">
        <v>7956</v>
      </c>
      <c r="K154" s="22">
        <v>0.0</v>
      </c>
      <c r="L154" s="22">
        <f>+SUMIF('حركه المخزن الرئيسي اليوميه'!$F:$F,$H:$H,'حركه المخزن الرئيسي اليوميه'!$H:$H)</f>
        <v>0.0</v>
      </c>
      <c r="M154" s="22">
        <f>+SUMIF('حركه المخزن الرئيسي اليوميه'!$F:$F,$H:$H,'حركه المخزن الرئيسي اليوميه'!$I:$I)</f>
        <v>0.0</v>
      </c>
      <c r="N154" s="22">
        <f t="shared" si="35"/>
        <v>0.0</v>
      </c>
      <c r="O154" s="22">
        <f t="shared" si="28"/>
        <v>0.0</v>
      </c>
      <c r="P154" s="22">
        <f t="shared" si="29"/>
        <v>0.0</v>
      </c>
      <c r="Q154" s="57"/>
      <c r="R154" s="58"/>
    </row>
    <row r="155" spans="8:8">
      <c r="B155" s="54">
        <v>177.0</v>
      </c>
      <c r="C155" s="8"/>
      <c r="D155" s="8" t="s">
        <v>820</v>
      </c>
      <c r="E155" s="8" t="s">
        <v>3044</v>
      </c>
      <c r="F155" s="8" t="s">
        <v>1501</v>
      </c>
      <c r="G155" s="8"/>
      <c r="H155" s="8" t="s">
        <v>3044</v>
      </c>
      <c r="I155" s="55"/>
      <c r="J155" s="60" t="s">
        <v>7957</v>
      </c>
      <c r="K155" s="22">
        <v>0.0</v>
      </c>
      <c r="L155" s="22">
        <f>+SUMIF('حركه المخزن الرئيسي اليوميه'!$F:$F,$H:$H,'حركه المخزن الرئيسي اليوميه'!$H:$H)</f>
        <v>0.0</v>
      </c>
      <c r="M155" s="22">
        <f>+SUMIF('حركه المخزن الرئيسي اليوميه'!$F:$F,$H:$H,'حركه المخزن الرئيسي اليوميه'!$I:$I)</f>
        <v>0.0</v>
      </c>
      <c r="N155" s="22">
        <f t="shared" si="35"/>
        <v>0.0</v>
      </c>
      <c r="O155" s="22">
        <f t="shared" si="28"/>
        <v>0.0</v>
      </c>
      <c r="P155" s="22">
        <f t="shared" si="29"/>
        <v>0.0</v>
      </c>
      <c r="Q155" s="57"/>
      <c r="R155" s="58"/>
    </row>
    <row r="156" spans="8:8">
      <c r="B156" s="54">
        <v>178.0</v>
      </c>
      <c r="C156" s="8" t="s">
        <v>814</v>
      </c>
      <c r="D156" s="8" t="s">
        <v>820</v>
      </c>
      <c r="E156" s="8" t="s">
        <v>3045</v>
      </c>
      <c r="F156" s="8" t="s">
        <v>1501</v>
      </c>
      <c r="G156" s="8"/>
      <c r="H156" s="8" t="s">
        <v>3045</v>
      </c>
      <c r="I156" s="55" t="s">
        <v>3608</v>
      </c>
      <c r="J156" s="60" t="s">
        <v>7958</v>
      </c>
      <c r="K156" s="22">
        <v>3.0</v>
      </c>
      <c r="L156" s="22">
        <f>+SUMIF('حركه المخزن الرئيسي اليوميه'!$F:$F,$H:$H,'حركه المخزن الرئيسي اليوميه'!$H:$H)</f>
        <v>0.0</v>
      </c>
      <c r="M156" s="22">
        <f>+SUMIF('حركه المخزن الرئيسي اليوميه'!$F:$F,$H:$H,'حركه المخزن الرئيسي اليوميه'!$I:$I)</f>
        <v>0.0</v>
      </c>
      <c r="N156" s="22">
        <f t="shared" si="30"/>
        <v>3.0</v>
      </c>
      <c r="O156" s="22">
        <f t="shared" si="28"/>
        <v>3.0</v>
      </c>
      <c r="P156" s="22">
        <f t="shared" si="29"/>
        <v>0.0</v>
      </c>
      <c r="Q156" s="57"/>
      <c r="R156" s="58"/>
    </row>
    <row r="157" spans="8:8">
      <c r="B157" s="54">
        <v>179.0</v>
      </c>
      <c r="C157" s="8"/>
      <c r="D157" s="8" t="s">
        <v>3486</v>
      </c>
      <c r="E157" s="8" t="s">
        <v>3046</v>
      </c>
      <c r="F157" s="8" t="s">
        <v>1501</v>
      </c>
      <c r="G157" s="8"/>
      <c r="H157" s="8" t="s">
        <v>3046</v>
      </c>
      <c r="I157" s="55"/>
      <c r="J157" s="60" t="s">
        <v>7959</v>
      </c>
      <c r="K157" s="22">
        <v>0.0</v>
      </c>
      <c r="L157" s="22">
        <f>+SUMIF('حركه المخزن الرئيسي اليوميه'!$F:$F,$H:$H,'حركه المخزن الرئيسي اليوميه'!$H:$H)</f>
        <v>0.0</v>
      </c>
      <c r="M157" s="22">
        <f>+SUMIF('حركه المخزن الرئيسي اليوميه'!$F:$F,$H:$H,'حركه المخزن الرئيسي اليوميه'!$I:$I)</f>
        <v>0.0</v>
      </c>
      <c r="N157" s="22">
        <f t="shared" si="37" ref="N157">+K157+L157-M157</f>
        <v>0.0</v>
      </c>
      <c r="O157" s="22">
        <f t="shared" si="38" ref="O157:O178">+N157</f>
        <v>0.0</v>
      </c>
      <c r="P157" s="22">
        <f t="shared" si="29"/>
        <v>0.0</v>
      </c>
      <c r="Q157" s="57"/>
      <c r="R157" s="58"/>
    </row>
    <row r="158" spans="8:8" ht="18.0" customHeight="1">
      <c r="B158" s="54">
        <v>180.0</v>
      </c>
      <c r="C158" s="8" t="s">
        <v>814</v>
      </c>
      <c r="D158" s="8" t="s">
        <v>3486</v>
      </c>
      <c r="E158" s="8" t="s">
        <v>3047</v>
      </c>
      <c r="F158" s="8" t="s">
        <v>1501</v>
      </c>
      <c r="G158" s="8"/>
      <c r="H158" s="8" t="s">
        <v>3047</v>
      </c>
      <c r="I158" s="55" t="s">
        <v>3608</v>
      </c>
      <c r="J158" s="60" t="s">
        <v>7960</v>
      </c>
      <c r="K158" s="22">
        <v>11.0</v>
      </c>
      <c r="L158" s="22">
        <f>+SUMIF('حركه المخزن الرئيسي اليوميه'!$F:$F,$H:$H,'حركه المخزن الرئيسي اليوميه'!$H:$H)</f>
        <v>0.0</v>
      </c>
      <c r="M158" s="22">
        <f>+SUMIF('حركه المخزن الرئيسي اليوميه'!$F:$F,$H:$H,'حركه المخزن الرئيسي اليوميه'!$I:$I)</f>
        <v>1.0</v>
      </c>
      <c r="N158" s="22">
        <f t="shared" si="39" ref="N158:N179">+K158+L158-M158</f>
        <v>10.0</v>
      </c>
      <c r="O158" s="22">
        <f t="shared" si="38"/>
        <v>10.0</v>
      </c>
      <c r="P158" s="22">
        <f t="shared" si="29"/>
        <v>0.0</v>
      </c>
      <c r="Q158" s="57"/>
      <c r="R158" s="58"/>
    </row>
    <row r="159" spans="8:8">
      <c r="B159" s="54">
        <v>181.0</v>
      </c>
      <c r="C159" s="8" t="s">
        <v>814</v>
      </c>
      <c r="D159" s="8" t="s">
        <v>820</v>
      </c>
      <c r="E159" s="8" t="s">
        <v>3048</v>
      </c>
      <c r="F159" s="8" t="s">
        <v>1501</v>
      </c>
      <c r="G159" s="8"/>
      <c r="H159" s="8" t="s">
        <v>3048</v>
      </c>
      <c r="I159" s="55"/>
      <c r="J159" s="60" t="s">
        <v>7961</v>
      </c>
      <c r="K159" s="22">
        <v>0.0</v>
      </c>
      <c r="L159" s="22">
        <f>+SUMIF('حركه المخزن الرئيسي اليوميه'!$F:$F,$H:$H,'حركه المخزن الرئيسي اليوميه'!$H:$H)</f>
        <v>0.0</v>
      </c>
      <c r="M159" s="22">
        <f>+SUMIF('حركه المخزن الرئيسي اليوميه'!$F:$F,$H:$H,'حركه المخزن الرئيسي اليوميه'!$I:$I)</f>
        <v>0.0</v>
      </c>
      <c r="N159" s="22">
        <f t="shared" si="39"/>
        <v>0.0</v>
      </c>
      <c r="O159" s="22">
        <f t="shared" si="38"/>
        <v>0.0</v>
      </c>
      <c r="P159" s="22">
        <f t="shared" si="29"/>
        <v>0.0</v>
      </c>
      <c r="Q159" s="57"/>
      <c r="R159" s="58"/>
    </row>
    <row r="160" spans="8:8">
      <c r="B160" s="54">
        <v>182.0</v>
      </c>
      <c r="C160" s="8" t="s">
        <v>814</v>
      </c>
      <c r="D160" s="8" t="s">
        <v>820</v>
      </c>
      <c r="E160" s="8" t="s">
        <v>3049</v>
      </c>
      <c r="F160" s="8" t="s">
        <v>389</v>
      </c>
      <c r="G160" s="8"/>
      <c r="H160" s="8" t="s">
        <v>3049</v>
      </c>
      <c r="I160" s="55" t="s">
        <v>3608</v>
      </c>
      <c r="J160" s="60" t="s">
        <v>7962</v>
      </c>
      <c r="K160" s="22">
        <v>0.0</v>
      </c>
      <c r="L160" s="22">
        <f>+SUMIF('حركه المخزن الرئيسي اليوميه'!$F:$F,$H:$H,'حركه المخزن الرئيسي اليوميه'!$H:$H)</f>
        <v>0.0</v>
      </c>
      <c r="M160" s="22">
        <f>+SUMIF('حركه المخزن الرئيسي اليوميه'!$F:$F,$H:$H,'حركه المخزن الرئيسي اليوميه'!$I:$I)</f>
        <v>0.0</v>
      </c>
      <c r="N160" s="22">
        <f t="shared" si="39"/>
        <v>0.0</v>
      </c>
      <c r="O160" s="22">
        <f t="shared" si="38"/>
        <v>0.0</v>
      </c>
      <c r="P160" s="22">
        <f t="shared" si="29"/>
        <v>0.0</v>
      </c>
      <c r="Q160" s="57"/>
      <c r="R160" s="58"/>
    </row>
    <row r="161" spans="8:8">
      <c r="B161" s="54">
        <v>183.0</v>
      </c>
      <c r="C161" s="8" t="s">
        <v>814</v>
      </c>
      <c r="D161" s="8" t="s">
        <v>820</v>
      </c>
      <c r="E161" s="8" t="s">
        <v>3050</v>
      </c>
      <c r="F161" s="8" t="s">
        <v>389</v>
      </c>
      <c r="G161" s="8"/>
      <c r="H161" s="8" t="s">
        <v>3050</v>
      </c>
      <c r="I161" s="55" t="s">
        <v>2528</v>
      </c>
      <c r="J161" s="60" t="s">
        <v>7963</v>
      </c>
      <c r="K161" s="22">
        <v>0.0</v>
      </c>
      <c r="L161" s="22">
        <f>+SUMIF('حركه المخزن الرئيسي اليوميه'!$F:$F,$H:$H,'حركه المخزن الرئيسي اليوميه'!$H:$H)</f>
        <v>0.0</v>
      </c>
      <c r="M161" s="22">
        <f>+SUMIF('حركه المخزن الرئيسي اليوميه'!$F:$F,$H:$H,'حركه المخزن الرئيسي اليوميه'!$I:$I)</f>
        <v>0.0</v>
      </c>
      <c r="N161" s="22">
        <f t="shared" si="39"/>
        <v>0.0</v>
      </c>
      <c r="O161" s="22">
        <f t="shared" si="38"/>
        <v>0.0</v>
      </c>
      <c r="P161" s="22">
        <f t="shared" si="29"/>
        <v>0.0</v>
      </c>
      <c r="Q161" s="57"/>
      <c r="R161" s="58"/>
    </row>
    <row r="162" spans="8:8">
      <c r="B162" s="54">
        <v>184.0</v>
      </c>
      <c r="C162" s="8" t="s">
        <v>814</v>
      </c>
      <c r="D162" s="8" t="s">
        <v>820</v>
      </c>
      <c r="E162" s="8" t="s">
        <v>3051</v>
      </c>
      <c r="F162" s="8" t="s">
        <v>389</v>
      </c>
      <c r="G162" s="8"/>
      <c r="H162" s="8" t="s">
        <v>3051</v>
      </c>
      <c r="I162" s="55" t="s">
        <v>3608</v>
      </c>
      <c r="J162" s="60" t="s">
        <v>7964</v>
      </c>
      <c r="K162" s="22">
        <v>19.0</v>
      </c>
      <c r="L162" s="22">
        <f>+SUMIF('حركه المخزن الرئيسي اليوميه'!$F:$F,$H:$H,'حركه المخزن الرئيسي اليوميه'!$H:$H)</f>
        <v>0.0</v>
      </c>
      <c r="M162" s="22">
        <f>+SUMIF('حركه المخزن الرئيسي اليوميه'!$F:$F,$H:$H,'حركه المخزن الرئيسي اليوميه'!$I:$I)</f>
        <v>0.0</v>
      </c>
      <c r="N162" s="22">
        <v>19.0</v>
      </c>
      <c r="O162" s="22">
        <f t="shared" si="38"/>
        <v>19.0</v>
      </c>
      <c r="P162" s="22">
        <f t="shared" si="29"/>
        <v>0.0</v>
      </c>
      <c r="Q162" s="57"/>
      <c r="R162" s="58"/>
    </row>
    <row r="163" spans="8:8">
      <c r="B163" s="54">
        <v>185.0</v>
      </c>
      <c r="C163" s="8" t="s">
        <v>814</v>
      </c>
      <c r="D163" s="8" t="s">
        <v>820</v>
      </c>
      <c r="E163" s="8" t="s">
        <v>3052</v>
      </c>
      <c r="F163" s="8" t="s">
        <v>389</v>
      </c>
      <c r="G163" s="8"/>
      <c r="H163" s="8" t="s">
        <v>3052</v>
      </c>
      <c r="I163" s="55" t="s">
        <v>3608</v>
      </c>
      <c r="J163" s="60" t="s">
        <v>7965</v>
      </c>
      <c r="K163" s="22">
        <v>9.0</v>
      </c>
      <c r="L163" s="22">
        <f>+SUMIF('حركه المخزن الرئيسي اليوميه'!$F:$F,$H:$H,'حركه المخزن الرئيسي اليوميه'!$H:$H)</f>
        <v>0.0</v>
      </c>
      <c r="M163" s="22">
        <f>+SUMIF('حركه المخزن الرئيسي اليوميه'!$F:$F,$H:$H,'حركه المخزن الرئيسي اليوميه'!$I:$I)</f>
        <v>0.0</v>
      </c>
      <c r="N163" s="22">
        <f t="shared" si="39"/>
        <v>9.0</v>
      </c>
      <c r="O163" s="22">
        <f t="shared" si="38"/>
        <v>9.0</v>
      </c>
      <c r="P163" s="22">
        <f t="shared" si="29"/>
        <v>0.0</v>
      </c>
      <c r="Q163" s="57"/>
      <c r="R163" s="58"/>
    </row>
    <row r="164" spans="8:8">
      <c r="B164" s="54">
        <v>186.0</v>
      </c>
      <c r="C164" s="8" t="s">
        <v>814</v>
      </c>
      <c r="D164" s="8" t="s">
        <v>820</v>
      </c>
      <c r="E164" s="8" t="s">
        <v>3053</v>
      </c>
      <c r="F164" s="8" t="s">
        <v>1044</v>
      </c>
      <c r="G164" s="8"/>
      <c r="H164" s="8" t="s">
        <v>3053</v>
      </c>
      <c r="I164" s="55" t="s">
        <v>3608</v>
      </c>
      <c r="J164" s="60" t="s">
        <v>7966</v>
      </c>
      <c r="K164" s="22">
        <v>1.0</v>
      </c>
      <c r="L164" s="22">
        <f>+SUMIF('حركه المخزن الرئيسي اليوميه'!$F:$F,$H:$H,'حركه المخزن الرئيسي اليوميه'!$H:$H)</f>
        <v>0.0</v>
      </c>
      <c r="M164" s="22">
        <f>+SUMIF('حركه المخزن الرئيسي اليوميه'!$F:$F,$H:$H,'حركه المخزن الرئيسي اليوميه'!$I:$I)</f>
        <v>0.0</v>
      </c>
      <c r="N164" s="22">
        <f t="shared" si="39"/>
        <v>1.0</v>
      </c>
      <c r="O164" s="22">
        <f t="shared" si="38"/>
        <v>1.0</v>
      </c>
      <c r="P164" s="22">
        <f t="shared" si="29"/>
        <v>0.0</v>
      </c>
      <c r="Q164" s="55"/>
      <c r="R164" s="58"/>
    </row>
    <row r="165" spans="8:8">
      <c r="B165" s="54">
        <v>187.0</v>
      </c>
      <c r="C165" s="8" t="s">
        <v>814</v>
      </c>
      <c r="D165" s="8" t="s">
        <v>820</v>
      </c>
      <c r="E165" s="8" t="s">
        <v>3054</v>
      </c>
      <c r="F165" s="8" t="s">
        <v>68</v>
      </c>
      <c r="G165" s="8"/>
      <c r="H165" s="8" t="s">
        <v>3054</v>
      </c>
      <c r="I165" s="55" t="s">
        <v>3608</v>
      </c>
      <c r="J165" s="60" t="s">
        <v>7967</v>
      </c>
      <c r="K165" s="22">
        <v>7.0</v>
      </c>
      <c r="L165" s="22">
        <f>+SUMIF('حركه المخزن الرئيسي اليوميه'!$F:$F,$H:$H,'حركه المخزن الرئيسي اليوميه'!$H:$H)</f>
        <v>0.0</v>
      </c>
      <c r="M165" s="22">
        <f>+SUMIF('حركه المخزن الرئيسي اليوميه'!$F:$F,$H:$H,'حركه المخزن الرئيسي اليوميه'!$I:$I)</f>
        <v>1.0</v>
      </c>
      <c r="N165" s="22">
        <f t="shared" si="39"/>
        <v>6.0</v>
      </c>
      <c r="O165" s="22">
        <f t="shared" si="38"/>
        <v>6.0</v>
      </c>
      <c r="P165" s="22">
        <f t="shared" si="29"/>
        <v>0.0</v>
      </c>
      <c r="Q165" s="57"/>
      <c r="R165" s="58"/>
    </row>
    <row r="166" spans="8:8">
      <c r="B166" s="54">
        <v>188.0</v>
      </c>
      <c r="C166" s="8" t="s">
        <v>814</v>
      </c>
      <c r="D166" s="8" t="s">
        <v>820</v>
      </c>
      <c r="E166" s="8" t="s">
        <v>3102</v>
      </c>
      <c r="F166" s="8" t="s">
        <v>68</v>
      </c>
      <c r="G166" s="8"/>
      <c r="H166" s="8" t="s">
        <v>3102</v>
      </c>
      <c r="I166" s="55" t="s">
        <v>3609</v>
      </c>
      <c r="J166" s="60" t="s">
        <v>7968</v>
      </c>
      <c r="K166" s="22">
        <v>3.0</v>
      </c>
      <c r="L166" s="22">
        <f>+SUMIF('حركه المخزن الرئيسي اليوميه'!$F:$F,$H:$H,'حركه المخزن الرئيسي اليوميه'!$H:$H)</f>
        <v>0.0</v>
      </c>
      <c r="M166" s="22">
        <f>+SUMIF('حركه المخزن الرئيسي اليوميه'!$F:$F,$H:$H,'حركه المخزن الرئيسي اليوميه'!$I:$I)</f>
        <v>0.0</v>
      </c>
      <c r="N166" s="22">
        <f t="shared" si="39"/>
        <v>3.0</v>
      </c>
      <c r="O166" s="22">
        <f t="shared" si="38"/>
        <v>3.0</v>
      </c>
      <c r="P166" s="22">
        <f t="shared" si="29"/>
        <v>0.0</v>
      </c>
      <c r="Q166" s="57"/>
      <c r="R166" s="58"/>
    </row>
    <row r="167" spans="8:8">
      <c r="B167" s="54">
        <v>189.0</v>
      </c>
      <c r="C167" s="8" t="s">
        <v>814</v>
      </c>
      <c r="D167" s="8" t="s">
        <v>820</v>
      </c>
      <c r="E167" s="8" t="s">
        <v>3103</v>
      </c>
      <c r="F167" s="8" t="s">
        <v>68</v>
      </c>
      <c r="G167" s="8"/>
      <c r="H167" s="8" t="s">
        <v>3103</v>
      </c>
      <c r="I167" s="55"/>
      <c r="J167" s="60" t="s">
        <v>7969</v>
      </c>
      <c r="K167" s="22">
        <v>0.0</v>
      </c>
      <c r="L167" s="22">
        <f>+SUMIF('حركه المخزن الرئيسي اليوميه'!$F:$F,$H:$H,'حركه المخزن الرئيسي اليوميه'!$H:$H)</f>
        <v>0.0</v>
      </c>
      <c r="M167" s="22">
        <f>+SUMIF('حركه المخزن الرئيسي اليوميه'!$F:$F,$H:$H,'حركه المخزن الرئيسي اليوميه'!$I:$I)</f>
        <v>0.0</v>
      </c>
      <c r="N167" s="22">
        <f t="shared" si="39"/>
        <v>0.0</v>
      </c>
      <c r="O167" s="22">
        <f t="shared" si="38"/>
        <v>0.0</v>
      </c>
      <c r="P167" s="22">
        <f t="shared" si="29"/>
        <v>0.0</v>
      </c>
      <c r="Q167" s="57"/>
      <c r="R167" s="58"/>
    </row>
    <row r="168" spans="8:8">
      <c r="B168" s="54">
        <v>190.0</v>
      </c>
      <c r="C168" s="8" t="s">
        <v>814</v>
      </c>
      <c r="D168" s="8" t="s">
        <v>820</v>
      </c>
      <c r="E168" s="8" t="s">
        <v>3104</v>
      </c>
      <c r="F168" s="8" t="s">
        <v>92</v>
      </c>
      <c r="G168" s="8"/>
      <c r="H168" s="8" t="s">
        <v>3104</v>
      </c>
      <c r="I168" s="55" t="s">
        <v>3609</v>
      </c>
      <c r="J168" s="60" t="s">
        <v>7970</v>
      </c>
      <c r="K168" s="22">
        <v>1.0</v>
      </c>
      <c r="L168" s="22">
        <f>+SUMIF('حركه المخزن الرئيسي اليوميه'!$F:$F,$H:$H,'حركه المخزن الرئيسي اليوميه'!$H:$H)</f>
        <v>0.0</v>
      </c>
      <c r="M168" s="22">
        <f>+SUMIF('حركه المخزن الرئيسي اليوميه'!$F:$F,$H:$H,'حركه المخزن الرئيسي اليوميه'!$I:$I)</f>
        <v>0.0</v>
      </c>
      <c r="N168" s="22">
        <f t="shared" si="39"/>
        <v>1.0</v>
      </c>
      <c r="O168" s="22">
        <f t="shared" si="38"/>
        <v>1.0</v>
      </c>
      <c r="P168" s="22">
        <f t="shared" si="29"/>
        <v>0.0</v>
      </c>
      <c r="Q168" s="57"/>
      <c r="R168" s="58" t="s">
        <v>3617</v>
      </c>
    </row>
    <row r="169" spans="8:8">
      <c r="B169" s="54">
        <v>191.0</v>
      </c>
      <c r="C169" s="8" t="s">
        <v>814</v>
      </c>
      <c r="D169" s="8" t="s">
        <v>820</v>
      </c>
      <c r="E169" s="8" t="s">
        <v>3131</v>
      </c>
      <c r="F169" s="8" t="s">
        <v>68</v>
      </c>
      <c r="G169" s="8"/>
      <c r="H169" s="8" t="s">
        <v>3131</v>
      </c>
      <c r="I169" s="55" t="s">
        <v>3608</v>
      </c>
      <c r="J169" s="60" t="s">
        <v>7971</v>
      </c>
      <c r="K169" s="22">
        <v>1.0</v>
      </c>
      <c r="L169" s="22">
        <f>+SUMIF('حركه المخزن الرئيسي اليوميه'!$F:$F,$H:$H,'حركه المخزن الرئيسي اليوميه'!$H:$H)</f>
        <v>0.0</v>
      </c>
      <c r="M169" s="22">
        <f>+SUMIF('حركه المخزن الرئيسي اليوميه'!$F:$F,$H:$H,'حركه المخزن الرئيسي اليوميه'!$I:$I)</f>
        <v>0.0</v>
      </c>
      <c r="N169" s="22">
        <f t="shared" si="39"/>
        <v>1.0</v>
      </c>
      <c r="O169" s="22">
        <f t="shared" si="38"/>
        <v>1.0</v>
      </c>
      <c r="P169" s="22">
        <f t="shared" si="29"/>
        <v>0.0</v>
      </c>
      <c r="Q169" s="57"/>
      <c r="R169" s="58"/>
    </row>
    <row r="170" spans="8:8">
      <c r="B170" s="54">
        <v>192.0</v>
      </c>
      <c r="C170" s="8" t="s">
        <v>814</v>
      </c>
      <c r="D170" s="8" t="s">
        <v>820</v>
      </c>
      <c r="E170" s="8" t="s">
        <v>3132</v>
      </c>
      <c r="F170" s="8" t="s">
        <v>68</v>
      </c>
      <c r="G170" s="8"/>
      <c r="H170" s="8" t="s">
        <v>3132</v>
      </c>
      <c r="I170" s="55" t="s">
        <v>3609</v>
      </c>
      <c r="J170" s="60" t="s">
        <v>7972</v>
      </c>
      <c r="K170" s="22">
        <v>4.0</v>
      </c>
      <c r="L170" s="22">
        <f>+SUMIF('حركه المخزن الرئيسي اليوميه'!$F:$F,$H:$H,'حركه المخزن الرئيسي اليوميه'!$H:$H)</f>
        <v>0.0</v>
      </c>
      <c r="M170" s="22">
        <f>+SUMIF('حركه المخزن الرئيسي اليوميه'!$F:$F,$H:$H,'حركه المخزن الرئيسي اليوميه'!$I:$I)</f>
        <v>0.0</v>
      </c>
      <c r="N170" s="22">
        <f t="shared" si="39"/>
        <v>4.0</v>
      </c>
      <c r="O170" s="22">
        <f t="shared" si="38"/>
        <v>4.0</v>
      </c>
      <c r="P170" s="22">
        <f t="shared" si="29"/>
        <v>0.0</v>
      </c>
      <c r="Q170" s="57"/>
      <c r="R170" s="58"/>
    </row>
    <row r="171" spans="8:8">
      <c r="B171" s="54">
        <v>193.0</v>
      </c>
      <c r="C171" s="8" t="s">
        <v>814</v>
      </c>
      <c r="D171" s="8" t="s">
        <v>820</v>
      </c>
      <c r="E171" s="8" t="s">
        <v>3133</v>
      </c>
      <c r="F171" s="8" t="s">
        <v>68</v>
      </c>
      <c r="G171" s="8"/>
      <c r="H171" s="8" t="s">
        <v>3133</v>
      </c>
      <c r="I171" s="55" t="s">
        <v>3608</v>
      </c>
      <c r="J171" s="60" t="s">
        <v>7973</v>
      </c>
      <c r="K171" s="22">
        <v>2.0</v>
      </c>
      <c r="L171" s="22">
        <f>+SUMIF('حركه المخزن الرئيسي اليوميه'!$F:$F,$H:$H,'حركه المخزن الرئيسي اليوميه'!$H:$H)</f>
        <v>0.0</v>
      </c>
      <c r="M171" s="22">
        <f>+SUMIF('حركه المخزن الرئيسي اليوميه'!$F:$F,$H:$H,'حركه المخزن الرئيسي اليوميه'!$I:$I)</f>
        <v>0.0</v>
      </c>
      <c r="N171" s="22">
        <v>2.0</v>
      </c>
      <c r="O171" s="22">
        <f t="shared" si="38"/>
        <v>2.0</v>
      </c>
      <c r="P171" s="22">
        <f t="shared" si="29"/>
        <v>0.0</v>
      </c>
      <c r="Q171" s="57"/>
      <c r="R171" s="58"/>
    </row>
    <row r="172" spans="8:8">
      <c r="B172" s="54">
        <v>194.0</v>
      </c>
      <c r="C172" s="8" t="s">
        <v>814</v>
      </c>
      <c r="D172" s="8" t="s">
        <v>820</v>
      </c>
      <c r="E172" s="8" t="s">
        <v>3134</v>
      </c>
      <c r="F172" s="8" t="s">
        <v>68</v>
      </c>
      <c r="G172" s="8"/>
      <c r="H172" s="8" t="s">
        <v>3134</v>
      </c>
      <c r="I172" s="55" t="s">
        <v>3609</v>
      </c>
      <c r="J172" s="60" t="s">
        <v>7974</v>
      </c>
      <c r="K172" s="22">
        <v>12.0</v>
      </c>
      <c r="L172" s="22">
        <f>+SUMIF('حركه المخزن الرئيسي اليوميه'!$F:$F,$H:$H,'حركه المخزن الرئيسي اليوميه'!$H:$H)</f>
        <v>0.0</v>
      </c>
      <c r="M172" s="22">
        <f>+SUMIF('حركه المخزن الرئيسي اليوميه'!$F:$F,$H:$H,'حركه المخزن الرئيسي اليوميه'!$I:$I)</f>
        <v>0.0</v>
      </c>
      <c r="N172" s="22">
        <f t="shared" si="39"/>
        <v>12.0</v>
      </c>
      <c r="O172" s="22">
        <f t="shared" si="38"/>
        <v>12.0</v>
      </c>
      <c r="P172" s="22">
        <f t="shared" si="29"/>
        <v>0.0</v>
      </c>
      <c r="Q172" s="57"/>
      <c r="R172" s="58"/>
    </row>
    <row r="173" spans="8:8">
      <c r="B173" s="54">
        <v>195.0</v>
      </c>
      <c r="C173" s="8" t="s">
        <v>814</v>
      </c>
      <c r="D173" s="8" t="s">
        <v>820</v>
      </c>
      <c r="E173" s="8" t="s">
        <v>3641</v>
      </c>
      <c r="F173" s="8" t="s">
        <v>68</v>
      </c>
      <c r="G173" s="8"/>
      <c r="H173" s="8" t="s">
        <v>3641</v>
      </c>
      <c r="I173" s="55" t="s">
        <v>3608</v>
      </c>
      <c r="J173" s="60" t="s">
        <v>7975</v>
      </c>
      <c r="K173" s="22">
        <v>0.0</v>
      </c>
      <c r="L173" s="22">
        <f>+SUMIF('حركه المخزن الرئيسي اليوميه'!$F:$F,$H:$H,'حركه المخزن الرئيسي اليوميه'!$H:$H)</f>
        <v>0.0</v>
      </c>
      <c r="M173" s="22">
        <f>+SUMIF('حركه المخزن الرئيسي اليوميه'!$F:$F,$H:$H,'حركه المخزن الرئيسي اليوميه'!$I:$I)</f>
        <v>0.0</v>
      </c>
      <c r="N173" s="22">
        <f t="shared" si="39"/>
        <v>0.0</v>
      </c>
      <c r="O173" s="22">
        <f t="shared" si="38"/>
        <v>0.0</v>
      </c>
      <c r="P173" s="22">
        <f t="shared" si="29"/>
        <v>0.0</v>
      </c>
      <c r="Q173" s="57"/>
      <c r="R173" s="58"/>
    </row>
    <row r="174" spans="8:8">
      <c r="B174" s="54">
        <v>196.0</v>
      </c>
      <c r="C174" s="8" t="s">
        <v>814</v>
      </c>
      <c r="D174" s="8" t="s">
        <v>820</v>
      </c>
      <c r="E174" s="8" t="s">
        <v>3177</v>
      </c>
      <c r="F174" s="8" t="s">
        <v>68</v>
      </c>
      <c r="G174" s="8"/>
      <c r="H174" s="8" t="s">
        <v>3177</v>
      </c>
      <c r="I174" s="55" t="s">
        <v>3609</v>
      </c>
      <c r="J174" s="60" t="s">
        <v>7976</v>
      </c>
      <c r="K174" s="22">
        <v>2.0</v>
      </c>
      <c r="L174" s="22">
        <f>+SUMIF('حركه المخزن الرئيسي اليوميه'!$F:$F,$H:$H,'حركه المخزن الرئيسي اليوميه'!$H:$H)</f>
        <v>0.0</v>
      </c>
      <c r="M174" s="22">
        <f>+SUMIF('حركه المخزن الرئيسي اليوميه'!$F:$F,$H:$H,'حركه المخزن الرئيسي اليوميه'!$I:$I)</f>
        <v>0.0</v>
      </c>
      <c r="N174" s="22">
        <f t="shared" si="39"/>
        <v>2.0</v>
      </c>
      <c r="O174" s="22">
        <f t="shared" si="38"/>
        <v>2.0</v>
      </c>
      <c r="P174" s="22">
        <f t="shared" si="29"/>
        <v>0.0</v>
      </c>
      <c r="Q174" s="57"/>
      <c r="R174" s="58"/>
    </row>
    <row r="175" spans="8:8">
      <c r="B175" s="54">
        <v>197.0</v>
      </c>
      <c r="C175" s="8" t="s">
        <v>814</v>
      </c>
      <c r="D175" s="8" t="s">
        <v>820</v>
      </c>
      <c r="E175" s="8" t="s">
        <v>3178</v>
      </c>
      <c r="F175" s="8" t="s">
        <v>68</v>
      </c>
      <c r="G175" s="8"/>
      <c r="H175" s="8" t="s">
        <v>3178</v>
      </c>
      <c r="I175" s="55" t="s">
        <v>3609</v>
      </c>
      <c r="J175" s="60" t="s">
        <v>7977</v>
      </c>
      <c r="K175" s="22">
        <v>4.0</v>
      </c>
      <c r="L175" s="22">
        <f>+SUMIF('حركه المخزن الرئيسي اليوميه'!$F:$F,$H:$H,'حركه المخزن الرئيسي اليوميه'!$H:$H)</f>
        <v>0.0</v>
      </c>
      <c r="M175" s="22">
        <f>+SUMIF('حركه المخزن الرئيسي اليوميه'!$F:$F,$H:$H,'حركه المخزن الرئيسي اليوميه'!$I:$I)</f>
        <v>0.0</v>
      </c>
      <c r="N175" s="22">
        <f t="shared" si="39"/>
        <v>4.0</v>
      </c>
      <c r="O175" s="22">
        <f t="shared" si="38"/>
        <v>4.0</v>
      </c>
      <c r="P175" s="22">
        <f t="shared" si="29"/>
        <v>0.0</v>
      </c>
      <c r="Q175" s="57"/>
      <c r="R175" s="58"/>
    </row>
    <row r="176" spans="8:8">
      <c r="B176" s="54">
        <v>198.0</v>
      </c>
      <c r="C176" s="8" t="s">
        <v>814</v>
      </c>
      <c r="D176" s="8" t="s">
        <v>820</v>
      </c>
      <c r="E176" s="8" t="s">
        <v>3186</v>
      </c>
      <c r="F176" s="8" t="s">
        <v>68</v>
      </c>
      <c r="G176" s="8"/>
      <c r="H176" s="8" t="s">
        <v>3186</v>
      </c>
      <c r="I176" s="55" t="s">
        <v>3609</v>
      </c>
      <c r="J176" s="60" t="s">
        <v>7978</v>
      </c>
      <c r="K176" s="22">
        <v>1.0</v>
      </c>
      <c r="L176" s="22">
        <f>+SUMIF('حركه المخزن الرئيسي اليوميه'!$F:$F,$H:$H,'حركه المخزن الرئيسي اليوميه'!$H:$H)</f>
        <v>0.0</v>
      </c>
      <c r="M176" s="22">
        <f>+SUMIF('حركه المخزن الرئيسي اليوميه'!$F:$F,$H:$H,'حركه المخزن الرئيسي اليوميه'!$I:$I)</f>
        <v>0.0</v>
      </c>
      <c r="N176" s="22">
        <f t="shared" si="39"/>
        <v>1.0</v>
      </c>
      <c r="O176" s="22">
        <f t="shared" si="38"/>
        <v>1.0</v>
      </c>
      <c r="P176" s="22">
        <f t="shared" si="29"/>
        <v>0.0</v>
      </c>
      <c r="Q176" s="57"/>
      <c r="R176" s="58"/>
    </row>
    <row r="177" spans="8:8">
      <c r="B177" s="54">
        <v>199.0</v>
      </c>
      <c r="C177" s="8" t="s">
        <v>814</v>
      </c>
      <c r="D177" s="8" t="s">
        <v>820</v>
      </c>
      <c r="E177" s="8" t="s">
        <v>3187</v>
      </c>
      <c r="F177" s="8" t="s">
        <v>68</v>
      </c>
      <c r="G177" s="8"/>
      <c r="H177" s="8" t="s">
        <v>3187</v>
      </c>
      <c r="I177" s="55" t="s">
        <v>3609</v>
      </c>
      <c r="J177" s="60" t="s">
        <v>7979</v>
      </c>
      <c r="K177" s="22">
        <v>2.0</v>
      </c>
      <c r="L177" s="22">
        <f>+SUMIF('حركه المخزن الرئيسي اليوميه'!$F:$F,$H:$H,'حركه المخزن الرئيسي اليوميه'!$H:$H)</f>
        <v>0.0</v>
      </c>
      <c r="M177" s="22">
        <f>+SUMIF('حركه المخزن الرئيسي اليوميه'!$F:$F,$H:$H,'حركه المخزن الرئيسي اليوميه'!$I:$I)</f>
        <v>0.0</v>
      </c>
      <c r="N177" s="22">
        <f t="shared" si="39"/>
        <v>2.0</v>
      </c>
      <c r="O177" s="22">
        <f t="shared" si="38"/>
        <v>2.0</v>
      </c>
      <c r="P177" s="22">
        <f t="shared" si="29"/>
        <v>0.0</v>
      </c>
      <c r="Q177" s="57"/>
      <c r="R177" s="58"/>
    </row>
    <row r="178" spans="8:8">
      <c r="B178" s="54">
        <v>200.0</v>
      </c>
      <c r="C178" s="8" t="s">
        <v>814</v>
      </c>
      <c r="D178" s="8"/>
      <c r="E178" s="8"/>
      <c r="F178" s="8"/>
      <c r="G178" s="8"/>
      <c r="H178" s="8"/>
      <c r="I178" s="55"/>
      <c r="J178" s="60" t="s">
        <v>7980</v>
      </c>
      <c r="K178" s="22">
        <v>0.0</v>
      </c>
      <c r="L178" s="22">
        <f>+SUMIF('حركه المخزن الرئيسي اليوميه'!$F:$F,$H:$H,'حركه المخزن الرئيسي اليوميه'!$H:$H)</f>
        <v>0.0</v>
      </c>
      <c r="M178" s="22">
        <f>+SUMIF('حركه المخزن الرئيسي اليوميه'!$F:$F,$H:$H,'حركه المخزن الرئيسي اليوميه'!$I:$I)</f>
        <v>0.0</v>
      </c>
      <c r="N178" s="22">
        <f t="shared" si="39"/>
        <v>0.0</v>
      </c>
      <c r="O178" s="22">
        <f t="shared" si="38"/>
        <v>0.0</v>
      </c>
      <c r="P178" s="22">
        <f t="shared" si="29"/>
        <v>0.0</v>
      </c>
      <c r="Q178" s="57"/>
      <c r="R178" s="58"/>
    </row>
    <row r="179" spans="8:8">
      <c r="B179" s="54">
        <v>201.0</v>
      </c>
      <c r="C179" s="8" t="s">
        <v>814</v>
      </c>
      <c r="D179" s="8" t="s">
        <v>820</v>
      </c>
      <c r="E179" s="8" t="s">
        <v>3349</v>
      </c>
      <c r="F179" s="8" t="s">
        <v>68</v>
      </c>
      <c r="G179" s="8"/>
      <c r="H179" s="8" t="s">
        <v>3349</v>
      </c>
      <c r="I179" s="55"/>
      <c r="J179" s="60" t="s">
        <v>7981</v>
      </c>
      <c r="K179" s="22">
        <v>0.0</v>
      </c>
      <c r="L179" s="22">
        <f>+SUMIF('حركه المخزن الرئيسي اليوميه'!$F:$F,$H:$H,'حركه المخزن الرئيسي اليوميه'!$H:$H)</f>
        <v>0.0</v>
      </c>
      <c r="M179" s="22">
        <f>+SUMIF('حركه المخزن الرئيسي اليوميه'!$F:$F,$H:$H,'حركه المخزن الرئيسي اليوميه'!$I:$I)</f>
        <v>0.0</v>
      </c>
      <c r="N179" s="22">
        <f t="shared" si="39"/>
        <v>0.0</v>
      </c>
      <c r="O179" s="22">
        <f t="shared" si="40" ref="O179:O234">+N179</f>
        <v>0.0</v>
      </c>
      <c r="P179" s="22">
        <f t="shared" si="41" ref="P179:P234">+N179-O179</f>
        <v>0.0</v>
      </c>
      <c r="Q179" s="57"/>
      <c r="R179" s="58"/>
    </row>
    <row r="180" spans="8:8">
      <c r="B180" s="54">
        <v>202.0</v>
      </c>
      <c r="C180" s="8" t="s">
        <v>814</v>
      </c>
      <c r="D180" s="8" t="s">
        <v>820</v>
      </c>
      <c r="E180" s="8" t="s">
        <v>3393</v>
      </c>
      <c r="F180" s="8" t="s">
        <v>3394</v>
      </c>
      <c r="G180" s="8"/>
      <c r="H180" s="8" t="s">
        <v>3392</v>
      </c>
      <c r="I180" s="55" t="s">
        <v>2745</v>
      </c>
      <c r="J180" s="60" t="s">
        <v>7982</v>
      </c>
      <c r="K180" s="22">
        <v>1.0</v>
      </c>
      <c r="L180" s="22">
        <f>+SUMIF('حركه المخزن الرئيسي اليوميه'!$F:$F,$H:$H,'حركه المخزن الرئيسي اليوميه'!$H:$H)</f>
        <v>0.0</v>
      </c>
      <c r="M180" s="22">
        <f>+SUMIF('حركه المخزن الرئيسي اليوميه'!$F:$F,$H:$H,'حركه المخزن الرئيسي اليوميه'!$I:$I)</f>
        <v>0.0</v>
      </c>
      <c r="N180" s="22">
        <f t="shared" si="42" ref="N180:N234">+K180+L180-M180</f>
        <v>1.0</v>
      </c>
      <c r="O180" s="22">
        <f t="shared" si="40"/>
        <v>1.0</v>
      </c>
      <c r="P180" s="22">
        <f t="shared" si="41"/>
        <v>0.0</v>
      </c>
      <c r="Q180" s="55"/>
      <c r="R180" s="58"/>
    </row>
    <row r="181" spans="8:8">
      <c r="B181" s="54">
        <v>203.0</v>
      </c>
      <c r="C181" s="8"/>
      <c r="D181" s="8"/>
      <c r="E181" s="8"/>
      <c r="F181" s="8"/>
      <c r="G181" s="8"/>
      <c r="H181" s="8"/>
      <c r="I181" s="55"/>
      <c r="J181" s="60" t="s">
        <v>7983</v>
      </c>
      <c r="K181" s="22">
        <v>0.0</v>
      </c>
      <c r="L181" s="22">
        <f>+SUMIF('حركه المخزن الرئيسي اليوميه'!$F:$F,$H:$H,'حركه المخزن الرئيسي اليوميه'!$H:$H)</f>
        <v>0.0</v>
      </c>
      <c r="M181" s="22">
        <f>+SUMIF('حركه المخزن الرئيسي اليوميه'!$F:$F,$H:$H,'حركه المخزن الرئيسي اليوميه'!$I:$I)</f>
        <v>0.0</v>
      </c>
      <c r="N181" s="22">
        <f t="shared" si="42"/>
        <v>0.0</v>
      </c>
      <c r="O181" s="22">
        <f t="shared" si="40"/>
        <v>0.0</v>
      </c>
      <c r="P181" s="22">
        <f t="shared" si="41"/>
        <v>0.0</v>
      </c>
      <c r="Q181" s="55"/>
      <c r="R181" s="58"/>
    </row>
    <row r="182" spans="8:8">
      <c r="B182" s="54">
        <v>204.0</v>
      </c>
      <c r="C182" s="8"/>
      <c r="D182" s="8"/>
      <c r="E182" s="8"/>
      <c r="F182" s="8"/>
      <c r="G182" s="8"/>
      <c r="H182" s="8"/>
      <c r="I182" s="8"/>
      <c r="J182" s="60" t="s">
        <v>7984</v>
      </c>
      <c r="K182" s="22">
        <v>0.0</v>
      </c>
      <c r="L182" s="22">
        <f>+SUMIF('حركه المخزن الرئيسي اليوميه'!$F:$F,$H:$H,'حركه المخزن الرئيسي اليوميه'!$H:$H)</f>
        <v>0.0</v>
      </c>
      <c r="M182" s="22">
        <f>+SUMIF('حركه المخزن الرئيسي اليوميه'!$F:$F,$H:$H,'حركه المخزن الرئيسي اليوميه'!$I:$I)</f>
        <v>0.0</v>
      </c>
      <c r="N182" s="22">
        <f t="shared" si="42"/>
        <v>0.0</v>
      </c>
      <c r="O182" s="22">
        <f t="shared" si="40"/>
        <v>0.0</v>
      </c>
      <c r="P182" s="22">
        <f t="shared" si="41"/>
        <v>0.0</v>
      </c>
      <c r="Q182" s="8"/>
      <c r="R182" s="58"/>
    </row>
    <row r="183" spans="8:8">
      <c r="B183" s="54">
        <v>205.0</v>
      </c>
      <c r="C183" s="8" t="s">
        <v>814</v>
      </c>
      <c r="D183" s="8" t="s">
        <v>820</v>
      </c>
      <c r="E183" s="8" t="s">
        <v>3553</v>
      </c>
      <c r="F183" s="8" t="s">
        <v>68</v>
      </c>
      <c r="G183" s="8"/>
      <c r="H183" s="8" t="s">
        <v>3553</v>
      </c>
      <c r="I183" s="55"/>
      <c r="J183" s="60" t="s">
        <v>7985</v>
      </c>
      <c r="K183" s="22">
        <v>0.0</v>
      </c>
      <c r="L183" s="22">
        <f>+SUMIF('حركه المخزن الرئيسي اليوميه'!$F:$F,$H:$H,'حركه المخزن الرئيسي اليوميه'!$H:$H)</f>
        <v>0.0</v>
      </c>
      <c r="M183" s="22">
        <f>+SUMIF('حركه المخزن الرئيسي اليوميه'!$F:$F,$H:$H,'حركه المخزن الرئيسي اليوميه'!$I:$I)</f>
        <v>0.0</v>
      </c>
      <c r="N183" s="22">
        <f t="shared" si="42"/>
        <v>0.0</v>
      </c>
      <c r="O183" s="22">
        <f t="shared" si="40"/>
        <v>0.0</v>
      </c>
      <c r="P183" s="22">
        <f t="shared" si="41"/>
        <v>0.0</v>
      </c>
      <c r="Q183" s="55"/>
      <c r="R183" s="58"/>
    </row>
    <row r="184" spans="8:8">
      <c r="B184" s="54">
        <v>206.0</v>
      </c>
      <c r="C184" s="8"/>
      <c r="D184" s="8"/>
      <c r="E184" s="8"/>
      <c r="F184" s="8"/>
      <c r="G184" s="8"/>
      <c r="H184" s="8"/>
      <c r="I184" s="55"/>
      <c r="J184" s="60" t="s">
        <v>7986</v>
      </c>
      <c r="K184" s="22">
        <v>0.0</v>
      </c>
      <c r="L184" s="22">
        <f>+SUMIF('حركه المخزن الرئيسي اليوميه'!$F:$F,$H:$H,'حركه المخزن الرئيسي اليوميه'!$H:$H)</f>
        <v>0.0</v>
      </c>
      <c r="M184" s="22">
        <f>+SUMIF('حركه المخزن الرئيسي اليوميه'!$F:$F,$H:$H,'حركه المخزن الرئيسي اليوميه'!$I:$I)</f>
        <v>0.0</v>
      </c>
      <c r="N184" s="22">
        <f t="shared" si="42"/>
        <v>0.0</v>
      </c>
      <c r="O184" s="22">
        <f t="shared" si="40"/>
        <v>0.0</v>
      </c>
      <c r="P184" s="22">
        <f t="shared" si="41"/>
        <v>0.0</v>
      </c>
      <c r="Q184" s="55"/>
      <c r="R184" s="58"/>
    </row>
    <row r="185" spans="8:8">
      <c r="B185" s="54">
        <v>208.0</v>
      </c>
      <c r="C185" s="8"/>
      <c r="D185" s="8" t="s">
        <v>820</v>
      </c>
      <c r="E185" s="8" t="s">
        <v>3563</v>
      </c>
      <c r="F185" s="8" t="s">
        <v>68</v>
      </c>
      <c r="G185" s="8"/>
      <c r="H185" s="8" t="s">
        <v>3563</v>
      </c>
      <c r="I185" s="55" t="s">
        <v>3609</v>
      </c>
      <c r="J185" s="60" t="s">
        <v>7987</v>
      </c>
      <c r="K185" s="22">
        <v>0.0</v>
      </c>
      <c r="L185" s="22">
        <f>+SUMIF('حركه المخزن الرئيسي اليوميه'!$F:$F,$H:$H,'حركه المخزن الرئيسي اليوميه'!$H:$H)</f>
        <v>0.0</v>
      </c>
      <c r="M185" s="22">
        <f>+SUMIF('حركه المخزن الرئيسي اليوميه'!$F:$F,$H:$H,'حركه المخزن الرئيسي اليوميه'!$I:$I)</f>
        <v>0.0</v>
      </c>
      <c r="N185" s="22">
        <f t="shared" si="42"/>
        <v>0.0</v>
      </c>
      <c r="O185" s="22">
        <f t="shared" si="40"/>
        <v>0.0</v>
      </c>
      <c r="P185" s="22">
        <f t="shared" si="41"/>
        <v>0.0</v>
      </c>
      <c r="Q185" s="57"/>
      <c r="R185" s="58"/>
    </row>
    <row r="186" spans="8:8">
      <c r="B186" s="54">
        <v>209.0</v>
      </c>
      <c r="C186" s="8" t="s">
        <v>765</v>
      </c>
      <c r="D186" s="8" t="s">
        <v>1013</v>
      </c>
      <c r="E186" s="8" t="s">
        <v>3584</v>
      </c>
      <c r="F186" s="8" t="s">
        <v>68</v>
      </c>
      <c r="G186" s="8" t="s">
        <v>1926</v>
      </c>
      <c r="H186" s="8" t="s">
        <v>3585</v>
      </c>
      <c r="I186" s="55" t="s">
        <v>3609</v>
      </c>
      <c r="J186" s="60" t="s">
        <v>7988</v>
      </c>
      <c r="K186" s="22">
        <v>2.0</v>
      </c>
      <c r="L186" s="22">
        <f>+SUMIF('حركه المخزن الرئيسي اليوميه'!$F:$F,$H:$H,'حركه المخزن الرئيسي اليوميه'!$H:$H)</f>
        <v>0.0</v>
      </c>
      <c r="M186" s="22">
        <f>+SUMIF('حركه المخزن الرئيسي اليوميه'!$F:$F,$H:$H,'حركه المخزن الرئيسي اليوميه'!$I:$I)</f>
        <v>0.0</v>
      </c>
      <c r="N186" s="22">
        <v>2.0</v>
      </c>
      <c r="O186" s="22">
        <f t="shared" si="40"/>
        <v>2.0</v>
      </c>
      <c r="P186" s="22">
        <f t="shared" si="41"/>
        <v>0.0</v>
      </c>
      <c r="Q186" s="57"/>
      <c r="R186" s="58"/>
    </row>
    <row r="187" spans="8:8">
      <c r="B187" s="54">
        <v>210.0</v>
      </c>
      <c r="C187" s="8"/>
      <c r="D187" s="8"/>
      <c r="E187" s="8"/>
      <c r="F187" s="8"/>
      <c r="G187" s="8"/>
      <c r="H187" s="8"/>
      <c r="I187" s="55"/>
      <c r="J187" s="60" t="s">
        <v>7989</v>
      </c>
      <c r="K187" s="22">
        <v>0.0</v>
      </c>
      <c r="L187" s="22">
        <f>+SUMIF('حركه المخزن الرئيسي اليوميه'!$F:$F,$H:$H,'حركه المخزن الرئيسي اليوميه'!$H:$H)</f>
        <v>0.0</v>
      </c>
      <c r="M187" s="22">
        <f>+SUMIF('حركه المخزن الرئيسي اليوميه'!$F:$F,$H:$H,'حركه المخزن الرئيسي اليوميه'!$I:$I)</f>
        <v>0.0</v>
      </c>
      <c r="N187" s="22">
        <f t="shared" si="42"/>
        <v>0.0</v>
      </c>
      <c r="O187" s="22">
        <f t="shared" si="40"/>
        <v>0.0</v>
      </c>
      <c r="P187" s="22">
        <f t="shared" si="41"/>
        <v>0.0</v>
      </c>
      <c r="Q187" s="57"/>
      <c r="R187" s="58"/>
    </row>
    <row r="188" spans="8:8">
      <c r="B188" s="54">
        <v>211.0</v>
      </c>
      <c r="C188" s="8" t="s">
        <v>765</v>
      </c>
      <c r="D188" s="8" t="s">
        <v>2532</v>
      </c>
      <c r="E188" s="8" t="s">
        <v>3574</v>
      </c>
      <c r="F188" s="8" t="s">
        <v>68</v>
      </c>
      <c r="G188" s="8"/>
      <c r="H188" s="8" t="s">
        <v>3574</v>
      </c>
      <c r="I188" s="55" t="s">
        <v>818</v>
      </c>
      <c r="J188" s="60" t="s">
        <v>7990</v>
      </c>
      <c r="K188" s="22">
        <v>4.0</v>
      </c>
      <c r="L188" s="22">
        <f>+SUMIF('حركه المخزن الرئيسي اليوميه'!$F:$F,$H:$H,'حركه المخزن الرئيسي اليوميه'!$H:$H)</f>
        <v>0.0</v>
      </c>
      <c r="M188" s="22">
        <f>+SUMIF('حركه المخزن الرئيسي اليوميه'!$F:$F,$H:$H,'حركه المخزن الرئيسي اليوميه'!$I:$I)</f>
        <v>2.0</v>
      </c>
      <c r="N188" s="22">
        <f t="shared" si="42"/>
        <v>2.0</v>
      </c>
      <c r="O188" s="22">
        <f t="shared" si="40"/>
        <v>2.0</v>
      </c>
      <c r="P188" s="22">
        <f>+N188-O188</f>
        <v>0.0</v>
      </c>
      <c r="Q188" s="57"/>
      <c r="R188" s="58"/>
    </row>
    <row r="189" spans="8:8">
      <c r="B189" s="54">
        <v>213.0</v>
      </c>
      <c r="C189" s="8" t="s">
        <v>765</v>
      </c>
      <c r="D189" s="8"/>
      <c r="E189" s="8"/>
      <c r="F189" s="8"/>
      <c r="G189" s="8"/>
      <c r="H189" s="8"/>
      <c r="I189" s="55"/>
      <c r="J189" s="60" t="s">
        <v>7991</v>
      </c>
      <c r="K189" s="22">
        <v>0.0</v>
      </c>
      <c r="L189" s="22">
        <f>+SUMIF('حركه المخزن الرئيسي اليوميه'!$F:$F,$H:$H,'حركه المخزن الرئيسي اليوميه'!$H:$H)</f>
        <v>0.0</v>
      </c>
      <c r="M189" s="22">
        <f>+SUMIF('حركه المخزن الرئيسي اليوميه'!$F:$F,$H:$H,'حركه المخزن الرئيسي اليوميه'!$I:$I)</f>
        <v>0.0</v>
      </c>
      <c r="N189" s="22">
        <f t="shared" si="42"/>
        <v>0.0</v>
      </c>
      <c r="O189" s="22">
        <f t="shared" si="40"/>
        <v>0.0</v>
      </c>
      <c r="P189" s="22">
        <f t="shared" si="41"/>
        <v>0.0</v>
      </c>
      <c r="Q189" s="57"/>
      <c r="R189" s="58"/>
    </row>
    <row r="190" spans="8:8">
      <c r="B190" s="54">
        <v>215.0</v>
      </c>
      <c r="C190" s="8" t="s">
        <v>765</v>
      </c>
      <c r="D190" s="8" t="s">
        <v>811</v>
      </c>
      <c r="E190" s="8" t="s">
        <v>825</v>
      </c>
      <c r="F190" s="8" t="s">
        <v>68</v>
      </c>
      <c r="G190" s="8" t="s">
        <v>1924</v>
      </c>
      <c r="H190" s="8" t="s">
        <v>825</v>
      </c>
      <c r="I190" s="55" t="s">
        <v>2045</v>
      </c>
      <c r="J190" s="60" t="s">
        <v>7992</v>
      </c>
      <c r="K190" s="22">
        <v>0.0</v>
      </c>
      <c r="L190" s="22">
        <f>+SUMIF('حركه المخزن الرئيسي اليوميه'!$F:$F,$H:$H,'حركه المخزن الرئيسي اليوميه'!$H:$H)</f>
        <v>0.0</v>
      </c>
      <c r="M190" s="22">
        <f>+SUMIF('حركه المخزن الرئيسي اليوميه'!$F:$F,$H:$H,'حركه المخزن الرئيسي اليوميه'!$I:$I)</f>
        <v>0.0</v>
      </c>
      <c r="N190" s="22">
        <f t="shared" si="42"/>
        <v>0.0</v>
      </c>
      <c r="O190" s="22">
        <f t="shared" si="40"/>
        <v>0.0</v>
      </c>
      <c r="P190" s="22">
        <f t="shared" si="41"/>
        <v>0.0</v>
      </c>
      <c r="Q190" s="57"/>
      <c r="R190" s="58"/>
    </row>
    <row r="191" spans="8:8">
      <c r="B191" s="54">
        <v>216.0</v>
      </c>
      <c r="C191" s="8" t="s">
        <v>765</v>
      </c>
      <c r="D191" s="8"/>
      <c r="E191" s="8"/>
      <c r="F191" s="8"/>
      <c r="G191" s="8"/>
      <c r="H191" s="8"/>
      <c r="I191" s="55"/>
      <c r="J191" s="60" t="s">
        <v>7993</v>
      </c>
      <c r="K191" s="22">
        <v>0.0</v>
      </c>
      <c r="L191" s="22">
        <f>+SUMIF('حركه المخزن الرئيسي اليوميه'!$F:$F,$H:$H,'حركه المخزن الرئيسي اليوميه'!$H:$H)</f>
        <v>0.0</v>
      </c>
      <c r="M191" s="22">
        <f>+SUMIF('حركه المخزن الرئيسي اليوميه'!$F:$F,$H:$H,'حركه المخزن الرئيسي اليوميه'!$I:$I)</f>
        <v>0.0</v>
      </c>
      <c r="N191" s="22">
        <f t="shared" si="42"/>
        <v>0.0</v>
      </c>
      <c r="O191" s="22">
        <f t="shared" si="40"/>
        <v>0.0</v>
      </c>
      <c r="P191" s="22">
        <f t="shared" si="41"/>
        <v>0.0</v>
      </c>
      <c r="Q191" s="57"/>
      <c r="R191" s="58"/>
    </row>
    <row r="192" spans="8:8">
      <c r="B192" s="54">
        <v>217.0</v>
      </c>
      <c r="C192" s="8" t="s">
        <v>765</v>
      </c>
      <c r="D192" s="8" t="s">
        <v>1013</v>
      </c>
      <c r="E192" s="8" t="s">
        <v>3350</v>
      </c>
      <c r="F192" s="8" t="s">
        <v>68</v>
      </c>
      <c r="G192" s="8"/>
      <c r="H192" s="8" t="s">
        <v>3350</v>
      </c>
      <c r="I192" s="55"/>
      <c r="J192" s="60" t="s">
        <v>7994</v>
      </c>
      <c r="K192" s="22">
        <v>0.0</v>
      </c>
      <c r="L192" s="22">
        <f>+SUMIF('حركه المخزن الرئيسي اليوميه'!$F:$F,$H:$H,'حركه المخزن الرئيسي اليوميه'!$H:$H)</f>
        <v>0.0</v>
      </c>
      <c r="M192" s="22">
        <f>+SUMIF('حركه المخزن الرئيسي اليوميه'!$F:$F,$H:$H,'حركه المخزن الرئيسي اليوميه'!$I:$I)</f>
        <v>0.0</v>
      </c>
      <c r="N192" s="22">
        <f t="shared" si="42"/>
        <v>0.0</v>
      </c>
      <c r="O192" s="22">
        <f t="shared" si="40"/>
        <v>0.0</v>
      </c>
      <c r="P192" s="22">
        <f t="shared" si="41"/>
        <v>0.0</v>
      </c>
      <c r="Q192" s="57"/>
      <c r="R192" s="58"/>
    </row>
    <row r="193" spans="8:8">
      <c r="B193" s="54">
        <v>218.0</v>
      </c>
      <c r="C193" s="8" t="s">
        <v>765</v>
      </c>
      <c r="D193" s="8" t="s">
        <v>1013</v>
      </c>
      <c r="E193" s="8" t="s">
        <v>3351</v>
      </c>
      <c r="F193" s="8" t="s">
        <v>68</v>
      </c>
      <c r="G193" s="8" t="s">
        <v>3583</v>
      </c>
      <c r="H193" s="8" t="s">
        <v>3582</v>
      </c>
      <c r="I193" s="55" t="s">
        <v>3609</v>
      </c>
      <c r="J193" s="60" t="s">
        <v>7995</v>
      </c>
      <c r="K193" s="22">
        <v>0.0</v>
      </c>
      <c r="L193" s="22">
        <f>+SUMIF('حركه المخزن الرئيسي اليوميه'!$F:$F,$H:$H,'حركه المخزن الرئيسي اليوميه'!$H:$H)</f>
        <v>0.0</v>
      </c>
      <c r="M193" s="22">
        <f>+SUMIF('حركه المخزن الرئيسي اليوميه'!$F:$F,$H:$H,'حركه المخزن الرئيسي اليوميه'!$I:$I)</f>
        <v>0.0</v>
      </c>
      <c r="N193" s="22">
        <f t="shared" si="42"/>
        <v>0.0</v>
      </c>
      <c r="O193" s="22">
        <f t="shared" si="40"/>
        <v>0.0</v>
      </c>
      <c r="P193" s="22">
        <f t="shared" si="41"/>
        <v>0.0</v>
      </c>
      <c r="Q193" s="57"/>
      <c r="R193" s="58"/>
    </row>
    <row r="194" spans="8:8">
      <c r="B194" s="54">
        <v>220.0</v>
      </c>
      <c r="C194" s="8" t="s">
        <v>765</v>
      </c>
      <c r="D194" s="8"/>
      <c r="E194" s="8"/>
      <c r="F194" s="8"/>
      <c r="G194" s="8"/>
      <c r="H194" s="8"/>
      <c r="I194" s="55"/>
      <c r="J194" s="60" t="s">
        <v>7996</v>
      </c>
      <c r="K194" s="22">
        <v>0.0</v>
      </c>
      <c r="L194" s="22">
        <f>+SUMIF('حركه المخزن الرئيسي اليوميه'!$F:$F,$H:$H,'حركه المخزن الرئيسي اليوميه'!$H:$H)</f>
        <v>0.0</v>
      </c>
      <c r="M194" s="22">
        <f>+SUMIF('حركه المخزن الرئيسي اليوميه'!$F:$F,$H:$H,'حركه المخزن الرئيسي اليوميه'!$I:$I)</f>
        <v>0.0</v>
      </c>
      <c r="N194" s="22">
        <f t="shared" si="42"/>
        <v>0.0</v>
      </c>
      <c r="O194" s="22">
        <f t="shared" si="40"/>
        <v>0.0</v>
      </c>
      <c r="P194" s="22">
        <f t="shared" si="41"/>
        <v>0.0</v>
      </c>
      <c r="Q194" s="57"/>
      <c r="R194" s="58"/>
    </row>
    <row r="195" spans="8:8">
      <c r="B195" s="54">
        <v>221.0</v>
      </c>
      <c r="C195" s="8" t="s">
        <v>765</v>
      </c>
      <c r="D195" s="8" t="s">
        <v>811</v>
      </c>
      <c r="E195" s="8" t="s">
        <v>387</v>
      </c>
      <c r="F195" s="8" t="s">
        <v>68</v>
      </c>
      <c r="G195" s="8" t="s">
        <v>2340</v>
      </c>
      <c r="H195" s="8" t="s">
        <v>650</v>
      </c>
      <c r="I195" s="55" t="s">
        <v>2045</v>
      </c>
      <c r="J195" s="60" t="s">
        <v>7997</v>
      </c>
      <c r="K195" s="22">
        <v>0.0</v>
      </c>
      <c r="L195" s="22">
        <f>+SUMIF('حركه المخزن الرئيسي اليوميه'!$F:$F,$H:$H,'حركه المخزن الرئيسي اليوميه'!$H:$H)</f>
        <v>0.0</v>
      </c>
      <c r="M195" s="22">
        <f>+SUMIF('حركه المخزن الرئيسي اليوميه'!$F:$F,$H:$H,'حركه المخزن الرئيسي اليوميه'!$I:$I)</f>
        <v>0.0</v>
      </c>
      <c r="N195" s="22">
        <f t="shared" si="42"/>
        <v>0.0</v>
      </c>
      <c r="O195" s="22">
        <f t="shared" si="40"/>
        <v>0.0</v>
      </c>
      <c r="P195" s="22">
        <f t="shared" si="41"/>
        <v>0.0</v>
      </c>
      <c r="Q195" s="57"/>
      <c r="R195" s="58"/>
    </row>
    <row r="196" spans="8:8">
      <c r="B196" s="54">
        <v>222.0</v>
      </c>
      <c r="C196" s="8" t="s">
        <v>765</v>
      </c>
      <c r="D196" s="8" t="s">
        <v>820</v>
      </c>
      <c r="E196" s="8" t="s">
        <v>3588</v>
      </c>
      <c r="F196" s="8" t="s">
        <v>68</v>
      </c>
      <c r="G196" s="8" t="s">
        <v>1926</v>
      </c>
      <c r="H196" s="8" t="s">
        <v>3588</v>
      </c>
      <c r="I196" s="55" t="s">
        <v>3609</v>
      </c>
      <c r="J196" s="60" t="s">
        <v>7998</v>
      </c>
      <c r="K196" s="22">
        <v>0.0</v>
      </c>
      <c r="L196" s="22">
        <f>+SUMIF('حركه المخزن الرئيسي اليوميه'!$F:$F,$H:$H,'حركه المخزن الرئيسي اليوميه'!$H:$H)</f>
        <v>0.0</v>
      </c>
      <c r="M196" s="22">
        <f>+SUMIF('حركه المخزن الرئيسي اليوميه'!$F:$F,$H:$H,'حركه المخزن الرئيسي اليوميه'!$I:$I)</f>
        <v>0.0</v>
      </c>
      <c r="N196" s="22">
        <f t="shared" si="42"/>
        <v>0.0</v>
      </c>
      <c r="O196" s="22">
        <f t="shared" si="40"/>
        <v>0.0</v>
      </c>
      <c r="P196" s="22">
        <f t="shared" si="41"/>
        <v>0.0</v>
      </c>
      <c r="Q196" s="57"/>
      <c r="R196" s="58"/>
    </row>
    <row r="197" spans="8:8">
      <c r="B197" s="54">
        <v>223.0</v>
      </c>
      <c r="C197" s="8" t="s">
        <v>765</v>
      </c>
      <c r="D197" s="8" t="s">
        <v>1013</v>
      </c>
      <c r="E197" s="8" t="s">
        <v>3587</v>
      </c>
      <c r="F197" s="8" t="s">
        <v>68</v>
      </c>
      <c r="G197" s="8"/>
      <c r="H197" s="8" t="s">
        <v>3587</v>
      </c>
      <c r="I197" s="55" t="s">
        <v>3609</v>
      </c>
      <c r="J197" s="60" t="s">
        <v>7999</v>
      </c>
      <c r="K197" s="22">
        <v>28.0</v>
      </c>
      <c r="L197" s="22">
        <f>+SUMIF('حركه المخزن الرئيسي اليوميه'!$F:$F,$H:$H,'حركه المخزن الرئيسي اليوميه'!$H:$H)</f>
        <v>0.0</v>
      </c>
      <c r="M197" s="22">
        <f>+SUMIF('حركه المخزن الرئيسي اليوميه'!$F:$F,$H:$H,'حركه المخزن الرئيسي اليوميه'!$I:$I)</f>
        <v>1.0</v>
      </c>
      <c r="N197" s="22">
        <f t="shared" si="42"/>
        <v>27.0</v>
      </c>
      <c r="O197" s="22">
        <f t="shared" si="40"/>
        <v>27.0</v>
      </c>
      <c r="P197" s="22">
        <f t="shared" si="41"/>
        <v>0.0</v>
      </c>
      <c r="Q197" s="57"/>
      <c r="R197" s="58"/>
    </row>
    <row r="198" spans="8:8">
      <c r="B198" s="54">
        <v>224.0</v>
      </c>
      <c r="C198" s="8" t="s">
        <v>765</v>
      </c>
      <c r="D198" s="8" t="s">
        <v>1013</v>
      </c>
      <c r="E198" s="8" t="s">
        <v>381</v>
      </c>
      <c r="F198" s="8" t="s">
        <v>68</v>
      </c>
      <c r="G198" s="8"/>
      <c r="H198" s="8" t="s">
        <v>381</v>
      </c>
      <c r="I198" s="55" t="s">
        <v>3609</v>
      </c>
      <c r="J198" s="60" t="s">
        <v>8000</v>
      </c>
      <c r="K198" s="22">
        <v>1.0</v>
      </c>
      <c r="L198" s="22">
        <f>+SUMIF('حركه المخزن الرئيسي اليوميه'!$F:$F,$H:$H,'حركه المخزن الرئيسي اليوميه'!$H:$H)</f>
        <v>0.0</v>
      </c>
      <c r="M198" s="22">
        <f>+SUMIF('حركه المخزن الرئيسي اليوميه'!$F:$F,$H:$H,'حركه المخزن الرئيسي اليوميه'!$I:$I)</f>
        <v>0.0</v>
      </c>
      <c r="N198" s="22">
        <f t="shared" si="42"/>
        <v>1.0</v>
      </c>
      <c r="O198" s="22">
        <f t="shared" si="40"/>
        <v>1.0</v>
      </c>
      <c r="P198" s="22">
        <f t="shared" si="41"/>
        <v>0.0</v>
      </c>
      <c r="Q198" s="57"/>
      <c r="R198" s="58"/>
    </row>
    <row r="199" spans="8:8">
      <c r="B199" s="54">
        <v>225.0</v>
      </c>
      <c r="C199" s="8" t="s">
        <v>765</v>
      </c>
      <c r="D199" s="8" t="s">
        <v>1013</v>
      </c>
      <c r="E199" s="8" t="s">
        <v>3453</v>
      </c>
      <c r="F199" s="8" t="s">
        <v>68</v>
      </c>
      <c r="G199" s="8" t="s">
        <v>2134</v>
      </c>
      <c r="H199" s="8" t="s">
        <v>3453</v>
      </c>
      <c r="I199" s="55" t="s">
        <v>3608</v>
      </c>
      <c r="J199" s="60" t="s">
        <v>8001</v>
      </c>
      <c r="K199" s="22">
        <v>7.0</v>
      </c>
      <c r="L199" s="22">
        <f>+SUMIF('حركه المخزن الرئيسي اليوميه'!$F:$F,$H:$H,'حركه المخزن الرئيسي اليوميه'!$H:$H)</f>
        <v>0.0</v>
      </c>
      <c r="M199" s="22">
        <f>+SUMIF('حركه المخزن الرئيسي اليوميه'!$F:$F,$H:$H,'حركه المخزن الرئيسي اليوميه'!$I:$I)</f>
        <v>0.0</v>
      </c>
      <c r="N199" s="22">
        <f t="shared" si="42"/>
        <v>7.0</v>
      </c>
      <c r="O199" s="22">
        <f t="shared" si="40"/>
        <v>7.0</v>
      </c>
      <c r="P199" s="22">
        <f t="shared" si="41"/>
        <v>0.0</v>
      </c>
      <c r="Q199" s="57"/>
      <c r="R199" s="58"/>
    </row>
    <row r="200" spans="8:8">
      <c r="B200" s="54">
        <v>227.0</v>
      </c>
      <c r="C200" s="8" t="s">
        <v>765</v>
      </c>
      <c r="D200" s="8" t="s">
        <v>1013</v>
      </c>
      <c r="E200" s="8" t="s">
        <v>1494</v>
      </c>
      <c r="F200" s="8" t="s">
        <v>68</v>
      </c>
      <c r="G200" s="8"/>
      <c r="H200" s="8" t="s">
        <v>1494</v>
      </c>
      <c r="I200" s="8" t="s">
        <v>3607</v>
      </c>
      <c r="J200" s="60" t="s">
        <v>8002</v>
      </c>
      <c r="K200" s="22">
        <v>0.0</v>
      </c>
      <c r="L200" s="22">
        <f>+SUMIF('حركه المخزن الرئيسي اليوميه'!$F:$F,$H:$H,'حركه المخزن الرئيسي اليوميه'!$H:$H)</f>
        <v>0.0</v>
      </c>
      <c r="M200" s="22">
        <f>+SUMIF('حركه المخزن الرئيسي اليوميه'!$F:$F,$H:$H,'حركه المخزن الرئيسي اليوميه'!$I:$I)</f>
        <v>0.0</v>
      </c>
      <c r="N200" s="22">
        <f t="shared" si="42"/>
        <v>0.0</v>
      </c>
      <c r="O200" s="22">
        <f t="shared" si="40"/>
        <v>0.0</v>
      </c>
      <c r="P200" s="22">
        <f t="shared" si="41"/>
        <v>0.0</v>
      </c>
      <c r="Q200" s="57"/>
      <c r="R200" s="58"/>
    </row>
    <row r="201" spans="8:8">
      <c r="B201" s="54">
        <v>228.0</v>
      </c>
      <c r="C201" s="8" t="s">
        <v>765</v>
      </c>
      <c r="D201" s="8" t="s">
        <v>3497</v>
      </c>
      <c r="E201" s="8" t="s">
        <v>2509</v>
      </c>
      <c r="F201" s="8" t="s">
        <v>68</v>
      </c>
      <c r="G201" s="8"/>
      <c r="H201" s="8" t="s">
        <v>2509</v>
      </c>
      <c r="I201" s="8" t="s">
        <v>2745</v>
      </c>
      <c r="J201" s="60" t="s">
        <v>8003</v>
      </c>
      <c r="K201" s="22">
        <v>8.0</v>
      </c>
      <c r="L201" s="22">
        <f>+SUMIF('حركه المخزن الرئيسي اليوميه'!$F:$F,$H:$H,'حركه المخزن الرئيسي اليوميه'!$H:$H)</f>
        <v>0.0</v>
      </c>
      <c r="M201" s="22">
        <f>+SUMIF('حركه المخزن الرئيسي اليوميه'!$F:$F,$H:$H,'حركه المخزن الرئيسي اليوميه'!$I:$I)</f>
        <v>0.0</v>
      </c>
      <c r="N201" s="22">
        <f t="shared" si="42"/>
        <v>8.0</v>
      </c>
      <c r="O201" s="22">
        <f t="shared" si="40"/>
        <v>8.0</v>
      </c>
      <c r="P201" s="22">
        <f t="shared" si="41"/>
        <v>0.0</v>
      </c>
      <c r="Q201" s="57"/>
      <c r="R201" s="58"/>
    </row>
    <row r="202" spans="8:8">
      <c r="B202" s="54">
        <v>229.0</v>
      </c>
      <c r="C202" s="8" t="s">
        <v>765</v>
      </c>
      <c r="D202" s="8"/>
      <c r="E202" s="8"/>
      <c r="F202" s="8"/>
      <c r="G202" s="8"/>
      <c r="H202" s="8"/>
      <c r="I202" s="8"/>
      <c r="J202" s="60" t="s">
        <v>8004</v>
      </c>
      <c r="K202" s="22">
        <v>0.0</v>
      </c>
      <c r="L202" s="22">
        <f>+SUMIF('حركه المخزن الرئيسي اليوميه'!$F:$F,$H:$H,'حركه المخزن الرئيسي اليوميه'!$H:$H)</f>
        <v>0.0</v>
      </c>
      <c r="M202" s="22">
        <f>+SUMIF('حركه المخزن الرئيسي اليوميه'!$F:$F,$H:$H,'حركه المخزن الرئيسي اليوميه'!$I:$I)</f>
        <v>0.0</v>
      </c>
      <c r="N202" s="22">
        <f t="shared" si="43" ref="N202:N207">+K202+L202-M202</f>
        <v>0.0</v>
      </c>
      <c r="O202" s="22">
        <f t="shared" si="40"/>
        <v>0.0</v>
      </c>
      <c r="P202" s="22">
        <f t="shared" si="41"/>
        <v>0.0</v>
      </c>
      <c r="Q202" s="57"/>
      <c r="R202" s="58"/>
    </row>
    <row r="203" spans="8:8">
      <c r="B203" s="54">
        <v>230.0</v>
      </c>
      <c r="C203" s="8" t="s">
        <v>765</v>
      </c>
      <c r="D203" s="8"/>
      <c r="E203" s="8"/>
      <c r="F203" s="8"/>
      <c r="G203" s="8"/>
      <c r="H203" s="8"/>
      <c r="I203" s="8"/>
      <c r="J203" s="60" t="s">
        <v>8005</v>
      </c>
      <c r="K203" s="22">
        <v>0.0</v>
      </c>
      <c r="L203" s="22">
        <f>+SUMIF('حركه المخزن الرئيسي اليوميه'!$F:$F,$H:$H,'حركه المخزن الرئيسي اليوميه'!$H:$H)</f>
        <v>0.0</v>
      </c>
      <c r="M203" s="22">
        <f>+SUMIF('حركه المخزن الرئيسي اليوميه'!$F:$F,$H:$H,'حركه المخزن الرئيسي اليوميه'!$I:$I)</f>
        <v>0.0</v>
      </c>
      <c r="N203" s="22">
        <f t="shared" si="43"/>
        <v>0.0</v>
      </c>
      <c r="O203" s="22">
        <f t="shared" si="40"/>
        <v>0.0</v>
      </c>
      <c r="P203" s="22">
        <f t="shared" si="41"/>
        <v>0.0</v>
      </c>
      <c r="Q203" s="57"/>
      <c r="R203" s="58"/>
    </row>
    <row r="204" spans="8:8">
      <c r="B204" s="54">
        <v>231.0</v>
      </c>
      <c r="C204" s="8" t="s">
        <v>765</v>
      </c>
      <c r="D204" s="55" t="s">
        <v>3609</v>
      </c>
      <c r="E204" s="8" t="s">
        <v>3716</v>
      </c>
      <c r="F204" s="8" t="s">
        <v>68</v>
      </c>
      <c r="G204" s="8"/>
      <c r="H204" s="8" t="s">
        <v>3716</v>
      </c>
      <c r="I204" s="55"/>
      <c r="J204" s="60" t="s">
        <v>8006</v>
      </c>
      <c r="K204" s="22">
        <v>0.0</v>
      </c>
      <c r="L204" s="22">
        <f>+SUMIF('حركه المخزن الرئيسي اليوميه'!$F:$F,$H:$H,'حركه المخزن الرئيسي اليوميه'!$H:$H)</f>
        <v>0.0</v>
      </c>
      <c r="M204" s="22">
        <f>+SUMIF('حركه المخزن الرئيسي اليوميه'!$F:$F,$H:$H,'حركه المخزن الرئيسي اليوميه'!$I:$I)</f>
        <v>0.0</v>
      </c>
      <c r="N204" s="22">
        <f t="shared" si="43"/>
        <v>0.0</v>
      </c>
      <c r="O204" s="22">
        <f t="shared" si="40"/>
        <v>0.0</v>
      </c>
      <c r="P204" s="22">
        <f t="shared" si="41"/>
        <v>0.0</v>
      </c>
      <c r="Q204" s="57"/>
      <c r="R204" s="58"/>
    </row>
    <row r="205" spans="8:8">
      <c r="B205" s="54">
        <v>232.0</v>
      </c>
      <c r="C205" s="8" t="s">
        <v>765</v>
      </c>
      <c r="D205" s="55" t="s">
        <v>3609</v>
      </c>
      <c r="E205" s="8" t="s">
        <v>3717</v>
      </c>
      <c r="F205" s="8" t="s">
        <v>68</v>
      </c>
      <c r="G205" s="8"/>
      <c r="H205" s="8" t="s">
        <v>3717</v>
      </c>
      <c r="I205" s="55"/>
      <c r="J205" s="60" t="s">
        <v>8007</v>
      </c>
      <c r="K205" s="22">
        <v>0.0</v>
      </c>
      <c r="L205" s="22">
        <f>+SUMIF('حركه المخزن الرئيسي اليوميه'!$F:$F,$H:$H,'حركه المخزن الرئيسي اليوميه'!$H:$H)</f>
        <v>0.0</v>
      </c>
      <c r="M205" s="22">
        <f>+SUMIF('حركه المخزن الرئيسي اليوميه'!$F:$F,$H:$H,'حركه المخزن الرئيسي اليوميه'!$I:$I)</f>
        <v>0.0</v>
      </c>
      <c r="N205" s="22">
        <f t="shared" si="43"/>
        <v>0.0</v>
      </c>
      <c r="O205" s="22">
        <f t="shared" si="40"/>
        <v>0.0</v>
      </c>
      <c r="P205" s="22">
        <f t="shared" si="41"/>
        <v>0.0</v>
      </c>
      <c r="Q205" s="57"/>
      <c r="R205" s="58"/>
    </row>
    <row r="206" spans="8:8">
      <c r="B206" s="54">
        <v>233.0</v>
      </c>
      <c r="C206" s="8" t="s">
        <v>765</v>
      </c>
      <c r="D206" s="55" t="s">
        <v>3609</v>
      </c>
      <c r="E206" s="8" t="s">
        <v>3718</v>
      </c>
      <c r="F206" s="8" t="s">
        <v>68</v>
      </c>
      <c r="G206" s="8"/>
      <c r="H206" s="8" t="s">
        <v>3718</v>
      </c>
      <c r="I206" s="55"/>
      <c r="J206" s="60" t="s">
        <v>8008</v>
      </c>
      <c r="K206" s="22">
        <v>0.0</v>
      </c>
      <c r="L206" s="22">
        <f>+SUMIF('حركه المخزن الرئيسي اليوميه'!$F:$F,$H:$H,'حركه المخزن الرئيسي اليوميه'!$H:$H)</f>
        <v>0.0</v>
      </c>
      <c r="M206" s="22">
        <f>+SUMIF('حركه المخزن الرئيسي اليوميه'!$F:$F,$H:$H,'حركه المخزن الرئيسي اليوميه'!$I:$I)</f>
        <v>0.0</v>
      </c>
      <c r="N206" s="22">
        <f t="shared" si="43"/>
        <v>0.0</v>
      </c>
      <c r="O206" s="22">
        <f t="shared" si="40"/>
        <v>0.0</v>
      </c>
      <c r="P206" s="22">
        <f t="shared" si="41"/>
        <v>0.0</v>
      </c>
      <c r="Q206" s="57"/>
      <c r="R206" s="58"/>
    </row>
    <row r="207" spans="8:8">
      <c r="B207" s="54">
        <v>234.0</v>
      </c>
      <c r="C207" s="8" t="s">
        <v>765</v>
      </c>
      <c r="D207" s="55" t="s">
        <v>3609</v>
      </c>
      <c r="E207" s="8" t="s">
        <v>3719</v>
      </c>
      <c r="F207" s="8" t="s">
        <v>68</v>
      </c>
      <c r="G207" s="8"/>
      <c r="H207" s="8" t="s">
        <v>3719</v>
      </c>
      <c r="I207" s="55"/>
      <c r="J207" s="60" t="s">
        <v>8009</v>
      </c>
      <c r="K207" s="22">
        <v>0.0</v>
      </c>
      <c r="L207" s="22">
        <f>+SUMIF('حركه المخزن الرئيسي اليوميه'!$F:$F,$H:$H,'حركه المخزن الرئيسي اليوميه'!$H:$H)</f>
        <v>0.0</v>
      </c>
      <c r="M207" s="22">
        <f>+SUMIF('حركه المخزن الرئيسي اليوميه'!$F:$F,$H:$H,'حركه المخزن الرئيسي اليوميه'!$I:$I)</f>
        <v>0.0</v>
      </c>
      <c r="N207" s="22">
        <f t="shared" si="43"/>
        <v>0.0</v>
      </c>
      <c r="O207" s="22">
        <f t="shared" si="40"/>
        <v>0.0</v>
      </c>
      <c r="P207" s="22">
        <f t="shared" si="41"/>
        <v>0.0</v>
      </c>
      <c r="Q207" s="57"/>
      <c r="R207" s="58"/>
    </row>
    <row r="208" spans="8:8">
      <c r="B208" s="54">
        <v>235.0</v>
      </c>
      <c r="C208" s="8" t="s">
        <v>765</v>
      </c>
      <c r="D208" s="55" t="s">
        <v>3609</v>
      </c>
      <c r="E208" s="8" t="s">
        <v>3720</v>
      </c>
      <c r="F208" s="8" t="s">
        <v>68</v>
      </c>
      <c r="G208" s="8"/>
      <c r="H208" s="8" t="s">
        <v>3720</v>
      </c>
      <c r="I208" s="55" t="s">
        <v>3609</v>
      </c>
      <c r="J208" s="60" t="s">
        <v>8010</v>
      </c>
      <c r="K208" s="22">
        <v>2.0</v>
      </c>
      <c r="L208" s="22">
        <f>+SUMIF('حركه المخزن الرئيسي اليوميه'!$F:$F,$H:$H,'حركه المخزن الرئيسي اليوميه'!$H:$H)</f>
        <v>0.0</v>
      </c>
      <c r="M208" s="22">
        <f>+SUMIF('حركه المخزن الرئيسي اليوميه'!$F:$F,$H:$H,'حركه المخزن الرئيسي اليوميه'!$I:$I)</f>
        <v>0.0</v>
      </c>
      <c r="N208" s="22">
        <f t="shared" si="42"/>
        <v>2.0</v>
      </c>
      <c r="O208" s="22">
        <f t="shared" si="40"/>
        <v>2.0</v>
      </c>
      <c r="P208" s="22">
        <f t="shared" si="41"/>
        <v>0.0</v>
      </c>
      <c r="Q208" s="57"/>
      <c r="R208" s="58"/>
    </row>
    <row r="209" spans="8:8">
      <c r="B209" s="54">
        <v>236.0</v>
      </c>
      <c r="C209" s="8" t="s">
        <v>765</v>
      </c>
      <c r="D209" s="55" t="s">
        <v>3609</v>
      </c>
      <c r="E209" s="8" t="s">
        <v>3721</v>
      </c>
      <c r="F209" s="8" t="s">
        <v>68</v>
      </c>
      <c r="G209" s="8"/>
      <c r="H209" s="8" t="s">
        <v>3721</v>
      </c>
      <c r="I209" s="55" t="s">
        <v>3609</v>
      </c>
      <c r="J209" s="60" t="s">
        <v>8011</v>
      </c>
      <c r="K209" s="22">
        <v>2.0</v>
      </c>
      <c r="L209" s="22">
        <f>+SUMIF('حركه المخزن الرئيسي اليوميه'!$F:$F,$H:$H,'حركه المخزن الرئيسي اليوميه'!$H:$H)</f>
        <v>0.0</v>
      </c>
      <c r="M209" s="22">
        <f>+SUMIF('حركه المخزن الرئيسي اليوميه'!$F:$F,$H:$H,'حركه المخزن الرئيسي اليوميه'!$I:$I)</f>
        <v>0.0</v>
      </c>
      <c r="N209" s="22">
        <f t="shared" si="42"/>
        <v>2.0</v>
      </c>
      <c r="O209" s="22">
        <f t="shared" si="40"/>
        <v>2.0</v>
      </c>
      <c r="P209" s="22">
        <f t="shared" si="41"/>
        <v>0.0</v>
      </c>
      <c r="Q209" s="57"/>
      <c r="R209" s="58"/>
    </row>
    <row r="210" spans="8:8">
      <c r="B210" s="54">
        <v>237.0</v>
      </c>
      <c r="C210" s="8" t="s">
        <v>765</v>
      </c>
      <c r="D210" s="55" t="s">
        <v>3609</v>
      </c>
      <c r="E210" s="8" t="s">
        <v>3722</v>
      </c>
      <c r="F210" s="8" t="s">
        <v>68</v>
      </c>
      <c r="G210" s="8"/>
      <c r="H210" s="8" t="s">
        <v>3722</v>
      </c>
      <c r="I210" s="55" t="s">
        <v>3609</v>
      </c>
      <c r="J210" s="60" t="s">
        <v>8012</v>
      </c>
      <c r="K210" s="22">
        <v>2.0</v>
      </c>
      <c r="L210" s="22">
        <f>+SUMIF('حركه المخزن الرئيسي اليوميه'!$F:$F,$H:$H,'حركه المخزن الرئيسي اليوميه'!$H:$H)</f>
        <v>0.0</v>
      </c>
      <c r="M210" s="22">
        <f>+SUMIF('حركه المخزن الرئيسي اليوميه'!$F:$F,$H:$H,'حركه المخزن الرئيسي اليوميه'!$I:$I)</f>
        <v>0.0</v>
      </c>
      <c r="N210" s="22">
        <f t="shared" si="42"/>
        <v>2.0</v>
      </c>
      <c r="O210" s="22">
        <f t="shared" si="40"/>
        <v>2.0</v>
      </c>
      <c r="P210" s="22">
        <f t="shared" si="41"/>
        <v>0.0</v>
      </c>
      <c r="Q210" s="57"/>
      <c r="R210" s="58"/>
    </row>
    <row r="211" spans="8:8">
      <c r="B211" s="54">
        <v>238.0</v>
      </c>
      <c r="C211" s="8" t="s">
        <v>765</v>
      </c>
      <c r="D211" s="55" t="s">
        <v>3609</v>
      </c>
      <c r="E211" s="8" t="s">
        <v>3723</v>
      </c>
      <c r="F211" s="8" t="s">
        <v>68</v>
      </c>
      <c r="G211" s="8"/>
      <c r="H211" s="8" t="s">
        <v>3723</v>
      </c>
      <c r="I211" s="55"/>
      <c r="J211" s="60" t="s">
        <v>8013</v>
      </c>
      <c r="K211" s="22">
        <v>0.0</v>
      </c>
      <c r="L211" s="22">
        <f>+SUMIF('حركه المخزن الرئيسي اليوميه'!$F:$F,$H:$H,'حركه المخزن الرئيسي اليوميه'!$H:$H)</f>
        <v>0.0</v>
      </c>
      <c r="M211" s="22">
        <f>+SUMIF('حركه المخزن الرئيسي اليوميه'!$F:$F,$H:$H,'حركه المخزن الرئيسي اليوميه'!$I:$I)</f>
        <v>0.0</v>
      </c>
      <c r="N211" s="22">
        <f t="shared" si="42"/>
        <v>0.0</v>
      </c>
      <c r="O211" s="22">
        <f t="shared" si="40"/>
        <v>0.0</v>
      </c>
      <c r="P211" s="22">
        <f t="shared" si="41"/>
        <v>0.0</v>
      </c>
      <c r="Q211" s="57"/>
      <c r="R211" s="58"/>
    </row>
    <row r="212" spans="8:8">
      <c r="B212" s="54">
        <v>239.0</v>
      </c>
      <c r="C212" s="8" t="s">
        <v>765</v>
      </c>
      <c r="D212" s="55" t="s">
        <v>3609</v>
      </c>
      <c r="E212" s="8" t="s">
        <v>3724</v>
      </c>
      <c r="F212" s="8" t="s">
        <v>68</v>
      </c>
      <c r="G212" s="8"/>
      <c r="H212" s="8" t="s">
        <v>3724</v>
      </c>
      <c r="I212" s="55" t="s">
        <v>3609</v>
      </c>
      <c r="J212" s="60" t="s">
        <v>8014</v>
      </c>
      <c r="K212" s="22">
        <v>20.0</v>
      </c>
      <c r="L212" s="22">
        <f>+SUMIF('حركه المخزن الرئيسي اليوميه'!$F:$F,$H:$H,'حركه المخزن الرئيسي اليوميه'!$H:$H)</f>
        <v>0.0</v>
      </c>
      <c r="M212" s="22">
        <f>+SUMIF('حركه المخزن الرئيسي اليوميه'!$F:$F,$H:$H,'حركه المخزن الرئيسي اليوميه'!$I:$I)</f>
        <v>0.0</v>
      </c>
      <c r="N212" s="22">
        <f t="shared" si="42"/>
        <v>20.0</v>
      </c>
      <c r="O212" s="22">
        <f t="shared" si="40"/>
        <v>20.0</v>
      </c>
      <c r="P212" s="22">
        <f t="shared" si="41"/>
        <v>0.0</v>
      </c>
      <c r="Q212" s="57"/>
      <c r="R212" s="58"/>
    </row>
    <row r="213" spans="8:8">
      <c r="B213" s="54">
        <v>240.0</v>
      </c>
      <c r="C213" s="8" t="s">
        <v>765</v>
      </c>
      <c r="D213" s="55" t="s">
        <v>3609</v>
      </c>
      <c r="E213" s="8" t="s">
        <v>3725</v>
      </c>
      <c r="F213" s="8" t="s">
        <v>1573</v>
      </c>
      <c r="G213" s="8"/>
      <c r="H213" s="8" t="s">
        <v>3725</v>
      </c>
      <c r="I213" s="55" t="s">
        <v>3609</v>
      </c>
      <c r="J213" s="60" t="s">
        <v>8015</v>
      </c>
      <c r="K213" s="22">
        <v>10.0</v>
      </c>
      <c r="L213" s="22">
        <f>+SUMIF('حركه المخزن الرئيسي اليوميه'!$F:$F,$H:$H,'حركه المخزن الرئيسي اليوميه'!$H:$H)</f>
        <v>0.0</v>
      </c>
      <c r="M213" s="22">
        <f>+SUMIF('حركه المخزن الرئيسي اليوميه'!$F:$F,$H:$H,'حركه المخزن الرئيسي اليوميه'!$I:$I)</f>
        <v>0.0</v>
      </c>
      <c r="N213" s="22">
        <f t="shared" si="42"/>
        <v>10.0</v>
      </c>
      <c r="O213" s="22">
        <f t="shared" si="40"/>
        <v>10.0</v>
      </c>
      <c r="P213" s="22">
        <f t="shared" si="41"/>
        <v>0.0</v>
      </c>
      <c r="Q213" s="57"/>
      <c r="R213" s="58"/>
    </row>
    <row r="214" spans="8:8">
      <c r="B214" s="54">
        <v>241.0</v>
      </c>
      <c r="C214" s="8" t="s">
        <v>765</v>
      </c>
      <c r="D214" s="55" t="s">
        <v>3609</v>
      </c>
      <c r="E214" s="8" t="s">
        <v>3728</v>
      </c>
      <c r="F214" s="8" t="s">
        <v>68</v>
      </c>
      <c r="G214" s="8"/>
      <c r="H214" s="8" t="s">
        <v>3728</v>
      </c>
      <c r="I214" s="55" t="s">
        <v>3609</v>
      </c>
      <c r="J214" s="60" t="s">
        <v>8016</v>
      </c>
      <c r="K214" s="22">
        <v>5.0</v>
      </c>
      <c r="L214" s="22">
        <f>+SUMIF('حركه المخزن الرئيسي اليوميه'!$F:$F,$H:$H,'حركه المخزن الرئيسي اليوميه'!$H:$H)</f>
        <v>0.0</v>
      </c>
      <c r="M214" s="22">
        <f>+SUMIF('حركه المخزن الرئيسي اليوميه'!$F:$F,$H:$H,'حركه المخزن الرئيسي اليوميه'!$I:$I)</f>
        <v>0.0</v>
      </c>
      <c r="N214" s="22">
        <f t="shared" si="42"/>
        <v>5.0</v>
      </c>
      <c r="O214" s="22">
        <f t="shared" si="40"/>
        <v>5.0</v>
      </c>
      <c r="P214" s="22">
        <f t="shared" si="41"/>
        <v>0.0</v>
      </c>
      <c r="Q214" s="57"/>
      <c r="R214" s="58"/>
    </row>
    <row r="215" spans="8:8">
      <c r="B215" s="54">
        <v>242.0</v>
      </c>
      <c r="C215" s="8" t="s">
        <v>765</v>
      </c>
      <c r="D215" s="55" t="s">
        <v>3609</v>
      </c>
      <c r="E215" s="8" t="s">
        <v>3745</v>
      </c>
      <c r="F215" s="8" t="s">
        <v>68</v>
      </c>
      <c r="G215" s="8"/>
      <c r="H215" s="8" t="s">
        <v>3745</v>
      </c>
      <c r="I215" s="55" t="s">
        <v>3609</v>
      </c>
      <c r="J215" s="60" t="s">
        <v>8017</v>
      </c>
      <c r="K215" s="22">
        <v>3.0</v>
      </c>
      <c r="L215" s="22">
        <f>+SUMIF('حركه المخزن الرئيسي اليوميه'!$F:$F,$H:$H,'حركه المخزن الرئيسي اليوميه'!$H:$H)</f>
        <v>0.0</v>
      </c>
      <c r="M215" s="22">
        <f>+SUMIF('حركه المخزن الرئيسي اليوميه'!$F:$F,$H:$H,'حركه المخزن الرئيسي اليوميه'!$I:$I)</f>
        <v>0.0</v>
      </c>
      <c r="N215" s="22">
        <f t="shared" si="42"/>
        <v>3.0</v>
      </c>
      <c r="O215" s="22">
        <f t="shared" si="40"/>
        <v>3.0</v>
      </c>
      <c r="P215" s="22">
        <f t="shared" si="41"/>
        <v>0.0</v>
      </c>
      <c r="Q215" s="57"/>
      <c r="R215" s="58"/>
    </row>
    <row r="216" spans="8:8">
      <c r="B216" s="54">
        <v>243.0</v>
      </c>
      <c r="C216" s="8" t="s">
        <v>765</v>
      </c>
      <c r="D216" s="55" t="s">
        <v>3609</v>
      </c>
      <c r="E216" s="8" t="s">
        <v>3737</v>
      </c>
      <c r="F216" s="8" t="s">
        <v>68</v>
      </c>
      <c r="G216" s="8"/>
      <c r="H216" s="8" t="s">
        <v>3737</v>
      </c>
      <c r="I216" s="55"/>
      <c r="J216" s="60" t="s">
        <v>8018</v>
      </c>
      <c r="K216" s="22">
        <v>0.0</v>
      </c>
      <c r="L216" s="22">
        <f>+SUMIF('حركه المخزن الرئيسي اليوميه'!$F:$F,$H:$H,'حركه المخزن الرئيسي اليوميه'!$H:$H)</f>
        <v>0.0</v>
      </c>
      <c r="M216" s="22">
        <f>+SUMIF('حركه المخزن الرئيسي اليوميه'!$F:$F,$H:$H,'حركه المخزن الرئيسي اليوميه'!$I:$I)</f>
        <v>0.0</v>
      </c>
      <c r="N216" s="22">
        <f t="shared" si="42"/>
        <v>0.0</v>
      </c>
      <c r="O216" s="22">
        <f t="shared" si="40"/>
        <v>0.0</v>
      </c>
      <c r="P216" s="22">
        <f t="shared" si="41"/>
        <v>0.0</v>
      </c>
      <c r="Q216" s="57"/>
      <c r="R216" s="58"/>
    </row>
    <row r="217" spans="8:8">
      <c r="B217" s="54">
        <v>244.0</v>
      </c>
      <c r="C217" s="8" t="s">
        <v>765</v>
      </c>
      <c r="D217" s="55" t="s">
        <v>3609</v>
      </c>
      <c r="E217" s="8" t="s">
        <v>3015</v>
      </c>
      <c r="F217" s="8" t="s">
        <v>68</v>
      </c>
      <c r="G217" s="8"/>
      <c r="H217" s="8" t="s">
        <v>3015</v>
      </c>
      <c r="I217" s="55" t="s">
        <v>3609</v>
      </c>
      <c r="J217" s="60" t="s">
        <v>8019</v>
      </c>
      <c r="K217" s="22">
        <v>10.0</v>
      </c>
      <c r="L217" s="22">
        <f>+SUMIF('حركه المخزن الرئيسي اليوميه'!$F:$F,$H:$H,'حركه المخزن الرئيسي اليوميه'!$H:$H)</f>
        <v>0.0</v>
      </c>
      <c r="M217" s="22">
        <f>+SUMIF('حركه المخزن الرئيسي اليوميه'!$F:$F,$H:$H,'حركه المخزن الرئيسي اليوميه'!$I:$I)</f>
        <v>0.0</v>
      </c>
      <c r="N217" s="22">
        <f t="shared" si="42"/>
        <v>10.0</v>
      </c>
      <c r="O217" s="22">
        <f t="shared" si="40"/>
        <v>10.0</v>
      </c>
      <c r="P217" s="22">
        <f t="shared" si="41"/>
        <v>0.0</v>
      </c>
      <c r="Q217" s="57"/>
      <c r="R217" s="58"/>
    </row>
    <row r="218" spans="8:8">
      <c r="B218" s="54">
        <v>245.0</v>
      </c>
      <c r="C218" s="8" t="s">
        <v>765</v>
      </c>
      <c r="D218" s="55" t="s">
        <v>3609</v>
      </c>
      <c r="E218" s="8" t="s">
        <v>3326</v>
      </c>
      <c r="F218" s="8" t="s">
        <v>68</v>
      </c>
      <c r="G218" s="8"/>
      <c r="H218" s="8" t="s">
        <v>3326</v>
      </c>
      <c r="I218" s="55" t="s">
        <v>3609</v>
      </c>
      <c r="J218" s="60" t="s">
        <v>8020</v>
      </c>
      <c r="K218" s="22">
        <v>11.0</v>
      </c>
      <c r="L218" s="22">
        <f>+SUMIF('حركه المخزن الرئيسي اليوميه'!$F:$F,$H:$H,'حركه المخزن الرئيسي اليوميه'!$H:$H)</f>
        <v>0.0</v>
      </c>
      <c r="M218" s="22">
        <f>+SUMIF('حركه المخزن الرئيسي اليوميه'!$F:$F,$H:$H,'حركه المخزن الرئيسي اليوميه'!$I:$I)</f>
        <v>0.0</v>
      </c>
      <c r="N218" s="22">
        <f t="shared" si="42"/>
        <v>11.0</v>
      </c>
      <c r="O218" s="22">
        <f t="shared" si="40"/>
        <v>11.0</v>
      </c>
      <c r="P218" s="22">
        <f t="shared" si="41"/>
        <v>0.0</v>
      </c>
      <c r="Q218" s="57"/>
      <c r="R218" s="58"/>
    </row>
    <row r="219" spans="8:8">
      <c r="B219" s="54">
        <v>246.0</v>
      </c>
      <c r="C219" s="8" t="s">
        <v>765</v>
      </c>
      <c r="D219" s="55" t="s">
        <v>3609</v>
      </c>
      <c r="E219" s="8" t="s">
        <v>3016</v>
      </c>
      <c r="F219" s="8" t="s">
        <v>68</v>
      </c>
      <c r="G219" s="8"/>
      <c r="H219" s="8" t="s">
        <v>3016</v>
      </c>
      <c r="I219" s="55" t="s">
        <v>3609</v>
      </c>
      <c r="J219" s="60" t="s">
        <v>8021</v>
      </c>
      <c r="K219" s="22">
        <v>15.0</v>
      </c>
      <c r="L219" s="22">
        <f>+SUMIF('حركه المخزن الرئيسي اليوميه'!$F:$F,$H:$H,'حركه المخزن الرئيسي اليوميه'!$H:$H)</f>
        <v>0.0</v>
      </c>
      <c r="M219" s="22">
        <f>+SUMIF('حركه المخزن الرئيسي اليوميه'!$F:$F,$H:$H,'حركه المخزن الرئيسي اليوميه'!$I:$I)</f>
        <v>0.0</v>
      </c>
      <c r="N219" s="22">
        <f t="shared" si="42"/>
        <v>15.0</v>
      </c>
      <c r="O219" s="22">
        <f t="shared" si="40"/>
        <v>15.0</v>
      </c>
      <c r="P219" s="22">
        <f t="shared" si="41"/>
        <v>0.0</v>
      </c>
      <c r="Q219" s="57"/>
      <c r="R219" s="58"/>
    </row>
    <row r="220" spans="8:8">
      <c r="B220" s="54">
        <v>247.0</v>
      </c>
      <c r="C220" s="8" t="s">
        <v>765</v>
      </c>
      <c r="D220" s="55" t="s">
        <v>3609</v>
      </c>
      <c r="E220" s="8" t="s">
        <v>2743</v>
      </c>
      <c r="F220" s="8" t="s">
        <v>68</v>
      </c>
      <c r="G220" s="8"/>
      <c r="H220" s="8" t="s">
        <v>2743</v>
      </c>
      <c r="I220" s="55" t="s">
        <v>3609</v>
      </c>
      <c r="J220" s="60" t="s">
        <v>8022</v>
      </c>
      <c r="K220" s="22">
        <v>1.0</v>
      </c>
      <c r="L220" s="22">
        <f>+SUMIF('حركه المخزن الرئيسي اليوميه'!$F:$F,$H:$H,'حركه المخزن الرئيسي اليوميه'!$H:$H)</f>
        <v>0.0</v>
      </c>
      <c r="M220" s="22">
        <f>+SUMIF('حركه المخزن الرئيسي اليوميه'!$F:$F,$H:$H,'حركه المخزن الرئيسي اليوميه'!$I:$I)</f>
        <v>0.0</v>
      </c>
      <c r="N220" s="22">
        <f t="shared" si="42"/>
        <v>1.0</v>
      </c>
      <c r="O220" s="22">
        <f t="shared" si="40"/>
        <v>1.0</v>
      </c>
      <c r="P220" s="22">
        <f t="shared" si="41"/>
        <v>0.0</v>
      </c>
      <c r="Q220" s="57"/>
      <c r="R220" s="58"/>
    </row>
    <row r="221" spans="8:8">
      <c r="B221" s="54">
        <v>248.0</v>
      </c>
      <c r="C221" s="8" t="s">
        <v>765</v>
      </c>
      <c r="D221" s="55" t="s">
        <v>3609</v>
      </c>
      <c r="E221" s="8" t="s">
        <v>3135</v>
      </c>
      <c r="F221" s="8" t="s">
        <v>68</v>
      </c>
      <c r="G221" s="8"/>
      <c r="H221" s="8" t="s">
        <v>3135</v>
      </c>
      <c r="I221" s="55" t="s">
        <v>3609</v>
      </c>
      <c r="J221" s="60" t="s">
        <v>8023</v>
      </c>
      <c r="K221" s="22">
        <v>8.0</v>
      </c>
      <c r="L221" s="22">
        <f>+SUMIF('حركه المخزن الرئيسي اليوميه'!$F:$F,$H:$H,'حركه المخزن الرئيسي اليوميه'!$H:$H)</f>
        <v>0.0</v>
      </c>
      <c r="M221" s="22">
        <f>+SUMIF('حركه المخزن الرئيسي اليوميه'!$F:$F,$H:$H,'حركه المخزن الرئيسي اليوميه'!$I:$I)</f>
        <v>0.0</v>
      </c>
      <c r="N221" s="22">
        <f t="shared" si="42"/>
        <v>8.0</v>
      </c>
      <c r="O221" s="22">
        <f t="shared" si="40"/>
        <v>8.0</v>
      </c>
      <c r="P221" s="22">
        <f t="shared" si="41"/>
        <v>0.0</v>
      </c>
      <c r="Q221" s="57"/>
      <c r="R221" s="58"/>
    </row>
    <row r="222" spans="8:8">
      <c r="B222" s="54">
        <v>249.0</v>
      </c>
      <c r="C222" s="8" t="s">
        <v>765</v>
      </c>
      <c r="D222" s="55" t="s">
        <v>3609</v>
      </c>
      <c r="E222" s="8" t="s">
        <v>3136</v>
      </c>
      <c r="F222" s="8" t="s">
        <v>68</v>
      </c>
      <c r="G222" s="8"/>
      <c r="H222" s="8" t="s">
        <v>3136</v>
      </c>
      <c r="I222" s="55" t="s">
        <v>3609</v>
      </c>
      <c r="J222" s="60" t="s">
        <v>8024</v>
      </c>
      <c r="K222" s="22">
        <v>26.0</v>
      </c>
      <c r="L222" s="22">
        <f>+SUMIF('حركه المخزن الرئيسي اليوميه'!$F:$F,$H:$H,'حركه المخزن الرئيسي اليوميه'!$H:$H)</f>
        <v>0.0</v>
      </c>
      <c r="M222" s="22">
        <f>+SUMIF('حركه المخزن الرئيسي اليوميه'!$F:$F,$H:$H,'حركه المخزن الرئيسي اليوميه'!$I:$I)</f>
        <v>0.0</v>
      </c>
      <c r="N222" s="22">
        <f t="shared" si="42"/>
        <v>26.0</v>
      </c>
      <c r="O222" s="22">
        <f t="shared" si="40"/>
        <v>26.0</v>
      </c>
      <c r="P222" s="22">
        <f t="shared" si="41"/>
        <v>0.0</v>
      </c>
      <c r="Q222" s="57"/>
      <c r="R222" s="58"/>
    </row>
    <row r="223" spans="8:8">
      <c r="B223" s="54">
        <v>250.0</v>
      </c>
      <c r="C223" s="8" t="s">
        <v>765</v>
      </c>
      <c r="D223" s="55" t="s">
        <v>3609</v>
      </c>
      <c r="E223" s="8" t="s">
        <v>3532</v>
      </c>
      <c r="F223" s="8" t="s">
        <v>68</v>
      </c>
      <c r="G223" s="8"/>
      <c r="H223" s="8" t="s">
        <v>3532</v>
      </c>
      <c r="I223" s="55" t="s">
        <v>3609</v>
      </c>
      <c r="J223" s="60" t="s">
        <v>8025</v>
      </c>
      <c r="K223" s="22">
        <v>4.0</v>
      </c>
      <c r="L223" s="22">
        <f>+SUMIF('حركه المخزن الرئيسي اليوميه'!$F:$F,$H:$H,'حركه المخزن الرئيسي اليوميه'!$H:$H)</f>
        <v>0.0</v>
      </c>
      <c r="M223" s="22">
        <f>+SUMIF('حركه المخزن الرئيسي اليوميه'!$F:$F,$H:$H,'حركه المخزن الرئيسي اليوميه'!$I:$I)</f>
        <v>0.0</v>
      </c>
      <c r="N223" s="22">
        <f t="shared" si="42"/>
        <v>4.0</v>
      </c>
      <c r="O223" s="22">
        <f t="shared" si="40"/>
        <v>4.0</v>
      </c>
      <c r="P223" s="22">
        <f t="shared" si="41"/>
        <v>0.0</v>
      </c>
      <c r="Q223" s="57"/>
      <c r="R223" s="58"/>
    </row>
    <row r="224" spans="8:8">
      <c r="B224" s="54">
        <v>251.0</v>
      </c>
      <c r="C224" s="8" t="s">
        <v>765</v>
      </c>
      <c r="D224" s="55" t="s">
        <v>3609</v>
      </c>
      <c r="E224" s="8" t="s">
        <v>3173</v>
      </c>
      <c r="F224" s="8" t="s">
        <v>68</v>
      </c>
      <c r="G224" s="8"/>
      <c r="H224" s="8" t="s">
        <v>3173</v>
      </c>
      <c r="I224" s="55" t="s">
        <v>3609</v>
      </c>
      <c r="J224" s="60" t="s">
        <v>8026</v>
      </c>
      <c r="K224" s="22">
        <v>7.0</v>
      </c>
      <c r="L224" s="22">
        <f>+SUMIF('حركه المخزن الرئيسي اليوميه'!$F:$F,$H:$H,'حركه المخزن الرئيسي اليوميه'!$H:$H)</f>
        <v>0.0</v>
      </c>
      <c r="M224" s="22">
        <f>+SUMIF('حركه المخزن الرئيسي اليوميه'!$F:$F,$H:$H,'حركه المخزن الرئيسي اليوميه'!$I:$I)</f>
        <v>0.0</v>
      </c>
      <c r="N224" s="22">
        <f t="shared" si="42"/>
        <v>7.0</v>
      </c>
      <c r="O224" s="22">
        <f t="shared" si="40"/>
        <v>7.0</v>
      </c>
      <c r="P224" s="22">
        <f t="shared" si="41"/>
        <v>0.0</v>
      </c>
      <c r="Q224" s="57"/>
      <c r="R224" s="58"/>
    </row>
    <row r="225" spans="8:8">
      <c r="B225" s="54">
        <v>252.0</v>
      </c>
      <c r="C225" s="8" t="s">
        <v>765</v>
      </c>
      <c r="D225" s="55" t="s">
        <v>3609</v>
      </c>
      <c r="E225" s="8" t="s">
        <v>3175</v>
      </c>
      <c r="F225" s="8" t="s">
        <v>68</v>
      </c>
      <c r="G225" s="8"/>
      <c r="H225" s="8" t="s">
        <v>3175</v>
      </c>
      <c r="I225" s="55" t="s">
        <v>3609</v>
      </c>
      <c r="J225" s="60" t="s">
        <v>8027</v>
      </c>
      <c r="K225" s="22">
        <v>4.0</v>
      </c>
      <c r="L225" s="22">
        <f>+SUMIF('حركه المخزن الرئيسي اليوميه'!$F:$F,$H:$H,'حركه المخزن الرئيسي اليوميه'!$H:$H)</f>
        <v>0.0</v>
      </c>
      <c r="M225" s="22">
        <f>+SUMIF('حركه المخزن الرئيسي اليوميه'!$F:$F,$H:$H,'حركه المخزن الرئيسي اليوميه'!$I:$I)</f>
        <v>0.0</v>
      </c>
      <c r="N225" s="22">
        <f t="shared" si="42"/>
        <v>4.0</v>
      </c>
      <c r="O225" s="22">
        <f t="shared" si="40"/>
        <v>4.0</v>
      </c>
      <c r="P225" s="22">
        <f t="shared" si="41"/>
        <v>0.0</v>
      </c>
      <c r="Q225" s="57"/>
      <c r="R225" s="58"/>
    </row>
    <row r="226" spans="8:8">
      <c r="B226" s="54">
        <v>253.0</v>
      </c>
      <c r="C226" s="8" t="s">
        <v>765</v>
      </c>
      <c r="D226" s="55" t="s">
        <v>3609</v>
      </c>
      <c r="E226" s="8" t="s">
        <v>3784</v>
      </c>
      <c r="F226" s="8" t="s">
        <v>68</v>
      </c>
      <c r="G226" s="8"/>
      <c r="H226" s="8" t="s">
        <v>3784</v>
      </c>
      <c r="I226" s="55" t="s">
        <v>3608</v>
      </c>
      <c r="J226" s="60" t="s">
        <v>8028</v>
      </c>
      <c r="K226" s="22">
        <v>1.0</v>
      </c>
      <c r="L226" s="22">
        <f>+SUMIF('حركه المخزن الرئيسي اليوميه'!$F:$F,$H:$H,'حركه المخزن الرئيسي اليوميه'!$H:$H)</f>
        <v>0.0</v>
      </c>
      <c r="M226" s="22">
        <f>+SUMIF('حركه المخزن الرئيسي اليوميه'!$F:$F,$H:$H,'حركه المخزن الرئيسي اليوميه'!$I:$I)</f>
        <v>0.0</v>
      </c>
      <c r="N226" s="22">
        <f t="shared" si="42"/>
        <v>1.0</v>
      </c>
      <c r="O226" s="22">
        <f t="shared" si="40"/>
        <v>1.0</v>
      </c>
      <c r="P226" s="22">
        <f t="shared" si="41"/>
        <v>0.0</v>
      </c>
      <c r="Q226" s="57"/>
      <c r="R226" s="58"/>
    </row>
    <row r="227" spans="8:8">
      <c r="B227" s="54">
        <v>254.0</v>
      </c>
      <c r="C227" s="8" t="s">
        <v>765</v>
      </c>
      <c r="D227" s="55" t="s">
        <v>3608</v>
      </c>
      <c r="E227" s="8" t="s">
        <v>3785</v>
      </c>
      <c r="F227" s="8" t="s">
        <v>68</v>
      </c>
      <c r="G227" s="8"/>
      <c r="H227" s="8" t="s">
        <v>3785</v>
      </c>
      <c r="I227" s="55" t="s">
        <v>3608</v>
      </c>
      <c r="J227" s="60" t="s">
        <v>8029</v>
      </c>
      <c r="K227" s="22">
        <v>8.0</v>
      </c>
      <c r="L227" s="22">
        <f>+SUMIF('حركه المخزن الرئيسي اليوميه'!$F:$F,$H:$H,'حركه المخزن الرئيسي اليوميه'!$H:$H)</f>
        <v>0.0</v>
      </c>
      <c r="M227" s="22">
        <f>+SUMIF('حركه المخزن الرئيسي اليوميه'!$F:$F,$H:$H,'حركه المخزن الرئيسي اليوميه'!$I:$I)</f>
        <v>0.0</v>
      </c>
      <c r="N227" s="22">
        <f t="shared" si="42"/>
        <v>8.0</v>
      </c>
      <c r="O227" s="22">
        <f t="shared" si="40"/>
        <v>8.0</v>
      </c>
      <c r="P227" s="22">
        <f t="shared" si="41"/>
        <v>0.0</v>
      </c>
      <c r="Q227" s="57"/>
      <c r="R227" s="58"/>
    </row>
    <row r="228" spans="8:8">
      <c r="B228" s="54">
        <v>255.0</v>
      </c>
      <c r="C228" s="8" t="s">
        <v>2528</v>
      </c>
      <c r="D228" s="55" t="s">
        <v>3608</v>
      </c>
      <c r="E228" s="8" t="s">
        <v>3786</v>
      </c>
      <c r="F228" s="8" t="s">
        <v>68</v>
      </c>
      <c r="G228" s="8"/>
      <c r="H228" s="8" t="s">
        <v>3786</v>
      </c>
      <c r="I228" s="55" t="s">
        <v>3608</v>
      </c>
      <c r="J228" s="60" t="s">
        <v>8030</v>
      </c>
      <c r="K228" s="22">
        <v>0.0</v>
      </c>
      <c r="L228" s="22">
        <f>+SUMIF('حركه المخزن الرئيسي اليوميه'!$F:$F,$H:$H,'حركه المخزن الرئيسي اليوميه'!$H:$H)</f>
        <v>0.0</v>
      </c>
      <c r="M228" s="22">
        <f>+SUMIF('حركه المخزن الرئيسي اليوميه'!$F:$F,$H:$H,'حركه المخزن الرئيسي اليوميه'!$I:$I)</f>
        <v>0.0</v>
      </c>
      <c r="N228" s="22">
        <f t="shared" si="42"/>
        <v>0.0</v>
      </c>
      <c r="O228" s="22">
        <f t="shared" si="40"/>
        <v>0.0</v>
      </c>
      <c r="P228" s="22">
        <f t="shared" si="41"/>
        <v>0.0</v>
      </c>
      <c r="Q228" s="57"/>
      <c r="R228" s="58"/>
    </row>
    <row r="229" spans="8:8">
      <c r="B229" s="54">
        <v>256.0</v>
      </c>
      <c r="C229" s="8" t="s">
        <v>765</v>
      </c>
      <c r="D229" s="55" t="s">
        <v>3609</v>
      </c>
      <c r="E229" s="8" t="s">
        <v>3176</v>
      </c>
      <c r="F229" s="8" t="s">
        <v>68</v>
      </c>
      <c r="G229" s="8"/>
      <c r="H229" s="8" t="s">
        <v>3176</v>
      </c>
      <c r="I229" s="55" t="s">
        <v>3609</v>
      </c>
      <c r="J229" s="60" t="s">
        <v>8031</v>
      </c>
      <c r="K229" s="22">
        <v>3.0</v>
      </c>
      <c r="L229" s="22">
        <f>+SUMIF('حركه المخزن الرئيسي اليوميه'!$F:$F,$H:$H,'حركه المخزن الرئيسي اليوميه'!$H:$H)</f>
        <v>0.0</v>
      </c>
      <c r="M229" s="22">
        <f>+SUMIF('حركه المخزن الرئيسي اليوميه'!$F:$F,$H:$H,'حركه المخزن الرئيسي اليوميه'!$I:$I)</f>
        <v>0.0</v>
      </c>
      <c r="N229" s="22">
        <f t="shared" si="42"/>
        <v>3.0</v>
      </c>
      <c r="O229" s="22">
        <f t="shared" si="40"/>
        <v>3.0</v>
      </c>
      <c r="P229" s="22">
        <f t="shared" si="41"/>
        <v>0.0</v>
      </c>
      <c r="Q229" s="57"/>
      <c r="R229" s="58"/>
    </row>
    <row r="230" spans="8:8">
      <c r="B230" s="54">
        <v>257.0</v>
      </c>
      <c r="C230" s="8" t="s">
        <v>814</v>
      </c>
      <c r="D230" s="55" t="s">
        <v>3608</v>
      </c>
      <c r="E230" s="8" t="s">
        <v>3787</v>
      </c>
      <c r="F230" s="8" t="s">
        <v>68</v>
      </c>
      <c r="G230" s="8" t="s">
        <v>2209</v>
      </c>
      <c r="H230" s="8" t="s">
        <v>3787</v>
      </c>
      <c r="I230" s="55" t="s">
        <v>3608</v>
      </c>
      <c r="J230" s="60" t="s">
        <v>8032</v>
      </c>
      <c r="K230" s="22">
        <v>2.0</v>
      </c>
      <c r="L230" s="22">
        <f>+SUMIF('حركه المخزن الرئيسي اليوميه'!$F:$F,$H:$H,'حركه المخزن الرئيسي اليوميه'!$H:$H)</f>
        <v>0.0</v>
      </c>
      <c r="M230" s="22">
        <f>+SUMIF('حركه المخزن الرئيسي اليوميه'!$F:$F,$H:$H,'حركه المخزن الرئيسي اليوميه'!$I:$I)</f>
        <v>0.0</v>
      </c>
      <c r="N230" s="22">
        <f t="shared" si="42"/>
        <v>2.0</v>
      </c>
      <c r="O230" s="22">
        <f t="shared" si="40"/>
        <v>2.0</v>
      </c>
      <c r="P230" s="22">
        <f t="shared" si="41"/>
        <v>0.0</v>
      </c>
      <c r="Q230" s="57"/>
      <c r="R230" s="58"/>
    </row>
    <row r="231" spans="8:8">
      <c r="B231" s="54">
        <v>258.0</v>
      </c>
      <c r="C231" s="8" t="s">
        <v>814</v>
      </c>
      <c r="D231" s="55" t="s">
        <v>3608</v>
      </c>
      <c r="E231" s="8" t="s">
        <v>3788</v>
      </c>
      <c r="F231" s="8" t="s">
        <v>68</v>
      </c>
      <c r="G231" s="8"/>
      <c r="H231" s="8" t="s">
        <v>3788</v>
      </c>
      <c r="I231" s="55" t="s">
        <v>3608</v>
      </c>
      <c r="J231" s="60" t="s">
        <v>8033</v>
      </c>
      <c r="K231" s="22">
        <v>1.0</v>
      </c>
      <c r="L231" s="22">
        <f>+SUMIF('حركه المخزن الرئيسي اليوميه'!$F:$F,$H:$H,'حركه المخزن الرئيسي اليوميه'!$H:$H)</f>
        <v>0.0</v>
      </c>
      <c r="M231" s="22">
        <f>+SUMIF('حركه المخزن الرئيسي اليوميه'!$F:$F,$H:$H,'حركه المخزن الرئيسي اليوميه'!$I:$I)</f>
        <v>0.0</v>
      </c>
      <c r="N231" s="22">
        <f t="shared" si="42"/>
        <v>1.0</v>
      </c>
      <c r="O231" s="22">
        <f t="shared" si="40"/>
        <v>1.0</v>
      </c>
      <c r="P231" s="22">
        <f t="shared" si="41"/>
        <v>0.0</v>
      </c>
      <c r="Q231" s="57"/>
      <c r="R231" s="58"/>
    </row>
    <row r="232" spans="8:8">
      <c r="B232" s="54">
        <v>259.0</v>
      </c>
      <c r="C232" s="8" t="s">
        <v>814</v>
      </c>
      <c r="D232" s="55" t="s">
        <v>3608</v>
      </c>
      <c r="E232" s="8" t="s">
        <v>3789</v>
      </c>
      <c r="F232" s="8" t="s">
        <v>68</v>
      </c>
      <c r="G232" s="8"/>
      <c r="H232" s="8" t="s">
        <v>3789</v>
      </c>
      <c r="I232" s="55" t="s">
        <v>3608</v>
      </c>
      <c r="J232" s="60" t="s">
        <v>8034</v>
      </c>
      <c r="K232" s="22">
        <v>2.0</v>
      </c>
      <c r="L232" s="22">
        <f>+SUMIF('حركه المخزن الرئيسي اليوميه'!$F:$F,$H:$H,'حركه المخزن الرئيسي اليوميه'!$H:$H)</f>
        <v>0.0</v>
      </c>
      <c r="M232" s="22">
        <f>+SUMIF('حركه المخزن الرئيسي اليوميه'!$F:$F,$H:$H,'حركه المخزن الرئيسي اليوميه'!$I:$I)</f>
        <v>0.0</v>
      </c>
      <c r="N232" s="22">
        <f t="shared" si="42"/>
        <v>2.0</v>
      </c>
      <c r="O232" s="22">
        <f t="shared" si="40"/>
        <v>2.0</v>
      </c>
      <c r="P232" s="22">
        <f t="shared" si="41"/>
        <v>0.0</v>
      </c>
      <c r="Q232" s="57"/>
      <c r="R232" s="58"/>
    </row>
    <row r="233" spans="8:8">
      <c r="B233" s="54">
        <v>260.0</v>
      </c>
      <c r="C233" s="8" t="s">
        <v>2528</v>
      </c>
      <c r="D233" s="8" t="s">
        <v>1013</v>
      </c>
      <c r="E233" s="8" t="s">
        <v>3790</v>
      </c>
      <c r="F233" s="8" t="s">
        <v>1501</v>
      </c>
      <c r="G233" s="8"/>
      <c r="H233" s="8" t="s">
        <v>3790</v>
      </c>
      <c r="I233" s="55" t="s">
        <v>3608</v>
      </c>
      <c r="J233" s="60" t="s">
        <v>8035</v>
      </c>
      <c r="K233" s="22">
        <v>1.0</v>
      </c>
      <c r="L233" s="22">
        <f>+SUMIF('حركه المخزن الرئيسي اليوميه'!$F:$F,$H:$H,'حركه المخزن الرئيسي اليوميه'!$H:$H)</f>
        <v>0.0</v>
      </c>
      <c r="M233" s="22">
        <f>+SUMIF('حركه المخزن الرئيسي اليوميه'!$F:$F,$H:$H,'حركه المخزن الرئيسي اليوميه'!$I:$I)</f>
        <v>0.0</v>
      </c>
      <c r="N233" s="22">
        <f t="shared" si="42"/>
        <v>1.0</v>
      </c>
      <c r="O233" s="22">
        <f t="shared" si="40"/>
        <v>1.0</v>
      </c>
      <c r="P233" s="22">
        <f t="shared" si="41"/>
        <v>0.0</v>
      </c>
      <c r="Q233" s="57"/>
      <c r="R233" s="58"/>
    </row>
    <row r="234" spans="8:8">
      <c r="B234" s="54">
        <v>261.0</v>
      </c>
      <c r="C234" s="8" t="s">
        <v>2528</v>
      </c>
      <c r="D234" s="8" t="s">
        <v>1013</v>
      </c>
      <c r="E234" s="8" t="s">
        <v>3791</v>
      </c>
      <c r="F234" s="8" t="s">
        <v>1501</v>
      </c>
      <c r="G234" s="8"/>
      <c r="H234" s="8" t="s">
        <v>3791</v>
      </c>
      <c r="I234" s="55" t="s">
        <v>3609</v>
      </c>
      <c r="J234" s="60" t="s">
        <v>8036</v>
      </c>
      <c r="K234" s="22">
        <v>3.0</v>
      </c>
      <c r="L234" s="22">
        <f>+SUMIF('حركه المخزن الرئيسي اليوميه'!$F:$F,$H:$H,'حركه المخزن الرئيسي اليوميه'!$H:$H)</f>
        <v>0.0</v>
      </c>
      <c r="M234" s="22">
        <f>+SUMIF('حركه المخزن الرئيسي اليوميه'!$F:$F,$H:$H,'حركه المخزن الرئيسي اليوميه'!$I:$I)</f>
        <v>0.0</v>
      </c>
      <c r="N234" s="22">
        <f t="shared" si="42"/>
        <v>3.0</v>
      </c>
      <c r="O234" s="22">
        <f t="shared" si="40"/>
        <v>3.0</v>
      </c>
      <c r="P234" s="22">
        <f t="shared" si="41"/>
        <v>0.0</v>
      </c>
      <c r="Q234" s="57"/>
      <c r="R234" s="58"/>
    </row>
    <row r="235" spans="8:8">
      <c r="B235" s="54">
        <v>262.0</v>
      </c>
      <c r="C235" s="8" t="s">
        <v>814</v>
      </c>
      <c r="D235" s="55" t="s">
        <v>3608</v>
      </c>
      <c r="E235" s="8" t="s">
        <v>3792</v>
      </c>
      <c r="F235" s="8" t="s">
        <v>68</v>
      </c>
      <c r="G235" s="8"/>
      <c r="H235" s="8" t="s">
        <v>3792</v>
      </c>
      <c r="I235" s="55" t="s">
        <v>3609</v>
      </c>
      <c r="J235" s="60" t="s">
        <v>8037</v>
      </c>
      <c r="K235" s="22">
        <v>1.0</v>
      </c>
      <c r="L235" s="22">
        <f>+SUMIF('حركه المخزن الرئيسي اليوميه'!$F:$F,$H:$H,'حركه المخزن الرئيسي اليوميه'!$H:$H)</f>
        <v>0.0</v>
      </c>
      <c r="M235" s="22">
        <f>+SUMIF('حركه المخزن الرئيسي اليوميه'!$F:$F,$H:$H,'حركه المخزن الرئيسي اليوميه'!$I:$I)</f>
        <v>0.0</v>
      </c>
      <c r="N235" s="22">
        <f t="shared" si="44" ref="N235:N291">+K235+L235-M235</f>
        <v>1.0</v>
      </c>
      <c r="O235" s="22">
        <f t="shared" si="45" ref="O235:O291">+N235</f>
        <v>1.0</v>
      </c>
      <c r="P235" s="22">
        <f t="shared" si="46" ref="P235:P291">+N235-O235</f>
        <v>0.0</v>
      </c>
      <c r="Q235" s="57"/>
      <c r="R235" s="58"/>
    </row>
    <row r="236" spans="8:8">
      <c r="B236" s="54">
        <v>263.0</v>
      </c>
      <c r="C236" s="8" t="s">
        <v>814</v>
      </c>
      <c r="D236" s="55" t="s">
        <v>3608</v>
      </c>
      <c r="E236" s="8" t="s">
        <v>3899</v>
      </c>
      <c r="F236" s="8" t="s">
        <v>68</v>
      </c>
      <c r="G236" s="8"/>
      <c r="H236" s="8" t="s">
        <v>3899</v>
      </c>
      <c r="I236" s="55" t="s">
        <v>3609</v>
      </c>
      <c r="J236" s="60" t="s">
        <v>8038</v>
      </c>
      <c r="K236" s="22">
        <v>0.0</v>
      </c>
      <c r="L236" s="22">
        <f>+SUMIF('حركه المخزن الرئيسي اليوميه'!$F:$F,$H:$H,'حركه المخزن الرئيسي اليوميه'!$H:$H)</f>
        <v>0.0</v>
      </c>
      <c r="M236" s="22">
        <f>+SUMIF('حركه المخزن الرئيسي اليوميه'!$F:$F,$H:$H,'حركه المخزن الرئيسي اليوميه'!$I:$I)</f>
        <v>0.0</v>
      </c>
      <c r="N236" s="22">
        <f t="shared" si="44"/>
        <v>0.0</v>
      </c>
      <c r="O236" s="22">
        <f t="shared" si="45"/>
        <v>0.0</v>
      </c>
      <c r="P236" s="22">
        <f t="shared" si="46"/>
        <v>0.0</v>
      </c>
      <c r="Q236" s="57"/>
      <c r="R236" s="58"/>
    </row>
    <row r="237" spans="8:8">
      <c r="B237" s="54">
        <v>264.0</v>
      </c>
      <c r="C237" s="8" t="s">
        <v>814</v>
      </c>
      <c r="D237" s="55"/>
      <c r="E237" s="8"/>
      <c r="F237" s="8"/>
      <c r="G237" s="8"/>
      <c r="H237" s="8"/>
      <c r="I237" s="55"/>
      <c r="J237" s="60" t="s">
        <v>8039</v>
      </c>
      <c r="K237" s="22">
        <v>0.0</v>
      </c>
      <c r="L237" s="22">
        <f>+SUMIF('حركه المخزن الرئيسي اليوميه'!$F:$F,$H:$H,'حركه المخزن الرئيسي اليوميه'!$H:$H)</f>
        <v>0.0</v>
      </c>
      <c r="M237" s="22">
        <f>+SUMIF('حركه المخزن الرئيسي اليوميه'!$F:$F,$H:$H,'حركه المخزن الرئيسي اليوميه'!$I:$I)</f>
        <v>0.0</v>
      </c>
      <c r="N237" s="22">
        <f t="shared" si="44"/>
        <v>0.0</v>
      </c>
      <c r="O237" s="22">
        <f t="shared" si="45"/>
        <v>0.0</v>
      </c>
      <c r="P237" s="22">
        <f t="shared" si="46"/>
        <v>0.0</v>
      </c>
      <c r="Q237" s="57"/>
      <c r="R237" s="58"/>
    </row>
    <row r="238" spans="8:8">
      <c r="B238" s="54">
        <v>265.0</v>
      </c>
      <c r="C238" s="8" t="s">
        <v>814</v>
      </c>
      <c r="D238" s="55" t="s">
        <v>3608</v>
      </c>
      <c r="E238" s="8" t="s">
        <v>3804</v>
      </c>
      <c r="F238" s="8" t="s">
        <v>92</v>
      </c>
      <c r="G238" s="8"/>
      <c r="H238" s="8" t="s">
        <v>3804</v>
      </c>
      <c r="I238" s="55" t="s">
        <v>3608</v>
      </c>
      <c r="J238" s="60" t="s">
        <v>8040</v>
      </c>
      <c r="K238" s="22">
        <v>4.0</v>
      </c>
      <c r="L238" s="22">
        <f>+SUMIF('حركه المخزن الرئيسي اليوميه'!$F:$F,$H:$H,'حركه المخزن الرئيسي اليوميه'!$H:$H)</f>
        <v>0.0</v>
      </c>
      <c r="M238" s="22">
        <f>+SUMIF('حركه المخزن الرئيسي اليوميه'!$F:$F,$H:$H,'حركه المخزن الرئيسي اليوميه'!$I:$I)</f>
        <v>0.0</v>
      </c>
      <c r="N238" s="22">
        <f t="shared" si="44"/>
        <v>4.0</v>
      </c>
      <c r="O238" s="22">
        <f t="shared" si="45"/>
        <v>4.0</v>
      </c>
      <c r="P238" s="22">
        <f t="shared" si="46"/>
        <v>0.0</v>
      </c>
      <c r="Q238" s="57"/>
      <c r="R238" s="58"/>
    </row>
    <row r="239" spans="8:8">
      <c r="B239" s="54">
        <v>266.0</v>
      </c>
      <c r="C239" s="8" t="s">
        <v>814</v>
      </c>
      <c r="D239" s="55" t="s">
        <v>3608</v>
      </c>
      <c r="E239" s="8" t="s">
        <v>3805</v>
      </c>
      <c r="F239" s="8" t="s">
        <v>68</v>
      </c>
      <c r="G239" s="8"/>
      <c r="H239" s="8" t="s">
        <v>3805</v>
      </c>
      <c r="I239" s="55" t="s">
        <v>3608</v>
      </c>
      <c r="J239" s="60" t="s">
        <v>8041</v>
      </c>
      <c r="K239" s="22">
        <v>1.0</v>
      </c>
      <c r="L239" s="22">
        <f>+SUMIF('حركه المخزن الرئيسي اليوميه'!$F:$F,$H:$H,'حركه المخزن الرئيسي اليوميه'!$H:$H)</f>
        <v>0.0</v>
      </c>
      <c r="M239" s="22">
        <f>+SUMIF('حركه المخزن الرئيسي اليوميه'!$F:$F,$H:$H,'حركه المخزن الرئيسي اليوميه'!$I:$I)</f>
        <v>0.0</v>
      </c>
      <c r="N239" s="22">
        <f t="shared" si="44"/>
        <v>1.0</v>
      </c>
      <c r="O239" s="22">
        <f t="shared" si="45"/>
        <v>1.0</v>
      </c>
      <c r="P239" s="22">
        <f t="shared" si="46"/>
        <v>0.0</v>
      </c>
      <c r="Q239" s="57"/>
      <c r="R239" s="58"/>
    </row>
    <row r="240" spans="8:8">
      <c r="B240" s="54">
        <v>267.0</v>
      </c>
      <c r="C240" s="8" t="s">
        <v>814</v>
      </c>
      <c r="D240" s="8" t="s">
        <v>1013</v>
      </c>
      <c r="E240" s="8" t="s">
        <v>3808</v>
      </c>
      <c r="F240" s="8" t="s">
        <v>1573</v>
      </c>
      <c r="G240" s="8" t="s">
        <v>3807</v>
      </c>
      <c r="H240" s="8" t="s">
        <v>3808</v>
      </c>
      <c r="I240" s="8" t="s">
        <v>3615</v>
      </c>
      <c r="J240" s="60" t="s">
        <v>8042</v>
      </c>
      <c r="K240" s="22">
        <v>1.0</v>
      </c>
      <c r="L240" s="22">
        <f>+SUMIF('حركه المخزن الرئيسي اليوميه'!$F:$F,$H:$H,'حركه المخزن الرئيسي اليوميه'!$H:$H)</f>
        <v>0.0</v>
      </c>
      <c r="M240" s="22">
        <f>+SUMIF('حركه المخزن الرئيسي اليوميه'!$F:$F,$H:$H,'حركه المخزن الرئيسي اليوميه'!$I:$I)</f>
        <v>0.0</v>
      </c>
      <c r="N240" s="22">
        <f t="shared" si="44"/>
        <v>1.0</v>
      </c>
      <c r="O240" s="22">
        <f t="shared" si="45"/>
        <v>1.0</v>
      </c>
      <c r="P240" s="22">
        <f t="shared" si="46"/>
        <v>0.0</v>
      </c>
      <c r="Q240" s="8"/>
      <c r="R240" s="8" t="s">
        <v>3615</v>
      </c>
    </row>
    <row r="241" spans="8:8">
      <c r="B241" s="54">
        <v>268.0</v>
      </c>
      <c r="C241" s="8" t="s">
        <v>814</v>
      </c>
      <c r="D241" s="55" t="s">
        <v>3608</v>
      </c>
      <c r="E241" s="8" t="s">
        <v>3809</v>
      </c>
      <c r="F241" s="8" t="s">
        <v>68</v>
      </c>
      <c r="G241" s="8"/>
      <c r="H241" s="8" t="s">
        <v>3809</v>
      </c>
      <c r="I241" s="55" t="s">
        <v>3609</v>
      </c>
      <c r="J241" s="60" t="s">
        <v>8043</v>
      </c>
      <c r="K241" s="22">
        <v>0.0</v>
      </c>
      <c r="L241" s="22">
        <f>+SUMIF('حركه المخزن الرئيسي اليوميه'!$F:$F,$H:$H,'حركه المخزن الرئيسي اليوميه'!$H:$H)</f>
        <v>0.0</v>
      </c>
      <c r="M241" s="22">
        <f>+SUMIF('حركه المخزن الرئيسي اليوميه'!$F:$F,$H:$H,'حركه المخزن الرئيسي اليوميه'!$I:$I)</f>
        <v>0.0</v>
      </c>
      <c r="N241" s="22">
        <f t="shared" si="44"/>
        <v>0.0</v>
      </c>
      <c r="O241" s="22">
        <f t="shared" si="45"/>
        <v>0.0</v>
      </c>
      <c r="P241" s="22">
        <f t="shared" si="46"/>
        <v>0.0</v>
      </c>
      <c r="Q241" s="57"/>
      <c r="R241" s="58"/>
    </row>
    <row r="242" spans="8:8">
      <c r="B242" s="54">
        <v>269.0</v>
      </c>
      <c r="C242" s="8" t="s">
        <v>2528</v>
      </c>
      <c r="D242" s="55" t="s">
        <v>3608</v>
      </c>
      <c r="E242" s="8" t="s">
        <v>3707</v>
      </c>
      <c r="F242" s="8" t="s">
        <v>68</v>
      </c>
      <c r="G242" s="8"/>
      <c r="H242" s="8" t="s">
        <v>3707</v>
      </c>
      <c r="I242" s="55" t="s">
        <v>3608</v>
      </c>
      <c r="J242" s="60" t="s">
        <v>8044</v>
      </c>
      <c r="K242" s="22">
        <v>7.0</v>
      </c>
      <c r="L242" s="22">
        <f>+SUMIF('حركه المخزن الرئيسي اليوميه'!$F:$F,$H:$H,'حركه المخزن الرئيسي اليوميه'!$H:$H)</f>
        <v>0.0</v>
      </c>
      <c r="M242" s="22">
        <f>+SUMIF('حركه المخزن الرئيسي اليوميه'!$F:$F,$H:$H,'حركه المخزن الرئيسي اليوميه'!$I:$I)</f>
        <v>0.0</v>
      </c>
      <c r="N242" s="22">
        <f t="shared" si="44"/>
        <v>7.0</v>
      </c>
      <c r="O242" s="22">
        <f t="shared" si="45"/>
        <v>7.0</v>
      </c>
      <c r="P242" s="22">
        <f t="shared" si="46"/>
        <v>0.0</v>
      </c>
      <c r="Q242" s="58"/>
      <c r="R242" s="58"/>
    </row>
    <row r="243" spans="8:8">
      <c r="B243" s="54">
        <v>270.0</v>
      </c>
      <c r="C243" s="8" t="s">
        <v>814</v>
      </c>
      <c r="D243" s="55" t="s">
        <v>3608</v>
      </c>
      <c r="E243" s="8" t="s">
        <v>3822</v>
      </c>
      <c r="F243" s="8" t="s">
        <v>68</v>
      </c>
      <c r="G243" s="8"/>
      <c r="H243" s="8" t="s">
        <v>3822</v>
      </c>
      <c r="I243" s="55" t="s">
        <v>3608</v>
      </c>
      <c r="J243" s="60" t="s">
        <v>8045</v>
      </c>
      <c r="K243" s="22">
        <v>1.0</v>
      </c>
      <c r="L243" s="22">
        <f>+SUMIF('حركه المخزن الرئيسي اليوميه'!$F:$F,$H:$H,'حركه المخزن الرئيسي اليوميه'!$H:$H)</f>
        <v>0.0</v>
      </c>
      <c r="M243" s="22">
        <f>+SUMIF('حركه المخزن الرئيسي اليوميه'!$F:$F,$H:$H,'حركه المخزن الرئيسي اليوميه'!$I:$I)</f>
        <v>0.0</v>
      </c>
      <c r="N243" s="22">
        <f t="shared" si="44"/>
        <v>1.0</v>
      </c>
      <c r="O243" s="22">
        <f t="shared" si="45"/>
        <v>1.0</v>
      </c>
      <c r="P243" s="22">
        <f t="shared" si="46"/>
        <v>0.0</v>
      </c>
      <c r="Q243" s="57"/>
      <c r="R243" s="58"/>
    </row>
    <row r="244" spans="8:8">
      <c r="B244" s="54">
        <v>271.0</v>
      </c>
      <c r="C244" s="8" t="s">
        <v>814</v>
      </c>
      <c r="D244" s="55" t="s">
        <v>3609</v>
      </c>
      <c r="E244" s="8" t="s">
        <v>3859</v>
      </c>
      <c r="F244" s="8" t="s">
        <v>1044</v>
      </c>
      <c r="G244" s="8"/>
      <c r="H244" s="8" t="s">
        <v>3859</v>
      </c>
      <c r="I244" s="55" t="s">
        <v>3608</v>
      </c>
      <c r="J244" s="60" t="s">
        <v>8046</v>
      </c>
      <c r="K244" s="22">
        <v>0.0</v>
      </c>
      <c r="L244" s="22">
        <f>+SUMIF('حركه المخزن الرئيسي اليوميه'!$F:$F,$H:$H,'حركه المخزن الرئيسي اليوميه'!$H:$H)</f>
        <v>0.0</v>
      </c>
      <c r="M244" s="22">
        <f>+SUMIF('حركه المخزن الرئيسي اليوميه'!$F:$F,$H:$H,'حركه المخزن الرئيسي اليوميه'!$I:$I)</f>
        <v>0.0</v>
      </c>
      <c r="N244" s="22">
        <f t="shared" si="44"/>
        <v>0.0</v>
      </c>
      <c r="O244" s="22">
        <f t="shared" si="45"/>
        <v>0.0</v>
      </c>
      <c r="P244" s="22">
        <f t="shared" si="46"/>
        <v>0.0</v>
      </c>
      <c r="Q244" s="57"/>
      <c r="R244" s="58"/>
    </row>
    <row r="245" spans="8:8">
      <c r="B245" s="54">
        <v>272.0</v>
      </c>
      <c r="C245" s="8" t="s">
        <v>814</v>
      </c>
      <c r="D245" s="55" t="s">
        <v>3609</v>
      </c>
      <c r="E245" s="8" t="s">
        <v>3870</v>
      </c>
      <c r="F245" s="8" t="s">
        <v>1044</v>
      </c>
      <c r="G245" s="8"/>
      <c r="H245" s="8" t="s">
        <v>3870</v>
      </c>
      <c r="I245" s="55" t="s">
        <v>3608</v>
      </c>
      <c r="J245" s="60" t="s">
        <v>8047</v>
      </c>
      <c r="K245" s="22">
        <v>0.0</v>
      </c>
      <c r="L245" s="22">
        <f>+SUMIF('حركه المخزن الرئيسي اليوميه'!$F:$F,$H:$H,'حركه المخزن الرئيسي اليوميه'!$H:$H)</f>
        <v>0.0</v>
      </c>
      <c r="M245" s="22">
        <f>+SUMIF('حركه المخزن الرئيسي اليوميه'!$F:$F,$H:$H,'حركه المخزن الرئيسي اليوميه'!$I:$I)</f>
        <v>0.0</v>
      </c>
      <c r="N245" s="22">
        <f t="shared" si="44"/>
        <v>0.0</v>
      </c>
      <c r="O245" s="22">
        <f t="shared" si="45"/>
        <v>0.0</v>
      </c>
      <c r="P245" s="22">
        <f t="shared" si="46"/>
        <v>0.0</v>
      </c>
      <c r="Q245" s="57"/>
      <c r="R245" s="58"/>
    </row>
    <row r="246" spans="8:8">
      <c r="B246" s="54">
        <v>273.0</v>
      </c>
      <c r="C246" s="8" t="s">
        <v>814</v>
      </c>
      <c r="D246" s="55" t="s">
        <v>3609</v>
      </c>
      <c r="E246" s="8" t="s">
        <v>3871</v>
      </c>
      <c r="F246" s="8" t="s">
        <v>68</v>
      </c>
      <c r="G246" s="8"/>
      <c r="H246" s="8" t="s">
        <v>3871</v>
      </c>
      <c r="I246" s="55" t="s">
        <v>3608</v>
      </c>
      <c r="J246" s="60" t="s">
        <v>8048</v>
      </c>
      <c r="K246" s="22">
        <v>0.0</v>
      </c>
      <c r="L246" s="22">
        <f>+SUMIF('حركه المخزن الرئيسي اليوميه'!$F:$F,$H:$H,'حركه المخزن الرئيسي اليوميه'!$H:$H)</f>
        <v>0.0</v>
      </c>
      <c r="M246" s="22">
        <f>+SUMIF('حركه المخزن الرئيسي اليوميه'!$F:$F,$H:$H,'حركه المخزن الرئيسي اليوميه'!$I:$I)</f>
        <v>0.0</v>
      </c>
      <c r="N246" s="22">
        <f t="shared" si="44"/>
        <v>0.0</v>
      </c>
      <c r="O246" s="22">
        <f t="shared" si="45"/>
        <v>0.0</v>
      </c>
      <c r="P246" s="22">
        <f t="shared" si="46"/>
        <v>0.0</v>
      </c>
      <c r="Q246" s="57"/>
      <c r="R246" s="58"/>
    </row>
    <row r="247" spans="8:8">
      <c r="B247" s="54">
        <v>274.0</v>
      </c>
      <c r="C247" s="8" t="s">
        <v>814</v>
      </c>
      <c r="D247" s="55" t="s">
        <v>3609</v>
      </c>
      <c r="E247" s="8" t="s">
        <v>3872</v>
      </c>
      <c r="F247" s="8" t="s">
        <v>68</v>
      </c>
      <c r="G247" s="8"/>
      <c r="H247" s="8" t="s">
        <v>3872</v>
      </c>
      <c r="I247" s="55" t="s">
        <v>3608</v>
      </c>
      <c r="J247" s="60" t="s">
        <v>8049</v>
      </c>
      <c r="K247" s="22">
        <v>3.0</v>
      </c>
      <c r="L247" s="22">
        <f>+SUMIF('حركه المخزن الرئيسي اليوميه'!$F:$F,$H:$H,'حركه المخزن الرئيسي اليوميه'!$H:$H)</f>
        <v>0.0</v>
      </c>
      <c r="M247" s="22">
        <f>+SUMIF('حركه المخزن الرئيسي اليوميه'!$F:$F,$H:$H,'حركه المخزن الرئيسي اليوميه'!$I:$I)</f>
        <v>3.0</v>
      </c>
      <c r="N247" s="22">
        <f t="shared" si="44"/>
        <v>0.0</v>
      </c>
      <c r="O247" s="22">
        <f t="shared" si="45"/>
        <v>0.0</v>
      </c>
      <c r="P247" s="22">
        <f t="shared" si="46"/>
        <v>0.0</v>
      </c>
      <c r="Q247" s="57"/>
      <c r="R247" s="58"/>
    </row>
    <row r="248" spans="8:8">
      <c r="B248" s="54">
        <v>275.0</v>
      </c>
      <c r="C248" s="8" t="s">
        <v>814</v>
      </c>
      <c r="D248" s="55" t="s">
        <v>3609</v>
      </c>
      <c r="E248" s="8" t="s">
        <v>3876</v>
      </c>
      <c r="F248" s="8" t="s">
        <v>68</v>
      </c>
      <c r="G248" s="8"/>
      <c r="H248" s="8" t="s">
        <v>3876</v>
      </c>
      <c r="I248" s="55"/>
      <c r="J248" s="60" t="s">
        <v>8050</v>
      </c>
      <c r="K248" s="22">
        <v>0.0</v>
      </c>
      <c r="L248" s="22">
        <f>+SUMIF('حركه المخزن الرئيسي اليوميه'!$F:$F,$H:$H,'حركه المخزن الرئيسي اليوميه'!$H:$H)</f>
        <v>0.0</v>
      </c>
      <c r="M248" s="22">
        <f>+SUMIF('حركه المخزن الرئيسي اليوميه'!$F:$F,$H:$H,'حركه المخزن الرئيسي اليوميه'!$I:$I)</f>
        <v>0.0</v>
      </c>
      <c r="N248" s="22">
        <f t="shared" si="44"/>
        <v>0.0</v>
      </c>
      <c r="O248" s="22">
        <f t="shared" si="45"/>
        <v>0.0</v>
      </c>
      <c r="P248" s="22">
        <f t="shared" si="46"/>
        <v>0.0</v>
      </c>
      <c r="Q248" s="57"/>
      <c r="R248" s="58"/>
    </row>
    <row r="249" spans="8:8">
      <c r="B249" s="54">
        <v>276.0</v>
      </c>
      <c r="C249" s="8" t="s">
        <v>814</v>
      </c>
      <c r="D249" s="55"/>
      <c r="E249" s="8"/>
      <c r="F249" s="8"/>
      <c r="G249" s="8"/>
      <c r="H249" s="8"/>
      <c r="I249" s="55" t="s">
        <v>3608</v>
      </c>
      <c r="J249" s="60" t="s">
        <v>8051</v>
      </c>
      <c r="K249" s="22">
        <v>0.0</v>
      </c>
      <c r="L249" s="22">
        <f>+SUMIF('حركه المخزن الرئيسي اليوميه'!$F:$F,$H:$H,'حركه المخزن الرئيسي اليوميه'!$H:$H)</f>
        <v>0.0</v>
      </c>
      <c r="M249" s="22">
        <f>+SUMIF('حركه المخزن الرئيسي اليوميه'!$F:$F,$H:$H,'حركه المخزن الرئيسي اليوميه'!$I:$I)</f>
        <v>0.0</v>
      </c>
      <c r="N249" s="22">
        <f t="shared" si="44"/>
        <v>0.0</v>
      </c>
      <c r="O249" s="22">
        <f t="shared" si="45"/>
        <v>0.0</v>
      </c>
      <c r="P249" s="22">
        <f t="shared" si="46"/>
        <v>0.0</v>
      </c>
      <c r="Q249" s="57"/>
      <c r="R249" s="58"/>
    </row>
    <row r="250" spans="8:8">
      <c r="B250" s="54">
        <v>277.0</v>
      </c>
      <c r="C250" s="8" t="s">
        <v>814</v>
      </c>
      <c r="D250" s="55" t="s">
        <v>3609</v>
      </c>
      <c r="E250" s="8" t="s">
        <v>1581</v>
      </c>
      <c r="F250" s="8" t="s">
        <v>1044</v>
      </c>
      <c r="G250" s="8"/>
      <c r="H250" s="8" t="s">
        <v>1581</v>
      </c>
      <c r="I250" s="55" t="s">
        <v>3608</v>
      </c>
      <c r="J250" s="60" t="s">
        <v>8052</v>
      </c>
      <c r="K250" s="22">
        <v>4.0</v>
      </c>
      <c r="L250" s="22">
        <f>+SUMIF('حركه المخزن الرئيسي اليوميه'!$F:$F,$H:$H,'حركه المخزن الرئيسي اليوميه'!$H:$H)</f>
        <v>0.0</v>
      </c>
      <c r="M250" s="22">
        <f>+SUMIF('حركه المخزن الرئيسي اليوميه'!$F:$F,$H:$H,'حركه المخزن الرئيسي اليوميه'!$I:$I)</f>
        <v>1.0</v>
      </c>
      <c r="N250" s="22">
        <f t="shared" si="44"/>
        <v>3.0</v>
      </c>
      <c r="O250" s="22">
        <f t="shared" si="45"/>
        <v>3.0</v>
      </c>
      <c r="P250" s="22">
        <f t="shared" si="46"/>
        <v>0.0</v>
      </c>
      <c r="Q250" s="57"/>
      <c r="R250" s="58"/>
    </row>
    <row r="251" spans="8:8">
      <c r="B251" s="54">
        <v>278.0</v>
      </c>
      <c r="C251" s="8" t="s">
        <v>814</v>
      </c>
      <c r="D251" s="55" t="s">
        <v>3609</v>
      </c>
      <c r="E251" s="8" t="s">
        <v>3904</v>
      </c>
      <c r="F251" s="8" t="s">
        <v>68</v>
      </c>
      <c r="G251" s="8"/>
      <c r="H251" s="8" t="s">
        <v>3904</v>
      </c>
      <c r="I251" s="55" t="s">
        <v>3608</v>
      </c>
      <c r="J251" s="60" t="s">
        <v>8053</v>
      </c>
      <c r="K251" s="22">
        <v>9.0</v>
      </c>
      <c r="L251" s="22">
        <f>+SUMIF('حركه المخزن الرئيسي اليوميه'!$F:$F,$H:$H,'حركه المخزن الرئيسي اليوميه'!$H:$H)</f>
        <v>0.0</v>
      </c>
      <c r="M251" s="22">
        <f>+SUMIF('حركه المخزن الرئيسي اليوميه'!$F:$F,$H:$H,'حركه المخزن الرئيسي اليوميه'!$I:$I)</f>
        <v>1.0</v>
      </c>
      <c r="N251" s="22">
        <f t="shared" si="44"/>
        <v>8.0</v>
      </c>
      <c r="O251" s="22">
        <f t="shared" si="45"/>
        <v>8.0</v>
      </c>
      <c r="P251" s="22">
        <f t="shared" si="46"/>
        <v>0.0</v>
      </c>
      <c r="Q251" s="57"/>
      <c r="R251" s="58"/>
    </row>
    <row r="252" spans="8:8">
      <c r="B252" s="54">
        <v>279.0</v>
      </c>
      <c r="C252" s="8" t="s">
        <v>814</v>
      </c>
      <c r="D252" s="55"/>
      <c r="E252" s="8"/>
      <c r="F252" s="8"/>
      <c r="G252" s="8"/>
      <c r="H252" s="8"/>
      <c r="I252" s="55"/>
      <c r="J252" s="60" t="s">
        <v>8054</v>
      </c>
      <c r="K252" s="22">
        <v>0.0</v>
      </c>
      <c r="L252" s="22">
        <f>+SUMIF('حركه المخزن الرئيسي اليوميه'!$F:$F,$H:$H,'حركه المخزن الرئيسي اليوميه'!$H:$H)</f>
        <v>0.0</v>
      </c>
      <c r="M252" s="22">
        <f>+SUMIF('حركه المخزن الرئيسي اليوميه'!$F:$F,$H:$H,'حركه المخزن الرئيسي اليوميه'!$I:$I)</f>
        <v>0.0</v>
      </c>
      <c r="N252" s="22">
        <f t="shared" si="44"/>
        <v>0.0</v>
      </c>
      <c r="O252" s="22">
        <f t="shared" si="45"/>
        <v>0.0</v>
      </c>
      <c r="P252" s="22">
        <f t="shared" si="46"/>
        <v>0.0</v>
      </c>
      <c r="Q252" s="57"/>
      <c r="R252" s="58"/>
    </row>
    <row r="253" spans="8:8">
      <c r="B253" s="54">
        <v>280.0</v>
      </c>
      <c r="C253" s="8" t="s">
        <v>814</v>
      </c>
      <c r="D253" s="55" t="s">
        <v>3608</v>
      </c>
      <c r="E253" s="8" t="s">
        <v>8115</v>
      </c>
      <c r="F253" s="8" t="s">
        <v>68</v>
      </c>
      <c r="G253" s="8"/>
      <c r="H253" s="8" t="s">
        <v>8115</v>
      </c>
      <c r="I253" s="55" t="s">
        <v>3608</v>
      </c>
      <c r="J253" s="60" t="s">
        <v>8055</v>
      </c>
      <c r="K253" s="22">
        <v>2.0</v>
      </c>
      <c r="L253" s="22">
        <f>+SUMIF('حركه المخزن الرئيسي اليوميه'!$F:$F,$H:$H,'حركه المخزن الرئيسي اليوميه'!$H:$H)</f>
        <v>0.0</v>
      </c>
      <c r="M253" s="22">
        <f>+SUMIF('حركه المخزن الرئيسي اليوميه'!$F:$F,$H:$H,'حركه المخزن الرئيسي اليوميه'!$I:$I)</f>
        <v>0.0</v>
      </c>
      <c r="N253" s="22">
        <f t="shared" si="44"/>
        <v>2.0</v>
      </c>
      <c r="O253" s="22">
        <f t="shared" si="45"/>
        <v>2.0</v>
      </c>
      <c r="P253" s="22">
        <f t="shared" si="46"/>
        <v>0.0</v>
      </c>
      <c r="Q253" s="57"/>
      <c r="R253" s="58"/>
    </row>
    <row r="254" spans="8:8">
      <c r="B254" s="54">
        <v>281.0</v>
      </c>
      <c r="C254" s="8" t="s">
        <v>765</v>
      </c>
      <c r="D254" s="8" t="s">
        <v>814</v>
      </c>
      <c r="E254" s="8" t="s">
        <v>3017</v>
      </c>
      <c r="F254" s="8" t="s">
        <v>68</v>
      </c>
      <c r="G254" s="8"/>
      <c r="H254" s="8" t="s">
        <v>3017</v>
      </c>
      <c r="I254" s="55" t="s">
        <v>3609</v>
      </c>
      <c r="J254" s="60" t="s">
        <v>8056</v>
      </c>
      <c r="K254" s="22">
        <v>10.0</v>
      </c>
      <c r="L254" s="22">
        <f>+SUMIF('حركه المخزن الرئيسي اليوميه'!$F:$F,$H:$H,'حركه المخزن الرئيسي اليوميه'!$H:$H)</f>
        <v>0.0</v>
      </c>
      <c r="M254" s="22">
        <f>+SUMIF('حركه المخزن الرئيسي اليوميه'!$F:$F,$H:$H,'حركه المخزن الرئيسي اليوميه'!$I:$I)</f>
        <v>0.0</v>
      </c>
      <c r="N254" s="22">
        <f t="shared" si="44"/>
        <v>10.0</v>
      </c>
      <c r="O254" s="22">
        <f t="shared" si="45"/>
        <v>10.0</v>
      </c>
      <c r="P254" s="22">
        <f t="shared" si="46"/>
        <v>0.0</v>
      </c>
      <c r="Q254" s="57"/>
      <c r="R254" s="58"/>
    </row>
    <row r="255" spans="8:8">
      <c r="B255" s="54">
        <v>282.0</v>
      </c>
      <c r="C255" s="8" t="s">
        <v>765</v>
      </c>
      <c r="D255" s="8" t="s">
        <v>814</v>
      </c>
      <c r="E255" s="8" t="s">
        <v>3801</v>
      </c>
      <c r="F255" s="8" t="s">
        <v>68</v>
      </c>
      <c r="G255" s="8"/>
      <c r="H255" s="8" t="s">
        <v>3801</v>
      </c>
      <c r="I255" s="55" t="s">
        <v>3614</v>
      </c>
      <c r="J255" s="60" t="s">
        <v>8057</v>
      </c>
      <c r="K255" s="22">
        <v>3.0</v>
      </c>
      <c r="L255" s="22">
        <f>+SUMIF('حركه المخزن الرئيسي اليوميه'!$F:$F,$H:$H,'حركه المخزن الرئيسي اليوميه'!$H:$H)</f>
        <v>0.0</v>
      </c>
      <c r="M255" s="22">
        <f>+SUMIF('حركه المخزن الرئيسي اليوميه'!$F:$F,$H:$H,'حركه المخزن الرئيسي اليوميه'!$I:$I)</f>
        <v>0.0</v>
      </c>
      <c r="N255" s="22">
        <f t="shared" si="44"/>
        <v>3.0</v>
      </c>
      <c r="O255" s="22">
        <f t="shared" si="45"/>
        <v>3.0</v>
      </c>
      <c r="P255" s="22">
        <f t="shared" si="46"/>
        <v>0.0</v>
      </c>
      <c r="Q255" s="57"/>
      <c r="R255" s="58"/>
    </row>
    <row r="256" spans="8:8">
      <c r="B256" s="54">
        <v>283.0</v>
      </c>
      <c r="C256" s="8" t="s">
        <v>814</v>
      </c>
      <c r="D256" s="8" t="s">
        <v>814</v>
      </c>
      <c r="E256" s="8" t="s">
        <v>1936</v>
      </c>
      <c r="F256" s="8" t="s">
        <v>1501</v>
      </c>
      <c r="G256" s="8" t="s">
        <v>1937</v>
      </c>
      <c r="H256" s="8" t="s">
        <v>1936</v>
      </c>
      <c r="I256" s="55" t="s">
        <v>3609</v>
      </c>
      <c r="J256" s="60" t="s">
        <v>8058</v>
      </c>
      <c r="K256" s="22">
        <v>1.0</v>
      </c>
      <c r="L256" s="22">
        <f>+SUMIF('حركه المخزن الرئيسي اليوميه'!$F:$F,$H:$H,'حركه المخزن الرئيسي اليوميه'!$H:$H)</f>
        <v>0.0</v>
      </c>
      <c r="M256" s="22">
        <f>+SUMIF('حركه المخزن الرئيسي اليوميه'!$F:$F,$H:$H,'حركه المخزن الرئيسي اليوميه'!$I:$I)</f>
        <v>0.0</v>
      </c>
      <c r="N256" s="22">
        <f t="shared" si="44"/>
        <v>1.0</v>
      </c>
      <c r="O256" s="22">
        <f t="shared" si="45"/>
        <v>1.0</v>
      </c>
      <c r="P256" s="22">
        <f t="shared" si="46"/>
        <v>0.0</v>
      </c>
      <c r="Q256" s="57"/>
      <c r="R256" s="58"/>
    </row>
    <row r="257" spans="8:8">
      <c r="B257" s="54">
        <v>284.0</v>
      </c>
      <c r="C257" s="8" t="s">
        <v>814</v>
      </c>
      <c r="D257" s="8" t="s">
        <v>814</v>
      </c>
      <c r="E257" s="8" t="s">
        <v>8152</v>
      </c>
      <c r="F257" s="8" t="s">
        <v>1501</v>
      </c>
      <c r="G257" s="8"/>
      <c r="H257" s="8" t="s">
        <v>8152</v>
      </c>
      <c r="I257" s="55" t="s">
        <v>3609</v>
      </c>
      <c r="J257" s="60" t="s">
        <v>8059</v>
      </c>
      <c r="K257" s="22">
        <v>1.0</v>
      </c>
      <c r="L257" s="22">
        <f>+SUMIF('حركه المخزن الرئيسي اليوميه'!$F:$F,$H:$H,'حركه المخزن الرئيسي اليوميه'!$H:$H)</f>
        <v>0.0</v>
      </c>
      <c r="M257" s="22">
        <f>+SUMIF('حركه المخزن الرئيسي اليوميه'!$F:$F,$H:$H,'حركه المخزن الرئيسي اليوميه'!$I:$I)</f>
        <v>0.0</v>
      </c>
      <c r="N257" s="22">
        <f t="shared" si="44"/>
        <v>1.0</v>
      </c>
      <c r="O257" s="22">
        <f t="shared" si="45"/>
        <v>1.0</v>
      </c>
      <c r="P257" s="22">
        <f t="shared" si="46"/>
        <v>0.0</v>
      </c>
      <c r="Q257" s="57"/>
      <c r="R257" s="58"/>
    </row>
    <row r="258" spans="8:8">
      <c r="B258" s="54">
        <v>285.0</v>
      </c>
      <c r="C258" s="8" t="s">
        <v>765</v>
      </c>
      <c r="D258" s="8" t="s">
        <v>1013</v>
      </c>
      <c r="E258" s="8"/>
      <c r="F258" s="8"/>
      <c r="G258" s="8"/>
      <c r="H258" s="8"/>
      <c r="I258" s="55"/>
      <c r="J258" s="60" t="s">
        <v>8060</v>
      </c>
      <c r="K258" s="22">
        <v>0.0</v>
      </c>
      <c r="L258" s="22">
        <f>+SUMIF('حركه المخزن الرئيسي اليوميه'!$F:$F,$H:$H,'حركه المخزن الرئيسي اليوميه'!$H:$H)</f>
        <v>0.0</v>
      </c>
      <c r="M258" s="22">
        <f>+SUMIF('حركه المخزن الرئيسي اليوميه'!$F:$F,$H:$H,'حركه المخزن الرئيسي اليوميه'!$I:$I)</f>
        <v>0.0</v>
      </c>
      <c r="N258" s="22">
        <f t="shared" si="44"/>
        <v>0.0</v>
      </c>
      <c r="O258" s="22">
        <f t="shared" si="45"/>
        <v>0.0</v>
      </c>
      <c r="P258" s="22">
        <f t="shared" si="46"/>
        <v>0.0</v>
      </c>
      <c r="Q258" s="57"/>
      <c r="R258" s="58"/>
    </row>
    <row r="259" spans="8:8">
      <c r="B259" s="54">
        <v>286.0</v>
      </c>
      <c r="C259" s="8" t="s">
        <v>814</v>
      </c>
      <c r="D259" s="8" t="s">
        <v>820</v>
      </c>
      <c r="E259" s="8" t="s">
        <v>2691</v>
      </c>
      <c r="F259" s="8" t="s">
        <v>68</v>
      </c>
      <c r="G259" s="8"/>
      <c r="H259" s="8" t="s">
        <v>2691</v>
      </c>
      <c r="I259" s="55" t="s">
        <v>3609</v>
      </c>
      <c r="J259" s="60" t="s">
        <v>8061</v>
      </c>
      <c r="K259" s="22">
        <v>2.0</v>
      </c>
      <c r="L259" s="22">
        <f>+SUMIF('حركه المخزن الرئيسي اليوميه'!$F:$F,$H:$H,'حركه المخزن الرئيسي اليوميه'!$H:$H)</f>
        <v>0.0</v>
      </c>
      <c r="M259" s="22">
        <f>+SUMIF('حركه المخزن الرئيسي اليوميه'!$F:$F,$H:$H,'حركه المخزن الرئيسي اليوميه'!$I:$I)</f>
        <v>0.0</v>
      </c>
      <c r="N259" s="22">
        <f t="shared" si="44"/>
        <v>2.0</v>
      </c>
      <c r="O259" s="22">
        <f t="shared" si="45"/>
        <v>2.0</v>
      </c>
      <c r="P259" s="22">
        <f t="shared" si="46"/>
        <v>0.0</v>
      </c>
      <c r="Q259" s="57"/>
      <c r="R259" s="58"/>
    </row>
    <row r="260" spans="8:8">
      <c r="B260" s="54">
        <v>287.0</v>
      </c>
      <c r="C260" s="8" t="s">
        <v>765</v>
      </c>
      <c r="D260" s="8" t="s">
        <v>820</v>
      </c>
      <c r="E260" s="8" t="s">
        <v>3107</v>
      </c>
      <c r="F260" s="8" t="s">
        <v>1501</v>
      </c>
      <c r="G260" s="8"/>
      <c r="H260" s="8" t="s">
        <v>3107</v>
      </c>
      <c r="I260" s="55" t="s">
        <v>3609</v>
      </c>
      <c r="J260" s="60" t="s">
        <v>8062</v>
      </c>
      <c r="K260" s="22">
        <v>3.0</v>
      </c>
      <c r="L260" s="22">
        <f>+SUMIF('حركه المخزن الرئيسي اليوميه'!$F:$F,$H:$H,'حركه المخزن الرئيسي اليوميه'!$H:$H)</f>
        <v>0.0</v>
      </c>
      <c r="M260" s="22">
        <f>+SUMIF('حركه المخزن الرئيسي اليوميه'!$F:$F,$H:$H,'حركه المخزن الرئيسي اليوميه'!$I:$I)</f>
        <v>0.0</v>
      </c>
      <c r="N260" s="22">
        <f t="shared" si="44"/>
        <v>3.0</v>
      </c>
      <c r="O260" s="22">
        <f t="shared" si="45"/>
        <v>3.0</v>
      </c>
      <c r="P260" s="22">
        <f t="shared" si="46"/>
        <v>0.0</v>
      </c>
      <c r="Q260" s="57"/>
      <c r="R260" s="58"/>
    </row>
    <row r="261" spans="8:8">
      <c r="B261" s="54">
        <v>288.0</v>
      </c>
      <c r="C261" s="8" t="s">
        <v>765</v>
      </c>
      <c r="D261" s="8" t="s">
        <v>820</v>
      </c>
      <c r="E261" s="8" t="s">
        <v>285</v>
      </c>
      <c r="F261" s="8" t="s">
        <v>68</v>
      </c>
      <c r="G261" s="8" t="s">
        <v>1813</v>
      </c>
      <c r="H261" s="8" t="s">
        <v>2540</v>
      </c>
      <c r="I261" s="55" t="s">
        <v>3609</v>
      </c>
      <c r="J261" s="60" t="s">
        <v>8063</v>
      </c>
      <c r="K261" s="22">
        <v>6.0</v>
      </c>
      <c r="L261" s="22">
        <f>+SUMIF('حركه المخزن الرئيسي اليوميه'!$F:$F,$H:$H,'حركه المخزن الرئيسي اليوميه'!$H:$H)</f>
        <v>0.0</v>
      </c>
      <c r="M261" s="22">
        <f>+SUMIF('حركه المخزن الرئيسي اليوميه'!$F:$F,$H:$H,'حركه المخزن الرئيسي اليوميه'!$I:$I)</f>
        <v>0.0</v>
      </c>
      <c r="N261" s="22">
        <f t="shared" si="44"/>
        <v>6.0</v>
      </c>
      <c r="O261" s="22">
        <f t="shared" si="45"/>
        <v>6.0</v>
      </c>
      <c r="P261" s="22">
        <f t="shared" si="46"/>
        <v>0.0</v>
      </c>
      <c r="Q261" s="57"/>
      <c r="R261" s="58"/>
    </row>
    <row r="262" spans="8:8">
      <c r="B262" s="54">
        <v>289.0</v>
      </c>
      <c r="C262" s="8" t="s">
        <v>765</v>
      </c>
      <c r="D262" s="8" t="s">
        <v>820</v>
      </c>
      <c r="E262" s="8" t="s">
        <v>3251</v>
      </c>
      <c r="F262" s="8" t="s">
        <v>125</v>
      </c>
      <c r="G262" s="8"/>
      <c r="H262" s="8" t="s">
        <v>3252</v>
      </c>
      <c r="I262" s="55" t="s">
        <v>3608</v>
      </c>
      <c r="J262" s="60" t="s">
        <v>8064</v>
      </c>
      <c r="K262" s="22">
        <v>3.0</v>
      </c>
      <c r="L262" s="22">
        <f>+SUMIF('حركه المخزن الرئيسي اليوميه'!$F:$F,$H:$H,'حركه المخزن الرئيسي اليوميه'!$H:$H)</f>
        <v>0.0</v>
      </c>
      <c r="M262" s="22">
        <f>+SUMIF('حركه المخزن الرئيسي اليوميه'!$F:$F,$H:$H,'حركه المخزن الرئيسي اليوميه'!$I:$I)</f>
        <v>0.0</v>
      </c>
      <c r="N262" s="22">
        <f t="shared" si="44"/>
        <v>3.0</v>
      </c>
      <c r="O262" s="22">
        <f t="shared" si="45"/>
        <v>3.0</v>
      </c>
      <c r="P262" s="22">
        <f t="shared" si="46"/>
        <v>0.0</v>
      </c>
      <c r="Q262" s="57"/>
      <c r="R262" s="58"/>
    </row>
    <row r="263" spans="8:8">
      <c r="B263" s="54">
        <v>290.0</v>
      </c>
      <c r="C263" s="8" t="s">
        <v>765</v>
      </c>
      <c r="D263" s="8" t="s">
        <v>820</v>
      </c>
      <c r="E263" s="8" t="s">
        <v>3253</v>
      </c>
      <c r="F263" s="8" t="s">
        <v>125</v>
      </c>
      <c r="G263" s="8"/>
      <c r="H263" s="8" t="s">
        <v>3254</v>
      </c>
      <c r="I263" s="55" t="s">
        <v>3608</v>
      </c>
      <c r="J263" s="60" t="s">
        <v>8065</v>
      </c>
      <c r="K263" s="22">
        <v>1.0</v>
      </c>
      <c r="L263" s="22">
        <f>+SUMIF('حركه المخزن الرئيسي اليوميه'!$F:$F,$H:$H,'حركه المخزن الرئيسي اليوميه'!$H:$H)</f>
        <v>0.0</v>
      </c>
      <c r="M263" s="22">
        <f>+SUMIF('حركه المخزن الرئيسي اليوميه'!$F:$F,$H:$H,'حركه المخزن الرئيسي اليوميه'!$I:$I)</f>
        <v>0.0</v>
      </c>
      <c r="N263" s="22">
        <f t="shared" si="44"/>
        <v>1.0</v>
      </c>
      <c r="O263" s="22">
        <f t="shared" si="45"/>
        <v>1.0</v>
      </c>
      <c r="P263" s="22">
        <f t="shared" si="46"/>
        <v>0.0</v>
      </c>
      <c r="Q263" s="57"/>
      <c r="R263" s="58"/>
    </row>
    <row r="264" spans="8:8">
      <c r="B264" s="54">
        <v>291.0</v>
      </c>
      <c r="C264" s="8" t="s">
        <v>765</v>
      </c>
      <c r="D264" s="8" t="s">
        <v>820</v>
      </c>
      <c r="E264" s="8" t="s">
        <v>3255</v>
      </c>
      <c r="F264" s="8" t="s">
        <v>125</v>
      </c>
      <c r="G264" s="8"/>
      <c r="H264" s="8" t="s">
        <v>3256</v>
      </c>
      <c r="I264" s="55" t="s">
        <v>3608</v>
      </c>
      <c r="J264" s="60" t="s">
        <v>8066</v>
      </c>
      <c r="K264" s="22">
        <v>4.0</v>
      </c>
      <c r="L264" s="22">
        <f>+SUMIF('حركه المخزن الرئيسي اليوميه'!$F:$F,$H:$H,'حركه المخزن الرئيسي اليوميه'!$H:$H)</f>
        <v>0.0</v>
      </c>
      <c r="M264" s="22">
        <f>+SUMIF('حركه المخزن الرئيسي اليوميه'!$F:$F,$H:$H,'حركه المخزن الرئيسي اليوميه'!$I:$I)</f>
        <v>0.0</v>
      </c>
      <c r="N264" s="22">
        <f t="shared" si="44"/>
        <v>4.0</v>
      </c>
      <c r="O264" s="22">
        <f t="shared" si="45"/>
        <v>4.0</v>
      </c>
      <c r="P264" s="22">
        <f t="shared" si="46"/>
        <v>0.0</v>
      </c>
      <c r="Q264" s="57"/>
      <c r="R264" s="58"/>
    </row>
    <row r="265" spans="8:8">
      <c r="B265" s="54">
        <v>292.0</v>
      </c>
      <c r="C265" s="8" t="s">
        <v>765</v>
      </c>
      <c r="D265" s="8" t="s">
        <v>820</v>
      </c>
      <c r="E265" s="8" t="s">
        <v>3257</v>
      </c>
      <c r="F265" s="8" t="s">
        <v>125</v>
      </c>
      <c r="G265" s="8"/>
      <c r="H265" s="8" t="s">
        <v>3258</v>
      </c>
      <c r="I265" s="55" t="s">
        <v>3608</v>
      </c>
      <c r="J265" s="60" t="s">
        <v>8067</v>
      </c>
      <c r="K265" s="22">
        <v>6.0</v>
      </c>
      <c r="L265" s="22">
        <f>+SUMIF('حركه المخزن الرئيسي اليوميه'!$F:$F,$H:$H,'حركه المخزن الرئيسي اليوميه'!$H:$H)</f>
        <v>0.0</v>
      </c>
      <c r="M265" s="22">
        <f>+SUMIF('حركه المخزن الرئيسي اليوميه'!$F:$F,$H:$H,'حركه المخزن الرئيسي اليوميه'!$I:$I)</f>
        <v>0.0</v>
      </c>
      <c r="N265" s="22">
        <f t="shared" si="44"/>
        <v>6.0</v>
      </c>
      <c r="O265" s="22">
        <f t="shared" si="45"/>
        <v>6.0</v>
      </c>
      <c r="P265" s="22">
        <f t="shared" si="46"/>
        <v>0.0</v>
      </c>
      <c r="Q265" s="57"/>
      <c r="R265" s="58"/>
    </row>
    <row r="266" spans="8:8">
      <c r="B266" s="54">
        <v>293.0</v>
      </c>
      <c r="C266" s="8" t="s">
        <v>765</v>
      </c>
      <c r="D266" s="8" t="s">
        <v>820</v>
      </c>
      <c r="E266" s="8" t="s">
        <v>2673</v>
      </c>
      <c r="F266" s="8" t="s">
        <v>68</v>
      </c>
      <c r="G266" s="8"/>
      <c r="H266" s="8" t="s">
        <v>2673</v>
      </c>
      <c r="I266" s="55" t="s">
        <v>3609</v>
      </c>
      <c r="J266" s="60" t="s">
        <v>8068</v>
      </c>
      <c r="K266" s="22">
        <v>4.0</v>
      </c>
      <c r="L266" s="22">
        <f>+SUMIF('حركه المخزن الرئيسي اليوميه'!$F:$F,$H:$H,'حركه المخزن الرئيسي اليوميه'!$H:$H)</f>
        <v>0.0</v>
      </c>
      <c r="M266" s="22">
        <f>+SUMIF('حركه المخزن الرئيسي اليوميه'!$F:$F,$H:$H,'حركه المخزن الرئيسي اليوميه'!$I:$I)</f>
        <v>0.0</v>
      </c>
      <c r="N266" s="22">
        <f t="shared" si="44"/>
        <v>4.0</v>
      </c>
      <c r="O266" s="22">
        <f t="shared" si="45"/>
        <v>4.0</v>
      </c>
      <c r="P266" s="22">
        <f t="shared" si="46"/>
        <v>0.0</v>
      </c>
      <c r="Q266" s="57"/>
      <c r="R266" s="58"/>
    </row>
    <row r="267" spans="8:8">
      <c r="B267" s="54">
        <v>294.0</v>
      </c>
      <c r="C267" s="8" t="s">
        <v>765</v>
      </c>
      <c r="D267" s="8" t="s">
        <v>820</v>
      </c>
      <c r="E267" s="8" t="s">
        <v>3783</v>
      </c>
      <c r="F267" s="8" t="s">
        <v>68</v>
      </c>
      <c r="G267" s="8" t="s">
        <v>2139</v>
      </c>
      <c r="H267" s="8" t="s">
        <v>3783</v>
      </c>
      <c r="I267" s="55" t="s">
        <v>3609</v>
      </c>
      <c r="J267" s="60" t="s">
        <v>8069</v>
      </c>
      <c r="K267" s="22">
        <v>1.0</v>
      </c>
      <c r="L267" s="22">
        <f>+SUMIF('حركه المخزن الرئيسي اليوميه'!$F:$F,$H:$H,'حركه المخزن الرئيسي اليوميه'!$H:$H)</f>
        <v>0.0</v>
      </c>
      <c r="M267" s="22">
        <f>+SUMIF('حركه المخزن الرئيسي اليوميه'!$F:$F,$H:$H,'حركه المخزن الرئيسي اليوميه'!$I:$I)</f>
        <v>0.0</v>
      </c>
      <c r="N267" s="22">
        <f t="shared" si="44"/>
        <v>1.0</v>
      </c>
      <c r="O267" s="22">
        <f t="shared" si="45"/>
        <v>1.0</v>
      </c>
      <c r="P267" s="22">
        <f t="shared" si="46"/>
        <v>0.0</v>
      </c>
      <c r="Q267" s="57"/>
      <c r="R267" s="58"/>
    </row>
    <row r="268" spans="8:8">
      <c r="B268" s="54">
        <v>295.0</v>
      </c>
      <c r="C268" s="8" t="s">
        <v>765</v>
      </c>
      <c r="D268" s="8" t="s">
        <v>820</v>
      </c>
      <c r="E268" s="8" t="s">
        <v>8170</v>
      </c>
      <c r="F268" s="8" t="s">
        <v>68</v>
      </c>
      <c r="G268" s="8"/>
      <c r="H268" s="8" t="s">
        <v>8170</v>
      </c>
      <c r="I268" s="55" t="s">
        <v>3608</v>
      </c>
      <c r="J268" s="60" t="s">
        <v>8070</v>
      </c>
      <c r="K268" s="22">
        <v>3.0</v>
      </c>
      <c r="L268" s="22">
        <f>+SUMIF('حركه المخزن الرئيسي اليوميه'!$F:$F,$H:$H,'حركه المخزن الرئيسي اليوميه'!$H:$H)</f>
        <v>0.0</v>
      </c>
      <c r="M268" s="22">
        <f>+SUMIF('حركه المخزن الرئيسي اليوميه'!$F:$F,$H:$H,'حركه المخزن الرئيسي اليوميه'!$I:$I)</f>
        <v>0.0</v>
      </c>
      <c r="N268" s="22">
        <v>3.0</v>
      </c>
      <c r="O268" s="22">
        <f t="shared" si="45"/>
        <v>3.0</v>
      </c>
      <c r="P268" s="22">
        <f t="shared" si="46"/>
        <v>0.0</v>
      </c>
      <c r="Q268" s="57"/>
      <c r="R268" s="58"/>
    </row>
    <row r="269" spans="8:8">
      <c r="B269" s="54">
        <v>296.0</v>
      </c>
      <c r="C269" s="8"/>
      <c r="D269" s="8"/>
      <c r="E269" s="8"/>
      <c r="F269" s="8"/>
      <c r="G269" s="8"/>
      <c r="H269" s="8"/>
      <c r="I269" s="55"/>
      <c r="J269" s="60" t="s">
        <v>8071</v>
      </c>
      <c r="K269" s="22">
        <v>0.0</v>
      </c>
      <c r="L269" s="22">
        <f>+SUMIF('حركه المخزن الرئيسي اليوميه'!$F:$F,$H:$H,'حركه المخزن الرئيسي اليوميه'!$H:$H)</f>
        <v>0.0</v>
      </c>
      <c r="M269" s="22">
        <f>+SUMIF('حركه المخزن الرئيسي اليوميه'!$F:$F,$H:$H,'حركه المخزن الرئيسي اليوميه'!$I:$I)</f>
        <v>0.0</v>
      </c>
      <c r="N269" s="22">
        <f t="shared" si="47" ref="N269:N285">+K269+L269-M269</f>
        <v>0.0</v>
      </c>
      <c r="O269" s="22">
        <f t="shared" si="45"/>
        <v>0.0</v>
      </c>
      <c r="P269" s="22">
        <f t="shared" si="46"/>
        <v>0.0</v>
      </c>
      <c r="Q269" s="57"/>
      <c r="R269" s="58"/>
    </row>
    <row r="270" spans="8:8">
      <c r="B270" s="54">
        <v>297.0</v>
      </c>
      <c r="C270" s="8"/>
      <c r="D270" s="8"/>
      <c r="E270" s="8"/>
      <c r="F270" s="8"/>
      <c r="G270" s="8"/>
      <c r="H270" s="8"/>
      <c r="I270" s="55"/>
      <c r="J270" s="60" t="s">
        <v>8072</v>
      </c>
      <c r="K270" s="22">
        <v>0.0</v>
      </c>
      <c r="L270" s="22">
        <f>+SUMIF('حركه المخزن الرئيسي اليوميه'!$F:$F,$H:$H,'حركه المخزن الرئيسي اليوميه'!$H:$H)</f>
        <v>0.0</v>
      </c>
      <c r="M270" s="22">
        <f>+SUMIF('حركه المخزن الرئيسي اليوميه'!$F:$F,$H:$H,'حركه المخزن الرئيسي اليوميه'!$I:$I)</f>
        <v>0.0</v>
      </c>
      <c r="N270" s="22">
        <f t="shared" si="47"/>
        <v>0.0</v>
      </c>
      <c r="O270" s="22">
        <f t="shared" si="45"/>
        <v>0.0</v>
      </c>
      <c r="P270" s="22">
        <f t="shared" si="46"/>
        <v>0.0</v>
      </c>
      <c r="Q270" s="57"/>
      <c r="R270" s="58"/>
    </row>
    <row r="271" spans="8:8">
      <c r="B271" s="54">
        <v>298.0</v>
      </c>
      <c r="C271" s="8"/>
      <c r="D271" s="8"/>
      <c r="E271" s="8"/>
      <c r="F271" s="8"/>
      <c r="G271" s="8"/>
      <c r="H271" s="8"/>
      <c r="I271" s="55"/>
      <c r="J271" s="60" t="s">
        <v>8073</v>
      </c>
      <c r="K271" s="22">
        <v>0.0</v>
      </c>
      <c r="L271" s="22">
        <f>+SUMIF('حركه المخزن الرئيسي اليوميه'!$F:$F,$H:$H,'حركه المخزن الرئيسي اليوميه'!$H:$H)</f>
        <v>0.0</v>
      </c>
      <c r="M271" s="22">
        <f>+SUMIF('حركه المخزن الرئيسي اليوميه'!$F:$F,$H:$H,'حركه المخزن الرئيسي اليوميه'!$I:$I)</f>
        <v>0.0</v>
      </c>
      <c r="N271" s="22">
        <f t="shared" si="47"/>
        <v>0.0</v>
      </c>
      <c r="O271" s="22">
        <f t="shared" si="45"/>
        <v>0.0</v>
      </c>
      <c r="P271" s="22">
        <f t="shared" si="46"/>
        <v>0.0</v>
      </c>
      <c r="Q271" s="57"/>
      <c r="R271" s="58"/>
    </row>
    <row r="272" spans="8:8">
      <c r="B272" s="54">
        <v>299.0</v>
      </c>
      <c r="C272" s="8"/>
      <c r="D272" s="8"/>
      <c r="E272" s="8"/>
      <c r="F272" s="8"/>
      <c r="G272" s="8"/>
      <c r="H272" s="8"/>
      <c r="I272" s="55"/>
      <c r="J272" s="60" t="s">
        <v>8074</v>
      </c>
      <c r="K272" s="22">
        <v>0.0</v>
      </c>
      <c r="L272" s="22">
        <f>+SUMIF('حركه المخزن الرئيسي اليوميه'!$F:$F,$H:$H,'حركه المخزن الرئيسي اليوميه'!$H:$H)</f>
        <v>0.0</v>
      </c>
      <c r="M272" s="22">
        <f>+SUMIF('حركه المخزن الرئيسي اليوميه'!$F:$F,$H:$H,'حركه المخزن الرئيسي اليوميه'!$I:$I)</f>
        <v>0.0</v>
      </c>
      <c r="N272" s="22">
        <f t="shared" si="47"/>
        <v>0.0</v>
      </c>
      <c r="O272" s="22">
        <f t="shared" si="45"/>
        <v>0.0</v>
      </c>
      <c r="P272" s="22">
        <f t="shared" si="46"/>
        <v>0.0</v>
      </c>
      <c r="Q272" s="57"/>
      <c r="R272" s="58"/>
    </row>
    <row r="273" spans="8:8">
      <c r="B273" s="54">
        <v>300.0</v>
      </c>
      <c r="C273" s="8"/>
      <c r="D273" s="8"/>
      <c r="E273" s="8"/>
      <c r="F273" s="8"/>
      <c r="G273" s="8"/>
      <c r="H273" s="8"/>
      <c r="I273" s="55"/>
      <c r="J273" s="60" t="s">
        <v>8075</v>
      </c>
      <c r="K273" s="22">
        <v>0.0</v>
      </c>
      <c r="L273" s="22">
        <f>+SUMIF('حركه المخزن الرئيسي اليوميه'!$F:$F,$H:$H,'حركه المخزن الرئيسي اليوميه'!$H:$H)</f>
        <v>0.0</v>
      </c>
      <c r="M273" s="22">
        <f>+SUMIF('حركه المخزن الرئيسي اليوميه'!$F:$F,$H:$H,'حركه المخزن الرئيسي اليوميه'!$I:$I)</f>
        <v>0.0</v>
      </c>
      <c r="N273" s="22">
        <f t="shared" si="47"/>
        <v>0.0</v>
      </c>
      <c r="O273" s="22">
        <f t="shared" si="45"/>
        <v>0.0</v>
      </c>
      <c r="P273" s="22">
        <f t="shared" si="46"/>
        <v>0.0</v>
      </c>
      <c r="Q273" s="57"/>
      <c r="R273" s="58"/>
    </row>
    <row r="274" spans="8:8">
      <c r="B274" s="54">
        <v>301.0</v>
      </c>
      <c r="C274" s="8"/>
      <c r="D274" s="8"/>
      <c r="E274" s="8"/>
      <c r="F274" s="8"/>
      <c r="G274" s="8"/>
      <c r="H274" s="8"/>
      <c r="I274" s="55"/>
      <c r="J274" s="60" t="s">
        <v>8076</v>
      </c>
      <c r="K274" s="22">
        <v>0.0</v>
      </c>
      <c r="L274" s="22">
        <f>+SUMIF('حركه المخزن الرئيسي اليوميه'!$F:$F,$H:$H,'حركه المخزن الرئيسي اليوميه'!$H:$H)</f>
        <v>0.0</v>
      </c>
      <c r="M274" s="22">
        <f>+SUMIF('حركه المخزن الرئيسي اليوميه'!$F:$F,$H:$H,'حركه المخزن الرئيسي اليوميه'!$I:$I)</f>
        <v>0.0</v>
      </c>
      <c r="N274" s="22">
        <f t="shared" si="47"/>
        <v>0.0</v>
      </c>
      <c r="O274" s="22">
        <f t="shared" si="45"/>
        <v>0.0</v>
      </c>
      <c r="P274" s="22">
        <f t="shared" si="46"/>
        <v>0.0</v>
      </c>
      <c r="Q274" s="57"/>
      <c r="R274" s="58"/>
    </row>
    <row r="275" spans="8:8">
      <c r="B275" s="54">
        <v>302.0</v>
      </c>
      <c r="C275" s="8"/>
      <c r="D275" s="8"/>
      <c r="E275" s="8"/>
      <c r="F275" s="8"/>
      <c r="G275" s="8"/>
      <c r="H275" s="8"/>
      <c r="I275" s="55"/>
      <c r="J275" s="60" t="s">
        <v>8077</v>
      </c>
      <c r="K275" s="22">
        <v>0.0</v>
      </c>
      <c r="L275" s="22">
        <f>+SUMIF('حركه المخزن الرئيسي اليوميه'!$F:$F,$H:$H,'حركه المخزن الرئيسي اليوميه'!$H:$H)</f>
        <v>0.0</v>
      </c>
      <c r="M275" s="22">
        <f>+SUMIF('حركه المخزن الرئيسي اليوميه'!$F:$F,$H:$H,'حركه المخزن الرئيسي اليوميه'!$I:$I)</f>
        <v>0.0</v>
      </c>
      <c r="N275" s="22">
        <f t="shared" si="47"/>
        <v>0.0</v>
      </c>
      <c r="O275" s="22">
        <f t="shared" si="45"/>
        <v>0.0</v>
      </c>
      <c r="P275" s="22">
        <f t="shared" si="46"/>
        <v>0.0</v>
      </c>
      <c r="Q275" s="57"/>
      <c r="R275" s="58"/>
    </row>
    <row r="276" spans="8:8">
      <c r="B276" s="54">
        <v>303.0</v>
      </c>
      <c r="C276" s="8"/>
      <c r="D276" s="8"/>
      <c r="E276" s="8"/>
      <c r="F276" s="8"/>
      <c r="G276" s="8"/>
      <c r="H276" s="8"/>
      <c r="I276" s="55"/>
      <c r="J276" s="60" t="s">
        <v>8078</v>
      </c>
      <c r="K276" s="22">
        <v>0.0</v>
      </c>
      <c r="L276" s="22">
        <f>+SUMIF('حركه المخزن الرئيسي اليوميه'!$F:$F,$H:$H,'حركه المخزن الرئيسي اليوميه'!$H:$H)</f>
        <v>0.0</v>
      </c>
      <c r="M276" s="22">
        <f>+SUMIF('حركه المخزن الرئيسي اليوميه'!$F:$F,$H:$H,'حركه المخزن الرئيسي اليوميه'!$I:$I)</f>
        <v>0.0</v>
      </c>
      <c r="N276" s="22">
        <f t="shared" si="47"/>
        <v>0.0</v>
      </c>
      <c r="O276" s="22">
        <f t="shared" si="45"/>
        <v>0.0</v>
      </c>
      <c r="P276" s="22">
        <f t="shared" si="46"/>
        <v>0.0</v>
      </c>
      <c r="Q276" s="57"/>
      <c r="R276" s="58"/>
    </row>
    <row r="277" spans="8:8">
      <c r="B277" s="54">
        <v>304.0</v>
      </c>
      <c r="C277" s="8"/>
      <c r="D277" s="8"/>
      <c r="E277" s="8"/>
      <c r="F277" s="8"/>
      <c r="G277" s="8"/>
      <c r="H277" s="8"/>
      <c r="I277" s="55"/>
      <c r="J277" s="60" t="s">
        <v>8079</v>
      </c>
      <c r="K277" s="22">
        <v>0.0</v>
      </c>
      <c r="L277" s="22">
        <f>+SUMIF('حركه المخزن الرئيسي اليوميه'!$F:$F,$H:$H,'حركه المخزن الرئيسي اليوميه'!$H:$H)</f>
        <v>0.0</v>
      </c>
      <c r="M277" s="22">
        <f>+SUMIF('حركه المخزن الرئيسي اليوميه'!$F:$F,$H:$H,'حركه المخزن الرئيسي اليوميه'!$I:$I)</f>
        <v>0.0</v>
      </c>
      <c r="N277" s="22">
        <f t="shared" si="47"/>
        <v>0.0</v>
      </c>
      <c r="O277" s="22">
        <f t="shared" si="45"/>
        <v>0.0</v>
      </c>
      <c r="P277" s="22">
        <f t="shared" si="46"/>
        <v>0.0</v>
      </c>
      <c r="Q277" s="57"/>
      <c r="R277" s="58"/>
    </row>
    <row r="278" spans="8:8">
      <c r="B278" s="54">
        <v>305.0</v>
      </c>
      <c r="C278" s="8"/>
      <c r="D278" s="8"/>
      <c r="E278" s="8"/>
      <c r="F278" s="8"/>
      <c r="G278" s="8"/>
      <c r="H278" s="8"/>
      <c r="I278" s="55"/>
      <c r="J278" s="60" t="s">
        <v>8080</v>
      </c>
      <c r="K278" s="22">
        <v>0.0</v>
      </c>
      <c r="L278" s="22">
        <f>+SUMIF('حركه المخزن الرئيسي اليوميه'!$F:$F,$H:$H,'حركه المخزن الرئيسي اليوميه'!$H:$H)</f>
        <v>0.0</v>
      </c>
      <c r="M278" s="22">
        <f>+SUMIF('حركه المخزن الرئيسي اليوميه'!$F:$F,$H:$H,'حركه المخزن الرئيسي اليوميه'!$I:$I)</f>
        <v>0.0</v>
      </c>
      <c r="N278" s="22">
        <f t="shared" si="47"/>
        <v>0.0</v>
      </c>
      <c r="O278" s="22">
        <f t="shared" si="45"/>
        <v>0.0</v>
      </c>
      <c r="P278" s="22">
        <f t="shared" si="46"/>
        <v>0.0</v>
      </c>
      <c r="Q278" s="57"/>
      <c r="R278" s="58"/>
    </row>
    <row r="279" spans="8:8">
      <c r="B279" s="54">
        <v>306.0</v>
      </c>
      <c r="C279" s="8"/>
      <c r="D279" s="8"/>
      <c r="E279" s="8"/>
      <c r="F279" s="8"/>
      <c r="G279" s="8"/>
      <c r="H279" s="8"/>
      <c r="I279" s="55"/>
      <c r="J279" s="60" t="s">
        <v>8081</v>
      </c>
      <c r="K279" s="22">
        <v>0.0</v>
      </c>
      <c r="L279" s="22">
        <f>+SUMIF('حركه المخزن الرئيسي اليوميه'!$F:$F,$H:$H,'حركه المخزن الرئيسي اليوميه'!$H:$H)</f>
        <v>0.0</v>
      </c>
      <c r="M279" s="22">
        <f>+SUMIF('حركه المخزن الرئيسي اليوميه'!$F:$F,$H:$H,'حركه المخزن الرئيسي اليوميه'!$I:$I)</f>
        <v>0.0</v>
      </c>
      <c r="N279" s="22">
        <f t="shared" si="47"/>
        <v>0.0</v>
      </c>
      <c r="O279" s="22">
        <f t="shared" si="45"/>
        <v>0.0</v>
      </c>
      <c r="P279" s="22">
        <f t="shared" si="46"/>
        <v>0.0</v>
      </c>
      <c r="Q279" s="57"/>
      <c r="R279" s="58"/>
    </row>
    <row r="280" spans="8:8">
      <c r="B280" s="54">
        <v>307.0</v>
      </c>
      <c r="C280" s="8"/>
      <c r="D280" s="8"/>
      <c r="E280" s="8"/>
      <c r="F280" s="8"/>
      <c r="G280" s="8"/>
      <c r="H280" s="8"/>
      <c r="I280" s="55"/>
      <c r="J280" s="60" t="s">
        <v>8082</v>
      </c>
      <c r="K280" s="22">
        <v>0.0</v>
      </c>
      <c r="L280" s="22">
        <f>+SUMIF('حركه المخزن الرئيسي اليوميه'!$F:$F,$H:$H,'حركه المخزن الرئيسي اليوميه'!$H:$H)</f>
        <v>0.0</v>
      </c>
      <c r="M280" s="22">
        <f>+SUMIF('حركه المخزن الرئيسي اليوميه'!$F:$F,$H:$H,'حركه المخزن الرئيسي اليوميه'!$I:$I)</f>
        <v>0.0</v>
      </c>
      <c r="N280" s="22">
        <f t="shared" si="47"/>
        <v>0.0</v>
      </c>
      <c r="O280" s="22">
        <f t="shared" si="45"/>
        <v>0.0</v>
      </c>
      <c r="P280" s="22">
        <f t="shared" si="46"/>
        <v>0.0</v>
      </c>
      <c r="Q280" s="57"/>
      <c r="R280" s="58"/>
    </row>
    <row r="281" spans="8:8">
      <c r="B281" s="54">
        <v>308.0</v>
      </c>
      <c r="C281" s="8"/>
      <c r="D281" s="8"/>
      <c r="E281" s="8"/>
      <c r="F281" s="8"/>
      <c r="G281" s="8"/>
      <c r="H281" s="8"/>
      <c r="I281" s="55"/>
      <c r="J281" s="60" t="s">
        <v>8083</v>
      </c>
      <c r="K281" s="22">
        <v>0.0</v>
      </c>
      <c r="L281" s="22">
        <f>+SUMIF('حركه المخزن الرئيسي اليوميه'!$F:$F,$H:$H,'حركه المخزن الرئيسي اليوميه'!$H:$H)</f>
        <v>0.0</v>
      </c>
      <c r="M281" s="22">
        <f>+SUMIF('حركه المخزن الرئيسي اليوميه'!$F:$F,$H:$H,'حركه المخزن الرئيسي اليوميه'!$I:$I)</f>
        <v>0.0</v>
      </c>
      <c r="N281" s="22">
        <f t="shared" si="47"/>
        <v>0.0</v>
      </c>
      <c r="O281" s="22">
        <f t="shared" si="45"/>
        <v>0.0</v>
      </c>
      <c r="P281" s="22">
        <f t="shared" si="46"/>
        <v>0.0</v>
      </c>
      <c r="Q281" s="57"/>
      <c r="R281" s="58"/>
    </row>
    <row r="282" spans="8:8">
      <c r="B282" s="54">
        <v>309.0</v>
      </c>
      <c r="C282" s="8"/>
      <c r="D282" s="8"/>
      <c r="E282" s="8"/>
      <c r="F282" s="8"/>
      <c r="G282" s="8"/>
      <c r="H282" s="8"/>
      <c r="I282" s="55"/>
      <c r="J282" s="60" t="s">
        <v>8084</v>
      </c>
      <c r="K282" s="22">
        <v>0.0</v>
      </c>
      <c r="L282" s="22">
        <f>+SUMIF('حركه المخزن الرئيسي اليوميه'!$F:$F,$H:$H,'حركه المخزن الرئيسي اليوميه'!$H:$H)</f>
        <v>0.0</v>
      </c>
      <c r="M282" s="22">
        <f>+SUMIF('حركه المخزن الرئيسي اليوميه'!$F:$F,$H:$H,'حركه المخزن الرئيسي اليوميه'!$I:$I)</f>
        <v>0.0</v>
      </c>
      <c r="N282" s="22">
        <f t="shared" si="47"/>
        <v>0.0</v>
      </c>
      <c r="O282" s="22">
        <f t="shared" si="45"/>
        <v>0.0</v>
      </c>
      <c r="P282" s="22">
        <f t="shared" si="46"/>
        <v>0.0</v>
      </c>
      <c r="Q282" s="57"/>
      <c r="R282" s="58"/>
    </row>
    <row r="283" spans="8:8">
      <c r="B283" s="54">
        <v>310.0</v>
      </c>
      <c r="C283" s="8"/>
      <c r="D283" s="8"/>
      <c r="E283" s="8"/>
      <c r="F283" s="8"/>
      <c r="G283" s="8"/>
      <c r="H283" s="8"/>
      <c r="I283" s="55"/>
      <c r="J283" s="60" t="s">
        <v>8085</v>
      </c>
      <c r="K283" s="22">
        <v>0.0</v>
      </c>
      <c r="L283" s="22">
        <f>+SUMIF('حركه المخزن الرئيسي اليوميه'!$F:$F,$H:$H,'حركه المخزن الرئيسي اليوميه'!$H:$H)</f>
        <v>0.0</v>
      </c>
      <c r="M283" s="22">
        <f>+SUMIF('حركه المخزن الرئيسي اليوميه'!$F:$F,$H:$H,'حركه المخزن الرئيسي اليوميه'!$I:$I)</f>
        <v>0.0</v>
      </c>
      <c r="N283" s="22">
        <f t="shared" si="47"/>
        <v>0.0</v>
      </c>
      <c r="O283" s="22">
        <f t="shared" si="45"/>
        <v>0.0</v>
      </c>
      <c r="P283" s="22">
        <f t="shared" si="46"/>
        <v>0.0</v>
      </c>
      <c r="Q283" s="57"/>
      <c r="R283" s="58"/>
    </row>
    <row r="284" spans="8:8">
      <c r="B284" s="54">
        <v>311.0</v>
      </c>
      <c r="C284" s="8"/>
      <c r="D284" s="8"/>
      <c r="E284" s="8"/>
      <c r="F284" s="8"/>
      <c r="G284" s="8"/>
      <c r="H284" s="8"/>
      <c r="I284" s="55"/>
      <c r="J284" s="60" t="s">
        <v>8086</v>
      </c>
      <c r="K284" s="22">
        <v>0.0</v>
      </c>
      <c r="L284" s="22">
        <f>+SUMIF('حركه المخزن الرئيسي اليوميه'!$F:$F,$H:$H,'حركه المخزن الرئيسي اليوميه'!$H:$H)</f>
        <v>0.0</v>
      </c>
      <c r="M284" s="22">
        <f>+SUMIF('حركه المخزن الرئيسي اليوميه'!$F:$F,$H:$H,'حركه المخزن الرئيسي اليوميه'!$I:$I)</f>
        <v>0.0</v>
      </c>
      <c r="N284" s="22">
        <f t="shared" si="47"/>
        <v>0.0</v>
      </c>
      <c r="O284" s="22">
        <f t="shared" si="45"/>
        <v>0.0</v>
      </c>
      <c r="P284" s="22">
        <f t="shared" si="46"/>
        <v>0.0</v>
      </c>
      <c r="Q284" s="57"/>
      <c r="R284" s="58"/>
    </row>
    <row r="285" spans="8:8">
      <c r="B285" s="54">
        <v>312.0</v>
      </c>
      <c r="C285" s="8"/>
      <c r="D285" s="8"/>
      <c r="E285" s="8"/>
      <c r="F285" s="8"/>
      <c r="G285" s="8"/>
      <c r="H285" s="8"/>
      <c r="I285" s="55"/>
      <c r="J285" s="60" t="s">
        <v>8087</v>
      </c>
      <c r="K285" s="22">
        <v>0.0</v>
      </c>
      <c r="L285" s="22">
        <f>+SUMIF('حركه المخزن الرئيسي اليوميه'!$F:$F,$H:$H,'حركه المخزن الرئيسي اليوميه'!$H:$H)</f>
        <v>0.0</v>
      </c>
      <c r="M285" s="22">
        <f>+SUMIF('حركه المخزن الرئيسي اليوميه'!$F:$F,$H:$H,'حركه المخزن الرئيسي اليوميه'!$I:$I)</f>
        <v>0.0</v>
      </c>
      <c r="N285" s="22">
        <f t="shared" si="47"/>
        <v>0.0</v>
      </c>
      <c r="O285" s="22">
        <f t="shared" si="45"/>
        <v>0.0</v>
      </c>
      <c r="P285" s="22">
        <f t="shared" si="46"/>
        <v>0.0</v>
      </c>
      <c r="Q285" s="57"/>
      <c r="R285" s="58"/>
    </row>
    <row r="286" spans="8:8">
      <c r="B286" s="54">
        <v>313.0</v>
      </c>
      <c r="C286" s="8"/>
      <c r="D286" s="8"/>
      <c r="E286" s="8"/>
      <c r="F286" s="8"/>
      <c r="G286" s="8"/>
      <c r="H286" s="8"/>
      <c r="I286" s="55"/>
      <c r="J286" s="60" t="s">
        <v>8088</v>
      </c>
      <c r="K286" s="22">
        <v>0.0</v>
      </c>
      <c r="L286" s="22">
        <f>+SUMIF('حركه المخزن الرئيسي اليوميه'!$F:$F,$H:$H,'حركه المخزن الرئيسي اليوميه'!$H:$H)</f>
        <v>0.0</v>
      </c>
      <c r="M286" s="22">
        <f>+SUMIF('حركه المخزن الرئيسي اليوميه'!$F:$F,$H:$H,'حركه المخزن الرئيسي اليوميه'!$I:$I)</f>
        <v>0.0</v>
      </c>
      <c r="N286" s="22">
        <f t="shared" si="44"/>
        <v>0.0</v>
      </c>
      <c r="O286" s="22">
        <f t="shared" si="45"/>
        <v>0.0</v>
      </c>
      <c r="P286" s="22">
        <f t="shared" si="46"/>
        <v>0.0</v>
      </c>
      <c r="Q286" s="57"/>
      <c r="R286" s="58"/>
    </row>
    <row r="287" spans="8:8">
      <c r="B287" s="54">
        <v>314.0</v>
      </c>
      <c r="C287" s="8"/>
      <c r="D287" s="8"/>
      <c r="E287" s="8"/>
      <c r="F287" s="8"/>
      <c r="G287" s="8"/>
      <c r="H287" s="8"/>
      <c r="I287" s="55"/>
      <c r="J287" s="60" t="s">
        <v>8089</v>
      </c>
      <c r="K287" s="22">
        <v>0.0</v>
      </c>
      <c r="L287" s="22">
        <f>+SUMIF('حركه المخزن الرئيسي اليوميه'!$F:$F,$H:$H,'حركه المخزن الرئيسي اليوميه'!$H:$H)</f>
        <v>0.0</v>
      </c>
      <c r="M287" s="22">
        <f>+SUMIF('حركه المخزن الرئيسي اليوميه'!$F:$F,$H:$H,'حركه المخزن الرئيسي اليوميه'!$I:$I)</f>
        <v>0.0</v>
      </c>
      <c r="N287" s="22">
        <f t="shared" si="44"/>
        <v>0.0</v>
      </c>
      <c r="O287" s="22">
        <f t="shared" si="45"/>
        <v>0.0</v>
      </c>
      <c r="P287" s="22">
        <f t="shared" si="46"/>
        <v>0.0</v>
      </c>
      <c r="Q287" s="57"/>
      <c r="R287" s="58"/>
    </row>
    <row r="288" spans="8:8">
      <c r="B288" s="54">
        <v>315.0</v>
      </c>
      <c r="C288" s="8"/>
      <c r="D288" s="8"/>
      <c r="E288" s="8"/>
      <c r="F288" s="8"/>
      <c r="G288" s="8"/>
      <c r="H288" s="8"/>
      <c r="I288" s="55"/>
      <c r="J288" s="60" t="s">
        <v>8090</v>
      </c>
      <c r="K288" s="22">
        <v>0.0</v>
      </c>
      <c r="L288" s="22">
        <f>+SUMIF('حركه المخزن الرئيسي اليوميه'!$F:$F,$H:$H,'حركه المخزن الرئيسي اليوميه'!$H:$H)</f>
        <v>0.0</v>
      </c>
      <c r="M288" s="22">
        <f>+SUMIF('حركه المخزن الرئيسي اليوميه'!$F:$F,$H:$H,'حركه المخزن الرئيسي اليوميه'!$I:$I)</f>
        <v>0.0</v>
      </c>
      <c r="N288" s="22">
        <f t="shared" si="44"/>
        <v>0.0</v>
      </c>
      <c r="O288" s="22">
        <f t="shared" si="45"/>
        <v>0.0</v>
      </c>
      <c r="P288" s="22">
        <f t="shared" si="46"/>
        <v>0.0</v>
      </c>
      <c r="Q288" s="57"/>
      <c r="R288" s="58"/>
    </row>
    <row r="289" spans="8:8">
      <c r="B289" s="54">
        <v>316.0</v>
      </c>
      <c r="C289" s="8"/>
      <c r="D289" s="8"/>
      <c r="E289" s="8"/>
      <c r="F289" s="8"/>
      <c r="G289" s="8"/>
      <c r="H289" s="8"/>
      <c r="I289" s="55"/>
      <c r="J289" s="60" t="s">
        <v>8091</v>
      </c>
      <c r="K289" s="22">
        <v>0.0</v>
      </c>
      <c r="L289" s="22">
        <f>+SUMIF('حركه المخزن الرئيسي اليوميه'!$F:$F,$H:$H,'حركه المخزن الرئيسي اليوميه'!$H:$H)</f>
        <v>0.0</v>
      </c>
      <c r="M289" s="22">
        <f>+SUMIF('حركه المخزن الرئيسي اليوميه'!$F:$F,$H:$H,'حركه المخزن الرئيسي اليوميه'!$I:$I)</f>
        <v>0.0</v>
      </c>
      <c r="N289" s="22">
        <f t="shared" si="44"/>
        <v>0.0</v>
      </c>
      <c r="O289" s="22">
        <f t="shared" si="45"/>
        <v>0.0</v>
      </c>
      <c r="P289" s="22">
        <f t="shared" si="46"/>
        <v>0.0</v>
      </c>
      <c r="Q289" s="57"/>
      <c r="R289" s="58"/>
    </row>
    <row r="290" spans="8:8">
      <c r="B290" s="54">
        <v>317.0</v>
      </c>
      <c r="C290" s="8"/>
      <c r="D290" s="8"/>
      <c r="E290" s="8"/>
      <c r="F290" s="8"/>
      <c r="G290" s="8"/>
      <c r="H290" s="8"/>
      <c r="I290" s="55"/>
      <c r="J290" s="60" t="s">
        <v>8092</v>
      </c>
      <c r="K290" s="22">
        <v>0.0</v>
      </c>
      <c r="L290" s="22">
        <f>+SUMIF('حركه المخزن الرئيسي اليوميه'!$F:$F,$H:$H,'حركه المخزن الرئيسي اليوميه'!$H:$H)</f>
        <v>0.0</v>
      </c>
      <c r="M290" s="22">
        <f>+SUMIF('حركه المخزن الرئيسي اليوميه'!$F:$F,$H:$H,'حركه المخزن الرئيسي اليوميه'!$I:$I)</f>
        <v>0.0</v>
      </c>
      <c r="N290" s="22">
        <f t="shared" si="44"/>
        <v>0.0</v>
      </c>
      <c r="O290" s="22">
        <f t="shared" si="45"/>
        <v>0.0</v>
      </c>
      <c r="P290" s="22">
        <f t="shared" si="46"/>
        <v>0.0</v>
      </c>
      <c r="Q290" s="57"/>
      <c r="R290" s="58"/>
    </row>
    <row r="291" spans="8:8">
      <c r="B291" s="54">
        <v>318.0</v>
      </c>
      <c r="C291" s="8"/>
      <c r="D291" s="8"/>
      <c r="E291" s="8"/>
      <c r="F291" s="8"/>
      <c r="G291" s="8"/>
      <c r="H291" s="8"/>
      <c r="I291" s="55"/>
      <c r="J291" s="60" t="s">
        <v>8093</v>
      </c>
      <c r="K291" s="22">
        <v>0.0</v>
      </c>
      <c r="L291" s="22">
        <f>+SUMIF('حركه المخزن الرئيسي اليوميه'!$F:$F,$H:$H,'حركه المخزن الرئيسي اليوميه'!$H:$H)</f>
        <v>0.0</v>
      </c>
      <c r="M291" s="22">
        <f>+SUMIF('حركه المخزن الرئيسي اليوميه'!$F:$F,$H:$H,'حركه المخزن الرئيسي اليوميه'!$I:$I)</f>
        <v>0.0</v>
      </c>
      <c r="N291" s="22">
        <f t="shared" si="44"/>
        <v>0.0</v>
      </c>
      <c r="O291" s="22">
        <f t="shared" si="45"/>
        <v>0.0</v>
      </c>
      <c r="P291" s="22">
        <f t="shared" si="46"/>
        <v>0.0</v>
      </c>
      <c r="Q291" s="57"/>
      <c r="R291" s="58"/>
    </row>
  </sheetData>
  <autoFilter ref="A9:R291">
    <filterColumn colId="0" showButton="1"/>
  </autoFilter>
  <mergeCells count="3">
    <mergeCell ref="M2:N3"/>
    <mergeCell ref="K8:O8"/>
    <mergeCell ref="R8:R9"/>
  </mergeCells>
  <printOptions horizontalCentered="1"/>
  <pageMargins left="0.25" right="0.25" top="0.75" bottom="0.75" header="0.3" footer="0.3"/>
  <pageSetup paperSize="9" scale="75" orientation="landscape"/>
  <headerFooter>
    <oddFooter>&amp;C&amp;P</oddFooter>
  </headerFooter>
  <drawing r:id="rId1"/>
  <legacyDrawing r:id="rId2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FFFF0000"/>
    <pageSetUpPr fitToPage="1"/>
  </sheetPr>
  <dimension ref="A1:X633"/>
  <sheetViews>
    <sheetView workbookViewId="0" rightToLeft="1" zoomScale="70">
      <pane xSplit="1" ySplit="9" topLeftCell="B10" state="frozen" activePane="bottomRight"/>
      <selection pane="bottomRight" activeCell="J459" sqref="J459"/>
    </sheetView>
  </sheetViews>
  <sheetFormatPr defaultRowHeight="15.0" defaultColWidth="9"/>
  <cols>
    <col min="1" max="1" customWidth="1" width="1.375" style="1"/>
    <col min="2" max="2" customWidth="1" bestFit="1" width="10.25" style="2"/>
    <col min="3" max="3" customWidth="1" width="7.0" style="2"/>
    <col min="4" max="4" customWidth="1" width="10.625" style="2"/>
    <col min="5" max="5" customWidth="1" bestFit="1" width="38.875" style="2"/>
    <col min="6" max="6" customWidth="1" width="8.125" style="2"/>
    <col min="7" max="7" customWidth="1" bestFit="1" width="27.875" style="2"/>
    <col min="8" max="8" customWidth="1" bestFit="1" width="36.875" style="1"/>
    <col min="9" max="9" customWidth="1" bestFit="1" width="16.875" style="2"/>
    <col min="10" max="10" customWidth="1" width="10.875" style="3"/>
    <col min="11" max="11" customWidth="1" width="10.625" style="4"/>
    <col min="12" max="12" customWidth="1" width="9.25" style="4"/>
    <col min="13" max="13" customWidth="1" width="9.375" style="4"/>
    <col min="14" max="14" customWidth="1" width="10.875" style="4"/>
    <col min="15" max="16" customWidth="1" width="9.25" style="4"/>
    <col min="17" max="17" customWidth="1" width="11.75" style="5"/>
    <col min="18" max="18" customWidth="1" bestFit="1" width="28.0" style="6"/>
    <col min="19" max="16384" customWidth="0" width="9.125" style="1"/>
  </cols>
  <sheetData>
    <row r="1" spans="8:8" ht="16.5">
      <c r="A1" s="7"/>
      <c r="B1" s="8"/>
      <c r="C1" s="8"/>
      <c r="D1" s="8"/>
      <c r="E1" s="8"/>
      <c r="F1" s="8"/>
      <c r="G1" s="8"/>
      <c r="H1" s="9"/>
      <c r="I1" s="8"/>
      <c r="J1" s="10"/>
      <c r="K1" s="11"/>
      <c r="L1" s="11"/>
      <c r="M1" s="12"/>
      <c r="N1" s="12"/>
      <c r="O1" s="11"/>
      <c r="P1" s="11"/>
      <c r="Q1" s="13"/>
      <c r="R1" s="14"/>
    </row>
    <row r="2" spans="8:8" ht="15.75">
      <c r="A2" s="7"/>
      <c r="B2" s="8"/>
      <c r="H2" s="9"/>
      <c r="I2" s="8"/>
      <c r="J2" s="10"/>
      <c r="K2" s="11"/>
      <c r="L2" s="15"/>
      <c r="M2" s="65" t="s">
        <v>8202</v>
      </c>
      <c r="N2" s="66"/>
      <c r="O2" s="18"/>
      <c r="P2" s="11"/>
      <c r="Q2" s="13"/>
      <c r="R2" s="14"/>
    </row>
    <row r="3" spans="8:8" ht="16.5">
      <c r="A3" s="7"/>
      <c r="B3" s="8"/>
      <c r="C3" s="8"/>
      <c r="D3" s="8"/>
      <c r="F3" s="8"/>
      <c r="G3" s="8"/>
      <c r="H3" s="9"/>
      <c r="I3" s="8"/>
      <c r="J3" s="10"/>
      <c r="K3" s="11"/>
      <c r="L3" s="15"/>
      <c r="M3" s="67"/>
      <c r="N3" s="68"/>
      <c r="O3" s="18"/>
      <c r="P3" s="11"/>
      <c r="Q3" s="13"/>
      <c r="R3" s="14"/>
    </row>
    <row r="4" spans="8:8" ht="15.75">
      <c r="A4" s="7"/>
      <c r="B4" s="8"/>
      <c r="C4" s="8"/>
      <c r="D4" s="8"/>
      <c r="E4" s="8"/>
      <c r="F4" s="8"/>
      <c r="G4" s="8"/>
      <c r="H4" s="9"/>
      <c r="I4" s="8"/>
      <c r="J4" s="10"/>
      <c r="K4" s="11"/>
      <c r="L4" s="11"/>
      <c r="M4" s="22"/>
      <c r="N4" s="22"/>
      <c r="O4" s="11"/>
      <c r="P4" s="11"/>
      <c r="Q4" s="11"/>
      <c r="R4" s="14"/>
    </row>
    <row r="5" spans="8:8" ht="15.75">
      <c r="A5" s="7"/>
      <c r="B5" s="7"/>
      <c r="C5" s="7"/>
      <c r="D5" s="7"/>
      <c r="E5" s="23"/>
      <c r="F5" s="7" t="s">
        <v>1436</v>
      </c>
      <c r="G5" s="7"/>
      <c r="H5" s="8"/>
      <c r="I5" s="8" t="s">
        <v>2757</v>
      </c>
      <c r="J5" s="10"/>
      <c r="K5" s="11"/>
      <c r="L5" s="11"/>
      <c r="M5" s="11"/>
      <c r="N5" s="11"/>
      <c r="O5" s="11"/>
      <c r="P5" s="11"/>
      <c r="Q5" s="13"/>
      <c r="R5" s="14"/>
    </row>
    <row r="6" spans="8:8" ht="19.5">
      <c r="A6" s="7"/>
      <c r="B6" s="24"/>
      <c r="C6" s="8"/>
      <c r="D6" s="25"/>
      <c r="E6" s="26" t="s">
        <v>1542</v>
      </c>
      <c r="F6" s="27"/>
      <c r="G6" s="28"/>
      <c r="H6" s="9"/>
      <c r="I6" s="24"/>
      <c r="J6" s="29"/>
      <c r="K6" s="30"/>
      <c r="L6" s="31"/>
      <c r="M6" s="31"/>
      <c r="N6" s="31"/>
      <c r="O6" s="31"/>
      <c r="P6" s="31"/>
      <c r="Q6" s="24"/>
      <c r="R6" s="14"/>
    </row>
    <row r="7" spans="8:8" ht="19.5">
      <c r="A7" s="7"/>
      <c r="B7" s="24"/>
      <c r="C7" s="24"/>
      <c r="D7" s="32"/>
      <c r="E7" s="26" t="s">
        <v>3645</v>
      </c>
      <c r="F7" s="27"/>
      <c r="G7" s="28"/>
      <c r="H7" s="9"/>
      <c r="I7" s="24"/>
      <c r="J7" s="29"/>
      <c r="K7" s="33"/>
      <c r="L7" s="34"/>
      <c r="M7" s="34"/>
      <c r="N7" s="34"/>
      <c r="O7" s="34"/>
      <c r="P7" s="31"/>
      <c r="Q7" s="24"/>
      <c r="R7" s="35"/>
    </row>
    <row r="8" spans="8:8" ht="16.5">
      <c r="E8" s="36"/>
      <c r="H8" s="37"/>
      <c r="I8" s="2">
        <f>I7+I6</f>
        <v>0.0</v>
      </c>
      <c r="K8" s="38" t="s">
        <v>1</v>
      </c>
      <c r="L8" s="39"/>
      <c r="M8" s="39"/>
      <c r="N8" s="39"/>
      <c r="O8" s="40"/>
      <c r="P8" s="41"/>
      <c r="Q8" s="42"/>
      <c r="R8" s="43" t="s">
        <v>2</v>
      </c>
    </row>
    <row r="9" spans="8:8" ht="66.0" customHeight="1">
      <c r="A9" s="44"/>
      <c r="B9" s="45" t="s">
        <v>8</v>
      </c>
      <c r="C9" s="45" t="s">
        <v>18</v>
      </c>
      <c r="D9" s="45" t="s">
        <v>653</v>
      </c>
      <c r="E9" s="46" t="s">
        <v>1678</v>
      </c>
      <c r="F9" s="46" t="s">
        <v>874</v>
      </c>
      <c r="G9" s="46" t="s">
        <v>1679</v>
      </c>
      <c r="H9" s="47" t="s">
        <v>1872</v>
      </c>
      <c r="I9" s="48" t="s">
        <v>4</v>
      </c>
      <c r="J9" s="49" t="s">
        <v>3625</v>
      </c>
      <c r="K9" s="50" t="s">
        <v>10</v>
      </c>
      <c r="L9" s="50" t="s">
        <v>1441</v>
      </c>
      <c r="M9" s="50" t="s">
        <v>7</v>
      </c>
      <c r="N9" s="50" t="s">
        <v>1015</v>
      </c>
      <c r="O9" s="50" t="s">
        <v>8197</v>
      </c>
      <c r="P9" s="51" t="s">
        <v>3</v>
      </c>
      <c r="Q9" s="52"/>
      <c r="R9" s="53"/>
    </row>
    <row r="10" spans="8:8">
      <c r="B10" s="8">
        <v>1.0</v>
      </c>
      <c r="C10" s="8" t="s">
        <v>764</v>
      </c>
      <c r="D10" s="8" t="s">
        <v>828</v>
      </c>
      <c r="E10" s="8" t="s">
        <v>469</v>
      </c>
      <c r="F10" s="8" t="s">
        <v>68</v>
      </c>
      <c r="G10" s="8" t="s">
        <v>2349</v>
      </c>
      <c r="H10" s="8" t="s">
        <v>469</v>
      </c>
      <c r="I10" s="55" t="s">
        <v>20</v>
      </c>
      <c r="J10" s="60" t="s">
        <v>6896</v>
      </c>
      <c r="K10" s="22">
        <v>113.0</v>
      </c>
      <c r="L10" s="22">
        <f>+SUMIF('حركه المخزن الرئيسي اليوميه'!$F:$F,$H:$H,'حركه المخزن الرئيسي اليوميه'!$H:$H)</f>
        <v>0.0</v>
      </c>
      <c r="M10" s="22">
        <f>+SUMIF('حركه المخزن الرئيسي اليوميه'!$F:$F,$H:$H,'حركه المخزن الرئيسي اليوميه'!$I:$I)</f>
        <v>0.0</v>
      </c>
      <c r="N10" s="22">
        <f t="shared" si="0" ref="N10:N75">+K10+L10-M10</f>
        <v>113.0</v>
      </c>
      <c r="O10" s="22">
        <f t="shared" si="1" ref="O10:O75">+N10</f>
        <v>113.0</v>
      </c>
      <c r="P10" s="22">
        <f t="shared" si="2" ref="P10:P75">+N10-O10</f>
        <v>0.0</v>
      </c>
      <c r="Q10" s="57"/>
      <c r="R10" s="69"/>
    </row>
    <row r="11" spans="8:8">
      <c r="B11" s="8">
        <v>2.0</v>
      </c>
      <c r="C11" s="8" t="s">
        <v>764</v>
      </c>
      <c r="D11" s="8" t="s">
        <v>713</v>
      </c>
      <c r="E11" s="8" t="s">
        <v>790</v>
      </c>
      <c r="F11" s="8" t="s">
        <v>68</v>
      </c>
      <c r="G11" s="8" t="s">
        <v>1754</v>
      </c>
      <c r="H11" s="8" t="s">
        <v>2943</v>
      </c>
      <c r="I11" s="8" t="s">
        <v>20</v>
      </c>
      <c r="J11" s="60" t="s">
        <v>6897</v>
      </c>
      <c r="K11" s="22">
        <v>3.0</v>
      </c>
      <c r="L11" s="22">
        <f>+SUMIF('حركه المخزن الرئيسي اليوميه'!$F:$F,$H:$H,'حركه المخزن الرئيسي اليوميه'!$H:$H)</f>
        <v>0.0</v>
      </c>
      <c r="M11" s="22">
        <f>+SUMIF('حركه المخزن الرئيسي اليوميه'!$F:$F,$H:$H,'حركه المخزن الرئيسي اليوميه'!$I:$I)</f>
        <v>0.0</v>
      </c>
      <c r="N11" s="22">
        <f t="shared" si="0"/>
        <v>3.0</v>
      </c>
      <c r="O11" s="22">
        <f t="shared" si="1"/>
        <v>3.0</v>
      </c>
      <c r="P11" s="22">
        <f t="shared" si="2"/>
        <v>0.0</v>
      </c>
      <c r="Q11" s="57"/>
      <c r="R11" s="69"/>
    </row>
    <row r="12" spans="8:8">
      <c r="B12" s="8">
        <v>3.0</v>
      </c>
      <c r="C12" s="8" t="s">
        <v>764</v>
      </c>
      <c r="D12" s="8" t="s">
        <v>713</v>
      </c>
      <c r="E12" s="8" t="s">
        <v>790</v>
      </c>
      <c r="F12" s="8" t="s">
        <v>68</v>
      </c>
      <c r="G12" s="8" t="s">
        <v>1754</v>
      </c>
      <c r="H12" s="8" t="s">
        <v>2941</v>
      </c>
      <c r="I12" s="8" t="s">
        <v>20</v>
      </c>
      <c r="J12" s="60" t="s">
        <v>6898</v>
      </c>
      <c r="K12" s="22">
        <v>3.0</v>
      </c>
      <c r="L12" s="22">
        <f>+SUMIF('حركه المخزن الرئيسي اليوميه'!$F:$F,$H:$H,'حركه المخزن الرئيسي اليوميه'!$H:$H)</f>
        <v>0.0</v>
      </c>
      <c r="M12" s="22">
        <f>+SUMIF('حركه المخزن الرئيسي اليوميه'!$F:$F,$H:$H,'حركه المخزن الرئيسي اليوميه'!$I:$I)</f>
        <v>0.0</v>
      </c>
      <c r="N12" s="22">
        <f t="shared" si="0"/>
        <v>3.0</v>
      </c>
      <c r="O12" s="22">
        <f t="shared" si="1"/>
        <v>3.0</v>
      </c>
      <c r="P12" s="22">
        <f t="shared" si="2"/>
        <v>0.0</v>
      </c>
      <c r="Q12" s="57"/>
      <c r="R12" s="69"/>
    </row>
    <row r="13" spans="8:8">
      <c r="B13" s="8">
        <v>4.0</v>
      </c>
      <c r="C13" s="8" t="s">
        <v>828</v>
      </c>
      <c r="D13" s="8" t="s">
        <v>828</v>
      </c>
      <c r="E13" s="8" t="s">
        <v>1062</v>
      </c>
      <c r="F13" s="8" t="s">
        <v>68</v>
      </c>
      <c r="G13" s="8" t="s">
        <v>1761</v>
      </c>
      <c r="H13" s="8" t="s">
        <v>1062</v>
      </c>
      <c r="I13" s="8" t="s">
        <v>24</v>
      </c>
      <c r="J13" s="60" t="s">
        <v>6899</v>
      </c>
      <c r="K13" s="22">
        <v>0.0</v>
      </c>
      <c r="L13" s="22">
        <f>+SUMIF('حركه المخزن الرئيسي اليوميه'!$F:$F,$H:$H,'حركه المخزن الرئيسي اليوميه'!$H:$H)</f>
        <v>0.0</v>
      </c>
      <c r="M13" s="22">
        <f>+SUMIF('حركه المخزن الرئيسي اليوميه'!$F:$F,$H:$H,'حركه المخزن الرئيسي اليوميه'!$I:$I)</f>
        <v>0.0</v>
      </c>
      <c r="N13" s="22">
        <f t="shared" si="0"/>
        <v>0.0</v>
      </c>
      <c r="O13" s="22">
        <f t="shared" si="1"/>
        <v>0.0</v>
      </c>
      <c r="P13" s="22">
        <f t="shared" si="2"/>
        <v>0.0</v>
      </c>
      <c r="Q13" s="57"/>
      <c r="R13" s="69"/>
    </row>
    <row r="14" spans="8:8">
      <c r="B14" s="8">
        <v>5.0</v>
      </c>
      <c r="C14" s="8" t="s">
        <v>764</v>
      </c>
      <c r="D14" s="8" t="s">
        <v>828</v>
      </c>
      <c r="E14" s="8" t="s">
        <v>483</v>
      </c>
      <c r="F14" s="8" t="s">
        <v>68</v>
      </c>
      <c r="G14" s="8" t="s">
        <v>2349</v>
      </c>
      <c r="H14" s="8" t="s">
        <v>483</v>
      </c>
      <c r="I14" s="55" t="s">
        <v>24</v>
      </c>
      <c r="J14" s="60" t="s">
        <v>6900</v>
      </c>
      <c r="K14" s="22">
        <v>0.0</v>
      </c>
      <c r="L14" s="22">
        <f>+SUMIF('حركه المخزن الرئيسي اليوميه'!$F:$F,$H:$H,'حركه المخزن الرئيسي اليوميه'!$H:$H)</f>
        <v>0.0</v>
      </c>
      <c r="M14" s="22">
        <f>+SUMIF('حركه المخزن الرئيسي اليوميه'!$F:$F,$H:$H,'حركه المخزن الرئيسي اليوميه'!$I:$I)</f>
        <v>0.0</v>
      </c>
      <c r="N14" s="22">
        <f t="shared" si="0"/>
        <v>0.0</v>
      </c>
      <c r="O14" s="22">
        <f t="shared" si="1"/>
        <v>0.0</v>
      </c>
      <c r="P14" s="22">
        <f t="shared" si="2"/>
        <v>0.0</v>
      </c>
      <c r="Q14" s="57"/>
      <c r="R14" s="69"/>
    </row>
    <row r="15" spans="8:8">
      <c r="B15" s="8">
        <v>6.0</v>
      </c>
      <c r="C15" s="8" t="s">
        <v>764</v>
      </c>
      <c r="D15" s="8" t="s">
        <v>828</v>
      </c>
      <c r="E15" s="8" t="s">
        <v>536</v>
      </c>
      <c r="F15" s="8" t="s">
        <v>68</v>
      </c>
      <c r="G15" s="8"/>
      <c r="H15" s="8" t="s">
        <v>536</v>
      </c>
      <c r="I15" s="8" t="s">
        <v>31</v>
      </c>
      <c r="J15" s="60" t="s">
        <v>6901</v>
      </c>
      <c r="K15" s="22">
        <v>17.0</v>
      </c>
      <c r="L15" s="22">
        <f>+SUMIF('حركه المخزن الرئيسي اليوميه'!$F:$F,$H:$H,'حركه المخزن الرئيسي اليوميه'!$H:$H)</f>
        <v>0.0</v>
      </c>
      <c r="M15" s="22">
        <f>+SUMIF('حركه المخزن الرئيسي اليوميه'!$F:$F,$H:$H,'حركه المخزن الرئيسي اليوميه'!$I:$I)</f>
        <v>0.0</v>
      </c>
      <c r="N15" s="22">
        <f t="shared" si="0"/>
        <v>17.0</v>
      </c>
      <c r="O15" s="22">
        <f t="shared" si="1"/>
        <v>17.0</v>
      </c>
      <c r="P15" s="22">
        <f t="shared" si="2"/>
        <v>0.0</v>
      </c>
      <c r="Q15" s="57"/>
      <c r="R15" s="69"/>
    </row>
    <row r="16" spans="8:8">
      <c r="B16" s="8">
        <v>7.0</v>
      </c>
      <c r="C16" s="8" t="s">
        <v>764</v>
      </c>
      <c r="D16" s="8" t="s">
        <v>828</v>
      </c>
      <c r="E16" s="8" t="s">
        <v>2015</v>
      </c>
      <c r="F16" s="8" t="s">
        <v>876</v>
      </c>
      <c r="G16" s="8" t="s">
        <v>2350</v>
      </c>
      <c r="H16" s="8" t="s">
        <v>2015</v>
      </c>
      <c r="I16" s="8" t="s">
        <v>24</v>
      </c>
      <c r="J16" s="60" t="s">
        <v>6902</v>
      </c>
      <c r="K16" s="22">
        <v>2.0</v>
      </c>
      <c r="L16" s="22">
        <f>+SUMIF('حركه المخزن الرئيسي اليوميه'!$F:$F,$H:$H,'حركه المخزن الرئيسي اليوميه'!$H:$H)</f>
        <v>0.0</v>
      </c>
      <c r="M16" s="22">
        <f>+SUMIF('حركه المخزن الرئيسي اليوميه'!$F:$F,$H:$H,'حركه المخزن الرئيسي اليوميه'!$I:$I)</f>
        <v>0.0</v>
      </c>
      <c r="N16" s="22">
        <f t="shared" si="0"/>
        <v>2.0</v>
      </c>
      <c r="O16" s="22">
        <f t="shared" si="1"/>
        <v>2.0</v>
      </c>
      <c r="P16" s="22">
        <f t="shared" si="2"/>
        <v>0.0</v>
      </c>
      <c r="Q16" s="57"/>
      <c r="R16" s="69"/>
    </row>
    <row r="17" spans="8:8">
      <c r="B17" s="8">
        <v>8.0</v>
      </c>
      <c r="C17" s="8" t="s">
        <v>764</v>
      </c>
      <c r="D17" s="8" t="s">
        <v>828</v>
      </c>
      <c r="E17" s="8" t="s">
        <v>524</v>
      </c>
      <c r="F17" s="8" t="s">
        <v>68</v>
      </c>
      <c r="G17" s="8" t="s">
        <v>1748</v>
      </c>
      <c r="H17" s="8" t="s">
        <v>524</v>
      </c>
      <c r="I17" s="8" t="s">
        <v>1132</v>
      </c>
      <c r="J17" s="60" t="s">
        <v>6903</v>
      </c>
      <c r="K17" s="22">
        <v>120.0</v>
      </c>
      <c r="L17" s="22">
        <f>+SUMIF('حركه المخزن الرئيسي اليوميه'!$F:$F,$H:$H,'حركه المخزن الرئيسي اليوميه'!$H:$H)</f>
        <v>0.0</v>
      </c>
      <c r="M17" s="22">
        <f>+SUMIF('حركه المخزن الرئيسي اليوميه'!$F:$F,$H:$H,'حركه المخزن الرئيسي اليوميه'!$I:$I)</f>
        <v>30.0</v>
      </c>
      <c r="N17" s="22">
        <f t="shared" si="0"/>
        <v>90.0</v>
      </c>
      <c r="O17" s="22">
        <f t="shared" si="1"/>
        <v>90.0</v>
      </c>
      <c r="P17" s="22">
        <f t="shared" si="2"/>
        <v>0.0</v>
      </c>
      <c r="Q17" s="57"/>
      <c r="R17" s="69"/>
    </row>
    <row r="18" spans="8:8">
      <c r="B18" s="8">
        <v>9.0</v>
      </c>
      <c r="C18" s="8" t="s">
        <v>764</v>
      </c>
      <c r="D18" s="8" t="s">
        <v>828</v>
      </c>
      <c r="E18" s="8" t="s">
        <v>517</v>
      </c>
      <c r="F18" s="8" t="s">
        <v>68</v>
      </c>
      <c r="G18" s="8" t="s">
        <v>2144</v>
      </c>
      <c r="H18" s="70" t="s">
        <v>517</v>
      </c>
      <c r="I18" s="71" t="s">
        <v>36</v>
      </c>
      <c r="J18" s="60" t="s">
        <v>6904</v>
      </c>
      <c r="K18" s="22">
        <v>0.0</v>
      </c>
      <c r="L18" s="22">
        <f>+SUMIF('حركه المخزن الرئيسي اليوميه'!$F:$F,$H:$H,'حركه المخزن الرئيسي اليوميه'!$H:$H)</f>
        <v>0.0</v>
      </c>
      <c r="M18" s="22">
        <f>+SUMIF('حركه المخزن الرئيسي اليوميه'!$F:$F,$H:$H,'حركه المخزن الرئيسي اليوميه'!$I:$I)</f>
        <v>0.0</v>
      </c>
      <c r="N18" s="22">
        <f t="shared" si="0"/>
        <v>0.0</v>
      </c>
      <c r="O18" s="22">
        <f t="shared" si="1"/>
        <v>0.0</v>
      </c>
      <c r="P18" s="22">
        <f t="shared" si="2"/>
        <v>0.0</v>
      </c>
      <c r="Q18" s="57"/>
      <c r="R18" s="58"/>
    </row>
    <row r="19" spans="8:8">
      <c r="B19" s="8">
        <v>10.0</v>
      </c>
      <c r="C19" s="8" t="s">
        <v>766</v>
      </c>
      <c r="D19" s="8" t="s">
        <v>766</v>
      </c>
      <c r="E19" s="8" t="s">
        <v>2737</v>
      </c>
      <c r="F19" s="8" t="s">
        <v>68</v>
      </c>
      <c r="G19" s="8"/>
      <c r="H19" s="8" t="s">
        <v>2737</v>
      </c>
      <c r="I19" s="71" t="s">
        <v>36</v>
      </c>
      <c r="J19" s="60" t="s">
        <v>6905</v>
      </c>
      <c r="K19" s="22">
        <v>0.0</v>
      </c>
      <c r="L19" s="22">
        <f>+SUMIF('حركه المخزن الرئيسي اليوميه'!$F:$F,$H:$H,'حركه المخزن الرئيسي اليوميه'!$H:$H)</f>
        <v>0.0</v>
      </c>
      <c r="M19" s="22">
        <f>+SUMIF('حركه المخزن الرئيسي اليوميه'!$F:$F,$H:$H,'حركه المخزن الرئيسي اليوميه'!$I:$I)</f>
        <v>0.0</v>
      </c>
      <c r="N19" s="22">
        <f t="shared" si="0"/>
        <v>0.0</v>
      </c>
      <c r="O19" s="22">
        <f t="shared" si="1"/>
        <v>0.0</v>
      </c>
      <c r="P19" s="22">
        <f t="shared" si="2"/>
        <v>0.0</v>
      </c>
      <c r="Q19" s="57"/>
      <c r="R19" s="58"/>
    </row>
    <row r="20" spans="8:8">
      <c r="B20" s="8">
        <v>11.0</v>
      </c>
      <c r="C20" s="8" t="s">
        <v>764</v>
      </c>
      <c r="D20" s="8" t="s">
        <v>828</v>
      </c>
      <c r="E20" s="8" t="s">
        <v>488</v>
      </c>
      <c r="F20" s="8" t="s">
        <v>68</v>
      </c>
      <c r="G20" s="8" t="s">
        <v>2144</v>
      </c>
      <c r="H20" s="8" t="s">
        <v>1118</v>
      </c>
      <c r="I20" s="71" t="s">
        <v>36</v>
      </c>
      <c r="J20" s="60" t="s">
        <v>6906</v>
      </c>
      <c r="K20" s="22">
        <v>21.0</v>
      </c>
      <c r="L20" s="22">
        <f>+SUMIF('حركه المخزن الرئيسي اليوميه'!$F:$F,$H:$H,'حركه المخزن الرئيسي اليوميه'!$H:$H)</f>
        <v>0.0</v>
      </c>
      <c r="M20" s="22">
        <f>+SUMIF('حركه المخزن الرئيسي اليوميه'!$F:$F,$H:$H,'حركه المخزن الرئيسي اليوميه'!$I:$I)</f>
        <v>0.0</v>
      </c>
      <c r="N20" s="22">
        <f t="shared" si="0"/>
        <v>21.0</v>
      </c>
      <c r="O20" s="22">
        <f t="shared" si="1"/>
        <v>21.0</v>
      </c>
      <c r="P20" s="22">
        <f t="shared" si="2"/>
        <v>0.0</v>
      </c>
      <c r="Q20" s="57"/>
      <c r="R20" s="58"/>
    </row>
    <row r="21" spans="8:8">
      <c r="B21" s="8">
        <v>12.0</v>
      </c>
      <c r="C21" s="8" t="s">
        <v>764</v>
      </c>
      <c r="D21" s="8" t="s">
        <v>828</v>
      </c>
      <c r="E21" s="8" t="s">
        <v>492</v>
      </c>
      <c r="F21" s="8" t="s">
        <v>68</v>
      </c>
      <c r="G21" s="8" t="s">
        <v>2144</v>
      </c>
      <c r="H21" s="8" t="s">
        <v>492</v>
      </c>
      <c r="I21" s="71" t="s">
        <v>36</v>
      </c>
      <c r="J21" s="60" t="s">
        <v>6907</v>
      </c>
      <c r="K21" s="22">
        <v>0.0</v>
      </c>
      <c r="L21" s="22">
        <f>+SUMIF('حركه المخزن الرئيسي اليوميه'!$F:$F,$H:$H,'حركه المخزن الرئيسي اليوميه'!$H:$H)</f>
        <v>0.0</v>
      </c>
      <c r="M21" s="22">
        <f>+SUMIF('حركه المخزن الرئيسي اليوميه'!$F:$F,$H:$H,'حركه المخزن الرئيسي اليوميه'!$I:$I)</f>
        <v>0.0</v>
      </c>
      <c r="N21" s="22">
        <f t="shared" si="0"/>
        <v>0.0</v>
      </c>
      <c r="O21" s="22">
        <f t="shared" si="1"/>
        <v>0.0</v>
      </c>
      <c r="P21" s="22">
        <f t="shared" si="2"/>
        <v>0.0</v>
      </c>
      <c r="Q21" s="57"/>
      <c r="R21" s="58"/>
    </row>
    <row r="22" spans="8:8">
      <c r="B22" s="8">
        <v>13.0</v>
      </c>
      <c r="C22" s="8" t="s">
        <v>764</v>
      </c>
      <c r="D22" s="8" t="s">
        <v>828</v>
      </c>
      <c r="E22" s="8" t="s">
        <v>496</v>
      </c>
      <c r="F22" s="8" t="s">
        <v>68</v>
      </c>
      <c r="G22" s="8" t="s">
        <v>2144</v>
      </c>
      <c r="H22" s="8" t="s">
        <v>496</v>
      </c>
      <c r="I22" s="71" t="s">
        <v>36</v>
      </c>
      <c r="J22" s="60" t="s">
        <v>6908</v>
      </c>
      <c r="K22" s="22">
        <v>0.0</v>
      </c>
      <c r="L22" s="22">
        <f>+SUMIF('حركه المخزن الرئيسي اليوميه'!$F:$F,$H:$H,'حركه المخزن الرئيسي اليوميه'!$H:$H)</f>
        <v>0.0</v>
      </c>
      <c r="M22" s="22">
        <f>+SUMIF('حركه المخزن الرئيسي اليوميه'!$F:$F,$H:$H,'حركه المخزن الرئيسي اليوميه'!$I:$I)</f>
        <v>0.0</v>
      </c>
      <c r="N22" s="22">
        <f t="shared" si="0"/>
        <v>0.0</v>
      </c>
      <c r="O22" s="22">
        <f t="shared" si="1"/>
        <v>0.0</v>
      </c>
      <c r="P22" s="22">
        <f t="shared" si="2"/>
        <v>0.0</v>
      </c>
      <c r="Q22" s="57"/>
      <c r="R22" s="58"/>
    </row>
    <row r="23" spans="8:8">
      <c r="B23" s="8">
        <v>14.0</v>
      </c>
      <c r="C23" s="8" t="s">
        <v>828</v>
      </c>
      <c r="D23" s="8" t="s">
        <v>828</v>
      </c>
      <c r="E23" s="8" t="s">
        <v>1120</v>
      </c>
      <c r="F23" s="8" t="s">
        <v>68</v>
      </c>
      <c r="G23" s="8" t="s">
        <v>2144</v>
      </c>
      <c r="H23" s="8" t="s">
        <v>3389</v>
      </c>
      <c r="I23" s="71" t="s">
        <v>36</v>
      </c>
      <c r="J23" s="60" t="s">
        <v>6909</v>
      </c>
      <c r="K23" s="22">
        <v>0.0</v>
      </c>
      <c r="L23" s="22">
        <f>+SUMIF('حركه المخزن الرئيسي اليوميه'!$F:$F,$H:$H,'حركه المخزن الرئيسي اليوميه'!$H:$H)</f>
        <v>0.0</v>
      </c>
      <c r="M23" s="22">
        <f>+SUMIF('حركه المخزن الرئيسي اليوميه'!$F:$F,$H:$H,'حركه المخزن الرئيسي اليوميه'!$I:$I)</f>
        <v>0.0</v>
      </c>
      <c r="N23" s="22">
        <f t="shared" si="0"/>
        <v>0.0</v>
      </c>
      <c r="O23" s="22">
        <f t="shared" si="1"/>
        <v>0.0</v>
      </c>
      <c r="P23" s="22">
        <f t="shared" si="2"/>
        <v>0.0</v>
      </c>
      <c r="Q23" s="57"/>
      <c r="R23" s="58"/>
    </row>
    <row r="24" spans="8:8">
      <c r="B24" s="8">
        <v>15.0</v>
      </c>
      <c r="C24" s="8" t="s">
        <v>828</v>
      </c>
      <c r="D24" s="8" t="s">
        <v>828</v>
      </c>
      <c r="E24" s="8" t="s">
        <v>1120</v>
      </c>
      <c r="F24" s="8" t="s">
        <v>68</v>
      </c>
      <c r="G24" s="8" t="s">
        <v>2144</v>
      </c>
      <c r="H24" s="8" t="s">
        <v>1121</v>
      </c>
      <c r="I24" s="71" t="s">
        <v>36</v>
      </c>
      <c r="J24" s="60" t="s">
        <v>6910</v>
      </c>
      <c r="K24" s="22">
        <v>0.0</v>
      </c>
      <c r="L24" s="22">
        <f>+SUMIF('حركه المخزن الرئيسي اليوميه'!$F:$F,$H:$H,'حركه المخزن الرئيسي اليوميه'!$H:$H)</f>
        <v>0.0</v>
      </c>
      <c r="M24" s="22">
        <f>+SUMIF('حركه المخزن الرئيسي اليوميه'!$F:$F,$H:$H,'حركه المخزن الرئيسي اليوميه'!$I:$I)</f>
        <v>0.0</v>
      </c>
      <c r="N24" s="22">
        <f t="shared" si="0"/>
        <v>0.0</v>
      </c>
      <c r="O24" s="22">
        <f t="shared" si="1"/>
        <v>0.0</v>
      </c>
      <c r="P24" s="22">
        <f t="shared" si="2"/>
        <v>0.0</v>
      </c>
      <c r="Q24" s="57"/>
      <c r="R24" s="58"/>
    </row>
    <row r="25" spans="8:8">
      <c r="B25" s="8">
        <v>16.0</v>
      </c>
      <c r="C25" s="8" t="s">
        <v>764</v>
      </c>
      <c r="D25" s="8" t="s">
        <v>828</v>
      </c>
      <c r="E25" s="8" t="s">
        <v>495</v>
      </c>
      <c r="F25" s="8" t="s">
        <v>68</v>
      </c>
      <c r="G25" s="8" t="s">
        <v>2144</v>
      </c>
      <c r="H25" s="8" t="s">
        <v>495</v>
      </c>
      <c r="I25" s="71" t="s">
        <v>36</v>
      </c>
      <c r="J25" s="60" t="s">
        <v>6911</v>
      </c>
      <c r="K25" s="22">
        <v>0.0</v>
      </c>
      <c r="L25" s="22">
        <f>+SUMIF('حركه المخزن الرئيسي اليوميه'!$F:$F,$H:$H,'حركه المخزن الرئيسي اليوميه'!$H:$H)</f>
        <v>0.0</v>
      </c>
      <c r="M25" s="22">
        <f>+SUMIF('حركه المخزن الرئيسي اليوميه'!$F:$F,$H:$H,'حركه المخزن الرئيسي اليوميه'!$I:$I)</f>
        <v>0.0</v>
      </c>
      <c r="N25" s="22">
        <f t="shared" si="0"/>
        <v>0.0</v>
      </c>
      <c r="O25" s="22">
        <f t="shared" si="1"/>
        <v>0.0</v>
      </c>
      <c r="P25" s="22">
        <f t="shared" si="2"/>
        <v>0.0</v>
      </c>
      <c r="Q25" s="57"/>
      <c r="R25" s="58"/>
    </row>
    <row r="26" spans="8:8">
      <c r="B26" s="8">
        <v>17.0</v>
      </c>
      <c r="C26" s="8" t="s">
        <v>828</v>
      </c>
      <c r="D26" s="8" t="s">
        <v>828</v>
      </c>
      <c r="E26" s="8" t="s">
        <v>1120</v>
      </c>
      <c r="F26" s="8" t="s">
        <v>68</v>
      </c>
      <c r="G26" s="8" t="s">
        <v>2144</v>
      </c>
      <c r="H26" s="8" t="s">
        <v>1122</v>
      </c>
      <c r="I26" s="71" t="s">
        <v>36</v>
      </c>
      <c r="J26" s="60" t="s">
        <v>6912</v>
      </c>
      <c r="K26" s="22">
        <v>0.0</v>
      </c>
      <c r="L26" s="22">
        <f>+SUMIF('حركه المخزن الرئيسي اليوميه'!$F:$F,$H:$H,'حركه المخزن الرئيسي اليوميه'!$H:$H)</f>
        <v>0.0</v>
      </c>
      <c r="M26" s="22">
        <f>+SUMIF('حركه المخزن الرئيسي اليوميه'!$F:$F,$H:$H,'حركه المخزن الرئيسي اليوميه'!$I:$I)</f>
        <v>0.0</v>
      </c>
      <c r="N26" s="22">
        <f t="shared" si="0"/>
        <v>0.0</v>
      </c>
      <c r="O26" s="22">
        <f t="shared" si="1"/>
        <v>0.0</v>
      </c>
      <c r="P26" s="22">
        <f t="shared" si="2"/>
        <v>0.0</v>
      </c>
      <c r="Q26" s="57"/>
      <c r="R26" s="58"/>
    </row>
    <row r="27" spans="8:8">
      <c r="B27" s="8">
        <v>18.0</v>
      </c>
      <c r="C27" s="8" t="s">
        <v>828</v>
      </c>
      <c r="D27" s="8" t="s">
        <v>828</v>
      </c>
      <c r="E27" s="8" t="s">
        <v>1120</v>
      </c>
      <c r="F27" s="8" t="s">
        <v>68</v>
      </c>
      <c r="G27" s="8" t="s">
        <v>2144</v>
      </c>
      <c r="H27" s="8" t="s">
        <v>1123</v>
      </c>
      <c r="I27" s="71" t="s">
        <v>36</v>
      </c>
      <c r="J27" s="60" t="s">
        <v>6913</v>
      </c>
      <c r="K27" s="22">
        <v>7.0</v>
      </c>
      <c r="L27" s="22">
        <f>+SUMIF('حركه المخزن الرئيسي اليوميه'!$F:$F,$H:$H,'حركه المخزن الرئيسي اليوميه'!$H:$H)</f>
        <v>0.0</v>
      </c>
      <c r="M27" s="22">
        <f>+SUMIF('حركه المخزن الرئيسي اليوميه'!$F:$F,$H:$H,'حركه المخزن الرئيسي اليوميه'!$I:$I)</f>
        <v>0.0</v>
      </c>
      <c r="N27" s="22">
        <f t="shared" si="0"/>
        <v>7.0</v>
      </c>
      <c r="O27" s="22">
        <f t="shared" si="1"/>
        <v>7.0</v>
      </c>
      <c r="P27" s="22">
        <f t="shared" si="2"/>
        <v>0.0</v>
      </c>
      <c r="Q27" s="57"/>
      <c r="R27" s="58"/>
    </row>
    <row r="28" spans="8:8">
      <c r="B28" s="8">
        <v>19.0</v>
      </c>
      <c r="C28" s="8" t="s">
        <v>828</v>
      </c>
      <c r="D28" s="8" t="s">
        <v>828</v>
      </c>
      <c r="E28" s="8" t="s">
        <v>1120</v>
      </c>
      <c r="F28" s="8" t="s">
        <v>68</v>
      </c>
      <c r="G28" s="8" t="s">
        <v>2144</v>
      </c>
      <c r="H28" s="8" t="s">
        <v>1124</v>
      </c>
      <c r="I28" s="71" t="s">
        <v>36</v>
      </c>
      <c r="J28" s="60" t="s">
        <v>6914</v>
      </c>
      <c r="K28" s="22">
        <v>0.0</v>
      </c>
      <c r="L28" s="22">
        <f>+SUMIF('حركه المخزن الرئيسي اليوميه'!$F:$F,$H:$H,'حركه المخزن الرئيسي اليوميه'!$H:$H)</f>
        <v>0.0</v>
      </c>
      <c r="M28" s="22">
        <f>+SUMIF('حركه المخزن الرئيسي اليوميه'!$F:$F,$H:$H,'حركه المخزن الرئيسي اليوميه'!$I:$I)</f>
        <v>0.0</v>
      </c>
      <c r="N28" s="22">
        <f t="shared" si="0"/>
        <v>0.0</v>
      </c>
      <c r="O28" s="22">
        <f t="shared" si="1"/>
        <v>0.0</v>
      </c>
      <c r="P28" s="22">
        <f t="shared" si="2"/>
        <v>0.0</v>
      </c>
      <c r="Q28" s="57"/>
      <c r="R28" s="58"/>
    </row>
    <row r="29" spans="8:8">
      <c r="B29" s="8">
        <v>20.0</v>
      </c>
      <c r="C29" s="8" t="s">
        <v>764</v>
      </c>
      <c r="D29" s="8" t="s">
        <v>828</v>
      </c>
      <c r="E29" s="8" t="s">
        <v>487</v>
      </c>
      <c r="F29" s="8" t="s">
        <v>68</v>
      </c>
      <c r="G29" s="8" t="s">
        <v>2144</v>
      </c>
      <c r="H29" s="8" t="s">
        <v>2538</v>
      </c>
      <c r="I29" s="71" t="s">
        <v>36</v>
      </c>
      <c r="J29" s="60" t="s">
        <v>6915</v>
      </c>
      <c r="K29" s="22">
        <v>4.0</v>
      </c>
      <c r="L29" s="22">
        <f>+SUMIF('حركه المخزن الرئيسي اليوميه'!$F:$F,$H:$H,'حركه المخزن الرئيسي اليوميه'!$H:$H)</f>
        <v>0.0</v>
      </c>
      <c r="M29" s="22">
        <f>+SUMIF('حركه المخزن الرئيسي اليوميه'!$F:$F,$H:$H,'حركه المخزن الرئيسي اليوميه'!$I:$I)</f>
        <v>0.0</v>
      </c>
      <c r="N29" s="22">
        <f t="shared" si="0"/>
        <v>4.0</v>
      </c>
      <c r="O29" s="22">
        <f t="shared" si="1"/>
        <v>4.0</v>
      </c>
      <c r="P29" s="22">
        <f t="shared" si="2"/>
        <v>0.0</v>
      </c>
      <c r="Q29" s="57"/>
      <c r="R29" s="58"/>
    </row>
    <row r="30" spans="8:8">
      <c r="B30" s="8">
        <v>21.0</v>
      </c>
      <c r="C30" s="8" t="s">
        <v>766</v>
      </c>
      <c r="D30" s="8" t="s">
        <v>766</v>
      </c>
      <c r="E30" s="8" t="s">
        <v>2736</v>
      </c>
      <c r="F30" s="8" t="s">
        <v>68</v>
      </c>
      <c r="G30" s="8"/>
      <c r="H30" s="8" t="s">
        <v>2736</v>
      </c>
      <c r="I30" s="71" t="s">
        <v>36</v>
      </c>
      <c r="J30" s="60" t="s">
        <v>6916</v>
      </c>
      <c r="K30" s="22">
        <v>0.0</v>
      </c>
      <c r="L30" s="22">
        <f>+SUMIF('حركه المخزن الرئيسي اليوميه'!$F:$F,$H:$H,'حركه المخزن الرئيسي اليوميه'!$H:$H)</f>
        <v>0.0</v>
      </c>
      <c r="M30" s="22">
        <f>+SUMIF('حركه المخزن الرئيسي اليوميه'!$F:$F,$H:$H,'حركه المخزن الرئيسي اليوميه'!$I:$I)</f>
        <v>0.0</v>
      </c>
      <c r="N30" s="22">
        <f t="shared" si="0"/>
        <v>0.0</v>
      </c>
      <c r="O30" s="22">
        <f t="shared" si="1"/>
        <v>0.0</v>
      </c>
      <c r="P30" s="22">
        <f t="shared" si="2"/>
        <v>0.0</v>
      </c>
      <c r="Q30" s="57"/>
      <c r="R30" s="58"/>
    </row>
    <row r="31" spans="8:8">
      <c r="B31" s="8">
        <v>22.0</v>
      </c>
      <c r="C31" s="8" t="s">
        <v>764</v>
      </c>
      <c r="D31" s="8" t="s">
        <v>828</v>
      </c>
      <c r="E31" s="8" t="s">
        <v>491</v>
      </c>
      <c r="F31" s="8" t="s">
        <v>68</v>
      </c>
      <c r="G31" s="8" t="s">
        <v>2144</v>
      </c>
      <c r="H31" s="8" t="s">
        <v>491</v>
      </c>
      <c r="I31" s="71" t="s">
        <v>36</v>
      </c>
      <c r="J31" s="60" t="s">
        <v>6917</v>
      </c>
      <c r="K31" s="22">
        <v>1.0</v>
      </c>
      <c r="L31" s="22">
        <f>+SUMIF('حركه المخزن الرئيسي اليوميه'!$F:$F,$H:$H,'حركه المخزن الرئيسي اليوميه'!$H:$H)</f>
        <v>0.0</v>
      </c>
      <c r="M31" s="22">
        <f>+SUMIF('حركه المخزن الرئيسي اليوميه'!$F:$F,$H:$H,'حركه المخزن الرئيسي اليوميه'!$I:$I)</f>
        <v>0.0</v>
      </c>
      <c r="N31" s="22">
        <f t="shared" si="0"/>
        <v>1.0</v>
      </c>
      <c r="O31" s="22">
        <f t="shared" si="1"/>
        <v>1.0</v>
      </c>
      <c r="P31" s="22">
        <f t="shared" si="2"/>
        <v>0.0</v>
      </c>
      <c r="Q31" s="57"/>
      <c r="R31" s="58"/>
    </row>
    <row r="32" spans="8:8">
      <c r="B32" s="8">
        <v>23.0</v>
      </c>
      <c r="C32" s="8" t="s">
        <v>766</v>
      </c>
      <c r="D32" s="8" t="s">
        <v>820</v>
      </c>
      <c r="E32" s="8" t="s">
        <v>2930</v>
      </c>
      <c r="F32" s="8" t="s">
        <v>68</v>
      </c>
      <c r="G32" s="8" t="s">
        <v>1833</v>
      </c>
      <c r="H32" s="8" t="s">
        <v>2930</v>
      </c>
      <c r="I32" s="71" t="s">
        <v>36</v>
      </c>
      <c r="J32" s="60" t="s">
        <v>6918</v>
      </c>
      <c r="K32" s="22">
        <v>1.0</v>
      </c>
      <c r="L32" s="22">
        <f>+SUMIF('حركه المخزن الرئيسي اليوميه'!$F:$F,$H:$H,'حركه المخزن الرئيسي اليوميه'!$H:$H)</f>
        <v>0.0</v>
      </c>
      <c r="M32" s="22">
        <f>+SUMIF('حركه المخزن الرئيسي اليوميه'!$F:$F,$H:$H,'حركه المخزن الرئيسي اليوميه'!$I:$I)</f>
        <v>0.0</v>
      </c>
      <c r="N32" s="22">
        <f t="shared" si="0"/>
        <v>1.0</v>
      </c>
      <c r="O32" s="22">
        <f t="shared" si="1"/>
        <v>1.0</v>
      </c>
      <c r="P32" s="22">
        <f t="shared" si="2"/>
        <v>0.0</v>
      </c>
      <c r="Q32" s="57"/>
      <c r="R32" s="58"/>
    </row>
    <row r="33" spans="8:8">
      <c r="B33" s="8">
        <v>24.0</v>
      </c>
      <c r="C33" s="8" t="s">
        <v>764</v>
      </c>
      <c r="D33" s="8" t="s">
        <v>828</v>
      </c>
      <c r="E33" s="8" t="s">
        <v>2684</v>
      </c>
      <c r="F33" s="8" t="s">
        <v>68</v>
      </c>
      <c r="G33" s="8" t="s">
        <v>2156</v>
      </c>
      <c r="H33" s="8" t="s">
        <v>2684</v>
      </c>
      <c r="I33" s="55" t="s">
        <v>226</v>
      </c>
      <c r="J33" s="60" t="s">
        <v>6919</v>
      </c>
      <c r="K33" s="22">
        <v>10.0</v>
      </c>
      <c r="L33" s="22">
        <f>+SUMIF('حركه المخزن الرئيسي اليوميه'!$F:$F,$H:$H,'حركه المخزن الرئيسي اليوميه'!$H:$H)</f>
        <v>0.0</v>
      </c>
      <c r="M33" s="22">
        <f>+SUMIF('حركه المخزن الرئيسي اليوميه'!$F:$F,$H:$H,'حركه المخزن الرئيسي اليوميه'!$I:$I)</f>
        <v>0.0</v>
      </c>
      <c r="N33" s="22">
        <f t="shared" si="0"/>
        <v>10.0</v>
      </c>
      <c r="O33" s="22">
        <f t="shared" si="1"/>
        <v>10.0</v>
      </c>
      <c r="P33" s="22">
        <f t="shared" si="2"/>
        <v>0.0</v>
      </c>
      <c r="Q33" s="57"/>
      <c r="R33" s="58"/>
    </row>
    <row r="34" spans="8:8">
      <c r="B34" s="8">
        <v>25.0</v>
      </c>
      <c r="C34" s="8" t="s">
        <v>764</v>
      </c>
      <c r="D34" s="8" t="s">
        <v>828</v>
      </c>
      <c r="E34" s="8" t="s">
        <v>494</v>
      </c>
      <c r="F34" s="8" t="s">
        <v>68</v>
      </c>
      <c r="G34" s="8" t="s">
        <v>2144</v>
      </c>
      <c r="H34" s="8" t="s">
        <v>494</v>
      </c>
      <c r="I34" s="55" t="s">
        <v>31</v>
      </c>
      <c r="J34" s="60" t="s">
        <v>6920</v>
      </c>
      <c r="K34" s="22">
        <v>0.0</v>
      </c>
      <c r="L34" s="22">
        <f>+SUMIF('حركه المخزن الرئيسي اليوميه'!$F:$F,$H:$H,'حركه المخزن الرئيسي اليوميه'!$H:$H)</f>
        <v>0.0</v>
      </c>
      <c r="M34" s="22">
        <f>+SUMIF('حركه المخزن الرئيسي اليوميه'!$F:$F,$H:$H,'حركه المخزن الرئيسي اليوميه'!$I:$I)</f>
        <v>0.0</v>
      </c>
      <c r="N34" s="22">
        <f t="shared" si="0"/>
        <v>0.0</v>
      </c>
      <c r="O34" s="22">
        <f t="shared" si="1"/>
        <v>0.0</v>
      </c>
      <c r="P34" s="22">
        <f t="shared" si="2"/>
        <v>0.0</v>
      </c>
      <c r="Q34" s="57"/>
      <c r="R34" s="58"/>
    </row>
    <row r="35" spans="8:8">
      <c r="B35" s="8">
        <v>26.0</v>
      </c>
      <c r="C35" s="8" t="s">
        <v>764</v>
      </c>
      <c r="D35" s="8" t="s">
        <v>828</v>
      </c>
      <c r="E35" s="8" t="s">
        <v>490</v>
      </c>
      <c r="F35" s="8" t="s">
        <v>68</v>
      </c>
      <c r="G35" s="8" t="s">
        <v>2144</v>
      </c>
      <c r="H35" s="8" t="s">
        <v>490</v>
      </c>
      <c r="I35" s="55" t="s">
        <v>31</v>
      </c>
      <c r="J35" s="60" t="s">
        <v>6921</v>
      </c>
      <c r="K35" s="22">
        <v>0.0</v>
      </c>
      <c r="L35" s="22">
        <f>+SUMIF('حركه المخزن الرئيسي اليوميه'!$F:$F,$H:$H,'حركه المخزن الرئيسي اليوميه'!$H:$H)</f>
        <v>0.0</v>
      </c>
      <c r="M35" s="22">
        <f>+SUMIF('حركه المخزن الرئيسي اليوميه'!$F:$F,$H:$H,'حركه المخزن الرئيسي اليوميه'!$I:$I)</f>
        <v>0.0</v>
      </c>
      <c r="N35" s="22">
        <f t="shared" si="0"/>
        <v>0.0</v>
      </c>
      <c r="O35" s="22">
        <f t="shared" si="1"/>
        <v>0.0</v>
      </c>
      <c r="P35" s="22">
        <f t="shared" si="2"/>
        <v>0.0</v>
      </c>
      <c r="Q35" s="57"/>
      <c r="R35" s="58"/>
    </row>
    <row r="36" spans="8:8">
      <c r="B36" s="8">
        <v>27.0</v>
      </c>
      <c r="C36" s="8" t="s">
        <v>764</v>
      </c>
      <c r="D36" s="8" t="s">
        <v>828</v>
      </c>
      <c r="E36" s="8" t="s">
        <v>493</v>
      </c>
      <c r="F36" s="8" t="s">
        <v>68</v>
      </c>
      <c r="G36" s="8" t="s">
        <v>2144</v>
      </c>
      <c r="H36" s="8" t="s">
        <v>493</v>
      </c>
      <c r="I36" s="55" t="s">
        <v>31</v>
      </c>
      <c r="J36" s="60" t="s">
        <v>6922</v>
      </c>
      <c r="K36" s="22">
        <v>0.0</v>
      </c>
      <c r="L36" s="22">
        <f>+SUMIF('حركه المخزن الرئيسي اليوميه'!$F:$F,$H:$H,'حركه المخزن الرئيسي اليوميه'!$H:$H)</f>
        <v>0.0</v>
      </c>
      <c r="M36" s="22">
        <f>+SUMIF('حركه المخزن الرئيسي اليوميه'!$F:$F,$H:$H,'حركه المخزن الرئيسي اليوميه'!$I:$I)</f>
        <v>0.0</v>
      </c>
      <c r="N36" s="22">
        <f t="shared" si="0"/>
        <v>0.0</v>
      </c>
      <c r="O36" s="22">
        <f t="shared" si="1"/>
        <v>0.0</v>
      </c>
      <c r="P36" s="22">
        <f t="shared" si="2"/>
        <v>0.0</v>
      </c>
      <c r="Q36" s="57"/>
      <c r="R36" s="58"/>
    </row>
    <row r="37" spans="8:8">
      <c r="B37" s="8">
        <v>28.0</v>
      </c>
      <c r="C37" s="8" t="s">
        <v>764</v>
      </c>
      <c r="D37" s="8" t="s">
        <v>713</v>
      </c>
      <c r="E37" s="8" t="s">
        <v>1228</v>
      </c>
      <c r="F37" s="8" t="s">
        <v>68</v>
      </c>
      <c r="G37" s="8" t="s">
        <v>1782</v>
      </c>
      <c r="H37" s="8" t="s">
        <v>1228</v>
      </c>
      <c r="I37" s="55" t="s">
        <v>31</v>
      </c>
      <c r="J37" s="60" t="s">
        <v>6923</v>
      </c>
      <c r="K37" s="22">
        <v>0.0</v>
      </c>
      <c r="L37" s="22">
        <f>+SUMIF('حركه المخزن الرئيسي اليوميه'!$F:$F,$H:$H,'حركه المخزن الرئيسي اليوميه'!$H:$H)</f>
        <v>0.0</v>
      </c>
      <c r="M37" s="22">
        <f>+SUMIF('حركه المخزن الرئيسي اليوميه'!$F:$F,$H:$H,'حركه المخزن الرئيسي اليوميه'!$I:$I)</f>
        <v>0.0</v>
      </c>
      <c r="N37" s="22">
        <f t="shared" si="0"/>
        <v>0.0</v>
      </c>
      <c r="O37" s="22">
        <f t="shared" si="1"/>
        <v>0.0</v>
      </c>
      <c r="P37" s="22">
        <f t="shared" si="2"/>
        <v>0.0</v>
      </c>
      <c r="Q37" s="57"/>
      <c r="R37" s="58"/>
    </row>
    <row r="38" spans="8:8">
      <c r="B38" s="8">
        <v>29.0</v>
      </c>
      <c r="C38" s="8" t="s">
        <v>828</v>
      </c>
      <c r="D38" s="8" t="s">
        <v>820</v>
      </c>
      <c r="E38" s="8" t="s">
        <v>1245</v>
      </c>
      <c r="F38" s="8" t="s">
        <v>68</v>
      </c>
      <c r="G38" s="8" t="s">
        <v>2237</v>
      </c>
      <c r="H38" s="8" t="s">
        <v>1245</v>
      </c>
      <c r="I38" s="55" t="s">
        <v>250</v>
      </c>
      <c r="J38" s="60" t="s">
        <v>6924</v>
      </c>
      <c r="K38" s="22">
        <v>16.0</v>
      </c>
      <c r="L38" s="22">
        <f>+SUMIF('حركه المخزن الرئيسي اليوميه'!$F:$F,$H:$H,'حركه المخزن الرئيسي اليوميه'!$H:$H)</f>
        <v>0.0</v>
      </c>
      <c r="M38" s="22">
        <f>+SUMIF('حركه المخزن الرئيسي اليوميه'!$F:$F,$H:$H,'حركه المخزن الرئيسي اليوميه'!$I:$I)</f>
        <v>1.0</v>
      </c>
      <c r="N38" s="22">
        <f t="shared" si="0"/>
        <v>15.0</v>
      </c>
      <c r="O38" s="22">
        <f t="shared" si="1"/>
        <v>15.0</v>
      </c>
      <c r="P38" s="22">
        <f t="shared" si="2"/>
        <v>0.0</v>
      </c>
      <c r="Q38" s="57"/>
      <c r="R38" s="59"/>
    </row>
    <row r="39" spans="8:8">
      <c r="B39" s="8">
        <v>30.0</v>
      </c>
      <c r="C39" s="8" t="s">
        <v>828</v>
      </c>
      <c r="D39" s="8" t="s">
        <v>2995</v>
      </c>
      <c r="E39" s="8" t="s">
        <v>2996</v>
      </c>
      <c r="F39" s="8" t="s">
        <v>68</v>
      </c>
      <c r="G39" s="8"/>
      <c r="H39" s="8" t="s">
        <v>2996</v>
      </c>
      <c r="I39" s="55" t="s">
        <v>250</v>
      </c>
      <c r="J39" s="60" t="s">
        <v>6925</v>
      </c>
      <c r="K39" s="22">
        <v>4.0</v>
      </c>
      <c r="L39" s="22">
        <f>+SUMIF('حركه المخزن الرئيسي اليوميه'!$F:$F,$H:$H,'حركه المخزن الرئيسي اليوميه'!$H:$H)</f>
        <v>0.0</v>
      </c>
      <c r="M39" s="22">
        <f>+SUMIF('حركه المخزن الرئيسي اليوميه'!$F:$F,$H:$H,'حركه المخزن الرئيسي اليوميه'!$I:$I)</f>
        <v>0.0</v>
      </c>
      <c r="N39" s="22">
        <f t="shared" si="0"/>
        <v>4.0</v>
      </c>
      <c r="O39" s="22">
        <f t="shared" si="1"/>
        <v>4.0</v>
      </c>
      <c r="P39" s="22">
        <f t="shared" si="2"/>
        <v>0.0</v>
      </c>
      <c r="Q39" s="57"/>
      <c r="R39" s="58"/>
    </row>
    <row r="40" spans="8:8">
      <c r="B40" s="8">
        <v>31.0</v>
      </c>
      <c r="C40" s="8" t="s">
        <v>764</v>
      </c>
      <c r="D40" s="8" t="s">
        <v>828</v>
      </c>
      <c r="E40" s="8" t="s">
        <v>2682</v>
      </c>
      <c r="F40" s="8" t="s">
        <v>68</v>
      </c>
      <c r="G40" s="8" t="s">
        <v>2376</v>
      </c>
      <c r="H40" s="8" t="s">
        <v>2682</v>
      </c>
      <c r="I40" s="55" t="s">
        <v>447</v>
      </c>
      <c r="J40" s="60" t="s">
        <v>6926</v>
      </c>
      <c r="K40" s="22">
        <v>14.0</v>
      </c>
      <c r="L40" s="22">
        <f>+SUMIF('حركه المخزن الرئيسي اليوميه'!$F:$F,$H:$H,'حركه المخزن الرئيسي اليوميه'!$H:$H)</f>
        <v>0.0</v>
      </c>
      <c r="M40" s="22">
        <f>+SUMIF('حركه المخزن الرئيسي اليوميه'!$F:$F,$H:$H,'حركه المخزن الرئيسي اليوميه'!$I:$I)</f>
        <v>0.0</v>
      </c>
      <c r="N40" s="22">
        <f t="shared" si="0"/>
        <v>14.0</v>
      </c>
      <c r="O40" s="22">
        <f t="shared" si="1"/>
        <v>14.0</v>
      </c>
      <c r="P40" s="22">
        <f t="shared" si="2"/>
        <v>0.0</v>
      </c>
      <c r="Q40" s="57"/>
      <c r="R40" s="58"/>
    </row>
    <row r="41" spans="8:8">
      <c r="B41" s="8">
        <v>32.0</v>
      </c>
      <c r="C41" s="8" t="s">
        <v>766</v>
      </c>
      <c r="D41" s="8" t="s">
        <v>828</v>
      </c>
      <c r="E41" s="8" t="s">
        <v>453</v>
      </c>
      <c r="F41" s="8" t="s">
        <v>68</v>
      </c>
      <c r="G41" s="8" t="s">
        <v>1699</v>
      </c>
      <c r="H41" s="8" t="s">
        <v>453</v>
      </c>
      <c r="I41" s="55" t="s">
        <v>447</v>
      </c>
      <c r="J41" s="60" t="s">
        <v>6927</v>
      </c>
      <c r="K41" s="22">
        <v>20.0</v>
      </c>
      <c r="L41" s="22">
        <f>+SUMIF('حركه المخزن الرئيسي اليوميه'!$F:$F,$H:$H,'حركه المخزن الرئيسي اليوميه'!$H:$H)</f>
        <v>0.0</v>
      </c>
      <c r="M41" s="22">
        <f>+SUMIF('حركه المخزن الرئيسي اليوميه'!$F:$F,$H:$H,'حركه المخزن الرئيسي اليوميه'!$I:$I)</f>
        <v>0.0</v>
      </c>
      <c r="N41" s="22">
        <f t="shared" si="0"/>
        <v>20.0</v>
      </c>
      <c r="O41" s="22">
        <f t="shared" si="1"/>
        <v>20.0</v>
      </c>
      <c r="P41" s="22">
        <f t="shared" si="2"/>
        <v>0.0</v>
      </c>
      <c r="Q41" s="57"/>
      <c r="R41" s="58"/>
    </row>
    <row r="42" spans="8:8">
      <c r="B42" s="8">
        <v>33.0</v>
      </c>
      <c r="C42" s="8" t="s">
        <v>766</v>
      </c>
      <c r="D42" s="8" t="s">
        <v>828</v>
      </c>
      <c r="E42" s="8" t="s">
        <v>452</v>
      </c>
      <c r="F42" s="8" t="s">
        <v>68</v>
      </c>
      <c r="G42" s="8" t="s">
        <v>1698</v>
      </c>
      <c r="H42" s="8" t="s">
        <v>452</v>
      </c>
      <c r="I42" s="55" t="s">
        <v>447</v>
      </c>
      <c r="J42" s="60" t="s">
        <v>6928</v>
      </c>
      <c r="K42" s="22">
        <v>5.0</v>
      </c>
      <c r="L42" s="22">
        <f>+SUMIF('حركه المخزن الرئيسي اليوميه'!$F:$F,$H:$H,'حركه المخزن الرئيسي اليوميه'!$H:$H)</f>
        <v>0.0</v>
      </c>
      <c r="M42" s="22">
        <f>+SUMIF('حركه المخزن الرئيسي اليوميه'!$F:$F,$H:$H,'حركه المخزن الرئيسي اليوميه'!$I:$I)</f>
        <v>0.0</v>
      </c>
      <c r="N42" s="22">
        <f t="shared" si="0"/>
        <v>5.0</v>
      </c>
      <c r="O42" s="22">
        <f t="shared" si="1"/>
        <v>5.0</v>
      </c>
      <c r="P42" s="22">
        <f t="shared" si="2"/>
        <v>0.0</v>
      </c>
      <c r="Q42" s="57"/>
      <c r="R42" s="58"/>
    </row>
    <row r="43" spans="8:8">
      <c r="B43" s="8">
        <v>34.0</v>
      </c>
      <c r="C43" s="8" t="s">
        <v>764</v>
      </c>
      <c r="D43" s="8" t="s">
        <v>828</v>
      </c>
      <c r="E43" s="8" t="s">
        <v>2681</v>
      </c>
      <c r="F43" s="8" t="s">
        <v>68</v>
      </c>
      <c r="G43" s="8" t="s">
        <v>1721</v>
      </c>
      <c r="H43" s="8" t="s">
        <v>2681</v>
      </c>
      <c r="I43" s="55" t="s">
        <v>447</v>
      </c>
      <c r="J43" s="60" t="s">
        <v>6929</v>
      </c>
      <c r="K43" s="22">
        <v>1.0</v>
      </c>
      <c r="L43" s="22">
        <f>+SUMIF('حركه المخزن الرئيسي اليوميه'!$F:$F,$H:$H,'حركه المخزن الرئيسي اليوميه'!$H:$H)</f>
        <v>0.0</v>
      </c>
      <c r="M43" s="22">
        <f>+SUMIF('حركه المخزن الرئيسي اليوميه'!$F:$F,$H:$H,'حركه المخزن الرئيسي اليوميه'!$I:$I)</f>
        <v>0.0</v>
      </c>
      <c r="N43" s="22">
        <f t="shared" si="0"/>
        <v>1.0</v>
      </c>
      <c r="O43" s="22">
        <f t="shared" si="1"/>
        <v>1.0</v>
      </c>
      <c r="P43" s="22">
        <f t="shared" si="2"/>
        <v>0.0</v>
      </c>
      <c r="Q43" s="57"/>
      <c r="R43" s="58"/>
    </row>
    <row r="44" spans="8:8">
      <c r="B44" s="8">
        <v>35.0</v>
      </c>
      <c r="C44" s="8" t="s">
        <v>828</v>
      </c>
      <c r="D44" s="8" t="s">
        <v>828</v>
      </c>
      <c r="E44" s="8" t="s">
        <v>2817</v>
      </c>
      <c r="F44" s="8" t="s">
        <v>68</v>
      </c>
      <c r="G44" s="8"/>
      <c r="H44" s="8" t="s">
        <v>2817</v>
      </c>
      <c r="I44" s="55" t="s">
        <v>447</v>
      </c>
      <c r="J44" s="60" t="s">
        <v>6930</v>
      </c>
      <c r="K44" s="22">
        <v>8.0</v>
      </c>
      <c r="L44" s="22">
        <f>+SUMIF('حركه المخزن الرئيسي اليوميه'!$F:$F,$H:$H,'حركه المخزن الرئيسي اليوميه'!$H:$H)</f>
        <v>0.0</v>
      </c>
      <c r="M44" s="22">
        <f>+SUMIF('حركه المخزن الرئيسي اليوميه'!$F:$F,$H:$H,'حركه المخزن الرئيسي اليوميه'!$I:$I)</f>
        <v>0.0</v>
      </c>
      <c r="N44" s="22">
        <f t="shared" si="0"/>
        <v>8.0</v>
      </c>
      <c r="O44" s="22">
        <f t="shared" si="1"/>
        <v>8.0</v>
      </c>
      <c r="P44" s="22">
        <f t="shared" si="2"/>
        <v>0.0</v>
      </c>
      <c r="Q44" s="57"/>
      <c r="R44" s="58"/>
    </row>
    <row r="45" spans="8:8">
      <c r="B45" s="8">
        <v>36.0</v>
      </c>
      <c r="C45" s="8" t="s">
        <v>828</v>
      </c>
      <c r="D45" s="8" t="s">
        <v>828</v>
      </c>
      <c r="E45" s="8" t="s">
        <v>2685</v>
      </c>
      <c r="F45" s="8" t="s">
        <v>68</v>
      </c>
      <c r="G45" s="8"/>
      <c r="H45" s="8" t="s">
        <v>2685</v>
      </c>
      <c r="I45" s="55" t="s">
        <v>447</v>
      </c>
      <c r="J45" s="60" t="s">
        <v>6931</v>
      </c>
      <c r="K45" s="22">
        <v>3.0</v>
      </c>
      <c r="L45" s="22">
        <f>+SUMIF('حركه المخزن الرئيسي اليوميه'!$F:$F,$H:$H,'حركه المخزن الرئيسي اليوميه'!$H:$H)</f>
        <v>0.0</v>
      </c>
      <c r="M45" s="22">
        <f>+SUMIF('حركه المخزن الرئيسي اليوميه'!$F:$F,$H:$H,'حركه المخزن الرئيسي اليوميه'!$I:$I)</f>
        <v>0.0</v>
      </c>
      <c r="N45" s="22">
        <f t="shared" si="0"/>
        <v>3.0</v>
      </c>
      <c r="O45" s="22">
        <f t="shared" si="1"/>
        <v>3.0</v>
      </c>
      <c r="P45" s="22">
        <f t="shared" si="2"/>
        <v>0.0</v>
      </c>
      <c r="Q45" s="57"/>
      <c r="R45" s="58"/>
    </row>
    <row r="46" spans="8:8">
      <c r="B46" s="8">
        <v>37.0</v>
      </c>
      <c r="C46" s="8" t="s">
        <v>763</v>
      </c>
      <c r="D46" s="8" t="s">
        <v>828</v>
      </c>
      <c r="E46" s="8" t="s">
        <v>423</v>
      </c>
      <c r="F46" s="8" t="s">
        <v>68</v>
      </c>
      <c r="G46" s="8" t="s">
        <v>1575</v>
      </c>
      <c r="H46" s="8" t="s">
        <v>423</v>
      </c>
      <c r="I46" s="55" t="s">
        <v>254</v>
      </c>
      <c r="J46" s="60" t="s">
        <v>6932</v>
      </c>
      <c r="K46" s="22">
        <v>34.0</v>
      </c>
      <c r="L46" s="22">
        <f>+SUMIF('حركه المخزن الرئيسي اليوميه'!$F:$F,$H:$H,'حركه المخزن الرئيسي اليوميه'!$H:$H)</f>
        <v>0.0</v>
      </c>
      <c r="M46" s="22">
        <f>+SUMIF('حركه المخزن الرئيسي اليوميه'!$F:$F,$H:$H,'حركه المخزن الرئيسي اليوميه'!$I:$I)</f>
        <v>0.0</v>
      </c>
      <c r="N46" s="22">
        <f t="shared" si="0"/>
        <v>34.0</v>
      </c>
      <c r="O46" s="22">
        <f t="shared" si="1"/>
        <v>34.0</v>
      </c>
      <c r="P46" s="22">
        <f t="shared" si="2"/>
        <v>0.0</v>
      </c>
      <c r="Q46" s="57"/>
      <c r="R46" s="58"/>
    </row>
    <row r="47" spans="8:8">
      <c r="B47" s="8">
        <v>38.0</v>
      </c>
      <c r="C47" s="8" t="s">
        <v>763</v>
      </c>
      <c r="D47" s="8" t="s">
        <v>828</v>
      </c>
      <c r="E47" s="8" t="s">
        <v>426</v>
      </c>
      <c r="F47" s="8" t="s">
        <v>68</v>
      </c>
      <c r="G47" s="8" t="s">
        <v>1575</v>
      </c>
      <c r="H47" s="8" t="s">
        <v>426</v>
      </c>
      <c r="I47" s="55" t="s">
        <v>254</v>
      </c>
      <c r="J47" s="60" t="s">
        <v>6933</v>
      </c>
      <c r="K47" s="22">
        <v>6.0</v>
      </c>
      <c r="L47" s="22">
        <f>+SUMIF('حركه المخزن الرئيسي اليوميه'!$F:$F,$H:$H,'حركه المخزن الرئيسي اليوميه'!$H:$H)</f>
        <v>0.0</v>
      </c>
      <c r="M47" s="22">
        <f>+SUMIF('حركه المخزن الرئيسي اليوميه'!$F:$F,$H:$H,'حركه المخزن الرئيسي اليوميه'!$I:$I)</f>
        <v>0.0</v>
      </c>
      <c r="N47" s="22">
        <f t="shared" si="0"/>
        <v>6.0</v>
      </c>
      <c r="O47" s="22">
        <f t="shared" si="1"/>
        <v>6.0</v>
      </c>
      <c r="P47" s="22">
        <f t="shared" si="2"/>
        <v>0.0</v>
      </c>
      <c r="Q47" s="57"/>
      <c r="R47" s="58"/>
    </row>
    <row r="48" spans="8:8">
      <c r="B48" s="8">
        <v>39.0</v>
      </c>
      <c r="C48" s="8" t="s">
        <v>763</v>
      </c>
      <c r="D48" s="8" t="s">
        <v>828</v>
      </c>
      <c r="E48" s="8" t="s">
        <v>421</v>
      </c>
      <c r="F48" s="8" t="s">
        <v>68</v>
      </c>
      <c r="G48" s="8" t="s">
        <v>1575</v>
      </c>
      <c r="H48" s="8" t="s">
        <v>421</v>
      </c>
      <c r="I48" s="55" t="s">
        <v>254</v>
      </c>
      <c r="J48" s="60" t="s">
        <v>6934</v>
      </c>
      <c r="K48" s="22">
        <v>0.0</v>
      </c>
      <c r="L48" s="22">
        <f>+SUMIF('حركه المخزن الرئيسي اليوميه'!$F:$F,$H:$H,'حركه المخزن الرئيسي اليوميه'!$H:$H)</f>
        <v>0.0</v>
      </c>
      <c r="M48" s="22">
        <f>+SUMIF('حركه المخزن الرئيسي اليوميه'!$F:$F,$H:$H,'حركه المخزن الرئيسي اليوميه'!$I:$I)</f>
        <v>0.0</v>
      </c>
      <c r="N48" s="22">
        <f t="shared" si="0"/>
        <v>0.0</v>
      </c>
      <c r="O48" s="22">
        <f t="shared" si="1"/>
        <v>0.0</v>
      </c>
      <c r="P48" s="22">
        <f t="shared" si="2"/>
        <v>0.0</v>
      </c>
      <c r="Q48" s="57"/>
      <c r="R48" s="58"/>
    </row>
    <row r="49" spans="8:8">
      <c r="B49" s="8">
        <v>40.0</v>
      </c>
      <c r="C49" s="8" t="s">
        <v>764</v>
      </c>
      <c r="D49" s="8" t="s">
        <v>828</v>
      </c>
      <c r="E49" s="8" t="s">
        <v>3355</v>
      </c>
      <c r="F49" s="8" t="s">
        <v>68</v>
      </c>
      <c r="G49" s="8" t="s">
        <v>2152</v>
      </c>
      <c r="H49" s="8" t="s">
        <v>3355</v>
      </c>
      <c r="I49" s="55" t="s">
        <v>247</v>
      </c>
      <c r="J49" s="60" t="s">
        <v>6935</v>
      </c>
      <c r="K49" s="22">
        <v>9.0</v>
      </c>
      <c r="L49" s="22">
        <f>+SUMIF('حركه المخزن الرئيسي اليوميه'!$F:$F,$H:$H,'حركه المخزن الرئيسي اليوميه'!$H:$H)</f>
        <v>0.0</v>
      </c>
      <c r="M49" s="22">
        <f>+SUMIF('حركه المخزن الرئيسي اليوميه'!$F:$F,$H:$H,'حركه المخزن الرئيسي اليوميه'!$I:$I)</f>
        <v>0.0</v>
      </c>
      <c r="N49" s="22">
        <f t="shared" si="0"/>
        <v>9.0</v>
      </c>
      <c r="O49" s="22">
        <f t="shared" si="1"/>
        <v>9.0</v>
      </c>
      <c r="P49" s="22">
        <f t="shared" si="2"/>
        <v>0.0</v>
      </c>
      <c r="Q49" s="57"/>
      <c r="R49" s="58"/>
    </row>
    <row r="50" spans="8:8">
      <c r="B50" s="8">
        <v>41.0</v>
      </c>
      <c r="C50" s="8" t="s">
        <v>763</v>
      </c>
      <c r="D50" s="8" t="s">
        <v>828</v>
      </c>
      <c r="E50" s="8" t="s">
        <v>427</v>
      </c>
      <c r="F50" s="8" t="s">
        <v>68</v>
      </c>
      <c r="G50" s="8" t="s">
        <v>1575</v>
      </c>
      <c r="H50" s="8" t="s">
        <v>427</v>
      </c>
      <c r="I50" s="55" t="s">
        <v>448</v>
      </c>
      <c r="J50" s="60" t="s">
        <v>6936</v>
      </c>
      <c r="K50" s="22">
        <v>0.0</v>
      </c>
      <c r="L50" s="22">
        <f>+SUMIF('حركه المخزن الرئيسي اليوميه'!$F:$F,$H:$H,'حركه المخزن الرئيسي اليوميه'!$H:$H)</f>
        <v>0.0</v>
      </c>
      <c r="M50" s="22">
        <f>+SUMIF('حركه المخزن الرئيسي اليوميه'!$F:$F,$H:$H,'حركه المخزن الرئيسي اليوميه'!$I:$I)</f>
        <v>0.0</v>
      </c>
      <c r="N50" s="22">
        <f t="shared" si="0"/>
        <v>0.0</v>
      </c>
      <c r="O50" s="22">
        <f t="shared" si="1"/>
        <v>0.0</v>
      </c>
      <c r="P50" s="22">
        <f t="shared" si="2"/>
        <v>0.0</v>
      </c>
      <c r="Q50" s="57"/>
      <c r="R50" s="58"/>
    </row>
    <row r="51" spans="8:8">
      <c r="B51" s="8">
        <v>42.0</v>
      </c>
      <c r="C51" s="8" t="s">
        <v>764</v>
      </c>
      <c r="D51" s="8" t="s">
        <v>828</v>
      </c>
      <c r="E51" s="8" t="s">
        <v>2630</v>
      </c>
      <c r="F51" s="8" t="s">
        <v>68</v>
      </c>
      <c r="G51" s="8" t="s">
        <v>1725</v>
      </c>
      <c r="H51" s="8" t="s">
        <v>2630</v>
      </c>
      <c r="I51" s="55" t="s">
        <v>448</v>
      </c>
      <c r="J51" s="60" t="s">
        <v>6937</v>
      </c>
      <c r="K51" s="22">
        <v>14.0</v>
      </c>
      <c r="L51" s="22">
        <f>+SUMIF('حركه المخزن الرئيسي اليوميه'!$F:$F,$H:$H,'حركه المخزن الرئيسي اليوميه'!$H:$H)</f>
        <v>0.0</v>
      </c>
      <c r="M51" s="22">
        <f>+SUMIF('حركه المخزن الرئيسي اليوميه'!$F:$F,$H:$H,'حركه المخزن الرئيسي اليوميه'!$I:$I)</f>
        <v>0.0</v>
      </c>
      <c r="N51" s="22">
        <f t="shared" si="0"/>
        <v>14.0</v>
      </c>
      <c r="O51" s="22">
        <f t="shared" si="1"/>
        <v>14.0</v>
      </c>
      <c r="P51" s="22">
        <f t="shared" si="2"/>
        <v>0.0</v>
      </c>
      <c r="Q51" s="57"/>
      <c r="R51" s="58"/>
    </row>
    <row r="52" spans="8:8">
      <c r="B52" s="8">
        <v>43.0</v>
      </c>
      <c r="C52" s="8" t="s">
        <v>828</v>
      </c>
      <c r="D52" s="8" t="s">
        <v>828</v>
      </c>
      <c r="E52" s="8" t="s">
        <v>2686</v>
      </c>
      <c r="F52" s="8" t="s">
        <v>68</v>
      </c>
      <c r="G52" s="8"/>
      <c r="H52" s="8" t="s">
        <v>2686</v>
      </c>
      <c r="I52" s="55" t="s">
        <v>448</v>
      </c>
      <c r="J52" s="60" t="s">
        <v>6938</v>
      </c>
      <c r="K52" s="22">
        <v>0.0</v>
      </c>
      <c r="L52" s="22">
        <f>+SUMIF('حركه المخزن الرئيسي اليوميه'!$F:$F,$H:$H,'حركه المخزن الرئيسي اليوميه'!$H:$H)</f>
        <v>0.0</v>
      </c>
      <c r="M52" s="22">
        <f>+SUMIF('حركه المخزن الرئيسي اليوميه'!$F:$F,$H:$H,'حركه المخزن الرئيسي اليوميه'!$I:$I)</f>
        <v>0.0</v>
      </c>
      <c r="N52" s="22">
        <f t="shared" si="0"/>
        <v>0.0</v>
      </c>
      <c r="O52" s="22">
        <f t="shared" si="1"/>
        <v>0.0</v>
      </c>
      <c r="P52" s="22">
        <f t="shared" si="2"/>
        <v>0.0</v>
      </c>
      <c r="Q52" s="57"/>
      <c r="R52" s="58"/>
    </row>
    <row r="53" spans="8:8">
      <c r="B53" s="8">
        <v>44.0</v>
      </c>
      <c r="C53" s="8" t="s">
        <v>828</v>
      </c>
      <c r="D53" s="8" t="s">
        <v>828</v>
      </c>
      <c r="E53" s="8" t="s">
        <v>2687</v>
      </c>
      <c r="F53" s="8" t="s">
        <v>68</v>
      </c>
      <c r="G53" s="8"/>
      <c r="H53" s="8" t="s">
        <v>2687</v>
      </c>
      <c r="I53" s="55" t="s">
        <v>448</v>
      </c>
      <c r="J53" s="60" t="s">
        <v>6939</v>
      </c>
      <c r="K53" s="22">
        <v>4.0</v>
      </c>
      <c r="L53" s="22">
        <f>+SUMIF('حركه المخزن الرئيسي اليوميه'!$F:$F,$H:$H,'حركه المخزن الرئيسي اليوميه'!$H:$H)</f>
        <v>0.0</v>
      </c>
      <c r="M53" s="22">
        <f>+SUMIF('حركه المخزن الرئيسي اليوميه'!$F:$F,$H:$H,'حركه المخزن الرئيسي اليوميه'!$I:$I)</f>
        <v>0.0</v>
      </c>
      <c r="N53" s="22">
        <f t="shared" si="0"/>
        <v>4.0</v>
      </c>
      <c r="O53" s="22">
        <f t="shared" si="1"/>
        <v>4.0</v>
      </c>
      <c r="P53" s="22">
        <f t="shared" si="2"/>
        <v>0.0</v>
      </c>
      <c r="Q53" s="57"/>
      <c r="R53" s="58"/>
    </row>
    <row r="54" spans="8:8">
      <c r="B54" s="8">
        <v>45.0</v>
      </c>
      <c r="C54" s="8" t="s">
        <v>763</v>
      </c>
      <c r="D54" s="8" t="s">
        <v>828</v>
      </c>
      <c r="E54" s="8" t="s">
        <v>420</v>
      </c>
      <c r="F54" s="8" t="s">
        <v>68</v>
      </c>
      <c r="G54" s="8" t="s">
        <v>1575</v>
      </c>
      <c r="H54" s="8" t="s">
        <v>420</v>
      </c>
      <c r="I54" s="55" t="s">
        <v>236</v>
      </c>
      <c r="J54" s="60" t="s">
        <v>6940</v>
      </c>
      <c r="K54" s="22">
        <v>6.0</v>
      </c>
      <c r="L54" s="22">
        <f>+SUMIF('حركه المخزن الرئيسي اليوميه'!$F:$F,$H:$H,'حركه المخزن الرئيسي اليوميه'!$H:$H)</f>
        <v>0.0</v>
      </c>
      <c r="M54" s="22">
        <f>+SUMIF('حركه المخزن الرئيسي اليوميه'!$F:$F,$H:$H,'حركه المخزن الرئيسي اليوميه'!$I:$I)</f>
        <v>0.0</v>
      </c>
      <c r="N54" s="22">
        <f t="shared" si="0"/>
        <v>6.0</v>
      </c>
      <c r="O54" s="22">
        <f t="shared" si="1"/>
        <v>6.0</v>
      </c>
      <c r="P54" s="22">
        <f t="shared" si="2"/>
        <v>0.0</v>
      </c>
      <c r="Q54" s="57"/>
      <c r="R54" s="58"/>
    </row>
    <row r="55" spans="8:8">
      <c r="B55" s="8">
        <v>46.0</v>
      </c>
      <c r="C55" s="8" t="s">
        <v>764</v>
      </c>
      <c r="D55" s="8" t="s">
        <v>713</v>
      </c>
      <c r="E55" s="8" t="s">
        <v>674</v>
      </c>
      <c r="F55" s="8" t="s">
        <v>68</v>
      </c>
      <c r="G55" s="8" t="s">
        <v>2160</v>
      </c>
      <c r="H55" s="8" t="s">
        <v>1781</v>
      </c>
      <c r="I55" s="55" t="s">
        <v>818</v>
      </c>
      <c r="J55" s="60" t="s">
        <v>6941</v>
      </c>
      <c r="K55" s="22">
        <v>6.0</v>
      </c>
      <c r="L55" s="22">
        <f>+SUMIF('حركه المخزن الرئيسي اليوميه'!$F:$F,$H:$H,'حركه المخزن الرئيسي اليوميه'!$H:$H)</f>
        <v>0.0</v>
      </c>
      <c r="M55" s="22">
        <f>+SUMIF('حركه المخزن الرئيسي اليوميه'!$F:$F,$H:$H,'حركه المخزن الرئيسي اليوميه'!$I:$I)</f>
        <v>0.0</v>
      </c>
      <c r="N55" s="22">
        <f t="shared" si="0"/>
        <v>6.0</v>
      </c>
      <c r="O55" s="22">
        <f t="shared" si="1"/>
        <v>6.0</v>
      </c>
      <c r="P55" s="22">
        <f t="shared" si="2"/>
        <v>0.0</v>
      </c>
      <c r="Q55" s="57"/>
      <c r="R55" s="58"/>
    </row>
    <row r="56" spans="8:8">
      <c r="B56" s="8">
        <v>47.0</v>
      </c>
      <c r="C56" s="8" t="s">
        <v>764</v>
      </c>
      <c r="D56" s="8" t="s">
        <v>828</v>
      </c>
      <c r="E56" s="8" t="s">
        <v>474</v>
      </c>
      <c r="F56" s="8" t="s">
        <v>68</v>
      </c>
      <c r="G56" s="8" t="s">
        <v>1730</v>
      </c>
      <c r="H56" s="8" t="s">
        <v>474</v>
      </c>
      <c r="I56" s="55" t="s">
        <v>227</v>
      </c>
      <c r="J56" s="60" t="s">
        <v>6942</v>
      </c>
      <c r="K56" s="22">
        <v>0.0</v>
      </c>
      <c r="L56" s="22">
        <f>+SUMIF('حركه المخزن الرئيسي اليوميه'!$F:$F,$H:$H,'حركه المخزن الرئيسي اليوميه'!$H:$H)</f>
        <v>0.0</v>
      </c>
      <c r="M56" s="22">
        <f>+SUMIF('حركه المخزن الرئيسي اليوميه'!$F:$F,$H:$H,'حركه المخزن الرئيسي اليوميه'!$I:$I)</f>
        <v>0.0</v>
      </c>
      <c r="N56" s="22">
        <f t="shared" si="0"/>
        <v>0.0</v>
      </c>
      <c r="O56" s="22">
        <f t="shared" si="1"/>
        <v>0.0</v>
      </c>
      <c r="P56" s="22">
        <f t="shared" si="2"/>
        <v>0.0</v>
      </c>
      <c r="Q56" s="57"/>
      <c r="R56" s="58"/>
    </row>
    <row r="57" spans="8:8">
      <c r="B57" s="8">
        <v>48.0</v>
      </c>
      <c r="C57" s="8" t="s">
        <v>764</v>
      </c>
      <c r="D57" s="8" t="s">
        <v>828</v>
      </c>
      <c r="E57" s="8" t="s">
        <v>531</v>
      </c>
      <c r="F57" s="8" t="s">
        <v>68</v>
      </c>
      <c r="G57" s="8"/>
      <c r="H57" s="8" t="s">
        <v>3354</v>
      </c>
      <c r="I57" s="55" t="s">
        <v>227</v>
      </c>
      <c r="J57" s="60" t="s">
        <v>6943</v>
      </c>
      <c r="K57" s="22">
        <v>0.0</v>
      </c>
      <c r="L57" s="22">
        <f>+SUMIF('حركه المخزن الرئيسي اليوميه'!$F:$F,$H:$H,'حركه المخزن الرئيسي اليوميه'!$H:$H)</f>
        <v>0.0</v>
      </c>
      <c r="M57" s="22">
        <f>+SUMIF('حركه المخزن الرئيسي اليوميه'!$F:$F,$H:$H,'حركه المخزن الرئيسي اليوميه'!$I:$I)</f>
        <v>0.0</v>
      </c>
      <c r="N57" s="22">
        <f t="shared" si="0"/>
        <v>0.0</v>
      </c>
      <c r="O57" s="22">
        <f t="shared" si="1"/>
        <v>0.0</v>
      </c>
      <c r="P57" s="22">
        <f t="shared" si="2"/>
        <v>0.0</v>
      </c>
      <c r="Q57" s="57"/>
      <c r="R57" s="58"/>
    </row>
    <row r="58" spans="8:8">
      <c r="B58" s="8">
        <v>49.0</v>
      </c>
      <c r="C58" s="8" t="s">
        <v>764</v>
      </c>
      <c r="D58" s="8" t="s">
        <v>828</v>
      </c>
      <c r="E58" s="8" t="s">
        <v>2989</v>
      </c>
      <c r="F58" s="8" t="s">
        <v>68</v>
      </c>
      <c r="G58" s="8"/>
      <c r="H58" s="8" t="s">
        <v>2989</v>
      </c>
      <c r="I58" s="55" t="s">
        <v>227</v>
      </c>
      <c r="J58" s="60" t="s">
        <v>6944</v>
      </c>
      <c r="K58" s="22">
        <v>4.0</v>
      </c>
      <c r="L58" s="22">
        <f>+SUMIF('حركه المخزن الرئيسي اليوميه'!$F:$F,$H:$H,'حركه المخزن الرئيسي اليوميه'!$H:$H)</f>
        <v>0.0</v>
      </c>
      <c r="M58" s="22">
        <f>+SUMIF('حركه المخزن الرئيسي اليوميه'!$F:$F,$H:$H,'حركه المخزن الرئيسي اليوميه'!$I:$I)</f>
        <v>0.0</v>
      </c>
      <c r="N58" s="22">
        <f t="shared" si="0"/>
        <v>4.0</v>
      </c>
      <c r="O58" s="22">
        <f t="shared" si="1"/>
        <v>4.0</v>
      </c>
      <c r="P58" s="22">
        <f t="shared" si="2"/>
        <v>0.0</v>
      </c>
      <c r="Q58" s="57"/>
      <c r="R58" s="58"/>
    </row>
    <row r="59" spans="8:8">
      <c r="B59" s="8">
        <v>50.0</v>
      </c>
      <c r="C59" s="8" t="s">
        <v>766</v>
      </c>
      <c r="D59" s="8" t="s">
        <v>828</v>
      </c>
      <c r="E59" s="8" t="s">
        <v>835</v>
      </c>
      <c r="F59" s="8" t="s">
        <v>68</v>
      </c>
      <c r="G59" s="8" t="s">
        <v>1780</v>
      </c>
      <c r="H59" s="8" t="s">
        <v>835</v>
      </c>
      <c r="I59" s="55" t="s">
        <v>228</v>
      </c>
      <c r="J59" s="60" t="s">
        <v>6945</v>
      </c>
      <c r="K59" s="22">
        <v>0.0</v>
      </c>
      <c r="L59" s="22">
        <f>+SUMIF('حركه المخزن الرئيسي اليوميه'!$F:$F,$H:$H,'حركه المخزن الرئيسي اليوميه'!$H:$H)</f>
        <v>0.0</v>
      </c>
      <c r="M59" s="22">
        <f>+SUMIF('حركه المخزن الرئيسي اليوميه'!$F:$F,$H:$H,'حركه المخزن الرئيسي اليوميه'!$I:$I)</f>
        <v>0.0</v>
      </c>
      <c r="N59" s="22">
        <f t="shared" si="0"/>
        <v>0.0</v>
      </c>
      <c r="O59" s="22">
        <f t="shared" si="1"/>
        <v>0.0</v>
      </c>
      <c r="P59" s="22">
        <f t="shared" si="2"/>
        <v>0.0</v>
      </c>
      <c r="Q59" s="57"/>
      <c r="R59" s="58"/>
    </row>
    <row r="60" spans="8:8">
      <c r="B60" s="8">
        <v>51.0</v>
      </c>
      <c r="C60" s="8" t="s">
        <v>766</v>
      </c>
      <c r="D60" s="8" t="s">
        <v>828</v>
      </c>
      <c r="E60" s="8" t="s">
        <v>829</v>
      </c>
      <c r="F60" s="8" t="s">
        <v>68</v>
      </c>
      <c r="G60" s="8" t="s">
        <v>1780</v>
      </c>
      <c r="H60" s="8" t="s">
        <v>829</v>
      </c>
      <c r="I60" s="55" t="s">
        <v>228</v>
      </c>
      <c r="J60" s="60" t="s">
        <v>6946</v>
      </c>
      <c r="K60" s="22">
        <v>15.0</v>
      </c>
      <c r="L60" s="22">
        <f>+SUMIF('حركه المخزن الرئيسي اليوميه'!$F:$F,$H:$H,'حركه المخزن الرئيسي اليوميه'!$H:$H)</f>
        <v>0.0</v>
      </c>
      <c r="M60" s="22">
        <f>+SUMIF('حركه المخزن الرئيسي اليوميه'!$F:$F,$H:$H,'حركه المخزن الرئيسي اليوميه'!$I:$I)</f>
        <v>0.0</v>
      </c>
      <c r="N60" s="22">
        <f t="shared" si="0"/>
        <v>15.0</v>
      </c>
      <c r="O60" s="22">
        <f t="shared" si="1"/>
        <v>15.0</v>
      </c>
      <c r="P60" s="22">
        <f t="shared" si="2"/>
        <v>0.0</v>
      </c>
      <c r="Q60" s="57"/>
      <c r="R60" s="58"/>
    </row>
    <row r="61" spans="8:8">
      <c r="B61" s="8">
        <v>52.0</v>
      </c>
      <c r="C61" s="8" t="s">
        <v>766</v>
      </c>
      <c r="D61" s="8" t="s">
        <v>828</v>
      </c>
      <c r="E61" s="8" t="s">
        <v>831</v>
      </c>
      <c r="F61" s="8" t="s">
        <v>68</v>
      </c>
      <c r="G61" s="8" t="s">
        <v>1780</v>
      </c>
      <c r="H61" s="8" t="s">
        <v>831</v>
      </c>
      <c r="I61" s="55" t="s">
        <v>228</v>
      </c>
      <c r="J61" s="60" t="s">
        <v>6947</v>
      </c>
      <c r="K61" s="22">
        <v>0.0</v>
      </c>
      <c r="L61" s="22">
        <f>+SUMIF('حركه المخزن الرئيسي اليوميه'!$F:$F,$H:$H,'حركه المخزن الرئيسي اليوميه'!$H:$H)</f>
        <v>0.0</v>
      </c>
      <c r="M61" s="22">
        <f>+SUMIF('حركه المخزن الرئيسي اليوميه'!$F:$F,$H:$H,'حركه المخزن الرئيسي اليوميه'!$I:$I)</f>
        <v>0.0</v>
      </c>
      <c r="N61" s="22">
        <f t="shared" si="0"/>
        <v>0.0</v>
      </c>
      <c r="O61" s="22">
        <f t="shared" si="1"/>
        <v>0.0</v>
      </c>
      <c r="P61" s="22">
        <f t="shared" si="2"/>
        <v>0.0</v>
      </c>
      <c r="Q61" s="57"/>
      <c r="R61" s="58"/>
    </row>
    <row r="62" spans="8:8">
      <c r="B62" s="8">
        <v>53.0</v>
      </c>
      <c r="C62" s="8" t="s">
        <v>766</v>
      </c>
      <c r="D62" s="8" t="s">
        <v>828</v>
      </c>
      <c r="E62" s="8" t="s">
        <v>830</v>
      </c>
      <c r="F62" s="8" t="s">
        <v>68</v>
      </c>
      <c r="G62" s="8" t="s">
        <v>1780</v>
      </c>
      <c r="H62" s="8" t="s">
        <v>830</v>
      </c>
      <c r="I62" s="55" t="s">
        <v>228</v>
      </c>
      <c r="J62" s="60" t="s">
        <v>6948</v>
      </c>
      <c r="K62" s="22">
        <v>17.0</v>
      </c>
      <c r="L62" s="22">
        <f>+SUMIF('حركه المخزن الرئيسي اليوميه'!$F:$F,$H:$H,'حركه المخزن الرئيسي اليوميه'!$H:$H)</f>
        <v>0.0</v>
      </c>
      <c r="M62" s="22">
        <f>+SUMIF('حركه المخزن الرئيسي اليوميه'!$F:$F,$H:$H,'حركه المخزن الرئيسي اليوميه'!$I:$I)</f>
        <v>0.0</v>
      </c>
      <c r="N62" s="22">
        <f t="shared" si="0"/>
        <v>17.0</v>
      </c>
      <c r="O62" s="22">
        <f t="shared" si="1"/>
        <v>17.0</v>
      </c>
      <c r="P62" s="22">
        <f t="shared" si="2"/>
        <v>0.0</v>
      </c>
      <c r="Q62" s="57"/>
      <c r="R62" s="58"/>
    </row>
    <row r="63" spans="8:8">
      <c r="B63" s="8">
        <v>54.0</v>
      </c>
      <c r="C63" s="8" t="s">
        <v>828</v>
      </c>
      <c r="D63" s="8" t="s">
        <v>828</v>
      </c>
      <c r="E63" s="8" t="s">
        <v>2751</v>
      </c>
      <c r="F63" s="8" t="s">
        <v>1501</v>
      </c>
      <c r="G63" s="8"/>
      <c r="H63" s="8" t="s">
        <v>2751</v>
      </c>
      <c r="I63" s="55" t="s">
        <v>228</v>
      </c>
      <c r="J63" s="60" t="s">
        <v>6949</v>
      </c>
      <c r="K63" s="22">
        <v>0.0</v>
      </c>
      <c r="L63" s="22">
        <f>+SUMIF('حركه المخزن الرئيسي اليوميه'!$F:$F,$H:$H,'حركه المخزن الرئيسي اليوميه'!$H:$H)</f>
        <v>0.0</v>
      </c>
      <c r="M63" s="22">
        <f>+SUMIF('حركه المخزن الرئيسي اليوميه'!$F:$F,$H:$H,'حركه المخزن الرئيسي اليوميه'!$I:$I)</f>
        <v>0.0</v>
      </c>
      <c r="N63" s="22">
        <f t="shared" si="0"/>
        <v>0.0</v>
      </c>
      <c r="O63" s="22">
        <f t="shared" si="1"/>
        <v>0.0</v>
      </c>
      <c r="P63" s="22">
        <f t="shared" si="2"/>
        <v>0.0</v>
      </c>
      <c r="Q63" s="57"/>
      <c r="R63" s="58"/>
    </row>
    <row r="64" spans="8:8">
      <c r="B64" s="8">
        <v>55.0</v>
      </c>
      <c r="C64" s="8" t="s">
        <v>828</v>
      </c>
      <c r="D64" s="8" t="s">
        <v>828</v>
      </c>
      <c r="E64" s="8" t="s">
        <v>3013</v>
      </c>
      <c r="F64" s="8" t="s">
        <v>1501</v>
      </c>
      <c r="G64" s="8"/>
      <c r="H64" s="8" t="s">
        <v>3013</v>
      </c>
      <c r="I64" s="55" t="s">
        <v>228</v>
      </c>
      <c r="J64" s="60" t="s">
        <v>6950</v>
      </c>
      <c r="K64" s="22">
        <v>10.0</v>
      </c>
      <c r="L64" s="22">
        <f>+SUMIF('حركه المخزن الرئيسي اليوميه'!$F:$F,$H:$H,'حركه المخزن الرئيسي اليوميه'!$H:$H)</f>
        <v>0.0</v>
      </c>
      <c r="M64" s="22">
        <f>+SUMIF('حركه المخزن الرئيسي اليوميه'!$F:$F,$H:$H,'حركه المخزن الرئيسي اليوميه'!$I:$I)</f>
        <v>0.0</v>
      </c>
      <c r="N64" s="22">
        <f t="shared" si="0"/>
        <v>10.0</v>
      </c>
      <c r="O64" s="22">
        <f t="shared" si="1"/>
        <v>10.0</v>
      </c>
      <c r="P64" s="22">
        <f t="shared" si="2"/>
        <v>0.0</v>
      </c>
      <c r="Q64" s="57"/>
      <c r="R64" s="58"/>
    </row>
    <row r="65" spans="8:8">
      <c r="B65" s="8">
        <v>56.0</v>
      </c>
      <c r="C65" s="8" t="s">
        <v>828</v>
      </c>
      <c r="D65" s="8" t="s">
        <v>828</v>
      </c>
      <c r="E65" s="8" t="s">
        <v>2683</v>
      </c>
      <c r="F65" s="8" t="s">
        <v>1501</v>
      </c>
      <c r="G65" s="8" t="s">
        <v>1792</v>
      </c>
      <c r="H65" s="8" t="s">
        <v>2683</v>
      </c>
      <c r="I65" s="55" t="s">
        <v>228</v>
      </c>
      <c r="J65" s="60" t="s">
        <v>6951</v>
      </c>
      <c r="K65" s="22">
        <v>0.0</v>
      </c>
      <c r="L65" s="22">
        <f>+SUMIF('حركه المخزن الرئيسي اليوميه'!$F:$F,$H:$H,'حركه المخزن الرئيسي اليوميه'!$H:$H)</f>
        <v>0.0</v>
      </c>
      <c r="M65" s="22">
        <f>+SUMIF('حركه المخزن الرئيسي اليوميه'!$F:$F,$H:$H,'حركه المخزن الرئيسي اليوميه'!$I:$I)</f>
        <v>0.0</v>
      </c>
      <c r="N65" s="22">
        <f t="shared" si="0"/>
        <v>0.0</v>
      </c>
      <c r="O65" s="22">
        <f t="shared" si="1"/>
        <v>0.0</v>
      </c>
      <c r="P65" s="22">
        <f t="shared" si="2"/>
        <v>0.0</v>
      </c>
      <c r="Q65" s="57"/>
      <c r="R65" s="58"/>
    </row>
    <row r="66" spans="8:8">
      <c r="B66" s="8">
        <v>57.0</v>
      </c>
      <c r="C66" s="8" t="s">
        <v>828</v>
      </c>
      <c r="D66" s="8" t="s">
        <v>766</v>
      </c>
      <c r="E66" s="8" t="s">
        <v>1457</v>
      </c>
      <c r="F66" s="8" t="s">
        <v>68</v>
      </c>
      <c r="G66" s="8" t="s">
        <v>2457</v>
      </c>
      <c r="H66" s="8" t="s">
        <v>1457</v>
      </c>
      <c r="I66" s="55" t="s">
        <v>228</v>
      </c>
      <c r="J66" s="60" t="s">
        <v>6952</v>
      </c>
      <c r="K66" s="22">
        <v>0.0</v>
      </c>
      <c r="L66" s="22">
        <f>+SUMIF('حركه المخزن الرئيسي اليوميه'!$F:$F,$H:$H,'حركه المخزن الرئيسي اليوميه'!$H:$H)</f>
        <v>0.0</v>
      </c>
      <c r="M66" s="22">
        <f>+SUMIF('حركه المخزن الرئيسي اليوميه'!$F:$F,$H:$H,'حركه المخزن الرئيسي اليوميه'!$I:$I)</f>
        <v>0.0</v>
      </c>
      <c r="N66" s="22">
        <f t="shared" si="0"/>
        <v>0.0</v>
      </c>
      <c r="O66" s="22">
        <f t="shared" si="1"/>
        <v>0.0</v>
      </c>
      <c r="P66" s="22">
        <f t="shared" si="2"/>
        <v>0.0</v>
      </c>
      <c r="Q66" s="57"/>
      <c r="R66" s="58"/>
    </row>
    <row r="67" spans="8:8">
      <c r="B67" s="8">
        <v>58.0</v>
      </c>
      <c r="C67" s="8" t="s">
        <v>766</v>
      </c>
      <c r="D67" s="8" t="s">
        <v>828</v>
      </c>
      <c r="E67" s="8" t="s">
        <v>833</v>
      </c>
      <c r="F67" s="8" t="s">
        <v>68</v>
      </c>
      <c r="G67" s="8" t="s">
        <v>1780</v>
      </c>
      <c r="H67" s="8" t="s">
        <v>833</v>
      </c>
      <c r="I67" s="55" t="s">
        <v>228</v>
      </c>
      <c r="J67" s="60" t="s">
        <v>6953</v>
      </c>
      <c r="K67" s="22">
        <v>0.0</v>
      </c>
      <c r="L67" s="22">
        <f>+SUMIF('حركه المخزن الرئيسي اليوميه'!$F:$F,$H:$H,'حركه المخزن الرئيسي اليوميه'!$H:$H)</f>
        <v>0.0</v>
      </c>
      <c r="M67" s="22">
        <f>+SUMIF('حركه المخزن الرئيسي اليوميه'!$F:$F,$H:$H,'حركه المخزن الرئيسي اليوميه'!$I:$I)</f>
        <v>0.0</v>
      </c>
      <c r="N67" s="22">
        <f t="shared" si="0"/>
        <v>0.0</v>
      </c>
      <c r="O67" s="22">
        <f t="shared" si="1"/>
        <v>0.0</v>
      </c>
      <c r="P67" s="22">
        <f t="shared" si="2"/>
        <v>0.0</v>
      </c>
      <c r="Q67" s="57"/>
      <c r="R67" s="58"/>
    </row>
    <row r="68" spans="8:8">
      <c r="B68" s="8">
        <v>59.0</v>
      </c>
      <c r="C68" s="8" t="s">
        <v>766</v>
      </c>
      <c r="D68" s="8" t="s">
        <v>828</v>
      </c>
      <c r="E68" s="8" t="s">
        <v>832</v>
      </c>
      <c r="F68" s="8" t="s">
        <v>68</v>
      </c>
      <c r="G68" s="8" t="s">
        <v>1780</v>
      </c>
      <c r="H68" s="8" t="s">
        <v>832</v>
      </c>
      <c r="I68" s="55" t="s">
        <v>228</v>
      </c>
      <c r="J68" s="60" t="s">
        <v>6954</v>
      </c>
      <c r="K68" s="22">
        <v>0.0</v>
      </c>
      <c r="L68" s="22">
        <f>+SUMIF('حركه المخزن الرئيسي اليوميه'!$F:$F,$H:$H,'حركه المخزن الرئيسي اليوميه'!$H:$H)</f>
        <v>0.0</v>
      </c>
      <c r="M68" s="22">
        <f>+SUMIF('حركه المخزن الرئيسي اليوميه'!$F:$F,$H:$H,'حركه المخزن الرئيسي اليوميه'!$I:$I)</f>
        <v>0.0</v>
      </c>
      <c r="N68" s="22">
        <f t="shared" si="0"/>
        <v>0.0</v>
      </c>
      <c r="O68" s="22">
        <f t="shared" si="1"/>
        <v>0.0</v>
      </c>
      <c r="P68" s="22">
        <f t="shared" si="2"/>
        <v>0.0</v>
      </c>
      <c r="Q68" s="57"/>
      <c r="R68" s="58"/>
    </row>
    <row r="69" spans="8:8">
      <c r="B69" s="8">
        <v>60.0</v>
      </c>
      <c r="C69" s="8" t="s">
        <v>766</v>
      </c>
      <c r="D69" s="8" t="s">
        <v>828</v>
      </c>
      <c r="E69" s="8" t="s">
        <v>834</v>
      </c>
      <c r="F69" s="8" t="s">
        <v>68</v>
      </c>
      <c r="G69" s="8" t="s">
        <v>1780</v>
      </c>
      <c r="H69" s="8" t="s">
        <v>834</v>
      </c>
      <c r="I69" s="55" t="s">
        <v>228</v>
      </c>
      <c r="J69" s="60" t="s">
        <v>6955</v>
      </c>
      <c r="K69" s="22">
        <v>10.0</v>
      </c>
      <c r="L69" s="22">
        <f>+SUMIF('حركه المخزن الرئيسي اليوميه'!$F:$F,$H:$H,'حركه المخزن الرئيسي اليوميه'!$H:$H)</f>
        <v>0.0</v>
      </c>
      <c r="M69" s="22">
        <f>+SUMIF('حركه المخزن الرئيسي اليوميه'!$F:$F,$H:$H,'حركه المخزن الرئيسي اليوميه'!$I:$I)</f>
        <v>0.0</v>
      </c>
      <c r="N69" s="22">
        <f t="shared" si="0"/>
        <v>10.0</v>
      </c>
      <c r="O69" s="22">
        <f t="shared" si="1"/>
        <v>10.0</v>
      </c>
      <c r="P69" s="22">
        <f t="shared" si="2"/>
        <v>0.0</v>
      </c>
      <c r="Q69" s="57"/>
      <c r="R69" s="58"/>
    </row>
    <row r="70" spans="8:8">
      <c r="B70" s="8">
        <v>61.0</v>
      </c>
      <c r="C70" s="8" t="s">
        <v>764</v>
      </c>
      <c r="D70" s="8" t="s">
        <v>828</v>
      </c>
      <c r="E70" s="8" t="s">
        <v>2942</v>
      </c>
      <c r="F70" s="8" t="s">
        <v>68</v>
      </c>
      <c r="G70" s="8" t="s">
        <v>1754</v>
      </c>
      <c r="H70" s="8" t="s">
        <v>2942</v>
      </c>
      <c r="I70" s="55" t="s">
        <v>228</v>
      </c>
      <c r="J70" s="60" t="s">
        <v>6956</v>
      </c>
      <c r="K70" s="22">
        <v>11.0</v>
      </c>
      <c r="L70" s="22">
        <f>+SUMIF('حركه المخزن الرئيسي اليوميه'!$F:$F,$H:$H,'حركه المخزن الرئيسي اليوميه'!$H:$H)</f>
        <v>0.0</v>
      </c>
      <c r="M70" s="22">
        <f>+SUMIF('حركه المخزن الرئيسي اليوميه'!$F:$F,$H:$H,'حركه المخزن الرئيسي اليوميه'!$I:$I)</f>
        <v>0.0</v>
      </c>
      <c r="N70" s="22">
        <f t="shared" si="0"/>
        <v>11.0</v>
      </c>
      <c r="O70" s="22">
        <f t="shared" si="1"/>
        <v>11.0</v>
      </c>
      <c r="P70" s="22">
        <f t="shared" si="2"/>
        <v>0.0</v>
      </c>
      <c r="Q70" s="57"/>
      <c r="R70" s="58"/>
    </row>
    <row r="71" spans="8:8">
      <c r="B71" s="8">
        <v>62.0</v>
      </c>
      <c r="C71" s="8" t="s">
        <v>764</v>
      </c>
      <c r="D71" s="8" t="s">
        <v>828</v>
      </c>
      <c r="E71" s="8" t="s">
        <v>1305</v>
      </c>
      <c r="F71" s="8" t="s">
        <v>68</v>
      </c>
      <c r="G71" s="8" t="s">
        <v>2145</v>
      </c>
      <c r="H71" s="8" t="s">
        <v>1305</v>
      </c>
      <c r="I71" s="55" t="s">
        <v>228</v>
      </c>
      <c r="J71" s="60" t="s">
        <v>6957</v>
      </c>
      <c r="K71" s="22">
        <v>9.0</v>
      </c>
      <c r="L71" s="22">
        <f>+SUMIF('حركه المخزن الرئيسي اليوميه'!$F:$F,$H:$H,'حركه المخزن الرئيسي اليوميه'!$H:$H)</f>
        <v>0.0</v>
      </c>
      <c r="M71" s="22">
        <f>+SUMIF('حركه المخزن الرئيسي اليوميه'!$F:$F,$H:$H,'حركه المخزن الرئيسي اليوميه'!$I:$I)</f>
        <v>0.0</v>
      </c>
      <c r="N71" s="22">
        <f t="shared" si="0"/>
        <v>9.0</v>
      </c>
      <c r="O71" s="22">
        <f t="shared" si="1"/>
        <v>9.0</v>
      </c>
      <c r="P71" s="22">
        <f t="shared" si="2"/>
        <v>0.0</v>
      </c>
      <c r="Q71" s="57"/>
      <c r="R71" s="58"/>
    </row>
    <row r="72" spans="8:8">
      <c r="B72" s="8">
        <v>63.0</v>
      </c>
      <c r="C72" s="8" t="s">
        <v>828</v>
      </c>
      <c r="D72" s="8" t="s">
        <v>828</v>
      </c>
      <c r="E72" s="8" t="s">
        <v>2688</v>
      </c>
      <c r="F72" s="8" t="s">
        <v>68</v>
      </c>
      <c r="G72" s="8"/>
      <c r="H72" s="8" t="s">
        <v>2688</v>
      </c>
      <c r="I72" s="55" t="s">
        <v>2947</v>
      </c>
      <c r="J72" s="60" t="s">
        <v>6958</v>
      </c>
      <c r="K72" s="22">
        <v>2.0</v>
      </c>
      <c r="L72" s="22">
        <f>+SUMIF('حركه المخزن الرئيسي اليوميه'!$F:$F,$H:$H,'حركه المخزن الرئيسي اليوميه'!$H:$H)</f>
        <v>0.0</v>
      </c>
      <c r="M72" s="22">
        <f>+SUMIF('حركه المخزن الرئيسي اليوميه'!$F:$F,$H:$H,'حركه المخزن الرئيسي اليوميه'!$I:$I)</f>
        <v>0.0</v>
      </c>
      <c r="N72" s="22">
        <f t="shared" si="0"/>
        <v>2.0</v>
      </c>
      <c r="O72" s="22">
        <f t="shared" si="1"/>
        <v>2.0</v>
      </c>
      <c r="P72" s="22">
        <f t="shared" si="2"/>
        <v>0.0</v>
      </c>
      <c r="Q72" s="57"/>
      <c r="R72" s="58"/>
    </row>
    <row r="73" spans="8:8">
      <c r="B73" s="8">
        <v>64.0</v>
      </c>
      <c r="C73" s="8" t="s">
        <v>828</v>
      </c>
      <c r="D73" s="8" t="s">
        <v>568</v>
      </c>
      <c r="E73" s="8" t="s">
        <v>1246</v>
      </c>
      <c r="F73" s="8" t="s">
        <v>68</v>
      </c>
      <c r="G73" s="8" t="s">
        <v>2238</v>
      </c>
      <c r="H73" s="8" t="s">
        <v>1246</v>
      </c>
      <c r="I73" s="55" t="s">
        <v>2947</v>
      </c>
      <c r="J73" s="60" t="s">
        <v>6959</v>
      </c>
      <c r="K73" s="22">
        <v>4.0</v>
      </c>
      <c r="L73" s="22">
        <f>+SUMIF('حركه المخزن الرئيسي اليوميه'!$F:$F,$H:$H,'حركه المخزن الرئيسي اليوميه'!$H:$H)</f>
        <v>0.0</v>
      </c>
      <c r="M73" s="22">
        <f>+SUMIF('حركه المخزن الرئيسي اليوميه'!$F:$F,$H:$H,'حركه المخزن الرئيسي اليوميه'!$I:$I)</f>
        <v>0.0</v>
      </c>
      <c r="N73" s="22">
        <f t="shared" si="0"/>
        <v>4.0</v>
      </c>
      <c r="O73" s="22">
        <f t="shared" si="1"/>
        <v>4.0</v>
      </c>
      <c r="P73" s="22">
        <f t="shared" si="2"/>
        <v>0.0</v>
      </c>
      <c r="Q73" s="57"/>
      <c r="R73" s="58"/>
    </row>
    <row r="74" spans="8:8">
      <c r="B74" s="8">
        <v>65.0</v>
      </c>
      <c r="C74" s="8" t="s">
        <v>763</v>
      </c>
      <c r="D74" s="8" t="s">
        <v>828</v>
      </c>
      <c r="E74" s="8" t="s">
        <v>430</v>
      </c>
      <c r="F74" s="8" t="s">
        <v>68</v>
      </c>
      <c r="G74" s="8" t="s">
        <v>1575</v>
      </c>
      <c r="H74" s="8" t="s">
        <v>430</v>
      </c>
      <c r="I74" s="55" t="s">
        <v>197</v>
      </c>
      <c r="J74" s="60" t="s">
        <v>6960</v>
      </c>
      <c r="K74" s="22">
        <v>22.0</v>
      </c>
      <c r="L74" s="22">
        <f>+SUMIF('حركه المخزن الرئيسي اليوميه'!$F:$F,$H:$H,'حركه المخزن الرئيسي اليوميه'!$H:$H)</f>
        <v>0.0</v>
      </c>
      <c r="M74" s="22">
        <f>+SUMIF('حركه المخزن الرئيسي اليوميه'!$F:$F,$H:$H,'حركه المخزن الرئيسي اليوميه'!$I:$I)</f>
        <v>0.0</v>
      </c>
      <c r="N74" s="22">
        <f t="shared" si="0"/>
        <v>22.0</v>
      </c>
      <c r="O74" s="22">
        <f t="shared" si="1"/>
        <v>22.0</v>
      </c>
      <c r="P74" s="22">
        <f t="shared" si="2"/>
        <v>0.0</v>
      </c>
      <c r="Q74" s="57"/>
      <c r="R74" s="58"/>
    </row>
    <row r="75" spans="8:8">
      <c r="B75" s="8">
        <v>66.0</v>
      </c>
      <c r="C75" s="8" t="s">
        <v>764</v>
      </c>
      <c r="D75" s="8" t="s">
        <v>828</v>
      </c>
      <c r="E75" s="8" t="s">
        <v>559</v>
      </c>
      <c r="F75" s="8" t="s">
        <v>68</v>
      </c>
      <c r="G75" s="8" t="s">
        <v>1575</v>
      </c>
      <c r="H75" s="8" t="s">
        <v>559</v>
      </c>
      <c r="I75" s="55" t="s">
        <v>205</v>
      </c>
      <c r="J75" s="60" t="s">
        <v>6961</v>
      </c>
      <c r="K75" s="22">
        <v>0.0</v>
      </c>
      <c r="L75" s="22">
        <f>+SUMIF('حركه المخزن الرئيسي اليوميه'!$F:$F,$H:$H,'حركه المخزن الرئيسي اليوميه'!$H:$H)</f>
        <v>0.0</v>
      </c>
      <c r="M75" s="22">
        <f>+SUMIF('حركه المخزن الرئيسي اليوميه'!$F:$F,$H:$H,'حركه المخزن الرئيسي اليوميه'!$I:$I)</f>
        <v>0.0</v>
      </c>
      <c r="N75" s="22">
        <f t="shared" si="0"/>
        <v>0.0</v>
      </c>
      <c r="O75" s="22">
        <f t="shared" si="1"/>
        <v>0.0</v>
      </c>
      <c r="P75" s="22">
        <f t="shared" si="2"/>
        <v>0.0</v>
      </c>
      <c r="Q75" s="57"/>
      <c r="R75" s="58"/>
    </row>
    <row r="76" spans="8:8">
      <c r="B76" s="8">
        <v>67.0</v>
      </c>
      <c r="C76" s="8" t="s">
        <v>764</v>
      </c>
      <c r="D76" s="8" t="s">
        <v>828</v>
      </c>
      <c r="E76" s="8" t="s">
        <v>499</v>
      </c>
      <c r="F76" s="8" t="s">
        <v>68</v>
      </c>
      <c r="G76" s="8" t="s">
        <v>1741</v>
      </c>
      <c r="H76" s="8" t="s">
        <v>499</v>
      </c>
      <c r="I76" s="55" t="s">
        <v>197</v>
      </c>
      <c r="J76" s="60" t="s">
        <v>6962</v>
      </c>
      <c r="K76" s="22">
        <v>14.0</v>
      </c>
      <c r="L76" s="22">
        <f>+SUMIF('حركه المخزن الرئيسي اليوميه'!$F:$F,$H:$H,'حركه المخزن الرئيسي اليوميه'!$H:$H)</f>
        <v>0.0</v>
      </c>
      <c r="M76" s="22">
        <f>+SUMIF('حركه المخزن الرئيسي اليوميه'!$F:$F,$H:$H,'حركه المخزن الرئيسي اليوميه'!$I:$I)</f>
        <v>0.0</v>
      </c>
      <c r="N76" s="22">
        <f t="shared" si="3" ref="N76:N138">+K76+L76-M76</f>
        <v>14.0</v>
      </c>
      <c r="O76" s="22">
        <f t="shared" si="4" ref="O76:O138">+N76</f>
        <v>14.0</v>
      </c>
      <c r="P76" s="22">
        <f t="shared" si="5" ref="P76:P138">+N76-O76</f>
        <v>0.0</v>
      </c>
      <c r="Q76" s="57"/>
      <c r="R76" s="58"/>
    </row>
    <row r="77" spans="8:8">
      <c r="B77" s="8">
        <v>68.0</v>
      </c>
      <c r="C77" s="8" t="s">
        <v>764</v>
      </c>
      <c r="D77" s="8" t="s">
        <v>1013</v>
      </c>
      <c r="E77" s="8" t="s">
        <v>1527</v>
      </c>
      <c r="F77" s="8" t="s">
        <v>1501</v>
      </c>
      <c r="G77" s="8" t="s">
        <v>1575</v>
      </c>
      <c r="H77" s="8" t="s">
        <v>1527</v>
      </c>
      <c r="I77" s="55" t="s">
        <v>205</v>
      </c>
      <c r="J77" s="60" t="s">
        <v>6963</v>
      </c>
      <c r="K77" s="22">
        <v>0.0</v>
      </c>
      <c r="L77" s="22">
        <f>+SUMIF('حركه المخزن الرئيسي اليوميه'!$F:$F,$H:$H,'حركه المخزن الرئيسي اليوميه'!$H:$H)</f>
        <v>0.0</v>
      </c>
      <c r="M77" s="22">
        <f>+SUMIF('حركه المخزن الرئيسي اليوميه'!$F:$F,$H:$H,'حركه المخزن الرئيسي اليوميه'!$I:$I)</f>
        <v>0.0</v>
      </c>
      <c r="N77" s="22">
        <f t="shared" si="3"/>
        <v>0.0</v>
      </c>
      <c r="O77" s="22">
        <f t="shared" si="4"/>
        <v>0.0</v>
      </c>
      <c r="P77" s="22">
        <f t="shared" si="5"/>
        <v>0.0</v>
      </c>
      <c r="Q77" s="57"/>
      <c r="R77" s="58"/>
    </row>
    <row r="78" spans="8:8">
      <c r="B78" s="8">
        <v>69.0</v>
      </c>
      <c r="C78" s="8" t="s">
        <v>763</v>
      </c>
      <c r="D78" s="8" t="s">
        <v>828</v>
      </c>
      <c r="E78" s="8" t="s">
        <v>424</v>
      </c>
      <c r="F78" s="8" t="s">
        <v>68</v>
      </c>
      <c r="G78" s="8" t="s">
        <v>1575</v>
      </c>
      <c r="H78" s="8" t="s">
        <v>424</v>
      </c>
      <c r="I78" s="55" t="s">
        <v>197</v>
      </c>
      <c r="J78" s="60" t="s">
        <v>6964</v>
      </c>
      <c r="K78" s="22">
        <v>18.0</v>
      </c>
      <c r="L78" s="22">
        <f>+SUMIF('حركه المخزن الرئيسي اليوميه'!$F:$F,$H:$H,'حركه المخزن الرئيسي اليوميه'!$H:$H)</f>
        <v>0.0</v>
      </c>
      <c r="M78" s="22">
        <f>+SUMIF('حركه المخزن الرئيسي اليوميه'!$F:$F,$H:$H,'حركه المخزن الرئيسي اليوميه'!$I:$I)</f>
        <v>0.0</v>
      </c>
      <c r="N78" s="22">
        <f t="shared" si="3"/>
        <v>18.0</v>
      </c>
      <c r="O78" s="22">
        <f t="shared" si="4"/>
        <v>18.0</v>
      </c>
      <c r="P78" s="22">
        <f t="shared" si="5"/>
        <v>0.0</v>
      </c>
      <c r="Q78" s="57"/>
      <c r="R78" s="58"/>
    </row>
    <row r="79" spans="8:8">
      <c r="B79" s="8">
        <v>70.0</v>
      </c>
      <c r="C79" s="8" t="s">
        <v>763</v>
      </c>
      <c r="D79" s="8" t="s">
        <v>828</v>
      </c>
      <c r="E79" s="8" t="s">
        <v>422</v>
      </c>
      <c r="F79" s="8" t="s">
        <v>68</v>
      </c>
      <c r="G79" s="8" t="s">
        <v>1575</v>
      </c>
      <c r="H79" s="8" t="s">
        <v>422</v>
      </c>
      <c r="I79" s="55" t="s">
        <v>205</v>
      </c>
      <c r="J79" s="60" t="s">
        <v>6965</v>
      </c>
      <c r="K79" s="22">
        <v>53.0</v>
      </c>
      <c r="L79" s="22">
        <f>+SUMIF('حركه المخزن الرئيسي اليوميه'!$F:$F,$H:$H,'حركه المخزن الرئيسي اليوميه'!$H:$H)</f>
        <v>0.0</v>
      </c>
      <c r="M79" s="22">
        <f>+SUMIF('حركه المخزن الرئيسي اليوميه'!$F:$F,$H:$H,'حركه المخزن الرئيسي اليوميه'!$I:$I)</f>
        <v>0.0</v>
      </c>
      <c r="N79" s="22">
        <f t="shared" si="3"/>
        <v>53.0</v>
      </c>
      <c r="O79" s="22">
        <f t="shared" si="4"/>
        <v>53.0</v>
      </c>
      <c r="P79" s="22">
        <f t="shared" si="5"/>
        <v>0.0</v>
      </c>
      <c r="Q79" s="57"/>
      <c r="R79" s="58"/>
    </row>
    <row r="80" spans="8:8">
      <c r="B80" s="8">
        <v>71.0</v>
      </c>
      <c r="C80" s="8" t="s">
        <v>764</v>
      </c>
      <c r="D80" s="8" t="s">
        <v>828</v>
      </c>
      <c r="E80" s="8" t="s">
        <v>472</v>
      </c>
      <c r="F80" s="8" t="s">
        <v>68</v>
      </c>
      <c r="G80" s="8" t="s">
        <v>1726</v>
      </c>
      <c r="H80" s="8" t="s">
        <v>472</v>
      </c>
      <c r="I80" s="55" t="s">
        <v>205</v>
      </c>
      <c r="J80" s="60" t="s">
        <v>6966</v>
      </c>
      <c r="K80" s="22">
        <v>42.0</v>
      </c>
      <c r="L80" s="22">
        <f>+SUMIF('حركه المخزن الرئيسي اليوميه'!$F:$F,$H:$H,'حركه المخزن الرئيسي اليوميه'!$H:$H)</f>
        <v>0.0</v>
      </c>
      <c r="M80" s="22">
        <f>+SUMIF('حركه المخزن الرئيسي اليوميه'!$F:$F,$H:$H,'حركه المخزن الرئيسي اليوميه'!$I:$I)</f>
        <v>0.0</v>
      </c>
      <c r="N80" s="22">
        <f t="shared" si="3"/>
        <v>42.0</v>
      </c>
      <c r="O80" s="22">
        <f t="shared" si="4"/>
        <v>42.0</v>
      </c>
      <c r="P80" s="22">
        <f t="shared" si="5"/>
        <v>0.0</v>
      </c>
      <c r="Q80" s="57"/>
      <c r="R80" s="58"/>
    </row>
    <row r="81" spans="8:8">
      <c r="B81" s="8">
        <v>72.0</v>
      </c>
      <c r="C81" s="8" t="s">
        <v>764</v>
      </c>
      <c r="D81" s="8" t="s">
        <v>828</v>
      </c>
      <c r="E81" s="8" t="s">
        <v>2627</v>
      </c>
      <c r="F81" s="8" t="s">
        <v>68</v>
      </c>
      <c r="G81" s="8" t="s">
        <v>1755</v>
      </c>
      <c r="H81" s="8" t="s">
        <v>2627</v>
      </c>
      <c r="I81" s="55" t="s">
        <v>206</v>
      </c>
      <c r="J81" s="60" t="s">
        <v>6967</v>
      </c>
      <c r="K81" s="22">
        <v>2.0</v>
      </c>
      <c r="L81" s="22">
        <f>+SUMIF('حركه المخزن الرئيسي اليوميه'!$F:$F,$H:$H,'حركه المخزن الرئيسي اليوميه'!$H:$H)</f>
        <v>0.0</v>
      </c>
      <c r="M81" s="22">
        <f>+SUMIF('حركه المخزن الرئيسي اليوميه'!$F:$F,$H:$H,'حركه المخزن الرئيسي اليوميه'!$I:$I)</f>
        <v>0.0</v>
      </c>
      <c r="N81" s="22">
        <f t="shared" si="3"/>
        <v>2.0</v>
      </c>
      <c r="O81" s="22">
        <f t="shared" si="4"/>
        <v>2.0</v>
      </c>
      <c r="P81" s="22">
        <f t="shared" si="5"/>
        <v>0.0</v>
      </c>
      <c r="Q81" s="57"/>
      <c r="R81" s="58"/>
    </row>
    <row r="82" spans="8:8">
      <c r="B82" s="8">
        <v>73.0</v>
      </c>
      <c r="C82" s="8" t="s">
        <v>766</v>
      </c>
      <c r="D82" s="8" t="s">
        <v>1013</v>
      </c>
      <c r="E82" s="8" t="s">
        <v>2988</v>
      </c>
      <c r="F82" s="8" t="s">
        <v>1501</v>
      </c>
      <c r="G82" s="8" t="s">
        <v>2300</v>
      </c>
      <c r="H82" s="8" t="s">
        <v>2988</v>
      </c>
      <c r="I82" s="55" t="s">
        <v>2947</v>
      </c>
      <c r="J82" s="60" t="s">
        <v>6968</v>
      </c>
      <c r="K82" s="22">
        <v>4.0</v>
      </c>
      <c r="L82" s="22">
        <f>+SUMIF('حركه المخزن الرئيسي اليوميه'!$F:$F,$H:$H,'حركه المخزن الرئيسي اليوميه'!$H:$H)</f>
        <v>0.0</v>
      </c>
      <c r="M82" s="22">
        <f>+SUMIF('حركه المخزن الرئيسي اليوميه'!$F:$F,$H:$H,'حركه المخزن الرئيسي اليوميه'!$I:$I)</f>
        <v>0.0</v>
      </c>
      <c r="N82" s="22">
        <f t="shared" si="3"/>
        <v>4.0</v>
      </c>
      <c r="O82" s="22">
        <f t="shared" si="4"/>
        <v>4.0</v>
      </c>
      <c r="P82" s="22">
        <f t="shared" si="5"/>
        <v>0.0</v>
      </c>
      <c r="Q82" s="57"/>
      <c r="R82" s="58"/>
    </row>
    <row r="83" spans="8:8">
      <c r="B83" s="8">
        <v>74.0</v>
      </c>
      <c r="C83" s="8" t="s">
        <v>828</v>
      </c>
      <c r="D83" s="8" t="s">
        <v>828</v>
      </c>
      <c r="E83" s="8" t="s">
        <v>2616</v>
      </c>
      <c r="F83" s="8" t="s">
        <v>68</v>
      </c>
      <c r="G83" s="8" t="s">
        <v>1859</v>
      </c>
      <c r="H83" s="8" t="s">
        <v>2616</v>
      </c>
      <c r="I83" s="55" t="s">
        <v>206</v>
      </c>
      <c r="J83" s="60" t="s">
        <v>6969</v>
      </c>
      <c r="K83" s="22">
        <v>32.0</v>
      </c>
      <c r="L83" s="22">
        <f>+SUMIF('حركه المخزن الرئيسي اليوميه'!$F:$F,$H:$H,'حركه المخزن الرئيسي اليوميه'!$H:$H)</f>
        <v>0.0</v>
      </c>
      <c r="M83" s="22">
        <f>+SUMIF('حركه المخزن الرئيسي اليوميه'!$F:$F,$H:$H,'حركه المخزن الرئيسي اليوميه'!$I:$I)</f>
        <v>0.0</v>
      </c>
      <c r="N83" s="22">
        <f t="shared" si="3"/>
        <v>32.0</v>
      </c>
      <c r="O83" s="22">
        <f t="shared" si="4"/>
        <v>32.0</v>
      </c>
      <c r="P83" s="22">
        <f t="shared" si="5"/>
        <v>0.0</v>
      </c>
      <c r="Q83" s="57"/>
      <c r="R83" s="58"/>
    </row>
    <row r="84" spans="8:8">
      <c r="B84" s="8">
        <v>75.0</v>
      </c>
      <c r="C84" s="8" t="s">
        <v>763</v>
      </c>
      <c r="D84" s="8" t="s">
        <v>828</v>
      </c>
      <c r="E84" s="8" t="s">
        <v>428</v>
      </c>
      <c r="F84" s="8" t="s">
        <v>68</v>
      </c>
      <c r="G84" s="8" t="s">
        <v>1575</v>
      </c>
      <c r="H84" s="8" t="s">
        <v>428</v>
      </c>
      <c r="I84" s="55" t="s">
        <v>8123</v>
      </c>
      <c r="J84" s="60" t="s">
        <v>6970</v>
      </c>
      <c r="K84" s="22">
        <v>54.0</v>
      </c>
      <c r="L84" s="22">
        <f>+SUMIF('حركه المخزن الرئيسي اليوميه'!$F:$F,$H:$H,'حركه المخزن الرئيسي اليوميه'!$H:$H)</f>
        <v>0.0</v>
      </c>
      <c r="M84" s="22">
        <f>+SUMIF('حركه المخزن الرئيسي اليوميه'!$F:$F,$H:$H,'حركه المخزن الرئيسي اليوميه'!$I:$I)</f>
        <v>0.0</v>
      </c>
      <c r="N84" s="22">
        <f t="shared" si="3"/>
        <v>54.0</v>
      </c>
      <c r="O84" s="22">
        <f t="shared" si="4"/>
        <v>54.0</v>
      </c>
      <c r="P84" s="22">
        <f t="shared" si="5"/>
        <v>0.0</v>
      </c>
      <c r="Q84" s="57"/>
      <c r="R84" s="58"/>
    </row>
    <row r="85" spans="8:8">
      <c r="B85" s="8">
        <v>76.0</v>
      </c>
      <c r="C85" s="8" t="s">
        <v>764</v>
      </c>
      <c r="D85" s="8" t="s">
        <v>713</v>
      </c>
      <c r="E85" s="8" t="s">
        <v>8122</v>
      </c>
      <c r="F85" s="8" t="s">
        <v>68</v>
      </c>
      <c r="G85" s="8"/>
      <c r="H85" s="8" t="s">
        <v>808</v>
      </c>
      <c r="I85" s="55" t="s">
        <v>35</v>
      </c>
      <c r="J85" s="60" t="s">
        <v>6971</v>
      </c>
      <c r="K85" s="22">
        <v>8.0</v>
      </c>
      <c r="L85" s="22">
        <f>+SUMIF('حركه المخزن الرئيسي اليوميه'!$F:$F,$H:$H,'حركه المخزن الرئيسي اليوميه'!$H:$H)</f>
        <v>0.0</v>
      </c>
      <c r="M85" s="22">
        <f>+SUMIF('حركه المخزن الرئيسي اليوميه'!$F:$F,$H:$H,'حركه المخزن الرئيسي اليوميه'!$I:$I)</f>
        <v>0.0</v>
      </c>
      <c r="N85" s="22">
        <f t="shared" si="3"/>
        <v>8.0</v>
      </c>
      <c r="O85" s="22">
        <f t="shared" si="4"/>
        <v>8.0</v>
      </c>
      <c r="P85" s="22">
        <f t="shared" si="5"/>
        <v>0.0</v>
      </c>
      <c r="Q85" s="57"/>
      <c r="R85" s="58"/>
    </row>
    <row r="86" spans="8:8">
      <c r="B86" s="8">
        <v>77.0</v>
      </c>
      <c r="C86" s="8" t="s">
        <v>764</v>
      </c>
      <c r="D86" s="8" t="s">
        <v>713</v>
      </c>
      <c r="E86" s="8" t="s">
        <v>2552</v>
      </c>
      <c r="F86" s="8" t="s">
        <v>68</v>
      </c>
      <c r="G86" s="8"/>
      <c r="H86" s="8" t="s">
        <v>2506</v>
      </c>
      <c r="I86" s="55" t="s">
        <v>35</v>
      </c>
      <c r="J86" s="60" t="s">
        <v>6972</v>
      </c>
      <c r="K86" s="22">
        <v>5.0</v>
      </c>
      <c r="L86" s="22">
        <f>+SUMIF('حركه المخزن الرئيسي اليوميه'!$F:$F,$H:$H,'حركه المخزن الرئيسي اليوميه'!$H:$H)</f>
        <v>0.0</v>
      </c>
      <c r="M86" s="22">
        <f>+SUMIF('حركه المخزن الرئيسي اليوميه'!$F:$F,$H:$H,'حركه المخزن الرئيسي اليوميه'!$I:$I)</f>
        <v>0.0</v>
      </c>
      <c r="N86" s="22">
        <f t="shared" si="3"/>
        <v>5.0</v>
      </c>
      <c r="O86" s="22">
        <f t="shared" si="4"/>
        <v>5.0</v>
      </c>
      <c r="P86" s="22">
        <f t="shared" si="5"/>
        <v>0.0</v>
      </c>
      <c r="Q86" s="57"/>
      <c r="R86" s="58"/>
    </row>
    <row r="87" spans="8:8">
      <c r="B87" s="8">
        <v>78.0</v>
      </c>
      <c r="C87" s="8" t="s">
        <v>764</v>
      </c>
      <c r="D87" s="8" t="s">
        <v>713</v>
      </c>
      <c r="E87" s="8" t="s">
        <v>2871</v>
      </c>
      <c r="F87" s="8" t="s">
        <v>68</v>
      </c>
      <c r="G87" s="8" t="s">
        <v>665</v>
      </c>
      <c r="H87" s="8" t="s">
        <v>665</v>
      </c>
      <c r="I87" s="55" t="s">
        <v>35</v>
      </c>
      <c r="J87" s="60" t="s">
        <v>6973</v>
      </c>
      <c r="K87" s="22">
        <v>3.0</v>
      </c>
      <c r="L87" s="22">
        <f>+SUMIF('حركه المخزن الرئيسي اليوميه'!$F:$F,$H:$H,'حركه المخزن الرئيسي اليوميه'!$H:$H)</f>
        <v>0.0</v>
      </c>
      <c r="M87" s="22">
        <f>+SUMIF('حركه المخزن الرئيسي اليوميه'!$F:$F,$H:$H,'حركه المخزن الرئيسي اليوميه'!$I:$I)</f>
        <v>0.0</v>
      </c>
      <c r="N87" s="22">
        <f t="shared" si="3"/>
        <v>3.0</v>
      </c>
      <c r="O87" s="22">
        <f t="shared" si="4"/>
        <v>3.0</v>
      </c>
      <c r="P87" s="22">
        <f t="shared" si="5"/>
        <v>0.0</v>
      </c>
      <c r="Q87" s="57"/>
      <c r="R87" s="58"/>
    </row>
    <row r="88" spans="8:8">
      <c r="B88" s="8">
        <v>79.0</v>
      </c>
      <c r="C88" s="8" t="s">
        <v>766</v>
      </c>
      <c r="D88" s="8" t="s">
        <v>828</v>
      </c>
      <c r="E88" s="8" t="s">
        <v>2602</v>
      </c>
      <c r="F88" s="8" t="s">
        <v>68</v>
      </c>
      <c r="G88" s="8" t="s">
        <v>2047</v>
      </c>
      <c r="H88" s="8" t="s">
        <v>2628</v>
      </c>
      <c r="I88" s="55" t="s">
        <v>37</v>
      </c>
      <c r="J88" s="60" t="s">
        <v>6974</v>
      </c>
      <c r="K88" s="22">
        <v>2.0</v>
      </c>
      <c r="L88" s="22">
        <f>+SUMIF('حركه المخزن الرئيسي اليوميه'!$F:$F,$H:$H,'حركه المخزن الرئيسي اليوميه'!$H:$H)</f>
        <v>0.0</v>
      </c>
      <c r="M88" s="22">
        <f>+SUMIF('حركه المخزن الرئيسي اليوميه'!$F:$F,$H:$H,'حركه المخزن الرئيسي اليوميه'!$I:$I)</f>
        <v>0.0</v>
      </c>
      <c r="N88" s="22">
        <f t="shared" si="3"/>
        <v>2.0</v>
      </c>
      <c r="O88" s="22">
        <f t="shared" si="4"/>
        <v>2.0</v>
      </c>
      <c r="P88" s="22">
        <f t="shared" si="5"/>
        <v>0.0</v>
      </c>
      <c r="Q88" s="57"/>
      <c r="R88" s="58"/>
    </row>
    <row r="89" spans="8:8">
      <c r="B89" s="8">
        <v>80.0</v>
      </c>
      <c r="C89" s="8" t="s">
        <v>766</v>
      </c>
      <c r="D89" s="8" t="s">
        <v>828</v>
      </c>
      <c r="E89" s="8" t="s">
        <v>2612</v>
      </c>
      <c r="F89" s="8" t="s">
        <v>68</v>
      </c>
      <c r="G89" s="8" t="s">
        <v>1816</v>
      </c>
      <c r="H89" s="8" t="s">
        <v>2612</v>
      </c>
      <c r="I89" s="55" t="s">
        <v>37</v>
      </c>
      <c r="J89" s="60" t="s">
        <v>6975</v>
      </c>
      <c r="K89" s="22">
        <v>1.0</v>
      </c>
      <c r="L89" s="22">
        <f>+SUMIF('حركه المخزن الرئيسي اليوميه'!$F:$F,$H:$H,'حركه المخزن الرئيسي اليوميه'!$H:$H)</f>
        <v>0.0</v>
      </c>
      <c r="M89" s="22">
        <f>+SUMIF('حركه المخزن الرئيسي اليوميه'!$F:$F,$H:$H,'حركه المخزن الرئيسي اليوميه'!$I:$I)</f>
        <v>0.0</v>
      </c>
      <c r="N89" s="22">
        <f t="shared" si="3"/>
        <v>1.0</v>
      </c>
      <c r="O89" s="22">
        <f t="shared" si="4"/>
        <v>1.0</v>
      </c>
      <c r="P89" s="22">
        <f t="shared" si="5"/>
        <v>0.0</v>
      </c>
      <c r="Q89" s="57"/>
      <c r="R89" s="58"/>
    </row>
    <row r="90" spans="8:8">
      <c r="B90" s="8">
        <v>81.0</v>
      </c>
      <c r="C90" s="8" t="s">
        <v>828</v>
      </c>
      <c r="D90" s="8" t="s">
        <v>828</v>
      </c>
      <c r="E90" s="8" t="s">
        <v>2613</v>
      </c>
      <c r="F90" s="8" t="s">
        <v>68</v>
      </c>
      <c r="G90" s="8" t="s">
        <v>1816</v>
      </c>
      <c r="H90" s="8" t="s">
        <v>2613</v>
      </c>
      <c r="I90" s="55" t="s">
        <v>2870</v>
      </c>
      <c r="J90" s="60" t="s">
        <v>6976</v>
      </c>
      <c r="K90" s="22">
        <v>4.0</v>
      </c>
      <c r="L90" s="22">
        <f>+SUMIF('حركه المخزن الرئيسي اليوميه'!$F:$F,$H:$H,'حركه المخزن الرئيسي اليوميه'!$H:$H)</f>
        <v>0.0</v>
      </c>
      <c r="M90" s="22">
        <f>+SUMIF('حركه المخزن الرئيسي اليوميه'!$F:$F,$H:$H,'حركه المخزن الرئيسي اليوميه'!$I:$I)</f>
        <v>0.0</v>
      </c>
      <c r="N90" s="22">
        <f t="shared" si="3"/>
        <v>4.0</v>
      </c>
      <c r="O90" s="22">
        <f t="shared" si="4"/>
        <v>4.0</v>
      </c>
      <c r="P90" s="22">
        <f t="shared" si="5"/>
        <v>0.0</v>
      </c>
      <c r="Q90" s="57"/>
      <c r="R90" s="58"/>
    </row>
    <row r="91" spans="8:8">
      <c r="B91" s="8">
        <v>82.0</v>
      </c>
      <c r="C91" s="8" t="s">
        <v>828</v>
      </c>
      <c r="D91" s="8" t="s">
        <v>828</v>
      </c>
      <c r="E91" s="8" t="s">
        <v>2615</v>
      </c>
      <c r="F91" s="8" t="s">
        <v>68</v>
      </c>
      <c r="G91" s="8" t="s">
        <v>1816</v>
      </c>
      <c r="H91" s="8" t="s">
        <v>2615</v>
      </c>
      <c r="I91" s="55" t="s">
        <v>2870</v>
      </c>
      <c r="J91" s="60" t="s">
        <v>6977</v>
      </c>
      <c r="K91" s="22">
        <v>1.0</v>
      </c>
      <c r="L91" s="22">
        <f>+SUMIF('حركه المخزن الرئيسي اليوميه'!$F:$F,$H:$H,'حركه المخزن الرئيسي اليوميه'!$H:$H)</f>
        <v>0.0</v>
      </c>
      <c r="M91" s="22">
        <f>+SUMIF('حركه المخزن الرئيسي اليوميه'!$F:$F,$H:$H,'حركه المخزن الرئيسي اليوميه'!$I:$I)</f>
        <v>0.0</v>
      </c>
      <c r="N91" s="22">
        <f t="shared" si="3"/>
        <v>1.0</v>
      </c>
      <c r="O91" s="22">
        <f t="shared" si="4"/>
        <v>1.0</v>
      </c>
      <c r="P91" s="22">
        <f t="shared" si="5"/>
        <v>0.0</v>
      </c>
      <c r="Q91" s="57"/>
      <c r="R91" s="58"/>
    </row>
    <row r="92" spans="8:8">
      <c r="B92" s="8">
        <v>83.0</v>
      </c>
      <c r="C92" s="8" t="s">
        <v>766</v>
      </c>
      <c r="D92" s="8" t="s">
        <v>766</v>
      </c>
      <c r="E92" s="8" t="s">
        <v>2614</v>
      </c>
      <c r="F92" s="8" t="s">
        <v>68</v>
      </c>
      <c r="G92" s="8" t="s">
        <v>324</v>
      </c>
      <c r="H92" s="8" t="s">
        <v>2614</v>
      </c>
      <c r="I92" s="55" t="s">
        <v>37</v>
      </c>
      <c r="J92" s="60" t="s">
        <v>6978</v>
      </c>
      <c r="K92" s="22">
        <v>0.0</v>
      </c>
      <c r="L92" s="22">
        <f>+SUMIF('حركه المخزن الرئيسي اليوميه'!$F:$F,$H:$H,'حركه المخزن الرئيسي اليوميه'!$H:$H)</f>
        <v>0.0</v>
      </c>
      <c r="M92" s="22">
        <f>+SUMIF('حركه المخزن الرئيسي اليوميه'!$F:$F,$H:$H,'حركه المخزن الرئيسي اليوميه'!$I:$I)</f>
        <v>0.0</v>
      </c>
      <c r="N92" s="22">
        <f t="shared" si="3"/>
        <v>0.0</v>
      </c>
      <c r="O92" s="22">
        <f t="shared" si="4"/>
        <v>0.0</v>
      </c>
      <c r="P92" s="22">
        <f t="shared" si="5"/>
        <v>0.0</v>
      </c>
      <c r="Q92" s="57"/>
      <c r="R92" s="58"/>
    </row>
    <row r="93" spans="8:8">
      <c r="B93" s="8">
        <v>84.0</v>
      </c>
      <c r="C93" s="8" t="s">
        <v>764</v>
      </c>
      <c r="D93" s="8" t="s">
        <v>764</v>
      </c>
      <c r="E93" s="8" t="s">
        <v>2629</v>
      </c>
      <c r="F93" s="8" t="s">
        <v>68</v>
      </c>
      <c r="G93" s="8" t="s">
        <v>2164</v>
      </c>
      <c r="H93" s="8" t="s">
        <v>2629</v>
      </c>
      <c r="I93" s="55" t="s">
        <v>37</v>
      </c>
      <c r="J93" s="60" t="s">
        <v>6979</v>
      </c>
      <c r="K93" s="22">
        <v>7.0</v>
      </c>
      <c r="L93" s="22">
        <f>+SUMIF('حركه المخزن الرئيسي اليوميه'!$F:$F,$H:$H,'حركه المخزن الرئيسي اليوميه'!$H:$H)</f>
        <v>0.0</v>
      </c>
      <c r="M93" s="22">
        <f>+SUMIF('حركه المخزن الرئيسي اليوميه'!$F:$F,$H:$H,'حركه المخزن الرئيسي اليوميه'!$I:$I)</f>
        <v>0.0</v>
      </c>
      <c r="N93" s="22">
        <f t="shared" si="3"/>
        <v>7.0</v>
      </c>
      <c r="O93" s="22">
        <f t="shared" si="4"/>
        <v>7.0</v>
      </c>
      <c r="P93" s="22">
        <f t="shared" si="5"/>
        <v>0.0</v>
      </c>
      <c r="Q93" s="57"/>
      <c r="R93" s="58"/>
    </row>
    <row r="94" spans="8:8">
      <c r="B94" s="8">
        <v>85.0</v>
      </c>
      <c r="C94" s="8" t="s">
        <v>766</v>
      </c>
      <c r="D94" s="8" t="s">
        <v>1013</v>
      </c>
      <c r="E94" s="8" t="s">
        <v>1870</v>
      </c>
      <c r="F94" s="8" t="s">
        <v>1501</v>
      </c>
      <c r="G94" s="8" t="s">
        <v>2300</v>
      </c>
      <c r="H94" s="8" t="s">
        <v>1870</v>
      </c>
      <c r="I94" s="8" t="s">
        <v>89</v>
      </c>
      <c r="J94" s="60" t="s">
        <v>6980</v>
      </c>
      <c r="K94" s="22">
        <v>4.0</v>
      </c>
      <c r="L94" s="22">
        <f>+SUMIF('حركه المخزن الرئيسي اليوميه'!$F:$F,$H:$H,'حركه المخزن الرئيسي اليوميه'!$H:$H)</f>
        <v>0.0</v>
      </c>
      <c r="M94" s="22">
        <f>+SUMIF('حركه المخزن الرئيسي اليوميه'!$F:$F,$H:$H,'حركه المخزن الرئيسي اليوميه'!$I:$I)</f>
        <v>0.0</v>
      </c>
      <c r="N94" s="22">
        <f t="shared" si="3"/>
        <v>4.0</v>
      </c>
      <c r="O94" s="22">
        <f t="shared" si="4"/>
        <v>4.0</v>
      </c>
      <c r="P94" s="22">
        <f t="shared" si="5"/>
        <v>0.0</v>
      </c>
      <c r="Q94" s="57"/>
      <c r="R94" s="58"/>
    </row>
    <row r="95" spans="8:8">
      <c r="B95" s="8">
        <v>86.0</v>
      </c>
      <c r="C95" s="8" t="s">
        <v>828</v>
      </c>
      <c r="D95" s="8" t="s">
        <v>820</v>
      </c>
      <c r="E95" s="8" t="s">
        <v>1244</v>
      </c>
      <c r="F95" s="8" t="s">
        <v>68</v>
      </c>
      <c r="G95" s="8" t="s">
        <v>2236</v>
      </c>
      <c r="H95" s="8" t="s">
        <v>1377</v>
      </c>
      <c r="I95" s="55" t="s">
        <v>89</v>
      </c>
      <c r="J95" s="60" t="s">
        <v>6981</v>
      </c>
      <c r="K95" s="22">
        <v>0.0</v>
      </c>
      <c r="L95" s="22">
        <f>+SUMIF('حركه المخزن الرئيسي اليوميه'!$F:$F,$H:$H,'حركه المخزن الرئيسي اليوميه'!$H:$H)</f>
        <v>0.0</v>
      </c>
      <c r="M95" s="22">
        <f>+SUMIF('حركه المخزن الرئيسي اليوميه'!$F:$F,$H:$H,'حركه المخزن الرئيسي اليوميه'!$I:$I)</f>
        <v>0.0</v>
      </c>
      <c r="N95" s="22">
        <f t="shared" si="3"/>
        <v>0.0</v>
      </c>
      <c r="O95" s="22">
        <f t="shared" si="4"/>
        <v>0.0</v>
      </c>
      <c r="P95" s="22">
        <f t="shared" si="5"/>
        <v>0.0</v>
      </c>
      <c r="Q95" s="57"/>
      <c r="R95" s="58"/>
    </row>
    <row r="96" spans="8:8">
      <c r="B96" s="8">
        <v>87.0</v>
      </c>
      <c r="C96" s="8" t="s">
        <v>766</v>
      </c>
      <c r="D96" s="8" t="s">
        <v>1013</v>
      </c>
      <c r="E96" s="8" t="s">
        <v>1493</v>
      </c>
      <c r="F96" s="8" t="s">
        <v>68</v>
      </c>
      <c r="G96" s="8"/>
      <c r="H96" s="8" t="s">
        <v>1493</v>
      </c>
      <c r="I96" s="55" t="s">
        <v>89</v>
      </c>
      <c r="J96" s="60" t="s">
        <v>6982</v>
      </c>
      <c r="K96" s="22">
        <v>1.0</v>
      </c>
      <c r="L96" s="22">
        <f>+SUMIF('حركه المخزن الرئيسي اليوميه'!$F:$F,$H:$H,'حركه المخزن الرئيسي اليوميه'!$H:$H)</f>
        <v>0.0</v>
      </c>
      <c r="M96" s="22">
        <f>+SUMIF('حركه المخزن الرئيسي اليوميه'!$F:$F,$H:$H,'حركه المخزن الرئيسي اليوميه'!$I:$I)</f>
        <v>0.0</v>
      </c>
      <c r="N96" s="22">
        <f t="shared" si="3"/>
        <v>1.0</v>
      </c>
      <c r="O96" s="22">
        <f t="shared" si="4"/>
        <v>1.0</v>
      </c>
      <c r="P96" s="22">
        <f t="shared" si="5"/>
        <v>0.0</v>
      </c>
      <c r="Q96" s="57"/>
      <c r="R96" s="58"/>
    </row>
    <row r="97" spans="8:8">
      <c r="B97" s="8">
        <v>88.0</v>
      </c>
      <c r="C97" s="8" t="s">
        <v>764</v>
      </c>
      <c r="D97" s="8" t="s">
        <v>828</v>
      </c>
      <c r="E97" s="8" t="s">
        <v>546</v>
      </c>
      <c r="F97" s="8" t="s">
        <v>68</v>
      </c>
      <c r="G97" s="8" t="s">
        <v>1750</v>
      </c>
      <c r="H97" s="8" t="s">
        <v>546</v>
      </c>
      <c r="I97" s="55" t="s">
        <v>170</v>
      </c>
      <c r="J97" s="60" t="s">
        <v>6983</v>
      </c>
      <c r="K97" s="22">
        <v>1.0</v>
      </c>
      <c r="L97" s="22">
        <f>+SUMIF('حركه المخزن الرئيسي اليوميه'!$F:$F,$H:$H,'حركه المخزن الرئيسي اليوميه'!$H:$H)</f>
        <v>0.0</v>
      </c>
      <c r="M97" s="22">
        <f>+SUMIF('حركه المخزن الرئيسي اليوميه'!$F:$F,$H:$H,'حركه المخزن الرئيسي اليوميه'!$I:$I)</f>
        <v>0.0</v>
      </c>
      <c r="N97" s="22">
        <f t="shared" si="3"/>
        <v>1.0</v>
      </c>
      <c r="O97" s="22">
        <f t="shared" si="4"/>
        <v>1.0</v>
      </c>
      <c r="P97" s="22">
        <f t="shared" si="5"/>
        <v>0.0</v>
      </c>
      <c r="Q97" s="57"/>
      <c r="R97" s="58"/>
    </row>
    <row r="98" spans="8:8">
      <c r="B98" s="8">
        <v>89.0</v>
      </c>
      <c r="C98" s="8" t="s">
        <v>764</v>
      </c>
      <c r="D98" s="8" t="s">
        <v>713</v>
      </c>
      <c r="E98" s="8" t="s">
        <v>660</v>
      </c>
      <c r="F98" s="8" t="s">
        <v>68</v>
      </c>
      <c r="G98" s="8" t="s">
        <v>2379</v>
      </c>
      <c r="H98" s="8" t="s">
        <v>660</v>
      </c>
      <c r="I98" s="55" t="s">
        <v>89</v>
      </c>
      <c r="J98" s="60" t="s">
        <v>6984</v>
      </c>
      <c r="K98" s="22">
        <v>8.0</v>
      </c>
      <c r="L98" s="22">
        <f>+SUMIF('حركه المخزن الرئيسي اليوميه'!$F:$F,$H:$H,'حركه المخزن الرئيسي اليوميه'!$H:$H)</f>
        <v>0.0</v>
      </c>
      <c r="M98" s="22">
        <f>+SUMIF('حركه المخزن الرئيسي اليوميه'!$F:$F,$H:$H,'حركه المخزن الرئيسي اليوميه'!$I:$I)</f>
        <v>0.0</v>
      </c>
      <c r="N98" s="22">
        <f t="shared" si="3"/>
        <v>8.0</v>
      </c>
      <c r="O98" s="22">
        <f t="shared" si="4"/>
        <v>8.0</v>
      </c>
      <c r="P98" s="22">
        <f t="shared" si="5"/>
        <v>0.0</v>
      </c>
      <c r="Q98" s="57"/>
      <c r="R98" s="58"/>
    </row>
    <row r="99" spans="8:8">
      <c r="B99" s="8">
        <v>90.0</v>
      </c>
      <c r="C99" s="8" t="s">
        <v>764</v>
      </c>
      <c r="D99" s="8" t="s">
        <v>828</v>
      </c>
      <c r="E99" s="8" t="s">
        <v>3004</v>
      </c>
      <c r="F99" s="8" t="s">
        <v>68</v>
      </c>
      <c r="G99" s="8" t="s">
        <v>1751</v>
      </c>
      <c r="H99" s="8" t="s">
        <v>2551</v>
      </c>
      <c r="I99" s="55" t="s">
        <v>89</v>
      </c>
      <c r="J99" s="60" t="s">
        <v>6985</v>
      </c>
      <c r="K99" s="22">
        <v>1.0</v>
      </c>
      <c r="L99" s="22">
        <f>+SUMIF('حركه المخزن الرئيسي اليوميه'!$F:$F,$H:$H,'حركه المخزن الرئيسي اليوميه'!$H:$H)</f>
        <v>0.0</v>
      </c>
      <c r="M99" s="22">
        <f>+SUMIF('حركه المخزن الرئيسي اليوميه'!$F:$F,$H:$H,'حركه المخزن الرئيسي اليوميه'!$I:$I)</f>
        <v>0.0</v>
      </c>
      <c r="N99" s="22">
        <f t="shared" si="3"/>
        <v>1.0</v>
      </c>
      <c r="O99" s="22">
        <f t="shared" si="4"/>
        <v>1.0</v>
      </c>
      <c r="P99" s="22">
        <f t="shared" si="5"/>
        <v>0.0</v>
      </c>
      <c r="Q99" s="57"/>
      <c r="R99" s="58"/>
    </row>
    <row r="100" spans="8:8">
      <c r="B100" s="8">
        <v>91.0</v>
      </c>
      <c r="C100" s="8" t="s">
        <v>764</v>
      </c>
      <c r="D100" s="8" t="s">
        <v>828</v>
      </c>
      <c r="E100" s="8" t="s">
        <v>547</v>
      </c>
      <c r="F100" s="8" t="s">
        <v>68</v>
      </c>
      <c r="G100" s="8" t="s">
        <v>1752</v>
      </c>
      <c r="H100" s="8" t="s">
        <v>547</v>
      </c>
      <c r="I100" s="55" t="s">
        <v>89</v>
      </c>
      <c r="J100" s="60" t="s">
        <v>6986</v>
      </c>
      <c r="K100" s="22">
        <v>29.0</v>
      </c>
      <c r="L100" s="22">
        <f>+SUMIF('حركه المخزن الرئيسي اليوميه'!$F:$F,$H:$H,'حركه المخزن الرئيسي اليوميه'!$H:$H)</f>
        <v>0.0</v>
      </c>
      <c r="M100" s="22">
        <f>+SUMIF('حركه المخزن الرئيسي اليوميه'!$F:$F,$H:$H,'حركه المخزن الرئيسي اليوميه'!$I:$I)</f>
        <v>0.0</v>
      </c>
      <c r="N100" s="22">
        <f t="shared" si="3"/>
        <v>29.0</v>
      </c>
      <c r="O100" s="22">
        <f t="shared" si="4"/>
        <v>29.0</v>
      </c>
      <c r="P100" s="22">
        <f t="shared" si="5"/>
        <v>0.0</v>
      </c>
      <c r="Q100" s="57"/>
      <c r="R100" s="58"/>
    </row>
    <row r="101" spans="8:8">
      <c r="B101" s="8">
        <v>92.0</v>
      </c>
      <c r="C101" s="8" t="s">
        <v>766</v>
      </c>
      <c r="D101" s="8" t="s">
        <v>828</v>
      </c>
      <c r="E101" s="8" t="s">
        <v>460</v>
      </c>
      <c r="F101" s="8" t="s">
        <v>68</v>
      </c>
      <c r="G101" s="8" t="s">
        <v>1704</v>
      </c>
      <c r="H101" s="8" t="s">
        <v>460</v>
      </c>
      <c r="I101" s="55" t="s">
        <v>89</v>
      </c>
      <c r="J101" s="60" t="s">
        <v>6987</v>
      </c>
      <c r="K101" s="22">
        <v>0.0</v>
      </c>
      <c r="L101" s="22">
        <f>+SUMIF('حركه المخزن الرئيسي اليوميه'!$F:$F,$H:$H,'حركه المخزن الرئيسي اليوميه'!$H:$H)</f>
        <v>0.0</v>
      </c>
      <c r="M101" s="22">
        <f>+SUMIF('حركه المخزن الرئيسي اليوميه'!$F:$F,$H:$H,'حركه المخزن الرئيسي اليوميه'!$I:$I)</f>
        <v>0.0</v>
      </c>
      <c r="N101" s="22">
        <f t="shared" si="3"/>
        <v>0.0</v>
      </c>
      <c r="O101" s="22">
        <f t="shared" si="4"/>
        <v>0.0</v>
      </c>
      <c r="P101" s="22">
        <f t="shared" si="5"/>
        <v>0.0</v>
      </c>
      <c r="Q101" s="57"/>
      <c r="R101" s="58"/>
    </row>
    <row r="102" spans="8:8">
      <c r="B102" s="8">
        <v>93.0</v>
      </c>
      <c r="C102" s="8" t="s">
        <v>828</v>
      </c>
      <c r="D102" s="8" t="s">
        <v>828</v>
      </c>
      <c r="E102" s="8" t="s">
        <v>1618</v>
      </c>
      <c r="F102" s="8" t="s">
        <v>1501</v>
      </c>
      <c r="G102" s="8" t="s">
        <v>1793</v>
      </c>
      <c r="H102" s="8" t="s">
        <v>1618</v>
      </c>
      <c r="I102" s="55" t="s">
        <v>164</v>
      </c>
      <c r="J102" s="60" t="s">
        <v>6988</v>
      </c>
      <c r="K102" s="22">
        <v>1.0</v>
      </c>
      <c r="L102" s="22">
        <f>+SUMIF('حركه المخزن الرئيسي اليوميه'!$F:$F,$H:$H,'حركه المخزن الرئيسي اليوميه'!$H:$H)</f>
        <v>0.0</v>
      </c>
      <c r="M102" s="22">
        <f>+SUMIF('حركه المخزن الرئيسي اليوميه'!$F:$F,$H:$H,'حركه المخزن الرئيسي اليوميه'!$I:$I)</f>
        <v>0.0</v>
      </c>
      <c r="N102" s="22">
        <f t="shared" si="3"/>
        <v>1.0</v>
      </c>
      <c r="O102" s="22">
        <f t="shared" si="4"/>
        <v>1.0</v>
      </c>
      <c r="P102" s="22">
        <f t="shared" si="5"/>
        <v>0.0</v>
      </c>
      <c r="Q102" s="57"/>
      <c r="R102" s="58"/>
    </row>
    <row r="103" spans="8:8">
      <c r="B103" s="8">
        <v>94.0</v>
      </c>
      <c r="C103" s="8" t="s">
        <v>828</v>
      </c>
      <c r="D103" s="8" t="s">
        <v>828</v>
      </c>
      <c r="E103" s="8" t="s">
        <v>2754</v>
      </c>
      <c r="F103" s="8" t="s">
        <v>1501</v>
      </c>
      <c r="G103" s="8"/>
      <c r="H103" s="8" t="s">
        <v>2754</v>
      </c>
      <c r="I103" s="55" t="s">
        <v>89</v>
      </c>
      <c r="J103" s="60" t="s">
        <v>6989</v>
      </c>
      <c r="K103" s="22">
        <v>3.0</v>
      </c>
      <c r="L103" s="22">
        <f>+SUMIF('حركه المخزن الرئيسي اليوميه'!$F:$F,$H:$H,'حركه المخزن الرئيسي اليوميه'!$H:$H)</f>
        <v>0.0</v>
      </c>
      <c r="M103" s="22">
        <f>+SUMIF('حركه المخزن الرئيسي اليوميه'!$F:$F,$H:$H,'حركه المخزن الرئيسي اليوميه'!$I:$I)</f>
        <v>0.0</v>
      </c>
      <c r="N103" s="22">
        <f t="shared" si="3"/>
        <v>3.0</v>
      </c>
      <c r="O103" s="22">
        <f t="shared" si="4"/>
        <v>3.0</v>
      </c>
      <c r="P103" s="22">
        <f t="shared" si="5"/>
        <v>0.0</v>
      </c>
      <c r="Q103" s="57"/>
      <c r="R103" s="58"/>
    </row>
    <row r="104" spans="8:8">
      <c r="B104" s="8">
        <v>95.0</v>
      </c>
      <c r="C104" s="8" t="s">
        <v>828</v>
      </c>
      <c r="D104" s="8" t="s">
        <v>828</v>
      </c>
      <c r="E104" s="8" t="s">
        <v>2755</v>
      </c>
      <c r="F104" s="8" t="s">
        <v>1501</v>
      </c>
      <c r="G104" s="8"/>
      <c r="H104" s="8" t="s">
        <v>2755</v>
      </c>
      <c r="I104" s="55" t="s">
        <v>89</v>
      </c>
      <c r="J104" s="60" t="s">
        <v>6990</v>
      </c>
      <c r="K104" s="22">
        <v>2.0</v>
      </c>
      <c r="L104" s="22">
        <f>+SUMIF('حركه المخزن الرئيسي اليوميه'!$F:$F,$H:$H,'حركه المخزن الرئيسي اليوميه'!$H:$H)</f>
        <v>0.0</v>
      </c>
      <c r="M104" s="22">
        <f>+SUMIF('حركه المخزن الرئيسي اليوميه'!$F:$F,$H:$H,'حركه المخزن الرئيسي اليوميه'!$I:$I)</f>
        <v>0.0</v>
      </c>
      <c r="N104" s="22">
        <f t="shared" si="3"/>
        <v>2.0</v>
      </c>
      <c r="O104" s="22">
        <f t="shared" si="4"/>
        <v>2.0</v>
      </c>
      <c r="P104" s="22">
        <f t="shared" si="5"/>
        <v>0.0</v>
      </c>
      <c r="Q104" s="57"/>
      <c r="R104" s="58"/>
    </row>
    <row r="105" spans="8:8">
      <c r="B105" s="8">
        <v>96.0</v>
      </c>
      <c r="C105" s="8" t="s">
        <v>764</v>
      </c>
      <c r="D105" s="8" t="s">
        <v>828</v>
      </c>
      <c r="E105" s="8" t="s">
        <v>2829</v>
      </c>
      <c r="F105" s="8" t="s">
        <v>68</v>
      </c>
      <c r="G105" s="8"/>
      <c r="H105" s="8" t="s">
        <v>2829</v>
      </c>
      <c r="I105" s="8" t="s">
        <v>89</v>
      </c>
      <c r="J105" s="60" t="s">
        <v>6991</v>
      </c>
      <c r="K105" s="22">
        <v>1.0</v>
      </c>
      <c r="L105" s="22">
        <f>+SUMIF('حركه المخزن الرئيسي اليوميه'!$F:$F,$H:$H,'حركه المخزن الرئيسي اليوميه'!$H:$H)</f>
        <v>0.0</v>
      </c>
      <c r="M105" s="22">
        <f>+SUMIF('حركه المخزن الرئيسي اليوميه'!$F:$F,$H:$H,'حركه المخزن الرئيسي اليوميه'!$I:$I)</f>
        <v>0.0</v>
      </c>
      <c r="N105" s="22">
        <f t="shared" si="3"/>
        <v>1.0</v>
      </c>
      <c r="O105" s="22">
        <f t="shared" si="4"/>
        <v>1.0</v>
      </c>
      <c r="P105" s="22">
        <f t="shared" si="5"/>
        <v>0.0</v>
      </c>
      <c r="Q105" s="57"/>
      <c r="R105" s="58"/>
    </row>
    <row r="106" spans="8:8">
      <c r="B106" s="8">
        <v>97.0</v>
      </c>
      <c r="C106" s="8" t="s">
        <v>766</v>
      </c>
      <c r="D106" s="8" t="s">
        <v>828</v>
      </c>
      <c r="E106" s="8" t="s">
        <v>464</v>
      </c>
      <c r="F106" s="8" t="s">
        <v>68</v>
      </c>
      <c r="G106" s="8" t="s">
        <v>1575</v>
      </c>
      <c r="H106" s="8" t="s">
        <v>464</v>
      </c>
      <c r="I106" s="55" t="s">
        <v>78</v>
      </c>
      <c r="J106" s="60" t="s">
        <v>6992</v>
      </c>
      <c r="K106" s="22">
        <v>59.0</v>
      </c>
      <c r="L106" s="22">
        <f>+SUMIF('حركه المخزن الرئيسي اليوميه'!$F:$F,$H:$H,'حركه المخزن الرئيسي اليوميه'!$H:$H)</f>
        <v>0.0</v>
      </c>
      <c r="M106" s="22">
        <f>+SUMIF('حركه المخزن الرئيسي اليوميه'!$F:$F,$H:$H,'حركه المخزن الرئيسي اليوميه'!$I:$I)</f>
        <v>0.0</v>
      </c>
      <c r="N106" s="22">
        <f t="shared" si="3"/>
        <v>59.0</v>
      </c>
      <c r="O106" s="22">
        <f t="shared" si="4"/>
        <v>59.0</v>
      </c>
      <c r="P106" s="22">
        <f t="shared" si="5"/>
        <v>0.0</v>
      </c>
      <c r="Q106" s="57"/>
      <c r="R106" s="58"/>
    </row>
    <row r="107" spans="8:8">
      <c r="B107" s="8">
        <v>98.0</v>
      </c>
      <c r="C107" s="8" t="s">
        <v>764</v>
      </c>
      <c r="D107" s="8" t="s">
        <v>828</v>
      </c>
      <c r="E107" s="8" t="s">
        <v>502</v>
      </c>
      <c r="F107" s="8" t="s">
        <v>68</v>
      </c>
      <c r="G107" s="8" t="s">
        <v>2353</v>
      </c>
      <c r="H107" s="8" t="s">
        <v>502</v>
      </c>
      <c r="I107" s="55" t="s">
        <v>55</v>
      </c>
      <c r="J107" s="60" t="s">
        <v>6993</v>
      </c>
      <c r="K107" s="22">
        <v>15.0</v>
      </c>
      <c r="L107" s="22">
        <f>+SUMIF('حركه المخزن الرئيسي اليوميه'!$F:$F,$H:$H,'حركه المخزن الرئيسي اليوميه'!$H:$H)</f>
        <v>0.0</v>
      </c>
      <c r="M107" s="22">
        <f>+SUMIF('حركه المخزن الرئيسي اليوميه'!$F:$F,$H:$H,'حركه المخزن الرئيسي اليوميه'!$I:$I)</f>
        <v>0.0</v>
      </c>
      <c r="N107" s="22">
        <f t="shared" si="3"/>
        <v>15.0</v>
      </c>
      <c r="O107" s="22">
        <f t="shared" si="4"/>
        <v>15.0</v>
      </c>
      <c r="P107" s="22">
        <f t="shared" si="5"/>
        <v>0.0</v>
      </c>
      <c r="Q107" s="57"/>
      <c r="R107" s="58"/>
    </row>
    <row r="108" spans="8:8">
      <c r="B108" s="8">
        <v>99.0</v>
      </c>
      <c r="C108" s="8" t="s">
        <v>828</v>
      </c>
      <c r="D108" s="8" t="s">
        <v>828</v>
      </c>
      <c r="E108" s="8" t="s">
        <v>2858</v>
      </c>
      <c r="F108" s="8" t="s">
        <v>68</v>
      </c>
      <c r="G108" s="8"/>
      <c r="H108" s="8" t="s">
        <v>2858</v>
      </c>
      <c r="I108" s="55" t="s">
        <v>818</v>
      </c>
      <c r="J108" s="60" t="s">
        <v>6994</v>
      </c>
      <c r="K108" s="22">
        <v>2.0</v>
      </c>
      <c r="L108" s="22">
        <f>+SUMIF('حركه المخزن الرئيسي اليوميه'!$F:$F,$H:$H,'حركه المخزن الرئيسي اليوميه'!$H:$H)</f>
        <v>0.0</v>
      </c>
      <c r="M108" s="22">
        <f>+SUMIF('حركه المخزن الرئيسي اليوميه'!$F:$F,$H:$H,'حركه المخزن الرئيسي اليوميه'!$I:$I)</f>
        <v>1.0</v>
      </c>
      <c r="N108" s="22">
        <f t="shared" si="3"/>
        <v>1.0</v>
      </c>
      <c r="O108" s="22">
        <f t="shared" si="4"/>
        <v>1.0</v>
      </c>
      <c r="P108" s="22">
        <f t="shared" si="5"/>
        <v>0.0</v>
      </c>
      <c r="Q108" s="57"/>
      <c r="R108" s="58"/>
    </row>
    <row r="109" spans="8:8">
      <c r="B109" s="8">
        <v>100.0</v>
      </c>
      <c r="C109" s="8" t="s">
        <v>828</v>
      </c>
      <c r="D109" s="8" t="s">
        <v>828</v>
      </c>
      <c r="E109" s="8" t="s">
        <v>2859</v>
      </c>
      <c r="F109" s="8" t="s">
        <v>68</v>
      </c>
      <c r="G109" s="8"/>
      <c r="H109" s="8" t="s">
        <v>2859</v>
      </c>
      <c r="I109" s="55" t="s">
        <v>55</v>
      </c>
      <c r="J109" s="60" t="s">
        <v>6995</v>
      </c>
      <c r="K109" s="22">
        <v>1.0</v>
      </c>
      <c r="L109" s="22">
        <f>+SUMIF('حركه المخزن الرئيسي اليوميه'!$F:$F,$H:$H,'حركه المخزن الرئيسي اليوميه'!$H:$H)</f>
        <v>0.0</v>
      </c>
      <c r="M109" s="22">
        <f>+SUMIF('حركه المخزن الرئيسي اليوميه'!$F:$F,$H:$H,'حركه المخزن الرئيسي اليوميه'!$I:$I)</f>
        <v>0.0</v>
      </c>
      <c r="N109" s="22">
        <f t="shared" si="3"/>
        <v>1.0</v>
      </c>
      <c r="O109" s="22">
        <f t="shared" si="4"/>
        <v>1.0</v>
      </c>
      <c r="P109" s="22">
        <f t="shared" si="5"/>
        <v>0.0</v>
      </c>
      <c r="Q109" s="57"/>
      <c r="R109" s="58"/>
    </row>
    <row r="110" spans="8:8">
      <c r="B110" s="8">
        <v>101.0</v>
      </c>
      <c r="C110" s="8" t="s">
        <v>764</v>
      </c>
      <c r="D110" s="8" t="s">
        <v>713</v>
      </c>
      <c r="E110" s="8" t="s">
        <v>654</v>
      </c>
      <c r="F110" s="8" t="s">
        <v>68</v>
      </c>
      <c r="G110" s="8" t="s">
        <v>2160</v>
      </c>
      <c r="H110" s="8" t="s">
        <v>654</v>
      </c>
      <c r="I110" s="55" t="s">
        <v>70</v>
      </c>
      <c r="J110" s="60" t="s">
        <v>6996</v>
      </c>
      <c r="K110" s="22">
        <v>0.0</v>
      </c>
      <c r="L110" s="22">
        <f>+SUMIF('حركه المخزن الرئيسي اليوميه'!$F:$F,$H:$H,'حركه المخزن الرئيسي اليوميه'!$H:$H)</f>
        <v>0.0</v>
      </c>
      <c r="M110" s="22">
        <f>+SUMIF('حركه المخزن الرئيسي اليوميه'!$F:$F,$H:$H,'حركه المخزن الرئيسي اليوميه'!$I:$I)</f>
        <v>0.0</v>
      </c>
      <c r="N110" s="22">
        <f t="shared" si="3"/>
        <v>0.0</v>
      </c>
      <c r="O110" s="22">
        <f t="shared" si="4"/>
        <v>0.0</v>
      </c>
      <c r="P110" s="22">
        <f t="shared" si="5"/>
        <v>0.0</v>
      </c>
      <c r="Q110" s="57"/>
      <c r="R110" s="58"/>
    </row>
    <row r="111" spans="8:8">
      <c r="B111" s="8">
        <v>102.0</v>
      </c>
      <c r="C111" s="8" t="s">
        <v>764</v>
      </c>
      <c r="D111" s="8" t="s">
        <v>764</v>
      </c>
      <c r="E111" s="8" t="s">
        <v>2631</v>
      </c>
      <c r="F111" s="8" t="s">
        <v>68</v>
      </c>
      <c r="G111" s="8" t="s">
        <v>2166</v>
      </c>
      <c r="H111" s="8" t="s">
        <v>2631</v>
      </c>
      <c r="I111" s="55" t="s">
        <v>70</v>
      </c>
      <c r="J111" s="60" t="s">
        <v>6997</v>
      </c>
      <c r="K111" s="22">
        <v>2.0</v>
      </c>
      <c r="L111" s="22">
        <f>+SUMIF('حركه المخزن الرئيسي اليوميه'!$F:$F,$H:$H,'حركه المخزن الرئيسي اليوميه'!$H:$H)</f>
        <v>0.0</v>
      </c>
      <c r="M111" s="22">
        <f>+SUMIF('حركه المخزن الرئيسي اليوميه'!$F:$F,$H:$H,'حركه المخزن الرئيسي اليوميه'!$I:$I)</f>
        <v>0.0</v>
      </c>
      <c r="N111" s="22">
        <f t="shared" si="3"/>
        <v>2.0</v>
      </c>
      <c r="O111" s="22">
        <f t="shared" si="4"/>
        <v>2.0</v>
      </c>
      <c r="P111" s="22">
        <f t="shared" si="5"/>
        <v>0.0</v>
      </c>
      <c r="Q111" s="57"/>
      <c r="R111" s="58"/>
    </row>
    <row r="112" spans="8:8">
      <c r="B112" s="8">
        <v>103.0</v>
      </c>
      <c r="C112" s="8" t="s">
        <v>763</v>
      </c>
      <c r="D112" s="8" t="s">
        <v>828</v>
      </c>
      <c r="E112" s="8" t="s">
        <v>439</v>
      </c>
      <c r="F112" s="8" t="s">
        <v>68</v>
      </c>
      <c r="G112" s="8" t="s">
        <v>1576</v>
      </c>
      <c r="H112" s="8" t="s">
        <v>439</v>
      </c>
      <c r="I112" s="55" t="s">
        <v>70</v>
      </c>
      <c r="J112" s="60" t="s">
        <v>6998</v>
      </c>
      <c r="K112" s="22">
        <v>49.0</v>
      </c>
      <c r="L112" s="22">
        <f>+SUMIF('حركه المخزن الرئيسي اليوميه'!$F:$F,$H:$H,'حركه المخزن الرئيسي اليوميه'!$H:$H)</f>
        <v>0.0</v>
      </c>
      <c r="M112" s="22">
        <f>+SUMIF('حركه المخزن الرئيسي اليوميه'!$F:$F,$H:$H,'حركه المخزن الرئيسي اليوميه'!$I:$I)</f>
        <v>0.0</v>
      </c>
      <c r="N112" s="22">
        <f t="shared" si="3"/>
        <v>49.0</v>
      </c>
      <c r="O112" s="22">
        <f t="shared" si="4"/>
        <v>49.0</v>
      </c>
      <c r="P112" s="22">
        <f t="shared" si="5"/>
        <v>0.0</v>
      </c>
      <c r="Q112" s="57"/>
      <c r="R112" s="58"/>
    </row>
    <row r="113" spans="8:8">
      <c r="B113" s="8">
        <v>104.0</v>
      </c>
      <c r="C113" s="8" t="s">
        <v>763</v>
      </c>
      <c r="D113" s="8" t="s">
        <v>828</v>
      </c>
      <c r="E113" s="8" t="s">
        <v>440</v>
      </c>
      <c r="F113" s="8" t="s">
        <v>68</v>
      </c>
      <c r="G113" s="8" t="s">
        <v>1576</v>
      </c>
      <c r="H113" s="8" t="s">
        <v>440</v>
      </c>
      <c r="I113" s="55" t="s">
        <v>70</v>
      </c>
      <c r="J113" s="60" t="s">
        <v>6999</v>
      </c>
      <c r="K113" s="22">
        <v>1.0</v>
      </c>
      <c r="L113" s="22">
        <f>+SUMIF('حركه المخزن الرئيسي اليوميه'!$F:$F,$H:$H,'حركه المخزن الرئيسي اليوميه'!$H:$H)</f>
        <v>0.0</v>
      </c>
      <c r="M113" s="22">
        <f>+SUMIF('حركه المخزن الرئيسي اليوميه'!$F:$F,$H:$H,'حركه المخزن الرئيسي اليوميه'!$I:$I)</f>
        <v>0.0</v>
      </c>
      <c r="N113" s="22">
        <f t="shared" si="3"/>
        <v>1.0</v>
      </c>
      <c r="O113" s="22">
        <f t="shared" si="4"/>
        <v>1.0</v>
      </c>
      <c r="P113" s="22">
        <f t="shared" si="5"/>
        <v>0.0</v>
      </c>
      <c r="Q113" s="57"/>
      <c r="R113" s="58"/>
    </row>
    <row r="114" spans="8:8">
      <c r="B114" s="8">
        <v>105.0</v>
      </c>
      <c r="C114" s="8" t="s">
        <v>763</v>
      </c>
      <c r="D114" s="8" t="s">
        <v>828</v>
      </c>
      <c r="E114" s="8" t="s">
        <v>446</v>
      </c>
      <c r="F114" s="8" t="s">
        <v>68</v>
      </c>
      <c r="G114" s="8" t="s">
        <v>1576</v>
      </c>
      <c r="H114" s="8" t="s">
        <v>446</v>
      </c>
      <c r="I114" s="55" t="s">
        <v>36</v>
      </c>
      <c r="J114" s="60" t="s">
        <v>7000</v>
      </c>
      <c r="K114" s="22">
        <v>0.0</v>
      </c>
      <c r="L114" s="22">
        <f>+SUMIF('حركه المخزن الرئيسي اليوميه'!$F:$F,$H:$H,'حركه المخزن الرئيسي اليوميه'!$H:$H)</f>
        <v>0.0</v>
      </c>
      <c r="M114" s="22">
        <f>+SUMIF('حركه المخزن الرئيسي اليوميه'!$F:$F,$H:$H,'حركه المخزن الرئيسي اليوميه'!$I:$I)</f>
        <v>0.0</v>
      </c>
      <c r="N114" s="22">
        <f t="shared" si="3"/>
        <v>0.0</v>
      </c>
      <c r="O114" s="22">
        <f t="shared" si="4"/>
        <v>0.0</v>
      </c>
      <c r="P114" s="22">
        <f t="shared" si="5"/>
        <v>0.0</v>
      </c>
      <c r="Q114" s="57"/>
      <c r="R114" s="58"/>
    </row>
    <row r="115" spans="8:8">
      <c r="B115" s="8">
        <v>106.0</v>
      </c>
      <c r="C115" s="8" t="s">
        <v>763</v>
      </c>
      <c r="D115" s="8" t="s">
        <v>828</v>
      </c>
      <c r="E115" s="8" t="s">
        <v>442</v>
      </c>
      <c r="F115" s="8" t="s">
        <v>68</v>
      </c>
      <c r="G115" s="8" t="s">
        <v>1576</v>
      </c>
      <c r="H115" s="8" t="s">
        <v>442</v>
      </c>
      <c r="I115" s="55" t="s">
        <v>36</v>
      </c>
      <c r="J115" s="60" t="s">
        <v>7001</v>
      </c>
      <c r="K115" s="22">
        <v>0.0</v>
      </c>
      <c r="L115" s="22">
        <f>+SUMIF('حركه المخزن الرئيسي اليوميه'!$F:$F,$H:$H,'حركه المخزن الرئيسي اليوميه'!$H:$H)</f>
        <v>0.0</v>
      </c>
      <c r="M115" s="22">
        <f>+SUMIF('حركه المخزن الرئيسي اليوميه'!$F:$F,$H:$H,'حركه المخزن الرئيسي اليوميه'!$I:$I)</f>
        <v>0.0</v>
      </c>
      <c r="N115" s="22">
        <f t="shared" si="3"/>
        <v>0.0</v>
      </c>
      <c r="O115" s="22">
        <f t="shared" si="4"/>
        <v>0.0</v>
      </c>
      <c r="P115" s="22">
        <f t="shared" si="5"/>
        <v>0.0</v>
      </c>
      <c r="Q115" s="57"/>
      <c r="R115" s="58"/>
    </row>
    <row r="116" spans="8:8">
      <c r="B116" s="8">
        <v>107.0</v>
      </c>
      <c r="C116" s="8" t="s">
        <v>828</v>
      </c>
      <c r="D116" s="8" t="s">
        <v>828</v>
      </c>
      <c r="E116" s="8" t="s">
        <v>2764</v>
      </c>
      <c r="F116" s="8" t="s">
        <v>1501</v>
      </c>
      <c r="G116" s="8"/>
      <c r="H116" s="8" t="s">
        <v>2764</v>
      </c>
      <c r="I116" s="55" t="s">
        <v>228</v>
      </c>
      <c r="J116" s="60" t="s">
        <v>7002</v>
      </c>
      <c r="K116" s="22">
        <v>0.0</v>
      </c>
      <c r="L116" s="22">
        <f>+SUMIF('حركه المخزن الرئيسي اليوميه'!$F:$F,$H:$H,'حركه المخزن الرئيسي اليوميه'!$H:$H)</f>
        <v>0.0</v>
      </c>
      <c r="M116" s="22">
        <f>+SUMIF('حركه المخزن الرئيسي اليوميه'!$F:$F,$H:$H,'حركه المخزن الرئيسي اليوميه'!$I:$I)</f>
        <v>0.0</v>
      </c>
      <c r="N116" s="22">
        <f t="shared" si="3"/>
        <v>0.0</v>
      </c>
      <c r="O116" s="22">
        <f t="shared" si="4"/>
        <v>0.0</v>
      </c>
      <c r="P116" s="22">
        <f t="shared" si="5"/>
        <v>0.0</v>
      </c>
      <c r="Q116" s="57"/>
      <c r="R116" s="58"/>
    </row>
    <row r="117" spans="8:8">
      <c r="B117" s="8">
        <v>108.0</v>
      </c>
      <c r="C117" s="8" t="s">
        <v>764</v>
      </c>
      <c r="D117" s="8" t="s">
        <v>828</v>
      </c>
      <c r="E117" s="8" t="s">
        <v>561</v>
      </c>
      <c r="F117" s="8" t="s">
        <v>68</v>
      </c>
      <c r="G117" s="8" t="s">
        <v>2157</v>
      </c>
      <c r="H117" s="8" t="s">
        <v>561</v>
      </c>
      <c r="I117" s="55" t="s">
        <v>45</v>
      </c>
      <c r="J117" s="60" t="s">
        <v>7003</v>
      </c>
      <c r="K117" s="22">
        <v>3.0</v>
      </c>
      <c r="L117" s="22">
        <f>+SUMIF('حركه المخزن الرئيسي اليوميه'!$F:$F,$H:$H,'حركه المخزن الرئيسي اليوميه'!$H:$H)</f>
        <v>0.0</v>
      </c>
      <c r="M117" s="22">
        <f>+SUMIF('حركه المخزن الرئيسي اليوميه'!$F:$F,$H:$H,'حركه المخزن الرئيسي اليوميه'!$I:$I)</f>
        <v>0.0</v>
      </c>
      <c r="N117" s="22">
        <f t="shared" si="3"/>
        <v>3.0</v>
      </c>
      <c r="O117" s="22">
        <f t="shared" si="4"/>
        <v>3.0</v>
      </c>
      <c r="P117" s="22">
        <f t="shared" si="5"/>
        <v>0.0</v>
      </c>
      <c r="Q117" s="57"/>
      <c r="R117" s="58"/>
    </row>
    <row r="118" spans="8:8">
      <c r="B118" s="8">
        <v>109.0</v>
      </c>
      <c r="C118" s="8" t="s">
        <v>828</v>
      </c>
      <c r="D118" s="8" t="s">
        <v>828</v>
      </c>
      <c r="E118" s="8" t="s">
        <v>1619</v>
      </c>
      <c r="F118" s="8" t="s">
        <v>1501</v>
      </c>
      <c r="G118" s="8" t="s">
        <v>1794</v>
      </c>
      <c r="H118" s="8" t="s">
        <v>1619</v>
      </c>
      <c r="I118" s="55" t="s">
        <v>45</v>
      </c>
      <c r="J118" s="60" t="s">
        <v>7004</v>
      </c>
      <c r="K118" s="22">
        <v>2.0</v>
      </c>
      <c r="L118" s="22">
        <f>+SUMIF('حركه المخزن الرئيسي اليوميه'!$F:$F,$H:$H,'حركه المخزن الرئيسي اليوميه'!$H:$H)</f>
        <v>0.0</v>
      </c>
      <c r="M118" s="22">
        <f>+SUMIF('حركه المخزن الرئيسي اليوميه'!$F:$F,$H:$H,'حركه المخزن الرئيسي اليوميه'!$I:$I)</f>
        <v>1.0</v>
      </c>
      <c r="N118" s="22">
        <f t="shared" si="3"/>
        <v>1.0</v>
      </c>
      <c r="O118" s="22">
        <f t="shared" si="4"/>
        <v>1.0</v>
      </c>
      <c r="P118" s="22">
        <f t="shared" si="5"/>
        <v>0.0</v>
      </c>
      <c r="Q118" s="57"/>
      <c r="R118" s="58"/>
    </row>
    <row r="119" spans="8:8">
      <c r="B119" s="8">
        <v>110.0</v>
      </c>
      <c r="C119" s="8" t="s">
        <v>764</v>
      </c>
      <c r="D119" s="8" t="s">
        <v>828</v>
      </c>
      <c r="E119" s="8" t="s">
        <v>471</v>
      </c>
      <c r="F119" s="8" t="s">
        <v>68</v>
      </c>
      <c r="G119" s="8" t="s">
        <v>1722</v>
      </c>
      <c r="H119" s="8" t="s">
        <v>471</v>
      </c>
      <c r="I119" s="55" t="s">
        <v>36</v>
      </c>
      <c r="J119" s="60" t="s">
        <v>7005</v>
      </c>
      <c r="K119" s="22">
        <v>0.0</v>
      </c>
      <c r="L119" s="22">
        <f>+SUMIF('حركه المخزن الرئيسي اليوميه'!$F:$F,$H:$H,'حركه المخزن الرئيسي اليوميه'!$H:$H)</f>
        <v>0.0</v>
      </c>
      <c r="M119" s="22">
        <f>+SUMIF('حركه المخزن الرئيسي اليوميه'!$F:$F,$H:$H,'حركه المخزن الرئيسي اليوميه'!$I:$I)</f>
        <v>0.0</v>
      </c>
      <c r="N119" s="22">
        <f t="shared" si="3"/>
        <v>0.0</v>
      </c>
      <c r="O119" s="22">
        <f t="shared" si="4"/>
        <v>0.0</v>
      </c>
      <c r="P119" s="22">
        <f t="shared" si="5"/>
        <v>0.0</v>
      </c>
      <c r="Q119" s="57"/>
      <c r="R119" s="58"/>
    </row>
    <row r="120" spans="8:8">
      <c r="B120" s="8">
        <v>111.0</v>
      </c>
      <c r="C120" s="8" t="s">
        <v>764</v>
      </c>
      <c r="D120" s="8" t="s">
        <v>828</v>
      </c>
      <c r="E120" s="8" t="s">
        <v>512</v>
      </c>
      <c r="F120" s="8" t="s">
        <v>68</v>
      </c>
      <c r="G120" s="8" t="s">
        <v>1576</v>
      </c>
      <c r="H120" s="8" t="s">
        <v>512</v>
      </c>
      <c r="I120" s="55" t="s">
        <v>228</v>
      </c>
      <c r="J120" s="60" t="s">
        <v>7006</v>
      </c>
      <c r="K120" s="22">
        <v>0.0</v>
      </c>
      <c r="L120" s="22">
        <f>+SUMIF('حركه المخزن الرئيسي اليوميه'!$F:$F,$H:$H,'حركه المخزن الرئيسي اليوميه'!$H:$H)</f>
        <v>0.0</v>
      </c>
      <c r="M120" s="22">
        <f>+SUMIF('حركه المخزن الرئيسي اليوميه'!$F:$F,$H:$H,'حركه المخزن الرئيسي اليوميه'!$I:$I)</f>
        <v>0.0</v>
      </c>
      <c r="N120" s="22">
        <f t="shared" si="3"/>
        <v>0.0</v>
      </c>
      <c r="O120" s="22">
        <f t="shared" si="4"/>
        <v>0.0</v>
      </c>
      <c r="P120" s="22">
        <f t="shared" si="5"/>
        <v>0.0</v>
      </c>
      <c r="Q120" s="57"/>
      <c r="R120" s="58"/>
    </row>
    <row r="121" spans="8:8">
      <c r="B121" s="8">
        <v>112.0</v>
      </c>
      <c r="C121" s="8" t="s">
        <v>766</v>
      </c>
      <c r="D121" s="8" t="s">
        <v>828</v>
      </c>
      <c r="E121" s="8" t="s">
        <v>2872</v>
      </c>
      <c r="F121" s="8" t="s">
        <v>68</v>
      </c>
      <c r="G121" s="8" t="s">
        <v>1576</v>
      </c>
      <c r="H121" s="8" t="s">
        <v>2872</v>
      </c>
      <c r="I121" s="55" t="s">
        <v>65</v>
      </c>
      <c r="J121" s="60" t="s">
        <v>7007</v>
      </c>
      <c r="K121" s="22">
        <v>3.0</v>
      </c>
      <c r="L121" s="22">
        <f>+SUMIF('حركه المخزن الرئيسي اليوميه'!$F:$F,$H:$H,'حركه المخزن الرئيسي اليوميه'!$H:$H)</f>
        <v>0.0</v>
      </c>
      <c r="M121" s="22">
        <f>+SUMIF('حركه المخزن الرئيسي اليوميه'!$F:$F,$H:$H,'حركه المخزن الرئيسي اليوميه'!$I:$I)</f>
        <v>0.0</v>
      </c>
      <c r="N121" s="22">
        <f t="shared" si="3"/>
        <v>3.0</v>
      </c>
      <c r="O121" s="22">
        <f t="shared" si="4"/>
        <v>3.0</v>
      </c>
      <c r="P121" s="22">
        <f t="shared" si="5"/>
        <v>0.0</v>
      </c>
      <c r="Q121" s="57"/>
      <c r="R121" s="58"/>
    </row>
    <row r="122" spans="8:8">
      <c r="B122" s="8">
        <v>113.0</v>
      </c>
      <c r="C122" s="8" t="s">
        <v>766</v>
      </c>
      <c r="D122" s="8" t="s">
        <v>828</v>
      </c>
      <c r="E122" s="8" t="s">
        <v>560</v>
      </c>
      <c r="F122" s="8" t="s">
        <v>68</v>
      </c>
      <c r="G122" s="8" t="s">
        <v>1576</v>
      </c>
      <c r="H122" s="8" t="s">
        <v>560</v>
      </c>
      <c r="I122" s="55" t="s">
        <v>65</v>
      </c>
      <c r="J122" s="60" t="s">
        <v>7008</v>
      </c>
      <c r="K122" s="22">
        <v>2.0</v>
      </c>
      <c r="L122" s="22">
        <f>+SUMIF('حركه المخزن الرئيسي اليوميه'!$F:$F,$H:$H,'حركه المخزن الرئيسي اليوميه'!$H:$H)</f>
        <v>0.0</v>
      </c>
      <c r="M122" s="22">
        <f>+SUMIF('حركه المخزن الرئيسي اليوميه'!$F:$F,$H:$H,'حركه المخزن الرئيسي اليوميه'!$I:$I)</f>
        <v>0.0</v>
      </c>
      <c r="N122" s="22">
        <f t="shared" si="3"/>
        <v>2.0</v>
      </c>
      <c r="O122" s="22">
        <f t="shared" si="4"/>
        <v>2.0</v>
      </c>
      <c r="P122" s="22">
        <f t="shared" si="5"/>
        <v>0.0</v>
      </c>
      <c r="Q122" s="57"/>
      <c r="R122" s="58"/>
    </row>
    <row r="123" spans="8:8">
      <c r="B123" s="8">
        <v>114.0</v>
      </c>
      <c r="C123" s="8" t="s">
        <v>763</v>
      </c>
      <c r="D123" s="8" t="s">
        <v>828</v>
      </c>
      <c r="E123" s="8" t="s">
        <v>768</v>
      </c>
      <c r="F123" s="8" t="s">
        <v>68</v>
      </c>
      <c r="G123" s="8" t="s">
        <v>1576</v>
      </c>
      <c r="H123" s="8" t="s">
        <v>768</v>
      </c>
      <c r="I123" s="55" t="s">
        <v>65</v>
      </c>
      <c r="J123" s="60" t="s">
        <v>7009</v>
      </c>
      <c r="K123" s="22">
        <v>11.0</v>
      </c>
      <c r="L123" s="22">
        <f>+SUMIF('حركه المخزن الرئيسي اليوميه'!$F:$F,$H:$H,'حركه المخزن الرئيسي اليوميه'!$H:$H)</f>
        <v>0.0</v>
      </c>
      <c r="M123" s="22">
        <f>+SUMIF('حركه المخزن الرئيسي اليوميه'!$F:$F,$H:$H,'حركه المخزن الرئيسي اليوميه'!$I:$I)</f>
        <v>0.0</v>
      </c>
      <c r="N123" s="22">
        <f t="shared" si="3"/>
        <v>11.0</v>
      </c>
      <c r="O123" s="22">
        <f t="shared" si="4"/>
        <v>11.0</v>
      </c>
      <c r="P123" s="22">
        <f t="shared" si="5"/>
        <v>0.0</v>
      </c>
      <c r="Q123" s="57"/>
      <c r="R123" s="58"/>
    </row>
    <row r="124" spans="8:8">
      <c r="B124" s="8">
        <v>115.0</v>
      </c>
      <c r="C124" s="8" t="s">
        <v>763</v>
      </c>
      <c r="D124" s="8" t="s">
        <v>828</v>
      </c>
      <c r="E124" s="8" t="s">
        <v>3885</v>
      </c>
      <c r="F124" s="8" t="s">
        <v>68</v>
      </c>
      <c r="G124" s="8"/>
      <c r="H124" s="8" t="s">
        <v>3885</v>
      </c>
      <c r="I124" s="55" t="s">
        <v>222</v>
      </c>
      <c r="J124" s="60" t="s">
        <v>7010</v>
      </c>
      <c r="K124" s="22">
        <v>1.0</v>
      </c>
      <c r="L124" s="22">
        <f>+SUMIF('حركه المخزن الرئيسي اليوميه'!$F:$F,$H:$H,'حركه المخزن الرئيسي اليوميه'!$H:$H)</f>
        <v>0.0</v>
      </c>
      <c r="M124" s="22">
        <f>+SUMIF('حركه المخزن الرئيسي اليوميه'!$F:$F,$H:$H,'حركه المخزن الرئيسي اليوميه'!$I:$I)</f>
        <v>0.0</v>
      </c>
      <c r="N124" s="22">
        <f t="shared" si="3"/>
        <v>1.0</v>
      </c>
      <c r="O124" s="22">
        <f t="shared" si="4"/>
        <v>1.0</v>
      </c>
      <c r="P124" s="22">
        <f t="shared" si="5"/>
        <v>0.0</v>
      </c>
      <c r="Q124" s="57"/>
      <c r="R124" s="58"/>
    </row>
    <row r="125" spans="8:8">
      <c r="B125" s="8">
        <v>116.0</v>
      </c>
      <c r="C125" s="8" t="s">
        <v>763</v>
      </c>
      <c r="D125" s="8" t="s">
        <v>828</v>
      </c>
      <c r="E125" s="8" t="s">
        <v>3671</v>
      </c>
      <c r="F125" s="8" t="s">
        <v>68</v>
      </c>
      <c r="G125" s="8"/>
      <c r="H125" s="8" t="s">
        <v>3671</v>
      </c>
      <c r="I125" s="55" t="s">
        <v>166</v>
      </c>
      <c r="J125" s="60" t="s">
        <v>7011</v>
      </c>
      <c r="K125" s="22">
        <v>3.0</v>
      </c>
      <c r="L125" s="22">
        <f>+SUMIF('حركه المخزن الرئيسي اليوميه'!$F:$F,$H:$H,'حركه المخزن الرئيسي اليوميه'!$H:$H)</f>
        <v>0.0</v>
      </c>
      <c r="M125" s="22">
        <f>+SUMIF('حركه المخزن الرئيسي اليوميه'!$F:$F,$H:$H,'حركه المخزن الرئيسي اليوميه'!$I:$I)</f>
        <v>0.0</v>
      </c>
      <c r="N125" s="22">
        <f t="shared" si="3"/>
        <v>3.0</v>
      </c>
      <c r="O125" s="22">
        <f t="shared" si="4"/>
        <v>3.0</v>
      </c>
      <c r="P125" s="22">
        <f t="shared" si="5"/>
        <v>0.0</v>
      </c>
      <c r="Q125" s="57"/>
      <c r="R125" s="58"/>
    </row>
    <row r="126" spans="8:8">
      <c r="B126" s="8">
        <v>117.0</v>
      </c>
      <c r="C126" s="8"/>
      <c r="D126" s="8"/>
      <c r="E126" s="8"/>
      <c r="F126" s="8"/>
      <c r="G126" s="8"/>
      <c r="H126" s="8"/>
      <c r="I126" s="55"/>
      <c r="J126" s="60" t="s">
        <v>7012</v>
      </c>
      <c r="K126" s="22">
        <v>0.0</v>
      </c>
      <c r="L126" s="22">
        <f>+SUMIF('حركه المخزن الرئيسي اليوميه'!$F:$F,$H:$H,'حركه المخزن الرئيسي اليوميه'!$H:$H)</f>
        <v>0.0</v>
      </c>
      <c r="M126" s="22">
        <f>+SUMIF('حركه المخزن الرئيسي اليوميه'!$F:$F,$H:$H,'حركه المخزن الرئيسي اليوميه'!$I:$I)</f>
        <v>0.0</v>
      </c>
      <c r="N126" s="22">
        <f t="shared" si="3"/>
        <v>0.0</v>
      </c>
      <c r="O126" s="22">
        <f t="shared" si="4"/>
        <v>0.0</v>
      </c>
      <c r="P126" s="22">
        <f t="shared" si="5"/>
        <v>0.0</v>
      </c>
      <c r="Q126" s="57"/>
      <c r="R126" s="58"/>
    </row>
    <row r="127" spans="8:8">
      <c r="B127" s="8">
        <v>118.0</v>
      </c>
      <c r="C127" s="8"/>
      <c r="D127" s="8"/>
      <c r="E127" s="8"/>
      <c r="F127" s="8"/>
      <c r="G127" s="8"/>
      <c r="H127" s="8"/>
      <c r="I127" s="55"/>
      <c r="J127" s="60" t="s">
        <v>7013</v>
      </c>
      <c r="K127" s="22">
        <v>0.0</v>
      </c>
      <c r="L127" s="22">
        <f>+SUMIF('حركه المخزن الرئيسي اليوميه'!$F:$F,$H:$H,'حركه المخزن الرئيسي اليوميه'!$H:$H)</f>
        <v>0.0</v>
      </c>
      <c r="M127" s="22">
        <f>+SUMIF('حركه المخزن الرئيسي اليوميه'!$F:$F,$H:$H,'حركه المخزن الرئيسي اليوميه'!$I:$I)</f>
        <v>0.0</v>
      </c>
      <c r="N127" s="22">
        <f t="shared" si="3"/>
        <v>0.0</v>
      </c>
      <c r="O127" s="22">
        <f t="shared" si="4"/>
        <v>0.0</v>
      </c>
      <c r="P127" s="22">
        <f t="shared" si="5"/>
        <v>0.0</v>
      </c>
      <c r="Q127" s="57"/>
      <c r="R127" s="58"/>
    </row>
    <row r="128" spans="8:8">
      <c r="B128" s="8">
        <v>119.0</v>
      </c>
      <c r="C128" s="8"/>
      <c r="D128" s="8"/>
      <c r="E128" s="8"/>
      <c r="F128" s="8"/>
      <c r="G128" s="8"/>
      <c r="H128" s="8"/>
      <c r="I128" s="55"/>
      <c r="J128" s="60" t="s">
        <v>7014</v>
      </c>
      <c r="K128" s="22">
        <v>0.0</v>
      </c>
      <c r="L128" s="22">
        <f>+SUMIF('حركه المخزن الرئيسي اليوميه'!$F:$F,$H:$H,'حركه المخزن الرئيسي اليوميه'!$H:$H)</f>
        <v>0.0</v>
      </c>
      <c r="M128" s="22">
        <f>+SUMIF('حركه المخزن الرئيسي اليوميه'!$F:$F,$H:$H,'حركه المخزن الرئيسي اليوميه'!$I:$I)</f>
        <v>0.0</v>
      </c>
      <c r="N128" s="22">
        <f t="shared" si="3"/>
        <v>0.0</v>
      </c>
      <c r="O128" s="22">
        <f t="shared" si="4"/>
        <v>0.0</v>
      </c>
      <c r="P128" s="22">
        <f t="shared" si="5"/>
        <v>0.0</v>
      </c>
      <c r="Q128" s="57"/>
      <c r="R128" s="58"/>
    </row>
    <row r="129" spans="8:8">
      <c r="B129" s="8">
        <v>120.0</v>
      </c>
      <c r="C129" s="8" t="s">
        <v>764</v>
      </c>
      <c r="D129" s="8" t="s">
        <v>713</v>
      </c>
      <c r="E129" s="8" t="s">
        <v>789</v>
      </c>
      <c r="F129" s="8" t="s">
        <v>68</v>
      </c>
      <c r="G129" s="8" t="s">
        <v>2163</v>
      </c>
      <c r="H129" s="8" t="s">
        <v>779</v>
      </c>
      <c r="I129" s="55" t="s">
        <v>226</v>
      </c>
      <c r="J129" s="60" t="s">
        <v>7015</v>
      </c>
      <c r="K129" s="22">
        <v>0.0</v>
      </c>
      <c r="L129" s="22">
        <f>+SUMIF('حركه المخزن الرئيسي اليوميه'!$F:$F,$H:$H,'حركه المخزن الرئيسي اليوميه'!$H:$H)</f>
        <v>0.0</v>
      </c>
      <c r="M129" s="22">
        <f>+SUMIF('حركه المخزن الرئيسي اليوميه'!$F:$F,$H:$H,'حركه المخزن الرئيسي اليوميه'!$I:$I)</f>
        <v>0.0</v>
      </c>
      <c r="N129" s="22">
        <f t="shared" si="3"/>
        <v>0.0</v>
      </c>
      <c r="O129" s="22">
        <f t="shared" si="4"/>
        <v>0.0</v>
      </c>
      <c r="P129" s="22">
        <f t="shared" si="5"/>
        <v>0.0</v>
      </c>
      <c r="Q129" s="57"/>
      <c r="R129" s="58"/>
    </row>
    <row r="130" spans="8:8">
      <c r="B130" s="8">
        <v>121.0</v>
      </c>
      <c r="C130" s="8" t="s">
        <v>764</v>
      </c>
      <c r="D130" s="8" t="s">
        <v>713</v>
      </c>
      <c r="E130" s="8" t="s">
        <v>742</v>
      </c>
      <c r="F130" s="8" t="s">
        <v>68</v>
      </c>
      <c r="G130" s="8" t="s">
        <v>1778</v>
      </c>
      <c r="H130" s="8" t="s">
        <v>742</v>
      </c>
      <c r="I130" s="55" t="s">
        <v>226</v>
      </c>
      <c r="J130" s="60" t="s">
        <v>7016</v>
      </c>
      <c r="K130" s="22">
        <v>2.0</v>
      </c>
      <c r="L130" s="22">
        <f>+SUMIF('حركه المخزن الرئيسي اليوميه'!$F:$F,$H:$H,'حركه المخزن الرئيسي اليوميه'!$H:$H)</f>
        <v>0.0</v>
      </c>
      <c r="M130" s="22">
        <f>+SUMIF('حركه المخزن الرئيسي اليوميه'!$F:$F,$H:$H,'حركه المخزن الرئيسي اليوميه'!$I:$I)</f>
        <v>0.0</v>
      </c>
      <c r="N130" s="22">
        <f t="shared" si="3"/>
        <v>2.0</v>
      </c>
      <c r="O130" s="22">
        <f t="shared" si="4"/>
        <v>2.0</v>
      </c>
      <c r="P130" s="22">
        <f t="shared" si="5"/>
        <v>0.0</v>
      </c>
      <c r="Q130" s="57"/>
      <c r="R130" s="58"/>
    </row>
    <row r="131" spans="8:8">
      <c r="B131" s="8">
        <v>122.0</v>
      </c>
      <c r="C131" s="8" t="s">
        <v>764</v>
      </c>
      <c r="D131" s="8" t="s">
        <v>713</v>
      </c>
      <c r="E131" s="8" t="s">
        <v>743</v>
      </c>
      <c r="F131" s="8" t="s">
        <v>68</v>
      </c>
      <c r="G131" s="8" t="s">
        <v>1779</v>
      </c>
      <c r="H131" s="8" t="s">
        <v>743</v>
      </c>
      <c r="I131" s="55" t="s">
        <v>226</v>
      </c>
      <c r="J131" s="60" t="s">
        <v>7017</v>
      </c>
      <c r="K131" s="22">
        <v>5.0</v>
      </c>
      <c r="L131" s="22">
        <f>+SUMIF('حركه المخزن الرئيسي اليوميه'!$F:$F,$H:$H,'حركه المخزن الرئيسي اليوميه'!$H:$H)</f>
        <v>0.0</v>
      </c>
      <c r="M131" s="22">
        <f>+SUMIF('حركه المخزن الرئيسي اليوميه'!$F:$F,$H:$H,'حركه المخزن الرئيسي اليوميه'!$I:$I)</f>
        <v>0.0</v>
      </c>
      <c r="N131" s="22">
        <f t="shared" si="3"/>
        <v>5.0</v>
      </c>
      <c r="O131" s="22">
        <f t="shared" si="4"/>
        <v>5.0</v>
      </c>
      <c r="P131" s="22">
        <f t="shared" si="5"/>
        <v>0.0</v>
      </c>
      <c r="Q131" s="57"/>
      <c r="R131" s="58"/>
    </row>
    <row r="132" spans="8:8">
      <c r="B132" s="8">
        <v>123.0</v>
      </c>
      <c r="C132" s="8"/>
      <c r="D132" s="8"/>
      <c r="E132" s="8"/>
      <c r="F132" s="8"/>
      <c r="G132" s="8"/>
      <c r="H132" s="8"/>
      <c r="I132" s="55"/>
      <c r="J132" s="60" t="s">
        <v>7018</v>
      </c>
      <c r="K132" s="22">
        <v>0.0</v>
      </c>
      <c r="L132" s="22">
        <f>+SUMIF('حركه المخزن الرئيسي اليوميه'!$F:$F,$H:$H,'حركه المخزن الرئيسي اليوميه'!$H:$H)</f>
        <v>0.0</v>
      </c>
      <c r="M132" s="22">
        <f>+SUMIF('حركه المخزن الرئيسي اليوميه'!$F:$F,$H:$H,'حركه المخزن الرئيسي اليوميه'!$I:$I)</f>
        <v>0.0</v>
      </c>
      <c r="N132" s="22">
        <f t="shared" si="3"/>
        <v>0.0</v>
      </c>
      <c r="O132" s="22">
        <f t="shared" si="4"/>
        <v>0.0</v>
      </c>
      <c r="P132" s="22">
        <f t="shared" si="5"/>
        <v>0.0</v>
      </c>
      <c r="Q132" s="57"/>
      <c r="R132" s="58"/>
    </row>
    <row r="133" spans="8:8">
      <c r="B133" s="8">
        <v>124.0</v>
      </c>
      <c r="C133" s="8"/>
      <c r="D133" s="8"/>
      <c r="E133" s="8"/>
      <c r="F133" s="8"/>
      <c r="G133" s="8"/>
      <c r="H133" s="8"/>
      <c r="I133" s="55"/>
      <c r="J133" s="60" t="s">
        <v>7019</v>
      </c>
      <c r="K133" s="22">
        <v>0.0</v>
      </c>
      <c r="L133" s="22">
        <f>+SUMIF('حركه المخزن الرئيسي اليوميه'!$F:$F,$H:$H,'حركه المخزن الرئيسي اليوميه'!$H:$H)</f>
        <v>0.0</v>
      </c>
      <c r="M133" s="22">
        <f>+SUMIF('حركه المخزن الرئيسي اليوميه'!$F:$F,$H:$H,'حركه المخزن الرئيسي اليوميه'!$I:$I)</f>
        <v>0.0</v>
      </c>
      <c r="N133" s="22">
        <f t="shared" si="3"/>
        <v>0.0</v>
      </c>
      <c r="O133" s="22">
        <f t="shared" si="4"/>
        <v>0.0</v>
      </c>
      <c r="P133" s="22">
        <f t="shared" si="5"/>
        <v>0.0</v>
      </c>
      <c r="Q133" s="57"/>
      <c r="R133" s="58"/>
    </row>
    <row r="134" spans="8:8">
      <c r="B134" s="8">
        <v>125.0</v>
      </c>
      <c r="C134" s="8" t="s">
        <v>766</v>
      </c>
      <c r="D134" s="8" t="s">
        <v>828</v>
      </c>
      <c r="E134" s="8" t="s">
        <v>2676</v>
      </c>
      <c r="F134" s="8" t="s">
        <v>68</v>
      </c>
      <c r="G134" s="8" t="s">
        <v>2412</v>
      </c>
      <c r="H134" s="8" t="s">
        <v>2677</v>
      </c>
      <c r="I134" s="55" t="s">
        <v>224</v>
      </c>
      <c r="J134" s="60" t="s">
        <v>7020</v>
      </c>
      <c r="K134" s="22">
        <v>7.0</v>
      </c>
      <c r="L134" s="22">
        <f>+SUMIF('حركه المخزن الرئيسي اليوميه'!$F:$F,$H:$H,'حركه المخزن الرئيسي اليوميه'!$H:$H)</f>
        <v>0.0</v>
      </c>
      <c r="M134" s="22">
        <f>+SUMIF('حركه المخزن الرئيسي اليوميه'!$F:$F,$H:$H,'حركه المخزن الرئيسي اليوميه'!$I:$I)</f>
        <v>0.0</v>
      </c>
      <c r="N134" s="22">
        <f t="shared" si="3"/>
        <v>7.0</v>
      </c>
      <c r="O134" s="22">
        <f t="shared" si="4"/>
        <v>7.0</v>
      </c>
      <c r="P134" s="22">
        <f t="shared" si="5"/>
        <v>0.0</v>
      </c>
      <c r="Q134" s="57"/>
      <c r="R134" s="58"/>
    </row>
    <row r="135" spans="8:8">
      <c r="B135" s="8">
        <v>126.0</v>
      </c>
      <c r="C135" s="8" t="s">
        <v>763</v>
      </c>
      <c r="D135" s="8" t="s">
        <v>828</v>
      </c>
      <c r="E135" s="8" t="s">
        <v>429</v>
      </c>
      <c r="F135" s="8" t="s">
        <v>68</v>
      </c>
      <c r="G135" s="8" t="s">
        <v>1575</v>
      </c>
      <c r="H135" s="8" t="s">
        <v>429</v>
      </c>
      <c r="I135" s="55" t="s">
        <v>8124</v>
      </c>
      <c r="J135" s="60" t="s">
        <v>7021</v>
      </c>
      <c r="K135" s="22">
        <v>25.0</v>
      </c>
      <c r="L135" s="22">
        <f>+SUMIF('حركه المخزن الرئيسي اليوميه'!$F:$F,$H:$H,'حركه المخزن الرئيسي اليوميه'!$H:$H)</f>
        <v>0.0</v>
      </c>
      <c r="M135" s="22">
        <f>+SUMIF('حركه المخزن الرئيسي اليوميه'!$F:$F,$H:$H,'حركه المخزن الرئيسي اليوميه'!$I:$I)</f>
        <v>1.0</v>
      </c>
      <c r="N135" s="22">
        <f t="shared" si="3"/>
        <v>24.0</v>
      </c>
      <c r="O135" s="22">
        <f t="shared" si="4"/>
        <v>24.0</v>
      </c>
      <c r="P135" s="22">
        <f t="shared" si="5"/>
        <v>0.0</v>
      </c>
      <c r="Q135" s="57"/>
      <c r="R135" s="58"/>
    </row>
    <row r="136" spans="8:8">
      <c r="B136" s="8">
        <v>127.0</v>
      </c>
      <c r="C136" s="8" t="s">
        <v>764</v>
      </c>
      <c r="D136" s="8" t="s">
        <v>828</v>
      </c>
      <c r="E136" s="8" t="s">
        <v>8133</v>
      </c>
      <c r="F136" s="8" t="s">
        <v>68</v>
      </c>
      <c r="G136" s="8" t="s">
        <v>1813</v>
      </c>
      <c r="H136" s="8" t="s">
        <v>8133</v>
      </c>
      <c r="I136" s="55"/>
      <c r="J136" s="60" t="s">
        <v>7022</v>
      </c>
      <c r="K136" s="22">
        <v>0.0</v>
      </c>
      <c r="L136" s="22">
        <f>+SUMIF('حركه المخزن الرئيسي اليوميه'!$F:$F,$H:$H,'حركه المخزن الرئيسي اليوميه'!$H:$H)</f>
        <v>0.0</v>
      </c>
      <c r="M136" s="22">
        <f>+SUMIF('حركه المخزن الرئيسي اليوميه'!$F:$F,$H:$H,'حركه المخزن الرئيسي اليوميه'!$I:$I)</f>
        <v>0.0</v>
      </c>
      <c r="N136" s="22">
        <f t="shared" si="3"/>
        <v>0.0</v>
      </c>
      <c r="O136" s="22">
        <f t="shared" si="4"/>
        <v>0.0</v>
      </c>
      <c r="P136" s="22">
        <f t="shared" si="5"/>
        <v>0.0</v>
      </c>
      <c r="Q136" s="57"/>
      <c r="R136" s="58"/>
    </row>
    <row r="137" spans="8:8">
      <c r="B137" s="8">
        <v>128.0</v>
      </c>
      <c r="C137" s="8" t="s">
        <v>763</v>
      </c>
      <c r="D137" s="8" t="s">
        <v>828</v>
      </c>
      <c r="E137" s="8" t="s">
        <v>431</v>
      </c>
      <c r="F137" s="8" t="s">
        <v>68</v>
      </c>
      <c r="G137" s="8" t="s">
        <v>1575</v>
      </c>
      <c r="H137" s="8" t="s">
        <v>431</v>
      </c>
      <c r="I137" s="55" t="s">
        <v>222</v>
      </c>
      <c r="J137" s="60" t="s">
        <v>7023</v>
      </c>
      <c r="K137" s="22">
        <v>12.0</v>
      </c>
      <c r="L137" s="22">
        <f>+SUMIF('حركه المخزن الرئيسي اليوميه'!$F:$F,$H:$H,'حركه المخزن الرئيسي اليوميه'!$H:$H)</f>
        <v>0.0</v>
      </c>
      <c r="M137" s="22">
        <f>+SUMIF('حركه المخزن الرئيسي اليوميه'!$F:$F,$H:$H,'حركه المخزن الرئيسي اليوميه'!$I:$I)</f>
        <v>0.0</v>
      </c>
      <c r="N137" s="22">
        <f t="shared" si="3"/>
        <v>12.0</v>
      </c>
      <c r="O137" s="22">
        <f t="shared" si="4"/>
        <v>12.0</v>
      </c>
      <c r="P137" s="22">
        <f t="shared" si="5"/>
        <v>0.0</v>
      </c>
      <c r="Q137" s="57"/>
      <c r="R137" s="58"/>
    </row>
    <row r="138" spans="8:8">
      <c r="B138" s="8">
        <v>129.0</v>
      </c>
      <c r="C138" s="8" t="s">
        <v>763</v>
      </c>
      <c r="D138" s="8" t="s">
        <v>828</v>
      </c>
      <c r="E138" s="8" t="s">
        <v>432</v>
      </c>
      <c r="F138" s="8" t="s">
        <v>68</v>
      </c>
      <c r="G138" s="8" t="s">
        <v>1575</v>
      </c>
      <c r="H138" s="8" t="s">
        <v>432</v>
      </c>
      <c r="I138" s="55" t="s">
        <v>818</v>
      </c>
      <c r="J138" s="60" t="s">
        <v>7024</v>
      </c>
      <c r="K138" s="22">
        <v>8.0</v>
      </c>
      <c r="L138" s="22">
        <f>+SUMIF('حركه المخزن الرئيسي اليوميه'!$F:$F,$H:$H,'حركه المخزن الرئيسي اليوميه'!$H:$H)</f>
        <v>0.0</v>
      </c>
      <c r="M138" s="22">
        <f>+SUMIF('حركه المخزن الرئيسي اليوميه'!$F:$F,$H:$H,'حركه المخزن الرئيسي اليوميه'!$I:$I)</f>
        <v>0.0</v>
      </c>
      <c r="N138" s="22">
        <f t="shared" si="3"/>
        <v>8.0</v>
      </c>
      <c r="O138" s="22">
        <f t="shared" si="4"/>
        <v>8.0</v>
      </c>
      <c r="P138" s="22">
        <f t="shared" si="5"/>
        <v>0.0</v>
      </c>
      <c r="Q138" s="57"/>
      <c r="R138" s="58"/>
    </row>
    <row r="139" spans="8:8">
      <c r="B139" s="8">
        <v>130.0</v>
      </c>
      <c r="C139" s="8" t="s">
        <v>763</v>
      </c>
      <c r="D139" s="8" t="s">
        <v>828</v>
      </c>
      <c r="E139" s="8" t="s">
        <v>433</v>
      </c>
      <c r="F139" s="8" t="s">
        <v>68</v>
      </c>
      <c r="G139" s="8" t="s">
        <v>1575</v>
      </c>
      <c r="H139" s="8" t="s">
        <v>433</v>
      </c>
      <c r="I139" s="55" t="s">
        <v>224</v>
      </c>
      <c r="J139" s="60" t="s">
        <v>7025</v>
      </c>
      <c r="K139" s="22">
        <v>4.0</v>
      </c>
      <c r="L139" s="22">
        <f>+SUMIF('حركه المخزن الرئيسي اليوميه'!$F:$F,$H:$H,'حركه المخزن الرئيسي اليوميه'!$H:$H)</f>
        <v>0.0</v>
      </c>
      <c r="M139" s="22">
        <f>+SUMIF('حركه المخزن الرئيسي اليوميه'!$F:$F,$H:$H,'حركه المخزن الرئيسي اليوميه'!$I:$I)</f>
        <v>0.0</v>
      </c>
      <c r="N139" s="22">
        <f t="shared" si="6" ref="N139:N191">+K139+L139-M139</f>
        <v>4.0</v>
      </c>
      <c r="O139" s="22">
        <f t="shared" si="7" ref="O139:O191">+N139</f>
        <v>4.0</v>
      </c>
      <c r="P139" s="22">
        <f t="shared" si="8" ref="P139:P191">+N139-O139</f>
        <v>0.0</v>
      </c>
      <c r="Q139" s="57"/>
      <c r="R139" s="58"/>
    </row>
    <row r="140" spans="8:8">
      <c r="B140" s="8">
        <v>131.0</v>
      </c>
      <c r="C140" s="8" t="s">
        <v>763</v>
      </c>
      <c r="D140" s="8" t="s">
        <v>828</v>
      </c>
      <c r="E140" s="8" t="s">
        <v>435</v>
      </c>
      <c r="F140" s="8" t="s">
        <v>68</v>
      </c>
      <c r="G140" s="8" t="s">
        <v>1575</v>
      </c>
      <c r="H140" s="8" t="s">
        <v>435</v>
      </c>
      <c r="I140" s="55" t="s">
        <v>224</v>
      </c>
      <c r="J140" s="60" t="s">
        <v>7026</v>
      </c>
      <c r="K140" s="22">
        <v>2.0</v>
      </c>
      <c r="L140" s="22">
        <f>+SUMIF('حركه المخزن الرئيسي اليوميه'!$F:$F,$H:$H,'حركه المخزن الرئيسي اليوميه'!$H:$H)</f>
        <v>0.0</v>
      </c>
      <c r="M140" s="22">
        <f>+SUMIF('حركه المخزن الرئيسي اليوميه'!$F:$F,$H:$H,'حركه المخزن الرئيسي اليوميه'!$I:$I)</f>
        <v>0.0</v>
      </c>
      <c r="N140" s="22">
        <f t="shared" si="6"/>
        <v>2.0</v>
      </c>
      <c r="O140" s="22">
        <f t="shared" si="7"/>
        <v>2.0</v>
      </c>
      <c r="P140" s="22">
        <f t="shared" si="8"/>
        <v>0.0</v>
      </c>
      <c r="Q140" s="57"/>
      <c r="R140" s="58"/>
    </row>
    <row r="141" spans="8:8">
      <c r="B141" s="8">
        <v>132.0</v>
      </c>
      <c r="C141" s="8" t="s">
        <v>764</v>
      </c>
      <c r="D141" s="8" t="s">
        <v>828</v>
      </c>
      <c r="E141" s="8" t="s">
        <v>473</v>
      </c>
      <c r="F141" s="8" t="s">
        <v>68</v>
      </c>
      <c r="G141" s="8" t="s">
        <v>1727</v>
      </c>
      <c r="H141" s="8" t="s">
        <v>473</v>
      </c>
      <c r="I141" s="55" t="s">
        <v>224</v>
      </c>
      <c r="J141" s="60" t="s">
        <v>7027</v>
      </c>
      <c r="K141" s="22">
        <v>1.0</v>
      </c>
      <c r="L141" s="22">
        <f>+SUMIF('حركه المخزن الرئيسي اليوميه'!$F:$F,$H:$H,'حركه المخزن الرئيسي اليوميه'!$H:$H)</f>
        <v>0.0</v>
      </c>
      <c r="M141" s="22">
        <f>+SUMIF('حركه المخزن الرئيسي اليوميه'!$F:$F,$H:$H,'حركه المخزن الرئيسي اليوميه'!$I:$I)</f>
        <v>0.0</v>
      </c>
      <c r="N141" s="22">
        <f t="shared" si="6"/>
        <v>1.0</v>
      </c>
      <c r="O141" s="22">
        <f t="shared" si="7"/>
        <v>1.0</v>
      </c>
      <c r="P141" s="22">
        <f t="shared" si="8"/>
        <v>0.0</v>
      </c>
      <c r="Q141" s="57"/>
      <c r="R141" s="58"/>
    </row>
    <row r="142" spans="8:8">
      <c r="B142" s="8">
        <v>133.0</v>
      </c>
      <c r="C142" s="8" t="s">
        <v>763</v>
      </c>
      <c r="D142" s="8" t="s">
        <v>828</v>
      </c>
      <c r="E142" s="8" t="s">
        <v>434</v>
      </c>
      <c r="F142" s="8" t="s">
        <v>68</v>
      </c>
      <c r="G142" s="8" t="s">
        <v>1575</v>
      </c>
      <c r="H142" s="8" t="s">
        <v>434</v>
      </c>
      <c r="I142" s="55" t="s">
        <v>224</v>
      </c>
      <c r="J142" s="60" t="s">
        <v>7028</v>
      </c>
      <c r="K142" s="22">
        <v>11.0</v>
      </c>
      <c r="L142" s="22">
        <f>+SUMIF('حركه المخزن الرئيسي اليوميه'!$F:$F,$H:$H,'حركه المخزن الرئيسي اليوميه'!$H:$H)</f>
        <v>0.0</v>
      </c>
      <c r="M142" s="22">
        <f>+SUMIF('حركه المخزن الرئيسي اليوميه'!$F:$F,$H:$H,'حركه المخزن الرئيسي اليوميه'!$I:$I)</f>
        <v>0.0</v>
      </c>
      <c r="N142" s="22">
        <f t="shared" si="6"/>
        <v>11.0</v>
      </c>
      <c r="O142" s="22">
        <f t="shared" si="7"/>
        <v>11.0</v>
      </c>
      <c r="P142" s="22">
        <f t="shared" si="8"/>
        <v>0.0</v>
      </c>
      <c r="Q142" s="57"/>
      <c r="R142" s="58"/>
    </row>
    <row r="143" spans="8:8">
      <c r="B143" s="8">
        <v>134.0</v>
      </c>
      <c r="C143" s="8" t="s">
        <v>764</v>
      </c>
      <c r="D143" s="8" t="s">
        <v>828</v>
      </c>
      <c r="E143" s="8" t="s">
        <v>2849</v>
      </c>
      <c r="F143" s="8" t="s">
        <v>68</v>
      </c>
      <c r="G143" s="8" t="s">
        <v>2372</v>
      </c>
      <c r="H143" s="8" t="s">
        <v>2850</v>
      </c>
      <c r="I143" s="55" t="s">
        <v>2948</v>
      </c>
      <c r="J143" s="60" t="s">
        <v>7029</v>
      </c>
      <c r="K143" s="22">
        <v>0.0</v>
      </c>
      <c r="L143" s="22">
        <f>+SUMIF('حركه المخزن الرئيسي اليوميه'!$F:$F,$H:$H,'حركه المخزن الرئيسي اليوميه'!$H:$H)</f>
        <v>0.0</v>
      </c>
      <c r="M143" s="22">
        <f>+SUMIF('حركه المخزن الرئيسي اليوميه'!$F:$F,$H:$H,'حركه المخزن الرئيسي اليوميه'!$I:$I)</f>
        <v>0.0</v>
      </c>
      <c r="N143" s="22">
        <f t="shared" si="6"/>
        <v>0.0</v>
      </c>
      <c r="O143" s="22">
        <f t="shared" si="7"/>
        <v>0.0</v>
      </c>
      <c r="P143" s="22">
        <f t="shared" si="8"/>
        <v>0.0</v>
      </c>
      <c r="Q143" s="57"/>
      <c r="R143" s="58"/>
    </row>
    <row r="144" spans="8:8">
      <c r="B144" s="8">
        <v>135.0</v>
      </c>
      <c r="C144" s="8" t="s">
        <v>764</v>
      </c>
      <c r="D144" s="8" t="s">
        <v>828</v>
      </c>
      <c r="E144" s="8" t="s">
        <v>2852</v>
      </c>
      <c r="F144" s="8" t="s">
        <v>2833</v>
      </c>
      <c r="G144" s="8"/>
      <c r="H144" s="8" t="s">
        <v>2851</v>
      </c>
      <c r="I144" s="55" t="s">
        <v>2948</v>
      </c>
      <c r="J144" s="60" t="s">
        <v>7030</v>
      </c>
      <c r="K144" s="22">
        <v>6.0</v>
      </c>
      <c r="L144" s="22">
        <f>+SUMIF('حركه المخزن الرئيسي اليوميه'!$F:$F,$H:$H,'حركه المخزن الرئيسي اليوميه'!$H:$H)</f>
        <v>0.0</v>
      </c>
      <c r="M144" s="22">
        <f>+SUMIF('حركه المخزن الرئيسي اليوميه'!$F:$F,$H:$H,'حركه المخزن الرئيسي اليوميه'!$I:$I)</f>
        <v>0.0</v>
      </c>
      <c r="N144" s="22">
        <f t="shared" si="6"/>
        <v>6.0</v>
      </c>
      <c r="O144" s="22">
        <f t="shared" si="7"/>
        <v>6.0</v>
      </c>
      <c r="P144" s="22">
        <f t="shared" si="8"/>
        <v>0.0</v>
      </c>
      <c r="Q144" s="57"/>
      <c r="R144" s="58"/>
    </row>
    <row r="145" spans="8:8">
      <c r="B145" s="8">
        <v>136.0</v>
      </c>
      <c r="C145" s="8" t="s">
        <v>764</v>
      </c>
      <c r="D145" s="8" t="s">
        <v>828</v>
      </c>
      <c r="E145" s="8" t="s">
        <v>3018</v>
      </c>
      <c r="F145" s="8" t="s">
        <v>2833</v>
      </c>
      <c r="G145" s="8"/>
      <c r="H145" s="8" t="s">
        <v>3018</v>
      </c>
      <c r="I145" s="55" t="s">
        <v>2948</v>
      </c>
      <c r="J145" s="60" t="s">
        <v>7031</v>
      </c>
      <c r="K145" s="22">
        <v>0.0</v>
      </c>
      <c r="L145" s="22">
        <f>+SUMIF('حركه المخزن الرئيسي اليوميه'!$F:$F,$H:$H,'حركه المخزن الرئيسي اليوميه'!$H:$H)</f>
        <v>0.0</v>
      </c>
      <c r="M145" s="22">
        <f>+SUMIF('حركه المخزن الرئيسي اليوميه'!$F:$F,$H:$H,'حركه المخزن الرئيسي اليوميه'!$I:$I)</f>
        <v>0.0</v>
      </c>
      <c r="N145" s="22">
        <f t="shared" si="6"/>
        <v>0.0</v>
      </c>
      <c r="O145" s="22">
        <f t="shared" si="7"/>
        <v>0.0</v>
      </c>
      <c r="P145" s="22">
        <f t="shared" si="8"/>
        <v>0.0</v>
      </c>
      <c r="Q145" s="57"/>
      <c r="R145" s="58"/>
    </row>
    <row r="146" spans="8:8">
      <c r="B146" s="8">
        <v>137.0</v>
      </c>
      <c r="C146" s="8" t="s">
        <v>828</v>
      </c>
      <c r="D146" s="8" t="s">
        <v>828</v>
      </c>
      <c r="E146" s="8" t="s">
        <v>1065</v>
      </c>
      <c r="F146" s="8" t="s">
        <v>122</v>
      </c>
      <c r="G146" s="8"/>
      <c r="H146" s="8" t="s">
        <v>1065</v>
      </c>
      <c r="I146" s="55" t="s">
        <v>2948</v>
      </c>
      <c r="J146" s="60" t="s">
        <v>7032</v>
      </c>
      <c r="K146" s="22">
        <v>21.0</v>
      </c>
      <c r="L146" s="22">
        <f>+SUMIF('حركه المخزن الرئيسي اليوميه'!$F:$F,$H:$H,'حركه المخزن الرئيسي اليوميه'!$H:$H)</f>
        <v>0.0</v>
      </c>
      <c r="M146" s="22">
        <f>+SUMIF('حركه المخزن الرئيسي اليوميه'!$F:$F,$H:$H,'حركه المخزن الرئيسي اليوميه'!$I:$I)</f>
        <v>0.0</v>
      </c>
      <c r="N146" s="22">
        <f t="shared" si="6"/>
        <v>21.0</v>
      </c>
      <c r="O146" s="22">
        <f t="shared" si="7"/>
        <v>21.0</v>
      </c>
      <c r="P146" s="22">
        <f t="shared" si="8"/>
        <v>0.0</v>
      </c>
      <c r="Q146" s="57"/>
      <c r="R146" s="58"/>
    </row>
    <row r="147" spans="8:8">
      <c r="B147" s="8">
        <v>138.0</v>
      </c>
      <c r="C147" s="8" t="s">
        <v>763</v>
      </c>
      <c r="D147" s="8" t="s">
        <v>828</v>
      </c>
      <c r="E147" s="8" t="s">
        <v>845</v>
      </c>
      <c r="F147" s="8" t="s">
        <v>68</v>
      </c>
      <c r="G147" s="8" t="s">
        <v>1697</v>
      </c>
      <c r="H147" s="8" t="s">
        <v>845</v>
      </c>
      <c r="I147" s="55" t="s">
        <v>450</v>
      </c>
      <c r="J147" s="60" t="s">
        <v>7033</v>
      </c>
      <c r="K147" s="22">
        <v>4.0</v>
      </c>
      <c r="L147" s="22">
        <f>+SUMIF('حركه المخزن الرئيسي اليوميه'!$F:$F,$H:$H,'حركه المخزن الرئيسي اليوميه'!$H:$H)</f>
        <v>0.0</v>
      </c>
      <c r="M147" s="22">
        <f>+SUMIF('حركه المخزن الرئيسي اليوميه'!$F:$F,$H:$H,'حركه المخزن الرئيسي اليوميه'!$I:$I)</f>
        <v>0.0</v>
      </c>
      <c r="N147" s="22">
        <f t="shared" si="6"/>
        <v>4.0</v>
      </c>
      <c r="O147" s="22">
        <f t="shared" si="7"/>
        <v>4.0</v>
      </c>
      <c r="P147" s="22">
        <f t="shared" si="8"/>
        <v>0.0</v>
      </c>
      <c r="Q147" s="57"/>
      <c r="R147" s="58"/>
    </row>
    <row r="148" spans="8:8">
      <c r="B148" s="8">
        <v>139.0</v>
      </c>
      <c r="C148" s="8" t="s">
        <v>763</v>
      </c>
      <c r="D148" s="8" t="s">
        <v>828</v>
      </c>
      <c r="E148" s="8" t="s">
        <v>443</v>
      </c>
      <c r="F148" s="8" t="s">
        <v>68</v>
      </c>
      <c r="G148" s="8" t="s">
        <v>1576</v>
      </c>
      <c r="H148" s="8" t="s">
        <v>443</v>
      </c>
      <c r="I148" s="55" t="s">
        <v>450</v>
      </c>
      <c r="J148" s="60" t="s">
        <v>7034</v>
      </c>
      <c r="K148" s="22">
        <v>0.0</v>
      </c>
      <c r="L148" s="22">
        <f>+SUMIF('حركه المخزن الرئيسي اليوميه'!$F:$F,$H:$H,'حركه المخزن الرئيسي اليوميه'!$H:$H)</f>
        <v>0.0</v>
      </c>
      <c r="M148" s="22">
        <f>+SUMIF('حركه المخزن الرئيسي اليوميه'!$F:$F,$H:$H,'حركه المخزن الرئيسي اليوميه'!$I:$I)</f>
        <v>0.0</v>
      </c>
      <c r="N148" s="22">
        <f t="shared" si="6"/>
        <v>0.0</v>
      </c>
      <c r="O148" s="22">
        <f t="shared" si="7"/>
        <v>0.0</v>
      </c>
      <c r="P148" s="22">
        <f t="shared" si="8"/>
        <v>0.0</v>
      </c>
      <c r="Q148" s="57"/>
      <c r="R148" s="58"/>
    </row>
    <row r="149" spans="8:8">
      <c r="B149" s="8">
        <v>140.0</v>
      </c>
      <c r="C149" s="8" t="s">
        <v>763</v>
      </c>
      <c r="D149" s="8" t="s">
        <v>828</v>
      </c>
      <c r="E149" s="8" t="s">
        <v>445</v>
      </c>
      <c r="F149" s="8" t="s">
        <v>68</v>
      </c>
      <c r="G149" s="8" t="s">
        <v>1576</v>
      </c>
      <c r="H149" s="8" t="s">
        <v>445</v>
      </c>
      <c r="I149" s="55" t="s">
        <v>450</v>
      </c>
      <c r="J149" s="60" t="s">
        <v>7035</v>
      </c>
      <c r="K149" s="22">
        <v>0.0</v>
      </c>
      <c r="L149" s="22">
        <f>+SUMIF('حركه المخزن الرئيسي اليوميه'!$F:$F,$H:$H,'حركه المخزن الرئيسي اليوميه'!$H:$H)</f>
        <v>0.0</v>
      </c>
      <c r="M149" s="22">
        <f>+SUMIF('حركه المخزن الرئيسي اليوميه'!$F:$F,$H:$H,'حركه المخزن الرئيسي اليوميه'!$I:$I)</f>
        <v>0.0</v>
      </c>
      <c r="N149" s="22">
        <f t="shared" si="6"/>
        <v>0.0</v>
      </c>
      <c r="O149" s="22">
        <f t="shared" si="7"/>
        <v>0.0</v>
      </c>
      <c r="P149" s="22">
        <f t="shared" si="8"/>
        <v>0.0</v>
      </c>
      <c r="Q149" s="57"/>
      <c r="R149" s="58"/>
    </row>
    <row r="150" spans="8:8">
      <c r="B150" s="8">
        <v>141.0</v>
      </c>
      <c r="C150" s="8" t="s">
        <v>763</v>
      </c>
      <c r="D150" s="8" t="s">
        <v>828</v>
      </c>
      <c r="E150" s="8" t="s">
        <v>444</v>
      </c>
      <c r="F150" s="8" t="s">
        <v>68</v>
      </c>
      <c r="G150" s="8" t="s">
        <v>1576</v>
      </c>
      <c r="H150" s="8" t="s">
        <v>444</v>
      </c>
      <c r="I150" s="55" t="s">
        <v>450</v>
      </c>
      <c r="J150" s="60" t="s">
        <v>7036</v>
      </c>
      <c r="K150" s="22">
        <v>0.0</v>
      </c>
      <c r="L150" s="22">
        <f>+SUMIF('حركه المخزن الرئيسي اليوميه'!$F:$F,$H:$H,'حركه المخزن الرئيسي اليوميه'!$H:$H)</f>
        <v>0.0</v>
      </c>
      <c r="M150" s="22">
        <f>+SUMIF('حركه المخزن الرئيسي اليوميه'!$F:$F,$H:$H,'حركه المخزن الرئيسي اليوميه'!$I:$I)</f>
        <v>0.0</v>
      </c>
      <c r="N150" s="22">
        <f t="shared" si="6"/>
        <v>0.0</v>
      </c>
      <c r="O150" s="22">
        <f t="shared" si="7"/>
        <v>0.0</v>
      </c>
      <c r="P150" s="22">
        <f t="shared" si="8"/>
        <v>0.0</v>
      </c>
      <c r="Q150" s="57"/>
      <c r="R150" s="58"/>
    </row>
    <row r="151" spans="8:8">
      <c r="B151" s="8">
        <v>142.0</v>
      </c>
      <c r="C151" s="8" t="s">
        <v>766</v>
      </c>
      <c r="D151" s="8" t="s">
        <v>828</v>
      </c>
      <c r="E151" s="8" t="s">
        <v>844</v>
      </c>
      <c r="F151" s="8" t="s">
        <v>68</v>
      </c>
      <c r="G151" s="8" t="s">
        <v>1763</v>
      </c>
      <c r="H151" s="8" t="s">
        <v>2555</v>
      </c>
      <c r="I151" s="55" t="s">
        <v>450</v>
      </c>
      <c r="J151" s="60" t="s">
        <v>7037</v>
      </c>
      <c r="K151" s="22">
        <v>0.0</v>
      </c>
      <c r="L151" s="22">
        <f>+SUMIF('حركه المخزن الرئيسي اليوميه'!$F:$F,$H:$H,'حركه المخزن الرئيسي اليوميه'!$H:$H)</f>
        <v>0.0</v>
      </c>
      <c r="M151" s="22">
        <f>+SUMIF('حركه المخزن الرئيسي اليوميه'!$F:$F,$H:$H,'حركه المخزن الرئيسي اليوميه'!$I:$I)</f>
        <v>0.0</v>
      </c>
      <c r="N151" s="22">
        <f t="shared" si="6"/>
        <v>0.0</v>
      </c>
      <c r="O151" s="22">
        <f t="shared" si="7"/>
        <v>0.0</v>
      </c>
      <c r="P151" s="22">
        <f t="shared" si="8"/>
        <v>0.0</v>
      </c>
      <c r="Q151" s="57"/>
      <c r="R151" s="58"/>
    </row>
    <row r="152" spans="8:8">
      <c r="B152" s="8">
        <v>143.0</v>
      </c>
      <c r="C152" s="8" t="s">
        <v>766</v>
      </c>
      <c r="D152" s="8" t="s">
        <v>828</v>
      </c>
      <c r="E152" s="8" t="s">
        <v>843</v>
      </c>
      <c r="F152" s="8" t="s">
        <v>68</v>
      </c>
      <c r="G152" s="8" t="s">
        <v>1763</v>
      </c>
      <c r="H152" s="8" t="s">
        <v>2554</v>
      </c>
      <c r="I152" s="55" t="s">
        <v>450</v>
      </c>
      <c r="J152" s="60" t="s">
        <v>7038</v>
      </c>
      <c r="K152" s="22">
        <v>34.0</v>
      </c>
      <c r="L152" s="22">
        <f>+SUMIF('حركه المخزن الرئيسي اليوميه'!$F:$F,$H:$H,'حركه المخزن الرئيسي اليوميه'!$H:$H)</f>
        <v>0.0</v>
      </c>
      <c r="M152" s="22">
        <f>+SUMIF('حركه المخزن الرئيسي اليوميه'!$F:$F,$H:$H,'حركه المخزن الرئيسي اليوميه'!$I:$I)</f>
        <v>0.0</v>
      </c>
      <c r="N152" s="22">
        <f t="shared" si="6"/>
        <v>34.0</v>
      </c>
      <c r="O152" s="22">
        <f t="shared" si="7"/>
        <v>34.0</v>
      </c>
      <c r="P152" s="22">
        <f t="shared" si="8"/>
        <v>0.0</v>
      </c>
      <c r="Q152" s="57"/>
      <c r="R152" s="58"/>
    </row>
    <row r="153" spans="8:8">
      <c r="B153" s="8">
        <v>144.0</v>
      </c>
      <c r="C153" s="8" t="s">
        <v>766</v>
      </c>
      <c r="D153" s="8" t="s">
        <v>828</v>
      </c>
      <c r="E153" s="8" t="s">
        <v>842</v>
      </c>
      <c r="F153" s="8" t="s">
        <v>68</v>
      </c>
      <c r="G153" s="8" t="s">
        <v>1763</v>
      </c>
      <c r="H153" s="8" t="s">
        <v>2553</v>
      </c>
      <c r="I153" s="55" t="s">
        <v>450</v>
      </c>
      <c r="J153" s="60" t="s">
        <v>7039</v>
      </c>
      <c r="K153" s="22">
        <v>5.0</v>
      </c>
      <c r="L153" s="22">
        <f>+SUMIF('حركه المخزن الرئيسي اليوميه'!$F:$F,$H:$H,'حركه المخزن الرئيسي اليوميه'!$H:$H)</f>
        <v>0.0</v>
      </c>
      <c r="M153" s="22">
        <f>+SUMIF('حركه المخزن الرئيسي اليوميه'!$F:$F,$H:$H,'حركه المخزن الرئيسي اليوميه'!$I:$I)</f>
        <v>0.0</v>
      </c>
      <c r="N153" s="22">
        <f t="shared" si="6"/>
        <v>5.0</v>
      </c>
      <c r="O153" s="22">
        <f t="shared" si="7"/>
        <v>5.0</v>
      </c>
      <c r="P153" s="22">
        <f t="shared" si="8"/>
        <v>0.0</v>
      </c>
      <c r="Q153" s="57"/>
      <c r="R153" s="58"/>
    </row>
    <row r="154" spans="8:8">
      <c r="B154" s="8">
        <v>145.0</v>
      </c>
      <c r="C154" s="8" t="s">
        <v>766</v>
      </c>
      <c r="D154" s="8" t="s">
        <v>828</v>
      </c>
      <c r="E154" s="8" t="s">
        <v>846</v>
      </c>
      <c r="F154" s="8" t="s">
        <v>68</v>
      </c>
      <c r="G154" s="8" t="s">
        <v>1925</v>
      </c>
      <c r="H154" s="8" t="s">
        <v>2556</v>
      </c>
      <c r="I154" s="55" t="s">
        <v>450</v>
      </c>
      <c r="J154" s="60" t="s">
        <v>7040</v>
      </c>
      <c r="K154" s="22">
        <v>0.0</v>
      </c>
      <c r="L154" s="22">
        <f>+SUMIF('حركه المخزن الرئيسي اليوميه'!$F:$F,$H:$H,'حركه المخزن الرئيسي اليوميه'!$H:$H)</f>
        <v>0.0</v>
      </c>
      <c r="M154" s="22">
        <f>+SUMIF('حركه المخزن الرئيسي اليوميه'!$F:$F,$H:$H,'حركه المخزن الرئيسي اليوميه'!$I:$I)</f>
        <v>0.0</v>
      </c>
      <c r="N154" s="22">
        <f t="shared" si="6"/>
        <v>0.0</v>
      </c>
      <c r="O154" s="22">
        <f t="shared" si="7"/>
        <v>0.0</v>
      </c>
      <c r="P154" s="22">
        <f t="shared" si="8"/>
        <v>0.0</v>
      </c>
      <c r="Q154" s="57"/>
      <c r="R154" s="58"/>
    </row>
    <row r="155" spans="8:8">
      <c r="B155" s="8">
        <v>146.0</v>
      </c>
      <c r="C155" s="8" t="s">
        <v>764</v>
      </c>
      <c r="D155" s="8" t="s">
        <v>828</v>
      </c>
      <c r="E155" s="8" t="s">
        <v>8125</v>
      </c>
      <c r="F155" s="8" t="s">
        <v>68</v>
      </c>
      <c r="G155" s="8" t="s">
        <v>1576</v>
      </c>
      <c r="H155" s="8" t="s">
        <v>8125</v>
      </c>
      <c r="I155" s="55" t="s">
        <v>352</v>
      </c>
      <c r="J155" s="60" t="s">
        <v>7041</v>
      </c>
      <c r="K155" s="22">
        <v>69.0</v>
      </c>
      <c r="L155" s="22">
        <f>+SUMIF('حركه المخزن الرئيسي اليوميه'!$F:$F,$H:$H,'حركه المخزن الرئيسي اليوميه'!$H:$H)</f>
        <v>0.0</v>
      </c>
      <c r="M155" s="22">
        <f>+SUMIF('حركه المخزن الرئيسي اليوميه'!$F:$F,$H:$H,'حركه المخزن الرئيسي اليوميه'!$I:$I)</f>
        <v>0.0</v>
      </c>
      <c r="N155" s="22">
        <f t="shared" si="6"/>
        <v>69.0</v>
      </c>
      <c r="O155" s="22">
        <f t="shared" si="7"/>
        <v>69.0</v>
      </c>
      <c r="P155" s="22">
        <f t="shared" si="8"/>
        <v>0.0</v>
      </c>
      <c r="Q155" s="57"/>
      <c r="R155" s="58"/>
    </row>
    <row r="156" spans="8:8">
      <c r="B156" s="8">
        <v>147.0</v>
      </c>
      <c r="C156" s="8" t="s">
        <v>763</v>
      </c>
      <c r="D156" s="8" t="s">
        <v>828</v>
      </c>
      <c r="E156" s="8" t="s">
        <v>436</v>
      </c>
      <c r="F156" s="8" t="s">
        <v>68</v>
      </c>
      <c r="G156" s="8" t="s">
        <v>1576</v>
      </c>
      <c r="H156" s="8" t="s">
        <v>436</v>
      </c>
      <c r="I156" s="55" t="s">
        <v>384</v>
      </c>
      <c r="J156" s="60" t="s">
        <v>7042</v>
      </c>
      <c r="K156" s="22">
        <v>2.0</v>
      </c>
      <c r="L156" s="22">
        <f>+SUMIF('حركه المخزن الرئيسي اليوميه'!$F:$F,$H:$H,'حركه المخزن الرئيسي اليوميه'!$H:$H)</f>
        <v>0.0</v>
      </c>
      <c r="M156" s="22">
        <f>+SUMIF('حركه المخزن الرئيسي اليوميه'!$F:$F,$H:$H,'حركه المخزن الرئيسي اليوميه'!$I:$I)</f>
        <v>0.0</v>
      </c>
      <c r="N156" s="22">
        <f t="shared" si="6"/>
        <v>2.0</v>
      </c>
      <c r="O156" s="22">
        <f t="shared" si="7"/>
        <v>2.0</v>
      </c>
      <c r="P156" s="22">
        <f t="shared" si="8"/>
        <v>0.0</v>
      </c>
      <c r="Q156" s="57"/>
      <c r="R156" s="58"/>
    </row>
    <row r="157" spans="8:8">
      <c r="B157" s="8">
        <v>148.0</v>
      </c>
      <c r="C157" s="8" t="s">
        <v>763</v>
      </c>
      <c r="D157" s="8" t="s">
        <v>828</v>
      </c>
      <c r="E157" s="8" t="s">
        <v>437</v>
      </c>
      <c r="F157" s="8" t="s">
        <v>68</v>
      </c>
      <c r="G157" s="8" t="s">
        <v>1576</v>
      </c>
      <c r="H157" s="8" t="s">
        <v>437</v>
      </c>
      <c r="I157" s="55" t="s">
        <v>8126</v>
      </c>
      <c r="J157" s="60" t="s">
        <v>7043</v>
      </c>
      <c r="K157" s="22">
        <v>49.0</v>
      </c>
      <c r="L157" s="22">
        <f>+SUMIF('حركه المخزن الرئيسي اليوميه'!$F:$F,$H:$H,'حركه المخزن الرئيسي اليوميه'!$H:$H)</f>
        <v>0.0</v>
      </c>
      <c r="M157" s="22">
        <f>+SUMIF('حركه المخزن الرئيسي اليوميه'!$F:$F,$H:$H,'حركه المخزن الرئيسي اليوميه'!$I:$I)</f>
        <v>0.0</v>
      </c>
      <c r="N157" s="22">
        <f t="shared" si="6"/>
        <v>49.0</v>
      </c>
      <c r="O157" s="22">
        <f t="shared" si="7"/>
        <v>49.0</v>
      </c>
      <c r="P157" s="22">
        <f t="shared" si="8"/>
        <v>0.0</v>
      </c>
      <c r="Q157" s="57"/>
      <c r="R157" s="58"/>
    </row>
    <row r="158" spans="8:8">
      <c r="B158" s="8">
        <v>149.0</v>
      </c>
      <c r="C158" s="8" t="s">
        <v>766</v>
      </c>
      <c r="D158" s="8" t="s">
        <v>828</v>
      </c>
      <c r="E158" s="8" t="s">
        <v>462</v>
      </c>
      <c r="F158" s="8" t="s">
        <v>68</v>
      </c>
      <c r="G158" s="8" t="s">
        <v>1576</v>
      </c>
      <c r="H158" s="8" t="s">
        <v>462</v>
      </c>
      <c r="I158" s="55" t="s">
        <v>449</v>
      </c>
      <c r="J158" s="60" t="s">
        <v>7044</v>
      </c>
      <c r="K158" s="22">
        <v>4.0</v>
      </c>
      <c r="L158" s="22">
        <f>+SUMIF('حركه المخزن الرئيسي اليوميه'!$F:$F,$H:$H,'حركه المخزن الرئيسي اليوميه'!$H:$H)</f>
        <v>0.0</v>
      </c>
      <c r="M158" s="22">
        <f>+SUMIF('حركه المخزن الرئيسي اليوميه'!$F:$F,$H:$H,'حركه المخزن الرئيسي اليوميه'!$I:$I)</f>
        <v>0.0</v>
      </c>
      <c r="N158" s="22">
        <f t="shared" si="6"/>
        <v>4.0</v>
      </c>
      <c r="O158" s="22">
        <f t="shared" si="7"/>
        <v>4.0</v>
      </c>
      <c r="P158" s="22">
        <f t="shared" si="8"/>
        <v>0.0</v>
      </c>
      <c r="Q158" s="57"/>
      <c r="R158" s="58"/>
    </row>
    <row r="159" spans="8:8">
      <c r="B159" s="8">
        <v>150.0</v>
      </c>
      <c r="C159" s="8" t="s">
        <v>764</v>
      </c>
      <c r="D159" s="8" t="s">
        <v>828</v>
      </c>
      <c r="E159" s="8" t="s">
        <v>477</v>
      </c>
      <c r="F159" s="8" t="s">
        <v>68</v>
      </c>
      <c r="G159" s="8" t="s">
        <v>2142</v>
      </c>
      <c r="H159" s="8" t="s">
        <v>477</v>
      </c>
      <c r="I159" s="55" t="s">
        <v>349</v>
      </c>
      <c r="J159" s="60" t="s">
        <v>7045</v>
      </c>
      <c r="K159" s="22">
        <v>4.0</v>
      </c>
      <c r="L159" s="22">
        <f>+SUMIF('حركه المخزن الرئيسي اليوميه'!$F:$F,$H:$H,'حركه المخزن الرئيسي اليوميه'!$H:$H)</f>
        <v>0.0</v>
      </c>
      <c r="M159" s="22">
        <f>+SUMIF('حركه المخزن الرئيسي اليوميه'!$F:$F,$H:$H,'حركه المخزن الرئيسي اليوميه'!$I:$I)</f>
        <v>0.0</v>
      </c>
      <c r="N159" s="22">
        <f t="shared" si="6"/>
        <v>4.0</v>
      </c>
      <c r="O159" s="22">
        <f t="shared" si="7"/>
        <v>4.0</v>
      </c>
      <c r="P159" s="22">
        <f t="shared" si="8"/>
        <v>0.0</v>
      </c>
      <c r="Q159" s="57"/>
      <c r="R159" s="58"/>
    </row>
    <row r="160" spans="8:8">
      <c r="B160" s="8">
        <v>151.0</v>
      </c>
      <c r="C160" s="8" t="s">
        <v>764</v>
      </c>
      <c r="D160" s="8" t="s">
        <v>828</v>
      </c>
      <c r="E160" s="8" t="s">
        <v>479</v>
      </c>
      <c r="F160" s="8" t="s">
        <v>68</v>
      </c>
      <c r="G160" s="8"/>
      <c r="H160" s="8" t="s">
        <v>479</v>
      </c>
      <c r="I160" s="55" t="s">
        <v>349</v>
      </c>
      <c r="J160" s="60" t="s">
        <v>7046</v>
      </c>
      <c r="K160" s="22">
        <v>6.0</v>
      </c>
      <c r="L160" s="22">
        <f>+SUMIF('حركه المخزن الرئيسي اليوميه'!$F:$F,$H:$H,'حركه المخزن الرئيسي اليوميه'!$H:$H)</f>
        <v>0.0</v>
      </c>
      <c r="M160" s="22">
        <f>+SUMIF('حركه المخزن الرئيسي اليوميه'!$F:$F,$H:$H,'حركه المخزن الرئيسي اليوميه'!$I:$I)</f>
        <v>0.0</v>
      </c>
      <c r="N160" s="22">
        <f t="shared" si="6"/>
        <v>6.0</v>
      </c>
      <c r="O160" s="22">
        <f t="shared" si="7"/>
        <v>6.0</v>
      </c>
      <c r="P160" s="22">
        <f t="shared" si="8"/>
        <v>0.0</v>
      </c>
      <c r="Q160" s="57"/>
      <c r="R160" s="58"/>
    </row>
    <row r="161" spans="8:8">
      <c r="B161" s="8">
        <v>152.0</v>
      </c>
      <c r="C161" s="8" t="s">
        <v>764</v>
      </c>
      <c r="D161" s="8" t="s">
        <v>828</v>
      </c>
      <c r="E161" s="8" t="s">
        <v>478</v>
      </c>
      <c r="F161" s="8" t="s">
        <v>68</v>
      </c>
      <c r="G161" s="8" t="s">
        <v>2143</v>
      </c>
      <c r="H161" s="8" t="s">
        <v>478</v>
      </c>
      <c r="I161" s="55" t="s">
        <v>349</v>
      </c>
      <c r="J161" s="60" t="s">
        <v>7047</v>
      </c>
      <c r="K161" s="22">
        <v>6.0</v>
      </c>
      <c r="L161" s="22">
        <f>+SUMIF('حركه المخزن الرئيسي اليوميه'!$F:$F,$H:$H,'حركه المخزن الرئيسي اليوميه'!$H:$H)</f>
        <v>0.0</v>
      </c>
      <c r="M161" s="22">
        <f>+SUMIF('حركه المخزن الرئيسي اليوميه'!$F:$F,$H:$H,'حركه المخزن الرئيسي اليوميه'!$I:$I)</f>
        <v>0.0</v>
      </c>
      <c r="N161" s="22">
        <f t="shared" si="6"/>
        <v>6.0</v>
      </c>
      <c r="O161" s="22">
        <f t="shared" si="7"/>
        <v>6.0</v>
      </c>
      <c r="P161" s="22">
        <f t="shared" si="8"/>
        <v>0.0</v>
      </c>
      <c r="Q161" s="57"/>
      <c r="R161" s="58"/>
    </row>
    <row r="162" spans="8:8">
      <c r="B162" s="8">
        <v>153.0</v>
      </c>
      <c r="C162" s="8" t="s">
        <v>828</v>
      </c>
      <c r="D162" s="8" t="s">
        <v>828</v>
      </c>
      <c r="E162" s="8" t="s">
        <v>2976</v>
      </c>
      <c r="F162" s="8" t="s">
        <v>1501</v>
      </c>
      <c r="G162" s="8"/>
      <c r="H162" s="8" t="s">
        <v>2976</v>
      </c>
      <c r="I162" s="55" t="s">
        <v>166</v>
      </c>
      <c r="J162" s="60" t="s">
        <v>7048</v>
      </c>
      <c r="K162" s="22">
        <v>2.0</v>
      </c>
      <c r="L162" s="22">
        <f>+SUMIF('حركه المخزن الرئيسي اليوميه'!$F:$F,$H:$H,'حركه المخزن الرئيسي اليوميه'!$H:$H)</f>
        <v>0.0</v>
      </c>
      <c r="M162" s="22">
        <f>+SUMIF('حركه المخزن الرئيسي اليوميه'!$F:$F,$H:$H,'حركه المخزن الرئيسي اليوميه'!$I:$I)</f>
        <v>0.0</v>
      </c>
      <c r="N162" s="22">
        <f t="shared" si="6"/>
        <v>2.0</v>
      </c>
      <c r="O162" s="22">
        <f t="shared" si="7"/>
        <v>2.0</v>
      </c>
      <c r="P162" s="22">
        <f t="shared" si="8"/>
        <v>0.0</v>
      </c>
      <c r="Q162" s="57"/>
      <c r="R162" s="58"/>
    </row>
    <row r="163" spans="8:8">
      <c r="B163" s="8">
        <v>154.0</v>
      </c>
      <c r="C163" s="8" t="s">
        <v>764</v>
      </c>
      <c r="D163" s="8" t="s">
        <v>828</v>
      </c>
      <c r="E163" s="8" t="s">
        <v>3618</v>
      </c>
      <c r="F163" s="8" t="s">
        <v>68</v>
      </c>
      <c r="G163" s="8" t="s">
        <v>3619</v>
      </c>
      <c r="H163" s="8" t="s">
        <v>3618</v>
      </c>
      <c r="I163" s="55" t="s">
        <v>8127</v>
      </c>
      <c r="J163" s="60" t="s">
        <v>7049</v>
      </c>
      <c r="K163" s="22">
        <v>43.0</v>
      </c>
      <c r="L163" s="22">
        <f>+SUMIF('حركه المخزن الرئيسي اليوميه'!$F:$F,$H:$H,'حركه المخزن الرئيسي اليوميه'!$H:$H)</f>
        <v>0.0</v>
      </c>
      <c r="M163" s="22">
        <f>+SUMIF('حركه المخزن الرئيسي اليوميه'!$F:$F,$H:$H,'حركه المخزن الرئيسي اليوميه'!$I:$I)</f>
        <v>0.0</v>
      </c>
      <c r="N163" s="22">
        <f t="shared" si="6"/>
        <v>43.0</v>
      </c>
      <c r="O163" s="22">
        <f t="shared" si="7"/>
        <v>43.0</v>
      </c>
      <c r="P163" s="22">
        <f t="shared" si="8"/>
        <v>0.0</v>
      </c>
      <c r="Q163" s="57"/>
      <c r="R163" s="58"/>
    </row>
    <row r="164" spans="8:8">
      <c r="B164" s="8">
        <v>155.0</v>
      </c>
      <c r="C164" s="8" t="s">
        <v>763</v>
      </c>
      <c r="D164" s="8" t="s">
        <v>828</v>
      </c>
      <c r="E164" s="8" t="s">
        <v>441</v>
      </c>
      <c r="F164" s="8" t="s">
        <v>68</v>
      </c>
      <c r="G164" s="55" t="s">
        <v>1576</v>
      </c>
      <c r="H164" s="8" t="s">
        <v>441</v>
      </c>
      <c r="I164" s="55" t="s">
        <v>45</v>
      </c>
      <c r="J164" s="60" t="s">
        <v>7050</v>
      </c>
      <c r="K164" s="22">
        <v>3.0</v>
      </c>
      <c r="L164" s="22">
        <f>+SUMIF('حركه المخزن الرئيسي اليوميه'!$F:$F,$H:$H,'حركه المخزن الرئيسي اليوميه'!$H:$H)</f>
        <v>0.0</v>
      </c>
      <c r="M164" s="22">
        <f>+SUMIF('حركه المخزن الرئيسي اليوميه'!$F:$F,$H:$H,'حركه المخزن الرئيسي اليوميه'!$I:$I)</f>
        <v>1.0</v>
      </c>
      <c r="N164" s="22">
        <f t="shared" si="6"/>
        <v>2.0</v>
      </c>
      <c r="O164" s="22">
        <f t="shared" si="7"/>
        <v>2.0</v>
      </c>
      <c r="P164" s="22">
        <f t="shared" si="8"/>
        <v>0.0</v>
      </c>
      <c r="Q164" s="57"/>
      <c r="R164" s="58"/>
    </row>
    <row r="165" spans="8:8">
      <c r="B165" s="8">
        <v>156.0</v>
      </c>
      <c r="C165" s="8" t="s">
        <v>764</v>
      </c>
      <c r="D165" s="8" t="s">
        <v>828</v>
      </c>
      <c r="E165" s="8" t="s">
        <v>582</v>
      </c>
      <c r="F165" s="8" t="s">
        <v>68</v>
      </c>
      <c r="G165" s="55" t="s">
        <v>2378</v>
      </c>
      <c r="H165" s="8" t="s">
        <v>582</v>
      </c>
      <c r="I165" s="55" t="s">
        <v>351</v>
      </c>
      <c r="J165" s="60" t="s">
        <v>7051</v>
      </c>
      <c r="K165" s="22">
        <v>0.0</v>
      </c>
      <c r="L165" s="22">
        <f>+SUMIF('حركه المخزن الرئيسي اليوميه'!$F:$F,$H:$H,'حركه المخزن الرئيسي اليوميه'!$H:$H)</f>
        <v>0.0</v>
      </c>
      <c r="M165" s="22">
        <f>+SUMIF('حركه المخزن الرئيسي اليوميه'!$F:$F,$H:$H,'حركه المخزن الرئيسي اليوميه'!$I:$I)</f>
        <v>0.0</v>
      </c>
      <c r="N165" s="22">
        <f t="shared" si="6"/>
        <v>0.0</v>
      </c>
      <c r="O165" s="22">
        <f t="shared" si="7"/>
        <v>0.0</v>
      </c>
      <c r="P165" s="22">
        <f t="shared" si="8"/>
        <v>0.0</v>
      </c>
      <c r="Q165" s="57"/>
      <c r="R165" s="58"/>
    </row>
    <row r="166" spans="8:8">
      <c r="B166" s="8">
        <v>157.0</v>
      </c>
      <c r="C166" s="8" t="s">
        <v>766</v>
      </c>
      <c r="D166" s="8" t="s">
        <v>828</v>
      </c>
      <c r="E166" s="8" t="s">
        <v>2610</v>
      </c>
      <c r="F166" s="8" t="s">
        <v>68</v>
      </c>
      <c r="G166" s="55" t="s">
        <v>1703</v>
      </c>
      <c r="H166" s="8" t="s">
        <v>2610</v>
      </c>
      <c r="I166" s="55" t="s">
        <v>351</v>
      </c>
      <c r="J166" s="60" t="s">
        <v>7052</v>
      </c>
      <c r="K166" s="22">
        <v>16.0</v>
      </c>
      <c r="L166" s="22">
        <f>+SUMIF('حركه المخزن الرئيسي اليوميه'!$F:$F,$H:$H,'حركه المخزن الرئيسي اليوميه'!$H:$H)</f>
        <v>0.0</v>
      </c>
      <c r="M166" s="22">
        <f>+SUMIF('حركه المخزن الرئيسي اليوميه'!$F:$F,$H:$H,'حركه المخزن الرئيسي اليوميه'!$I:$I)</f>
        <v>0.0</v>
      </c>
      <c r="N166" s="22">
        <f t="shared" si="6"/>
        <v>16.0</v>
      </c>
      <c r="O166" s="22">
        <f t="shared" si="7"/>
        <v>16.0</v>
      </c>
      <c r="P166" s="22">
        <f t="shared" si="8"/>
        <v>0.0</v>
      </c>
      <c r="Q166" s="57"/>
      <c r="R166" s="58"/>
    </row>
    <row r="167" spans="8:8">
      <c r="B167" s="8">
        <v>158.0</v>
      </c>
      <c r="C167" s="8" t="s">
        <v>766</v>
      </c>
      <c r="D167" s="8" t="s">
        <v>828</v>
      </c>
      <c r="E167" s="72" t="s">
        <v>3675</v>
      </c>
      <c r="F167" s="8" t="s">
        <v>68</v>
      </c>
      <c r="G167" s="55" t="s">
        <v>1702</v>
      </c>
      <c r="H167" s="72" t="s">
        <v>3675</v>
      </c>
      <c r="I167" s="55" t="s">
        <v>174</v>
      </c>
      <c r="J167" s="60" t="s">
        <v>7053</v>
      </c>
      <c r="K167" s="22">
        <v>6.0</v>
      </c>
      <c r="L167" s="22">
        <f>+SUMIF('حركه المخزن الرئيسي اليوميه'!$F:$F,$H:$H,'حركه المخزن الرئيسي اليوميه'!$H:$H)</f>
        <v>0.0</v>
      </c>
      <c r="M167" s="22">
        <f>+SUMIF('حركه المخزن الرئيسي اليوميه'!$F:$F,$H:$H,'حركه المخزن الرئيسي اليوميه'!$I:$I)</f>
        <v>0.0</v>
      </c>
      <c r="N167" s="22">
        <f t="shared" si="6"/>
        <v>6.0</v>
      </c>
      <c r="O167" s="22">
        <f t="shared" si="7"/>
        <v>6.0</v>
      </c>
      <c r="P167" s="22">
        <f t="shared" si="8"/>
        <v>0.0</v>
      </c>
      <c r="Q167" s="57"/>
      <c r="R167" s="58"/>
    </row>
    <row r="168" spans="8:8">
      <c r="B168" s="8">
        <v>159.0</v>
      </c>
      <c r="C168" s="8" t="s">
        <v>766</v>
      </c>
      <c r="D168" s="8" t="s">
        <v>828</v>
      </c>
      <c r="E168" s="8" t="s">
        <v>459</v>
      </c>
      <c r="F168" s="8" t="s">
        <v>68</v>
      </c>
      <c r="G168" s="55"/>
      <c r="H168" s="8" t="s">
        <v>459</v>
      </c>
      <c r="I168" s="55" t="s">
        <v>166</v>
      </c>
      <c r="J168" s="60" t="s">
        <v>7054</v>
      </c>
      <c r="K168" s="22">
        <v>3.0</v>
      </c>
      <c r="L168" s="22">
        <f>+SUMIF('حركه المخزن الرئيسي اليوميه'!$F:$F,$H:$H,'حركه المخزن الرئيسي اليوميه'!$H:$H)</f>
        <v>0.0</v>
      </c>
      <c r="M168" s="22">
        <f>+SUMIF('حركه المخزن الرئيسي اليوميه'!$F:$F,$H:$H,'حركه المخزن الرئيسي اليوميه'!$I:$I)</f>
        <v>0.0</v>
      </c>
      <c r="N168" s="22">
        <f t="shared" si="6"/>
        <v>3.0</v>
      </c>
      <c r="O168" s="22">
        <f t="shared" si="7"/>
        <v>3.0</v>
      </c>
      <c r="P168" s="22">
        <f t="shared" si="8"/>
        <v>0.0</v>
      </c>
      <c r="Q168" s="57"/>
      <c r="R168" s="58"/>
    </row>
    <row r="169" spans="8:8">
      <c r="B169" s="8">
        <v>160.0</v>
      </c>
      <c r="C169" s="8" t="s">
        <v>828</v>
      </c>
      <c r="D169" s="8" t="s">
        <v>820</v>
      </c>
      <c r="E169" s="8" t="s">
        <v>2608</v>
      </c>
      <c r="F169" s="8" t="s">
        <v>68</v>
      </c>
      <c r="G169" s="73" t="s">
        <v>2254</v>
      </c>
      <c r="H169" s="8" t="s">
        <v>2608</v>
      </c>
      <c r="I169" s="55" t="s">
        <v>8127</v>
      </c>
      <c r="J169" s="60" t="s">
        <v>7055</v>
      </c>
      <c r="K169" s="22">
        <v>44.0</v>
      </c>
      <c r="L169" s="22">
        <f>+SUMIF('حركه المخزن الرئيسي اليوميه'!$F:$F,$H:$H,'حركه المخزن الرئيسي اليوميه'!$H:$H)</f>
        <v>0.0</v>
      </c>
      <c r="M169" s="22">
        <f>+SUMIF('حركه المخزن الرئيسي اليوميه'!$F:$F,$H:$H,'حركه المخزن الرئيسي اليوميه'!$I:$I)</f>
        <v>0.0</v>
      </c>
      <c r="N169" s="22">
        <f t="shared" si="6"/>
        <v>44.0</v>
      </c>
      <c r="O169" s="22">
        <f t="shared" si="7"/>
        <v>44.0</v>
      </c>
      <c r="P169" s="22">
        <f t="shared" si="8"/>
        <v>0.0</v>
      </c>
      <c r="Q169" s="57"/>
      <c r="R169" s="58"/>
    </row>
    <row r="170" spans="8:8">
      <c r="B170" s="8">
        <v>161.0</v>
      </c>
      <c r="C170" s="8" t="s">
        <v>764</v>
      </c>
      <c r="D170" s="8" t="s">
        <v>828</v>
      </c>
      <c r="E170" s="8" t="s">
        <v>514</v>
      </c>
      <c r="F170" s="8" t="s">
        <v>68</v>
      </c>
      <c r="G170" s="8" t="s">
        <v>2148</v>
      </c>
      <c r="H170" s="8" t="s">
        <v>514</v>
      </c>
      <c r="I170" s="55" t="s">
        <v>351</v>
      </c>
      <c r="J170" s="60" t="s">
        <v>7056</v>
      </c>
      <c r="K170" s="22">
        <v>0.0</v>
      </c>
      <c r="L170" s="22">
        <f>+SUMIF('حركه المخزن الرئيسي اليوميه'!$F:$F,$H:$H,'حركه المخزن الرئيسي اليوميه'!$H:$H)</f>
        <v>0.0</v>
      </c>
      <c r="M170" s="22">
        <f>+SUMIF('حركه المخزن الرئيسي اليوميه'!$F:$F,$H:$H,'حركه المخزن الرئيسي اليوميه'!$I:$I)</f>
        <v>0.0</v>
      </c>
      <c r="N170" s="22">
        <f t="shared" si="6"/>
        <v>0.0</v>
      </c>
      <c r="O170" s="22">
        <f t="shared" si="7"/>
        <v>0.0</v>
      </c>
      <c r="P170" s="22">
        <f t="shared" si="8"/>
        <v>0.0</v>
      </c>
      <c r="Q170" s="57"/>
      <c r="R170" s="58"/>
    </row>
    <row r="171" spans="8:8">
      <c r="B171" s="8">
        <v>162.0</v>
      </c>
      <c r="C171" s="8" t="s">
        <v>828</v>
      </c>
      <c r="D171" s="8" t="s">
        <v>828</v>
      </c>
      <c r="E171" s="8" t="s">
        <v>2607</v>
      </c>
      <c r="F171" s="8" t="s">
        <v>68</v>
      </c>
      <c r="G171" s="8" t="s">
        <v>2986</v>
      </c>
      <c r="H171" s="72" t="s">
        <v>2607</v>
      </c>
      <c r="I171" s="55" t="s">
        <v>351</v>
      </c>
      <c r="J171" s="60" t="s">
        <v>7057</v>
      </c>
      <c r="K171" s="22">
        <v>6.0</v>
      </c>
      <c r="L171" s="22">
        <f>+SUMIF('حركه المخزن الرئيسي اليوميه'!$F:$F,$H:$H,'حركه المخزن الرئيسي اليوميه'!$H:$H)</f>
        <v>0.0</v>
      </c>
      <c r="M171" s="22">
        <f>+SUMIF('حركه المخزن الرئيسي اليوميه'!$F:$F,$H:$H,'حركه المخزن الرئيسي اليوميه'!$I:$I)</f>
        <v>0.0</v>
      </c>
      <c r="N171" s="22">
        <f t="shared" si="6"/>
        <v>6.0</v>
      </c>
      <c r="O171" s="22">
        <f t="shared" si="7"/>
        <v>6.0</v>
      </c>
      <c r="P171" s="22">
        <f t="shared" si="8"/>
        <v>0.0</v>
      </c>
      <c r="Q171" s="57"/>
      <c r="R171" s="58"/>
    </row>
    <row r="172" spans="8:8">
      <c r="B172" s="8">
        <v>163.0</v>
      </c>
      <c r="C172" s="8" t="s">
        <v>764</v>
      </c>
      <c r="D172" s="8" t="s">
        <v>828</v>
      </c>
      <c r="E172" s="8" t="s">
        <v>8128</v>
      </c>
      <c r="F172" s="8" t="s">
        <v>68</v>
      </c>
      <c r="G172" s="8" t="s">
        <v>1720</v>
      </c>
      <c r="H172" s="8" t="s">
        <v>8128</v>
      </c>
      <c r="I172" s="55" t="s">
        <v>351</v>
      </c>
      <c r="J172" s="60" t="s">
        <v>7058</v>
      </c>
      <c r="K172" s="22">
        <v>5.0</v>
      </c>
      <c r="L172" s="22">
        <f>+SUMIF('حركه المخزن الرئيسي اليوميه'!$F:$F,$H:$H,'حركه المخزن الرئيسي اليوميه'!$H:$H)</f>
        <v>0.0</v>
      </c>
      <c r="M172" s="22">
        <f>+SUMIF('حركه المخزن الرئيسي اليوميه'!$F:$F,$H:$H,'حركه المخزن الرئيسي اليوميه'!$I:$I)</f>
        <v>0.0</v>
      </c>
      <c r="N172" s="22">
        <f t="shared" si="6"/>
        <v>5.0</v>
      </c>
      <c r="O172" s="22">
        <f t="shared" si="7"/>
        <v>5.0</v>
      </c>
      <c r="P172" s="22">
        <f t="shared" si="8"/>
        <v>0.0</v>
      </c>
      <c r="Q172" s="57"/>
      <c r="R172" s="58"/>
    </row>
    <row r="173" spans="8:8">
      <c r="B173" s="8">
        <v>164.0</v>
      </c>
      <c r="C173" s="8" t="s">
        <v>764</v>
      </c>
      <c r="D173" s="8" t="s">
        <v>828</v>
      </c>
      <c r="E173" s="8" t="s">
        <v>549</v>
      </c>
      <c r="F173" s="8" t="s">
        <v>68</v>
      </c>
      <c r="G173" s="8"/>
      <c r="H173" s="8" t="s">
        <v>549</v>
      </c>
      <c r="I173" s="55" t="s">
        <v>467</v>
      </c>
      <c r="J173" s="60" t="s">
        <v>7059</v>
      </c>
      <c r="K173" s="22">
        <v>18.0</v>
      </c>
      <c r="L173" s="22">
        <f>+SUMIF('حركه المخزن الرئيسي اليوميه'!$F:$F,$H:$H,'حركه المخزن الرئيسي اليوميه'!$H:$H)</f>
        <v>0.0</v>
      </c>
      <c r="M173" s="22">
        <f>+SUMIF('حركه المخزن الرئيسي اليوميه'!$F:$F,$H:$H,'حركه المخزن الرئيسي اليوميه'!$I:$I)</f>
        <v>0.0</v>
      </c>
      <c r="N173" s="22">
        <f t="shared" si="6"/>
        <v>18.0</v>
      </c>
      <c r="O173" s="22">
        <f t="shared" si="7"/>
        <v>18.0</v>
      </c>
      <c r="P173" s="22">
        <f t="shared" si="8"/>
        <v>0.0</v>
      </c>
      <c r="Q173" s="57"/>
      <c r="R173" s="58"/>
    </row>
    <row r="174" spans="8:8">
      <c r="B174" s="8">
        <v>165.0</v>
      </c>
      <c r="C174" s="8" t="s">
        <v>764</v>
      </c>
      <c r="D174" s="8" t="s">
        <v>828</v>
      </c>
      <c r="E174" s="8" t="s">
        <v>551</v>
      </c>
      <c r="F174" s="8" t="s">
        <v>68</v>
      </c>
      <c r="G174" s="8"/>
      <c r="H174" s="8" t="s">
        <v>551</v>
      </c>
      <c r="I174" s="55" t="s">
        <v>467</v>
      </c>
      <c r="J174" s="60" t="s">
        <v>7060</v>
      </c>
      <c r="K174" s="22">
        <v>41.0</v>
      </c>
      <c r="L174" s="22">
        <f>+SUMIF('حركه المخزن الرئيسي اليوميه'!$F:$F,$H:$H,'حركه المخزن الرئيسي اليوميه'!$H:$H)</f>
        <v>0.0</v>
      </c>
      <c r="M174" s="22">
        <f>+SUMIF('حركه المخزن الرئيسي اليوميه'!$F:$F,$H:$H,'حركه المخزن الرئيسي اليوميه'!$I:$I)</f>
        <v>1.0</v>
      </c>
      <c r="N174" s="22">
        <f t="shared" si="6"/>
        <v>40.0</v>
      </c>
      <c r="O174" s="22">
        <f t="shared" si="7"/>
        <v>40.0</v>
      </c>
      <c r="P174" s="22">
        <f t="shared" si="8"/>
        <v>0.0</v>
      </c>
      <c r="Q174" s="57"/>
      <c r="R174" s="58"/>
    </row>
    <row r="175" spans="8:8">
      <c r="B175" s="8">
        <v>166.0</v>
      </c>
      <c r="C175" s="8" t="s">
        <v>764</v>
      </c>
      <c r="D175" s="8" t="s">
        <v>828</v>
      </c>
      <c r="E175" s="8" t="s">
        <v>550</v>
      </c>
      <c r="F175" s="8" t="s">
        <v>68</v>
      </c>
      <c r="G175" s="8"/>
      <c r="H175" s="8" t="s">
        <v>550</v>
      </c>
      <c r="I175" s="55" t="s">
        <v>467</v>
      </c>
      <c r="J175" s="60" t="s">
        <v>7061</v>
      </c>
      <c r="K175" s="22">
        <v>22.0</v>
      </c>
      <c r="L175" s="22">
        <f>+SUMIF('حركه المخزن الرئيسي اليوميه'!$F:$F,$H:$H,'حركه المخزن الرئيسي اليوميه'!$H:$H)</f>
        <v>0.0</v>
      </c>
      <c r="M175" s="22">
        <f>+SUMIF('حركه المخزن الرئيسي اليوميه'!$F:$F,$H:$H,'حركه المخزن الرئيسي اليوميه'!$I:$I)</f>
        <v>0.0</v>
      </c>
      <c r="N175" s="22">
        <f t="shared" si="6"/>
        <v>22.0</v>
      </c>
      <c r="O175" s="22">
        <f t="shared" si="7"/>
        <v>22.0</v>
      </c>
      <c r="P175" s="22">
        <f t="shared" si="8"/>
        <v>0.0</v>
      </c>
      <c r="Q175" s="57"/>
      <c r="R175" s="58"/>
    </row>
    <row r="176" spans="8:8">
      <c r="B176" s="8">
        <v>167.0</v>
      </c>
      <c r="C176" s="8" t="s">
        <v>766</v>
      </c>
      <c r="D176" s="8" t="s">
        <v>828</v>
      </c>
      <c r="E176" s="8" t="s">
        <v>457</v>
      </c>
      <c r="F176" s="8" t="s">
        <v>68</v>
      </c>
      <c r="G176" s="8" t="s">
        <v>1700</v>
      </c>
      <c r="H176" s="8" t="s">
        <v>457</v>
      </c>
      <c r="I176" s="55" t="s">
        <v>467</v>
      </c>
      <c r="J176" s="60" t="s">
        <v>7062</v>
      </c>
      <c r="K176" s="22">
        <v>13.0</v>
      </c>
      <c r="L176" s="22">
        <f>+SUMIF('حركه المخزن الرئيسي اليوميه'!$F:$F,$H:$H,'حركه المخزن الرئيسي اليوميه'!$H:$H)</f>
        <v>0.0</v>
      </c>
      <c r="M176" s="22">
        <f>+SUMIF('حركه المخزن الرئيسي اليوميه'!$F:$F,$H:$H,'حركه المخزن الرئيسي اليوميه'!$I:$I)</f>
        <v>0.0</v>
      </c>
      <c r="N176" s="22">
        <f t="shared" si="6"/>
        <v>13.0</v>
      </c>
      <c r="O176" s="22">
        <f t="shared" si="7"/>
        <v>13.0</v>
      </c>
      <c r="P176" s="22">
        <f t="shared" si="8"/>
        <v>0.0</v>
      </c>
      <c r="Q176" s="57"/>
      <c r="R176" s="58"/>
    </row>
    <row r="177" spans="8:8">
      <c r="B177" s="8">
        <v>168.0</v>
      </c>
      <c r="C177" s="8" t="s">
        <v>764</v>
      </c>
      <c r="D177" s="8" t="s">
        <v>828</v>
      </c>
      <c r="E177" s="8" t="s">
        <v>2609</v>
      </c>
      <c r="F177" s="8" t="s">
        <v>68</v>
      </c>
      <c r="G177" s="8" t="s">
        <v>1577</v>
      </c>
      <c r="H177" s="8" t="s">
        <v>2609</v>
      </c>
      <c r="I177" s="55" t="s">
        <v>467</v>
      </c>
      <c r="J177" s="60" t="s">
        <v>7063</v>
      </c>
      <c r="K177" s="22">
        <v>0.0</v>
      </c>
      <c r="L177" s="22">
        <f>+SUMIF('حركه المخزن الرئيسي اليوميه'!$F:$F,$H:$H,'حركه المخزن الرئيسي اليوميه'!$H:$H)</f>
        <v>0.0</v>
      </c>
      <c r="M177" s="22">
        <f>+SUMIF('حركه المخزن الرئيسي اليوميه'!$F:$F,$H:$H,'حركه المخزن الرئيسي اليوميه'!$I:$I)</f>
        <v>0.0</v>
      </c>
      <c r="N177" s="22">
        <f t="shared" si="6"/>
        <v>0.0</v>
      </c>
      <c r="O177" s="22">
        <f t="shared" si="7"/>
        <v>0.0</v>
      </c>
      <c r="P177" s="22">
        <f t="shared" si="8"/>
        <v>0.0</v>
      </c>
      <c r="Q177" s="57"/>
      <c r="R177" s="58"/>
    </row>
    <row r="178" spans="8:8">
      <c r="B178" s="8">
        <v>169.0</v>
      </c>
      <c r="C178" s="8" t="s">
        <v>764</v>
      </c>
      <c r="D178" s="8" t="s">
        <v>828</v>
      </c>
      <c r="E178" s="8" t="s">
        <v>565</v>
      </c>
      <c r="F178" s="8" t="s">
        <v>68</v>
      </c>
      <c r="G178" s="8" t="s">
        <v>1578</v>
      </c>
      <c r="H178" s="8" t="s">
        <v>565</v>
      </c>
      <c r="I178" s="55" t="s">
        <v>467</v>
      </c>
      <c r="J178" s="60" t="s">
        <v>7064</v>
      </c>
      <c r="K178" s="22">
        <v>1.0</v>
      </c>
      <c r="L178" s="22">
        <f>+SUMIF('حركه المخزن الرئيسي اليوميه'!$F:$F,$H:$H,'حركه المخزن الرئيسي اليوميه'!$H:$H)</f>
        <v>0.0</v>
      </c>
      <c r="M178" s="22">
        <f>+SUMIF('حركه المخزن الرئيسي اليوميه'!$F:$F,$H:$H,'حركه المخزن الرئيسي اليوميه'!$I:$I)</f>
        <v>0.0</v>
      </c>
      <c r="N178" s="22">
        <f t="shared" si="6"/>
        <v>1.0</v>
      </c>
      <c r="O178" s="22">
        <f t="shared" si="7"/>
        <v>1.0</v>
      </c>
      <c r="P178" s="22">
        <f t="shared" si="8"/>
        <v>0.0</v>
      </c>
      <c r="Q178" s="57"/>
      <c r="R178" s="58"/>
    </row>
    <row r="179" spans="8:8">
      <c r="B179" s="8">
        <v>170.0</v>
      </c>
      <c r="C179" s="8" t="s">
        <v>766</v>
      </c>
      <c r="D179" s="8" t="s">
        <v>828</v>
      </c>
      <c r="E179" s="8" t="s">
        <v>2793</v>
      </c>
      <c r="F179" s="8" t="s">
        <v>68</v>
      </c>
      <c r="G179" s="8" t="s">
        <v>1718</v>
      </c>
      <c r="H179" s="8" t="s">
        <v>2793</v>
      </c>
      <c r="I179" s="55" t="s">
        <v>45</v>
      </c>
      <c r="J179" s="60" t="s">
        <v>7065</v>
      </c>
      <c r="K179" s="22">
        <v>2.0</v>
      </c>
      <c r="L179" s="22">
        <f>+SUMIF('حركه المخزن الرئيسي اليوميه'!$F:$F,$H:$H,'حركه المخزن الرئيسي اليوميه'!$H:$H)</f>
        <v>0.0</v>
      </c>
      <c r="M179" s="22">
        <f>+SUMIF('حركه المخزن الرئيسي اليوميه'!$F:$F,$H:$H,'حركه المخزن الرئيسي اليوميه'!$I:$I)</f>
        <v>0.0</v>
      </c>
      <c r="N179" s="22">
        <f t="shared" si="6"/>
        <v>2.0</v>
      </c>
      <c r="O179" s="22">
        <f t="shared" si="7"/>
        <v>2.0</v>
      </c>
      <c r="P179" s="22">
        <f t="shared" si="8"/>
        <v>0.0</v>
      </c>
      <c r="Q179" s="57"/>
      <c r="R179" s="58"/>
    </row>
    <row r="180" spans="8:8">
      <c r="B180" s="8">
        <v>171.0</v>
      </c>
      <c r="C180" s="8" t="s">
        <v>764</v>
      </c>
      <c r="D180" s="8" t="s">
        <v>828</v>
      </c>
      <c r="E180" s="8" t="s">
        <v>468</v>
      </c>
      <c r="F180" s="8" t="s">
        <v>68</v>
      </c>
      <c r="G180" s="8" t="s">
        <v>1719</v>
      </c>
      <c r="H180" s="8" t="s">
        <v>468</v>
      </c>
      <c r="I180" s="55" t="s">
        <v>467</v>
      </c>
      <c r="J180" s="60" t="s">
        <v>7066</v>
      </c>
      <c r="K180" s="22">
        <v>4.0</v>
      </c>
      <c r="L180" s="22">
        <f>+SUMIF('حركه المخزن الرئيسي اليوميه'!$F:$F,$H:$H,'حركه المخزن الرئيسي اليوميه'!$H:$H)</f>
        <v>0.0</v>
      </c>
      <c r="M180" s="22">
        <f>+SUMIF('حركه المخزن الرئيسي اليوميه'!$F:$F,$H:$H,'حركه المخزن الرئيسي اليوميه'!$I:$I)</f>
        <v>0.0</v>
      </c>
      <c r="N180" s="22">
        <f t="shared" si="6"/>
        <v>4.0</v>
      </c>
      <c r="O180" s="22">
        <f t="shared" si="7"/>
        <v>4.0</v>
      </c>
      <c r="P180" s="22">
        <f t="shared" si="8"/>
        <v>0.0</v>
      </c>
      <c r="Q180" s="57"/>
      <c r="R180" s="58"/>
    </row>
    <row r="181" spans="8:8">
      <c r="B181" s="8">
        <v>172.0</v>
      </c>
      <c r="C181" s="8" t="s">
        <v>766</v>
      </c>
      <c r="D181" s="8" t="s">
        <v>828</v>
      </c>
      <c r="E181" s="8" t="s">
        <v>454</v>
      </c>
      <c r="F181" s="8" t="s">
        <v>68</v>
      </c>
      <c r="G181" s="8" t="s">
        <v>1575</v>
      </c>
      <c r="H181" s="8" t="s">
        <v>454</v>
      </c>
      <c r="I181" s="55" t="s">
        <v>466</v>
      </c>
      <c r="J181" s="60" t="s">
        <v>7067</v>
      </c>
      <c r="K181" s="22">
        <v>58.0</v>
      </c>
      <c r="L181" s="22">
        <f>+SUMIF('حركه المخزن الرئيسي اليوميه'!$F:$F,$H:$H,'حركه المخزن الرئيسي اليوميه'!$H:$H)</f>
        <v>0.0</v>
      </c>
      <c r="M181" s="22">
        <f>+SUMIF('حركه المخزن الرئيسي اليوميه'!$F:$F,$H:$H,'حركه المخزن الرئيسي اليوميه'!$I:$I)</f>
        <v>0.0</v>
      </c>
      <c r="N181" s="22">
        <f t="shared" si="6"/>
        <v>58.0</v>
      </c>
      <c r="O181" s="22">
        <f t="shared" si="7"/>
        <v>58.0</v>
      </c>
      <c r="P181" s="22">
        <f t="shared" si="8"/>
        <v>0.0</v>
      </c>
      <c r="Q181" s="57"/>
      <c r="R181" s="58"/>
    </row>
    <row r="182" spans="8:8">
      <c r="B182" s="8">
        <v>173.0</v>
      </c>
      <c r="C182" s="8" t="s">
        <v>766</v>
      </c>
      <c r="D182" s="8" t="s">
        <v>828</v>
      </c>
      <c r="E182" s="8" t="s">
        <v>455</v>
      </c>
      <c r="F182" s="8" t="s">
        <v>68</v>
      </c>
      <c r="G182" s="8" t="s">
        <v>1575</v>
      </c>
      <c r="H182" s="8" t="s">
        <v>455</v>
      </c>
      <c r="I182" s="55" t="s">
        <v>466</v>
      </c>
      <c r="J182" s="60" t="s">
        <v>7068</v>
      </c>
      <c r="K182" s="22">
        <v>21.0</v>
      </c>
      <c r="L182" s="22">
        <f>+SUMIF('حركه المخزن الرئيسي اليوميه'!$F:$F,$H:$H,'حركه المخزن الرئيسي اليوميه'!$H:$H)</f>
        <v>0.0</v>
      </c>
      <c r="M182" s="22">
        <f>+SUMIF('حركه المخزن الرئيسي اليوميه'!$F:$F,$H:$H,'حركه المخزن الرئيسي اليوميه'!$I:$I)</f>
        <v>0.0</v>
      </c>
      <c r="N182" s="22">
        <f t="shared" si="6"/>
        <v>21.0</v>
      </c>
      <c r="O182" s="22">
        <f t="shared" si="7"/>
        <v>21.0</v>
      </c>
      <c r="P182" s="22">
        <f t="shared" si="8"/>
        <v>0.0</v>
      </c>
      <c r="Q182" s="57"/>
      <c r="R182" s="58"/>
    </row>
    <row r="183" spans="8:8">
      <c r="B183" s="8">
        <v>174.0</v>
      </c>
      <c r="C183" s="8" t="s">
        <v>764</v>
      </c>
      <c r="D183" s="8" t="s">
        <v>828</v>
      </c>
      <c r="E183" s="8" t="s">
        <v>2878</v>
      </c>
      <c r="F183" s="8" t="s">
        <v>68</v>
      </c>
      <c r="G183" s="8" t="s">
        <v>536</v>
      </c>
      <c r="H183" s="8" t="s">
        <v>2878</v>
      </c>
      <c r="I183" s="55" t="s">
        <v>168</v>
      </c>
      <c r="J183" s="60" t="s">
        <v>7069</v>
      </c>
      <c r="K183" s="22">
        <v>9.0</v>
      </c>
      <c r="L183" s="22">
        <f>+SUMIF('حركه المخزن الرئيسي اليوميه'!$F:$F,$H:$H,'حركه المخزن الرئيسي اليوميه'!$H:$H)</f>
        <v>0.0</v>
      </c>
      <c r="M183" s="22">
        <f>+SUMIF('حركه المخزن الرئيسي اليوميه'!$F:$F,$H:$H,'حركه المخزن الرئيسي اليوميه'!$I:$I)</f>
        <v>0.0</v>
      </c>
      <c r="N183" s="22">
        <f t="shared" si="6"/>
        <v>9.0</v>
      </c>
      <c r="O183" s="22">
        <f t="shared" si="7"/>
        <v>9.0</v>
      </c>
      <c r="P183" s="22">
        <f t="shared" si="8"/>
        <v>0.0</v>
      </c>
      <c r="Q183" s="57"/>
      <c r="R183" s="58"/>
    </row>
    <row r="184" spans="8:8">
      <c r="B184" s="8">
        <v>175.0</v>
      </c>
      <c r="C184" s="8" t="s">
        <v>764</v>
      </c>
      <c r="D184" s="8" t="s">
        <v>828</v>
      </c>
      <c r="E184" s="8" t="s">
        <v>537</v>
      </c>
      <c r="F184" s="8" t="s">
        <v>68</v>
      </c>
      <c r="G184" s="8" t="s">
        <v>537</v>
      </c>
      <c r="H184" s="8" t="s">
        <v>537</v>
      </c>
      <c r="I184" s="8" t="s">
        <v>31</v>
      </c>
      <c r="J184" s="60" t="s">
        <v>7070</v>
      </c>
      <c r="K184" s="22">
        <v>17.0</v>
      </c>
      <c r="L184" s="22">
        <f>+SUMIF('حركه المخزن الرئيسي اليوميه'!$F:$F,$H:$H,'حركه المخزن الرئيسي اليوميه'!$H:$H)</f>
        <v>0.0</v>
      </c>
      <c r="M184" s="22">
        <f>+SUMIF('حركه المخزن الرئيسي اليوميه'!$F:$F,$H:$H,'حركه المخزن الرئيسي اليوميه'!$I:$I)</f>
        <v>0.0</v>
      </c>
      <c r="N184" s="22">
        <f t="shared" si="6"/>
        <v>17.0</v>
      </c>
      <c r="O184" s="22">
        <f t="shared" si="7"/>
        <v>17.0</v>
      </c>
      <c r="P184" s="22">
        <f t="shared" si="8"/>
        <v>0.0</v>
      </c>
      <c r="Q184" s="57"/>
      <c r="R184" s="58"/>
    </row>
    <row r="185" spans="8:8">
      <c r="B185" s="8">
        <v>176.0</v>
      </c>
      <c r="C185" s="8" t="s">
        <v>764</v>
      </c>
      <c r="D185" s="8" t="s">
        <v>828</v>
      </c>
      <c r="E185" s="8" t="s">
        <v>538</v>
      </c>
      <c r="F185" s="8" t="s">
        <v>68</v>
      </c>
      <c r="G185" s="8" t="s">
        <v>538</v>
      </c>
      <c r="H185" s="8" t="s">
        <v>538</v>
      </c>
      <c r="I185" s="55" t="s">
        <v>168</v>
      </c>
      <c r="J185" s="60" t="s">
        <v>7071</v>
      </c>
      <c r="K185" s="22">
        <v>20.0</v>
      </c>
      <c r="L185" s="22">
        <f>+SUMIF('حركه المخزن الرئيسي اليوميه'!$F:$F,$H:$H,'حركه المخزن الرئيسي اليوميه'!$H:$H)</f>
        <v>0.0</v>
      </c>
      <c r="M185" s="22">
        <f>+SUMIF('حركه المخزن الرئيسي اليوميه'!$F:$F,$H:$H,'حركه المخزن الرئيسي اليوميه'!$I:$I)</f>
        <v>0.0</v>
      </c>
      <c r="N185" s="22">
        <f t="shared" si="6"/>
        <v>20.0</v>
      </c>
      <c r="O185" s="22">
        <f t="shared" si="7"/>
        <v>20.0</v>
      </c>
      <c r="P185" s="22">
        <f t="shared" si="8"/>
        <v>0.0</v>
      </c>
      <c r="Q185" s="57"/>
      <c r="R185" s="58"/>
    </row>
    <row r="186" spans="8:8">
      <c r="B186" s="8">
        <v>177.0</v>
      </c>
      <c r="C186" s="8" t="s">
        <v>764</v>
      </c>
      <c r="D186" s="8" t="s">
        <v>828</v>
      </c>
      <c r="E186" s="8" t="s">
        <v>535</v>
      </c>
      <c r="F186" s="8" t="s">
        <v>68</v>
      </c>
      <c r="G186" s="8" t="s">
        <v>535</v>
      </c>
      <c r="H186" s="8" t="s">
        <v>535</v>
      </c>
      <c r="I186" s="55" t="s">
        <v>168</v>
      </c>
      <c r="J186" s="60" t="s">
        <v>7072</v>
      </c>
      <c r="K186" s="22">
        <v>19.0</v>
      </c>
      <c r="L186" s="22">
        <f>+SUMIF('حركه المخزن الرئيسي اليوميه'!$F:$F,$H:$H,'حركه المخزن الرئيسي اليوميه'!$H:$H)</f>
        <v>0.0</v>
      </c>
      <c r="M186" s="22">
        <f>+SUMIF('حركه المخزن الرئيسي اليوميه'!$F:$F,$H:$H,'حركه المخزن الرئيسي اليوميه'!$I:$I)</f>
        <v>0.0</v>
      </c>
      <c r="N186" s="22">
        <f t="shared" si="6"/>
        <v>19.0</v>
      </c>
      <c r="O186" s="22">
        <f t="shared" si="7"/>
        <v>19.0</v>
      </c>
      <c r="P186" s="22">
        <f t="shared" si="8"/>
        <v>0.0</v>
      </c>
      <c r="Q186" s="57"/>
      <c r="R186" s="58"/>
    </row>
    <row r="187" spans="8:8">
      <c r="B187" s="8">
        <v>178.0</v>
      </c>
      <c r="C187" s="8" t="s">
        <v>828</v>
      </c>
      <c r="D187" s="8" t="s">
        <v>828</v>
      </c>
      <c r="E187" s="8" t="s">
        <v>2879</v>
      </c>
      <c r="F187" s="8" t="s">
        <v>1501</v>
      </c>
      <c r="G187" s="8"/>
      <c r="H187" s="8" t="s">
        <v>2879</v>
      </c>
      <c r="I187" s="55" t="s">
        <v>466</v>
      </c>
      <c r="J187" s="60" t="s">
        <v>7073</v>
      </c>
      <c r="K187" s="22">
        <v>0.0</v>
      </c>
      <c r="L187" s="22">
        <f>+SUMIF('حركه المخزن الرئيسي اليوميه'!$F:$F,$H:$H,'حركه المخزن الرئيسي اليوميه'!$H:$H)</f>
        <v>0.0</v>
      </c>
      <c r="M187" s="22">
        <f>+SUMIF('حركه المخزن الرئيسي اليوميه'!$F:$F,$H:$H,'حركه المخزن الرئيسي اليوميه'!$I:$I)</f>
        <v>0.0</v>
      </c>
      <c r="N187" s="22">
        <f t="shared" si="6"/>
        <v>0.0</v>
      </c>
      <c r="O187" s="22">
        <f t="shared" si="7"/>
        <v>0.0</v>
      </c>
      <c r="P187" s="22">
        <f t="shared" si="8"/>
        <v>0.0</v>
      </c>
      <c r="Q187" s="57"/>
      <c r="R187" s="58"/>
    </row>
    <row r="188" spans="8:8">
      <c r="B188" s="8">
        <v>179.0</v>
      </c>
      <c r="C188" s="8" t="s">
        <v>763</v>
      </c>
      <c r="D188" s="8" t="s">
        <v>828</v>
      </c>
      <c r="E188" s="8" t="s">
        <v>769</v>
      </c>
      <c r="F188" s="8" t="s">
        <v>68</v>
      </c>
      <c r="G188" s="8" t="s">
        <v>1576</v>
      </c>
      <c r="H188" s="8" t="s">
        <v>769</v>
      </c>
      <c r="I188" s="55" t="s">
        <v>2950</v>
      </c>
      <c r="J188" s="60" t="s">
        <v>7074</v>
      </c>
      <c r="K188" s="22">
        <v>13.0</v>
      </c>
      <c r="L188" s="22">
        <f>+SUMIF('حركه المخزن الرئيسي اليوميه'!$F:$F,$H:$H,'حركه المخزن الرئيسي اليوميه'!$H:$H)</f>
        <v>0.0</v>
      </c>
      <c r="M188" s="22">
        <f>+SUMIF('حركه المخزن الرئيسي اليوميه'!$F:$F,$H:$H,'حركه المخزن الرئيسي اليوميه'!$I:$I)</f>
        <v>0.0</v>
      </c>
      <c r="N188" s="22">
        <f t="shared" si="6"/>
        <v>13.0</v>
      </c>
      <c r="O188" s="22">
        <f t="shared" si="7"/>
        <v>13.0</v>
      </c>
      <c r="P188" s="22">
        <f t="shared" si="8"/>
        <v>0.0</v>
      </c>
      <c r="Q188" s="57"/>
      <c r="R188" s="58"/>
    </row>
    <row r="189" spans="8:8">
      <c r="B189" s="8">
        <v>180.0</v>
      </c>
      <c r="C189" s="8" t="s">
        <v>764</v>
      </c>
      <c r="D189" s="8" t="s">
        <v>828</v>
      </c>
      <c r="E189" s="8" t="s">
        <v>534</v>
      </c>
      <c r="F189" s="8" t="s">
        <v>68</v>
      </c>
      <c r="G189" s="8"/>
      <c r="H189" s="8" t="s">
        <v>534</v>
      </c>
      <c r="I189" s="8" t="s">
        <v>39</v>
      </c>
      <c r="J189" s="60" t="s">
        <v>7075</v>
      </c>
      <c r="K189" s="22">
        <v>0.0</v>
      </c>
      <c r="L189" s="22">
        <f>+SUMIF('حركه المخزن الرئيسي اليوميه'!$F:$F,$H:$H,'حركه المخزن الرئيسي اليوميه'!$H:$H)</f>
        <v>0.0</v>
      </c>
      <c r="M189" s="22">
        <f>+SUMIF('حركه المخزن الرئيسي اليوميه'!$F:$F,$H:$H,'حركه المخزن الرئيسي اليوميه'!$I:$I)</f>
        <v>0.0</v>
      </c>
      <c r="N189" s="22">
        <f t="shared" si="6"/>
        <v>0.0</v>
      </c>
      <c r="O189" s="22">
        <f t="shared" si="7"/>
        <v>0.0</v>
      </c>
      <c r="P189" s="22">
        <f t="shared" si="8"/>
        <v>0.0</v>
      </c>
      <c r="Q189" s="57"/>
      <c r="R189" s="58"/>
    </row>
    <row r="190" spans="8:8">
      <c r="B190" s="8">
        <v>181.0</v>
      </c>
      <c r="C190" s="8" t="s">
        <v>764</v>
      </c>
      <c r="D190" s="8" t="s">
        <v>828</v>
      </c>
      <c r="E190" s="8" t="s">
        <v>3577</v>
      </c>
      <c r="F190" s="8" t="s">
        <v>68</v>
      </c>
      <c r="G190" s="8"/>
      <c r="H190" s="8" t="s">
        <v>3577</v>
      </c>
      <c r="I190" s="55" t="s">
        <v>36</v>
      </c>
      <c r="J190" s="60" t="s">
        <v>7076</v>
      </c>
      <c r="K190" s="22">
        <v>1.0</v>
      </c>
      <c r="L190" s="22">
        <f>+SUMIF('حركه المخزن الرئيسي اليوميه'!$F:$F,$H:$H,'حركه المخزن الرئيسي اليوميه'!$H:$H)</f>
        <v>0.0</v>
      </c>
      <c r="M190" s="22">
        <f>+SUMIF('حركه المخزن الرئيسي اليوميه'!$F:$F,$H:$H,'حركه المخزن الرئيسي اليوميه'!$I:$I)</f>
        <v>0.0</v>
      </c>
      <c r="N190" s="22">
        <f t="shared" si="6"/>
        <v>1.0</v>
      </c>
      <c r="O190" s="22">
        <f t="shared" si="7"/>
        <v>1.0</v>
      </c>
      <c r="P190" s="22">
        <f t="shared" si="8"/>
        <v>0.0</v>
      </c>
      <c r="Q190" s="57"/>
      <c r="R190" s="58"/>
    </row>
    <row r="191" spans="8:8">
      <c r="B191" s="8">
        <v>182.0</v>
      </c>
      <c r="C191" s="8" t="s">
        <v>764</v>
      </c>
      <c r="D191" s="8" t="s">
        <v>828</v>
      </c>
      <c r="E191" s="8" t="s">
        <v>557</v>
      </c>
      <c r="F191" s="8" t="s">
        <v>68</v>
      </c>
      <c r="G191" s="8" t="s">
        <v>2375</v>
      </c>
      <c r="H191" s="8" t="s">
        <v>557</v>
      </c>
      <c r="I191" s="8" t="s">
        <v>39</v>
      </c>
      <c r="J191" s="60" t="s">
        <v>7077</v>
      </c>
      <c r="K191" s="22">
        <v>2.0</v>
      </c>
      <c r="L191" s="22">
        <f>+SUMIF('حركه المخزن الرئيسي اليوميه'!$F:$F,$H:$H,'حركه المخزن الرئيسي اليوميه'!$H:$H)</f>
        <v>0.0</v>
      </c>
      <c r="M191" s="22">
        <f>+SUMIF('حركه المخزن الرئيسي اليوميه'!$F:$F,$H:$H,'حركه المخزن الرئيسي اليوميه'!$I:$I)</f>
        <v>0.0</v>
      </c>
      <c r="N191" s="22">
        <f t="shared" si="6"/>
        <v>2.0</v>
      </c>
      <c r="O191" s="22">
        <f t="shared" si="7"/>
        <v>2.0</v>
      </c>
      <c r="P191" s="22">
        <f t="shared" si="8"/>
        <v>0.0</v>
      </c>
      <c r="Q191" s="57"/>
      <c r="R191" s="58"/>
    </row>
    <row r="192" spans="8:8">
      <c r="B192" s="8">
        <v>183.0</v>
      </c>
      <c r="C192" s="8" t="s">
        <v>828</v>
      </c>
      <c r="D192" s="8" t="s">
        <v>828</v>
      </c>
      <c r="E192" s="8" t="s">
        <v>1064</v>
      </c>
      <c r="F192" s="8" t="s">
        <v>68</v>
      </c>
      <c r="G192" s="8"/>
      <c r="H192" s="8" t="s">
        <v>1064</v>
      </c>
      <c r="I192" s="55" t="s">
        <v>39</v>
      </c>
      <c r="J192" s="60" t="s">
        <v>7078</v>
      </c>
      <c r="K192" s="22">
        <v>3.0</v>
      </c>
      <c r="L192" s="22">
        <f>+SUMIF('حركه المخزن الرئيسي اليوميه'!$F:$F,$H:$H,'حركه المخزن الرئيسي اليوميه'!$H:$H)</f>
        <v>0.0</v>
      </c>
      <c r="M192" s="22">
        <f>+SUMIF('حركه المخزن الرئيسي اليوميه'!$F:$F,$H:$H,'حركه المخزن الرئيسي اليوميه'!$I:$I)</f>
        <v>0.0</v>
      </c>
      <c r="N192" s="22">
        <f t="shared" si="9" ref="N192:N245">+K192+L192-M192</f>
        <v>3.0</v>
      </c>
      <c r="O192" s="22">
        <f t="shared" si="10" ref="O192:O245">+N192</f>
        <v>3.0</v>
      </c>
      <c r="P192" s="22">
        <f t="shared" si="11" ref="P192:P245">+N192-O192</f>
        <v>0.0</v>
      </c>
      <c r="Q192" s="57"/>
      <c r="R192" s="58"/>
    </row>
    <row r="193" spans="8:8">
      <c r="B193" s="8">
        <v>184.0</v>
      </c>
      <c r="C193" s="8" t="s">
        <v>766</v>
      </c>
      <c r="D193" s="8" t="s">
        <v>568</v>
      </c>
      <c r="E193" s="8" t="s">
        <v>2658</v>
      </c>
      <c r="F193" s="8" t="s">
        <v>68</v>
      </c>
      <c r="G193" s="8" t="s">
        <v>2242</v>
      </c>
      <c r="H193" s="8" t="s">
        <v>2658</v>
      </c>
      <c r="I193" s="55" t="s">
        <v>43</v>
      </c>
      <c r="J193" s="60" t="s">
        <v>7079</v>
      </c>
      <c r="K193" s="22">
        <v>2.0</v>
      </c>
      <c r="L193" s="22">
        <f>+SUMIF('حركه المخزن الرئيسي اليوميه'!$F:$F,$H:$H,'حركه المخزن الرئيسي اليوميه'!$H:$H)</f>
        <v>0.0</v>
      </c>
      <c r="M193" s="22">
        <f>+SUMIF('حركه المخزن الرئيسي اليوميه'!$F:$F,$H:$H,'حركه المخزن الرئيسي اليوميه'!$I:$I)</f>
        <v>0.0</v>
      </c>
      <c r="N193" s="22">
        <f t="shared" si="9"/>
        <v>2.0</v>
      </c>
      <c r="O193" s="22">
        <f t="shared" si="10"/>
        <v>2.0</v>
      </c>
      <c r="P193" s="22">
        <f t="shared" si="11"/>
        <v>0.0</v>
      </c>
      <c r="Q193" s="57"/>
      <c r="R193" s="58"/>
    </row>
    <row r="194" spans="8:8">
      <c r="B194" s="8">
        <v>185.0</v>
      </c>
      <c r="C194" s="8" t="s">
        <v>764</v>
      </c>
      <c r="D194" s="8" t="s">
        <v>713</v>
      </c>
      <c r="E194" s="8" t="s">
        <v>1544</v>
      </c>
      <c r="F194" s="8" t="s">
        <v>68</v>
      </c>
      <c r="G194" s="8"/>
      <c r="H194" s="8" t="s">
        <v>1544</v>
      </c>
      <c r="I194" s="55" t="s">
        <v>43</v>
      </c>
      <c r="J194" s="60" t="s">
        <v>7080</v>
      </c>
      <c r="K194" s="22">
        <v>0.0</v>
      </c>
      <c r="L194" s="22">
        <f>+SUMIF('حركه المخزن الرئيسي اليوميه'!$F:$F,$H:$H,'حركه المخزن الرئيسي اليوميه'!$H:$H)</f>
        <v>0.0</v>
      </c>
      <c r="M194" s="22">
        <f>+SUMIF('حركه المخزن الرئيسي اليوميه'!$F:$F,$H:$H,'حركه المخزن الرئيسي اليوميه'!$I:$I)</f>
        <v>0.0</v>
      </c>
      <c r="N194" s="22">
        <f t="shared" si="9"/>
        <v>0.0</v>
      </c>
      <c r="O194" s="22">
        <f t="shared" si="10"/>
        <v>0.0</v>
      </c>
      <c r="P194" s="22">
        <f t="shared" si="11"/>
        <v>0.0</v>
      </c>
      <c r="Q194" s="57"/>
      <c r="R194" s="58"/>
    </row>
    <row r="195" spans="8:8">
      <c r="B195" s="8">
        <v>186.0</v>
      </c>
      <c r="C195" s="8" t="s">
        <v>828</v>
      </c>
      <c r="D195" s="8" t="s">
        <v>828</v>
      </c>
      <c r="E195" s="8" t="s">
        <v>1569</v>
      </c>
      <c r="F195" s="8" t="s">
        <v>1501</v>
      </c>
      <c r="G195" s="8" t="s">
        <v>2292</v>
      </c>
      <c r="H195" s="8" t="s">
        <v>1569</v>
      </c>
      <c r="I195" s="55" t="s">
        <v>45</v>
      </c>
      <c r="J195" s="60" t="s">
        <v>7081</v>
      </c>
      <c r="K195" s="22">
        <v>6.0</v>
      </c>
      <c r="L195" s="22">
        <f>+SUMIF('حركه المخزن الرئيسي اليوميه'!$F:$F,$H:$H,'حركه المخزن الرئيسي اليوميه'!$H:$H)</f>
        <v>0.0</v>
      </c>
      <c r="M195" s="22">
        <f>+SUMIF('حركه المخزن الرئيسي اليوميه'!$F:$F,$H:$H,'حركه المخزن الرئيسي اليوميه'!$I:$I)</f>
        <v>0.0</v>
      </c>
      <c r="N195" s="22">
        <f t="shared" si="9"/>
        <v>6.0</v>
      </c>
      <c r="O195" s="22">
        <f t="shared" si="10"/>
        <v>6.0</v>
      </c>
      <c r="P195" s="22">
        <f t="shared" si="11"/>
        <v>0.0</v>
      </c>
      <c r="Q195" s="57"/>
      <c r="R195" s="58"/>
    </row>
    <row r="196" spans="8:8">
      <c r="B196" s="8">
        <v>187.0</v>
      </c>
      <c r="C196" s="8" t="s">
        <v>764</v>
      </c>
      <c r="D196" s="8" t="s">
        <v>828</v>
      </c>
      <c r="E196" s="8" t="s">
        <v>2928</v>
      </c>
      <c r="F196" s="8" t="s">
        <v>68</v>
      </c>
      <c r="G196" s="8" t="s">
        <v>2153</v>
      </c>
      <c r="H196" s="8" t="s">
        <v>2928</v>
      </c>
      <c r="I196" s="55" t="s">
        <v>45</v>
      </c>
      <c r="J196" s="60" t="s">
        <v>7082</v>
      </c>
      <c r="K196" s="22">
        <v>19.0</v>
      </c>
      <c r="L196" s="22">
        <f>+SUMIF('حركه المخزن الرئيسي اليوميه'!$F:$F,$H:$H,'حركه المخزن الرئيسي اليوميه'!$H:$H)</f>
        <v>0.0</v>
      </c>
      <c r="M196" s="22">
        <f>+SUMIF('حركه المخزن الرئيسي اليوميه'!$F:$F,$H:$H,'حركه المخزن الرئيسي اليوميه'!$I:$I)</f>
        <v>0.0</v>
      </c>
      <c r="N196" s="22">
        <f t="shared" si="9"/>
        <v>19.0</v>
      </c>
      <c r="O196" s="22">
        <f t="shared" si="10"/>
        <v>19.0</v>
      </c>
      <c r="P196" s="22">
        <f t="shared" si="11"/>
        <v>0.0</v>
      </c>
      <c r="Q196" s="57"/>
      <c r="R196" s="58"/>
    </row>
    <row r="197" spans="8:8">
      <c r="B197" s="8">
        <v>188.0</v>
      </c>
      <c r="C197" s="8" t="s">
        <v>764</v>
      </c>
      <c r="D197" s="8" t="s">
        <v>828</v>
      </c>
      <c r="E197" s="8" t="s">
        <v>2929</v>
      </c>
      <c r="F197" s="8" t="s">
        <v>68</v>
      </c>
      <c r="G197" s="8" t="s">
        <v>2153</v>
      </c>
      <c r="H197" s="8" t="s">
        <v>2929</v>
      </c>
      <c r="I197" s="55" t="s">
        <v>45</v>
      </c>
      <c r="J197" s="60" t="s">
        <v>7083</v>
      </c>
      <c r="K197" s="22">
        <v>7.0</v>
      </c>
      <c r="L197" s="22">
        <f>+SUMIF('حركه المخزن الرئيسي اليوميه'!$F:$F,$H:$H,'حركه المخزن الرئيسي اليوميه'!$H:$H)</f>
        <v>0.0</v>
      </c>
      <c r="M197" s="22">
        <f>+SUMIF('حركه المخزن الرئيسي اليوميه'!$F:$F,$H:$H,'حركه المخزن الرئيسي اليوميه'!$I:$I)</f>
        <v>0.0</v>
      </c>
      <c r="N197" s="22">
        <f t="shared" si="9"/>
        <v>7.0</v>
      </c>
      <c r="O197" s="22">
        <f t="shared" si="10"/>
        <v>7.0</v>
      </c>
      <c r="P197" s="22">
        <f t="shared" si="11"/>
        <v>0.0</v>
      </c>
      <c r="Q197" s="57"/>
      <c r="R197" s="58"/>
    </row>
    <row r="198" spans="8:8">
      <c r="B198" s="8">
        <v>189.0</v>
      </c>
      <c r="C198" s="8" t="s">
        <v>828</v>
      </c>
      <c r="D198" s="55"/>
      <c r="E198" s="55"/>
      <c r="F198" s="55"/>
      <c r="G198" s="55"/>
      <c r="H198" s="55"/>
      <c r="I198" s="55"/>
      <c r="J198" s="60" t="s">
        <v>7084</v>
      </c>
      <c r="K198" s="22">
        <v>0.0</v>
      </c>
      <c r="L198" s="22">
        <f>+SUMIF('حركه المخزن الرئيسي اليوميه'!$F:$F,$H:$H,'حركه المخزن الرئيسي اليوميه'!$H:$H)</f>
        <v>0.0</v>
      </c>
      <c r="M198" s="22">
        <f>+SUMIF('حركه المخزن الرئيسي اليوميه'!$F:$F,$H:$H,'حركه المخزن الرئيسي اليوميه'!$I:$I)</f>
        <v>0.0</v>
      </c>
      <c r="N198" s="22">
        <f t="shared" si="12" ref="N198">+K198+L198-M198</f>
        <v>0.0</v>
      </c>
      <c r="O198" s="22">
        <f t="shared" si="10"/>
        <v>0.0</v>
      </c>
      <c r="P198" s="22">
        <f t="shared" si="13" ref="P198">+N198-O198</f>
        <v>0.0</v>
      </c>
      <c r="Q198" s="57"/>
      <c r="R198" s="58"/>
    </row>
    <row r="199" spans="8:8">
      <c r="B199" s="8">
        <v>190.0</v>
      </c>
      <c r="C199" s="8" t="s">
        <v>764</v>
      </c>
      <c r="D199" s="55" t="s">
        <v>828</v>
      </c>
      <c r="E199" s="55" t="s">
        <v>475</v>
      </c>
      <c r="F199" s="55" t="s">
        <v>68</v>
      </c>
      <c r="G199" s="55" t="s">
        <v>1731</v>
      </c>
      <c r="H199" s="55" t="s">
        <v>475</v>
      </c>
      <c r="I199" s="55" t="s">
        <v>55</v>
      </c>
      <c r="J199" s="60" t="s">
        <v>7085</v>
      </c>
      <c r="K199" s="22">
        <v>17.0</v>
      </c>
      <c r="L199" s="22">
        <f>+SUMIF('حركه المخزن الرئيسي اليوميه'!$F:$F,$H:$H,'حركه المخزن الرئيسي اليوميه'!$H:$H)</f>
        <v>0.0</v>
      </c>
      <c r="M199" s="22">
        <f>+SUMIF('حركه المخزن الرئيسي اليوميه'!$F:$F,$H:$H,'حركه المخزن الرئيسي اليوميه'!$I:$I)</f>
        <v>0.0</v>
      </c>
      <c r="N199" s="22">
        <f t="shared" si="9"/>
        <v>17.0</v>
      </c>
      <c r="O199" s="22">
        <f t="shared" si="10"/>
        <v>17.0</v>
      </c>
      <c r="P199" s="22">
        <f t="shared" si="11"/>
        <v>0.0</v>
      </c>
      <c r="Q199" s="57"/>
      <c r="R199" s="58"/>
    </row>
    <row r="200" spans="8:8">
      <c r="B200" s="8">
        <v>191.0</v>
      </c>
      <c r="C200" s="8" t="s">
        <v>764</v>
      </c>
      <c r="D200" s="8" t="s">
        <v>828</v>
      </c>
      <c r="E200" s="8" t="s">
        <v>2668</v>
      </c>
      <c r="F200" s="8" t="s">
        <v>68</v>
      </c>
      <c r="G200" s="8" t="s">
        <v>1920</v>
      </c>
      <c r="H200" s="8" t="s">
        <v>2668</v>
      </c>
      <c r="I200" s="55" t="s">
        <v>45</v>
      </c>
      <c r="J200" s="60" t="s">
        <v>7086</v>
      </c>
      <c r="K200" s="22">
        <v>7.0</v>
      </c>
      <c r="L200" s="22">
        <f>+SUMIF('حركه المخزن الرئيسي اليوميه'!$F:$F,$H:$H,'حركه المخزن الرئيسي اليوميه'!$H:$H)</f>
        <v>0.0</v>
      </c>
      <c r="M200" s="22">
        <f>+SUMIF('حركه المخزن الرئيسي اليوميه'!$F:$F,$H:$H,'حركه المخزن الرئيسي اليوميه'!$I:$I)</f>
        <v>0.0</v>
      </c>
      <c r="N200" s="22">
        <f t="shared" si="9"/>
        <v>7.0</v>
      </c>
      <c r="O200" s="22">
        <f t="shared" si="10"/>
        <v>7.0</v>
      </c>
      <c r="P200" s="22">
        <f t="shared" si="11"/>
        <v>0.0</v>
      </c>
      <c r="Q200" s="57"/>
      <c r="R200" s="58"/>
    </row>
    <row r="201" spans="8:8">
      <c r="B201" s="8">
        <v>192.0</v>
      </c>
      <c r="C201" s="8" t="s">
        <v>763</v>
      </c>
      <c r="D201" s="8" t="s">
        <v>828</v>
      </c>
      <c r="E201" s="8" t="s">
        <v>419</v>
      </c>
      <c r="F201" s="8" t="s">
        <v>68</v>
      </c>
      <c r="G201" s="8" t="s">
        <v>2140</v>
      </c>
      <c r="H201" s="8" t="s">
        <v>419</v>
      </c>
      <c r="I201" s="55" t="s">
        <v>52</v>
      </c>
      <c r="J201" s="60" t="s">
        <v>7087</v>
      </c>
      <c r="K201" s="22">
        <v>21.0</v>
      </c>
      <c r="L201" s="22">
        <f>+SUMIF('حركه المخزن الرئيسي اليوميه'!$F:$F,$H:$H,'حركه المخزن الرئيسي اليوميه'!$H:$H)</f>
        <v>0.0</v>
      </c>
      <c r="M201" s="22">
        <f>+SUMIF('حركه المخزن الرئيسي اليوميه'!$F:$F,$H:$H,'حركه المخزن الرئيسي اليوميه'!$I:$I)</f>
        <v>0.0</v>
      </c>
      <c r="N201" s="22">
        <f t="shared" si="9"/>
        <v>21.0</v>
      </c>
      <c r="O201" s="22">
        <f t="shared" si="10"/>
        <v>21.0</v>
      </c>
      <c r="P201" s="22">
        <f t="shared" si="11"/>
        <v>0.0</v>
      </c>
      <c r="Q201" s="57"/>
      <c r="R201" s="58"/>
    </row>
    <row r="202" spans="8:8">
      <c r="B202" s="8">
        <v>193.0</v>
      </c>
      <c r="C202" s="8" t="s">
        <v>764</v>
      </c>
      <c r="D202" s="8" t="s">
        <v>828</v>
      </c>
      <c r="E202" s="8" t="s">
        <v>555</v>
      </c>
      <c r="F202" s="8" t="s">
        <v>68</v>
      </c>
      <c r="G202" s="8" t="s">
        <v>1740</v>
      </c>
      <c r="H202" s="8" t="s">
        <v>555</v>
      </c>
      <c r="I202" s="55" t="s">
        <v>465</v>
      </c>
      <c r="J202" s="60" t="s">
        <v>7088</v>
      </c>
      <c r="K202" s="22">
        <v>14.0</v>
      </c>
      <c r="L202" s="22">
        <f>+SUMIF('حركه المخزن الرئيسي اليوميه'!$F:$F,$H:$H,'حركه المخزن الرئيسي اليوميه'!$H:$H)</f>
        <v>0.0</v>
      </c>
      <c r="M202" s="22">
        <f>+SUMIF('حركه المخزن الرئيسي اليوميه'!$F:$F,$H:$H,'حركه المخزن الرئيسي اليوميه'!$I:$I)</f>
        <v>0.0</v>
      </c>
      <c r="N202" s="22">
        <f t="shared" si="9"/>
        <v>14.0</v>
      </c>
      <c r="O202" s="22">
        <f t="shared" si="10"/>
        <v>14.0</v>
      </c>
      <c r="P202" s="22">
        <f t="shared" si="11"/>
        <v>0.0</v>
      </c>
      <c r="Q202" s="57"/>
      <c r="R202" s="58"/>
    </row>
    <row r="203" spans="8:8">
      <c r="B203" s="8">
        <v>194.0</v>
      </c>
      <c r="C203" s="8" t="s">
        <v>763</v>
      </c>
      <c r="D203" s="8" t="s">
        <v>828</v>
      </c>
      <c r="E203" s="8" t="s">
        <v>438</v>
      </c>
      <c r="F203" s="8" t="s">
        <v>68</v>
      </c>
      <c r="G203" s="8" t="s">
        <v>1576</v>
      </c>
      <c r="H203" s="8" t="s">
        <v>438</v>
      </c>
      <c r="I203" s="55" t="s">
        <v>70</v>
      </c>
      <c r="J203" s="60" t="s">
        <v>7089</v>
      </c>
      <c r="K203" s="22">
        <v>2.0</v>
      </c>
      <c r="L203" s="22">
        <f>+SUMIF('حركه المخزن الرئيسي اليوميه'!$F:$F,$H:$H,'حركه المخزن الرئيسي اليوميه'!$H:$H)</f>
        <v>0.0</v>
      </c>
      <c r="M203" s="22">
        <f>+SUMIF('حركه المخزن الرئيسي اليوميه'!$F:$F,$H:$H,'حركه المخزن الرئيسي اليوميه'!$I:$I)</f>
        <v>0.0</v>
      </c>
      <c r="N203" s="22">
        <f t="shared" si="9"/>
        <v>2.0</v>
      </c>
      <c r="O203" s="22">
        <f t="shared" si="10"/>
        <v>2.0</v>
      </c>
      <c r="P203" s="22">
        <f t="shared" si="11"/>
        <v>0.0</v>
      </c>
      <c r="Q203" s="57"/>
      <c r="R203" s="58"/>
    </row>
    <row r="204" spans="8:8">
      <c r="B204" s="8">
        <v>195.0</v>
      </c>
      <c r="C204" s="8" t="s">
        <v>766</v>
      </c>
      <c r="D204" s="8" t="s">
        <v>828</v>
      </c>
      <c r="E204" s="8" t="s">
        <v>3093</v>
      </c>
      <c r="F204" s="8" t="s">
        <v>68</v>
      </c>
      <c r="G204" s="8" t="s">
        <v>1711</v>
      </c>
      <c r="H204" s="8" t="s">
        <v>3093</v>
      </c>
      <c r="I204" s="55" t="s">
        <v>465</v>
      </c>
      <c r="J204" s="60" t="s">
        <v>7090</v>
      </c>
      <c r="K204" s="22">
        <v>15.0</v>
      </c>
      <c r="L204" s="22">
        <f>+SUMIF('حركه المخزن الرئيسي اليوميه'!$F:$F,$H:$H,'حركه المخزن الرئيسي اليوميه'!$H:$H)</f>
        <v>0.0</v>
      </c>
      <c r="M204" s="22">
        <f>+SUMIF('حركه المخزن الرئيسي اليوميه'!$F:$F,$H:$H,'حركه المخزن الرئيسي اليوميه'!$I:$I)</f>
        <v>0.0</v>
      </c>
      <c r="N204" s="22">
        <f t="shared" si="9"/>
        <v>15.0</v>
      </c>
      <c r="O204" s="22">
        <f t="shared" si="10"/>
        <v>15.0</v>
      </c>
      <c r="P204" s="22">
        <f t="shared" si="11"/>
        <v>0.0</v>
      </c>
      <c r="Q204" s="57"/>
      <c r="R204" s="58"/>
    </row>
    <row r="205" spans="8:8">
      <c r="B205" s="8">
        <v>196.0</v>
      </c>
      <c r="C205" s="8" t="s">
        <v>766</v>
      </c>
      <c r="D205" s="8" t="s">
        <v>828</v>
      </c>
      <c r="E205" s="8" t="s">
        <v>3092</v>
      </c>
      <c r="F205" s="8" t="s">
        <v>68</v>
      </c>
      <c r="G205" s="8" t="s">
        <v>1714</v>
      </c>
      <c r="H205" s="8" t="s">
        <v>3092</v>
      </c>
      <c r="I205" s="55" t="s">
        <v>465</v>
      </c>
      <c r="J205" s="60" t="s">
        <v>7091</v>
      </c>
      <c r="K205" s="22">
        <v>27.0</v>
      </c>
      <c r="L205" s="22">
        <f>+SUMIF('حركه المخزن الرئيسي اليوميه'!$F:$F,$H:$H,'حركه المخزن الرئيسي اليوميه'!$H:$H)</f>
        <v>0.0</v>
      </c>
      <c r="M205" s="22">
        <f>+SUMIF('حركه المخزن الرئيسي اليوميه'!$F:$F,$H:$H,'حركه المخزن الرئيسي اليوميه'!$I:$I)</f>
        <v>0.0</v>
      </c>
      <c r="N205" s="22">
        <f t="shared" si="9"/>
        <v>27.0</v>
      </c>
      <c r="O205" s="22">
        <f t="shared" si="10"/>
        <v>27.0</v>
      </c>
      <c r="P205" s="22">
        <f t="shared" si="11"/>
        <v>0.0</v>
      </c>
      <c r="Q205" s="57"/>
      <c r="R205" s="58"/>
    </row>
    <row r="206" spans="8:8">
      <c r="B206" s="8">
        <v>197.0</v>
      </c>
      <c r="C206" s="8" t="s">
        <v>764</v>
      </c>
      <c r="D206" s="8" t="s">
        <v>828</v>
      </c>
      <c r="E206" s="8" t="s">
        <v>2626</v>
      </c>
      <c r="F206" s="8" t="s">
        <v>68</v>
      </c>
      <c r="G206" s="8" t="s">
        <v>1733</v>
      </c>
      <c r="H206" s="8" t="s">
        <v>2626</v>
      </c>
      <c r="I206" s="55" t="s">
        <v>144</v>
      </c>
      <c r="J206" s="60" t="s">
        <v>7092</v>
      </c>
      <c r="K206" s="22">
        <v>1.0</v>
      </c>
      <c r="L206" s="22">
        <f>+SUMIF('حركه المخزن الرئيسي اليوميه'!$F:$F,$H:$H,'حركه المخزن الرئيسي اليوميه'!$H:$H)</f>
        <v>0.0</v>
      </c>
      <c r="M206" s="22">
        <f>+SUMIF('حركه المخزن الرئيسي اليوميه'!$F:$F,$H:$H,'حركه المخزن الرئيسي اليوميه'!$I:$I)</f>
        <v>0.0</v>
      </c>
      <c r="N206" s="22">
        <f t="shared" si="9"/>
        <v>1.0</v>
      </c>
      <c r="O206" s="22">
        <f t="shared" si="10"/>
        <v>1.0</v>
      </c>
      <c r="P206" s="22">
        <f t="shared" si="11"/>
        <v>0.0</v>
      </c>
      <c r="Q206" s="57"/>
      <c r="R206" s="58"/>
    </row>
    <row r="207" spans="8:8">
      <c r="B207" s="8">
        <v>198.0</v>
      </c>
      <c r="C207" s="8" t="s">
        <v>766</v>
      </c>
      <c r="D207" s="8" t="s">
        <v>828</v>
      </c>
      <c r="E207" s="8" t="s">
        <v>3094</v>
      </c>
      <c r="F207" s="8" t="s">
        <v>68</v>
      </c>
      <c r="G207" s="8" t="s">
        <v>1712</v>
      </c>
      <c r="H207" s="8" t="s">
        <v>3094</v>
      </c>
      <c r="I207" s="55" t="s">
        <v>164</v>
      </c>
      <c r="J207" s="60" t="s">
        <v>7093</v>
      </c>
      <c r="K207" s="22">
        <v>4.0</v>
      </c>
      <c r="L207" s="22">
        <f>+SUMIF('حركه المخزن الرئيسي اليوميه'!$F:$F,$H:$H,'حركه المخزن الرئيسي اليوميه'!$H:$H)</f>
        <v>0.0</v>
      </c>
      <c r="M207" s="22">
        <f>+SUMIF('حركه المخزن الرئيسي اليوميه'!$F:$F,$H:$H,'حركه المخزن الرئيسي اليوميه'!$I:$I)</f>
        <v>0.0</v>
      </c>
      <c r="N207" s="22">
        <f t="shared" si="9"/>
        <v>4.0</v>
      </c>
      <c r="O207" s="22">
        <f t="shared" si="10"/>
        <v>4.0</v>
      </c>
      <c r="P207" s="22">
        <f t="shared" si="11"/>
        <v>0.0</v>
      </c>
      <c r="Q207" s="57"/>
      <c r="R207" s="58"/>
    </row>
    <row r="208" spans="8:8">
      <c r="B208" s="8">
        <v>199.0</v>
      </c>
      <c r="C208" s="8" t="s">
        <v>766</v>
      </c>
      <c r="D208" s="8" t="s">
        <v>828</v>
      </c>
      <c r="E208" s="8" t="s">
        <v>3095</v>
      </c>
      <c r="F208" s="8" t="s">
        <v>68</v>
      </c>
      <c r="G208" s="8" t="s">
        <v>1708</v>
      </c>
      <c r="H208" s="8" t="s">
        <v>3095</v>
      </c>
      <c r="I208" s="55" t="s">
        <v>164</v>
      </c>
      <c r="J208" s="60" t="s">
        <v>7094</v>
      </c>
      <c r="K208" s="22">
        <v>3.0</v>
      </c>
      <c r="L208" s="22">
        <f>+SUMIF('حركه المخزن الرئيسي اليوميه'!$F:$F,$H:$H,'حركه المخزن الرئيسي اليوميه'!$H:$H)</f>
        <v>0.0</v>
      </c>
      <c r="M208" s="22">
        <f>+SUMIF('حركه المخزن الرئيسي اليوميه'!$F:$F,$H:$H,'حركه المخزن الرئيسي اليوميه'!$I:$I)</f>
        <v>0.0</v>
      </c>
      <c r="N208" s="22">
        <f t="shared" si="9"/>
        <v>3.0</v>
      </c>
      <c r="O208" s="22">
        <f t="shared" si="10"/>
        <v>3.0</v>
      </c>
      <c r="P208" s="22">
        <f t="shared" si="11"/>
        <v>0.0</v>
      </c>
      <c r="Q208" s="57"/>
      <c r="R208" s="58"/>
    </row>
    <row r="209" spans="8:8">
      <c r="B209" s="8">
        <v>200.0</v>
      </c>
      <c r="C209" s="8" t="s">
        <v>766</v>
      </c>
      <c r="D209" s="8" t="s">
        <v>828</v>
      </c>
      <c r="E209" s="8" t="s">
        <v>3096</v>
      </c>
      <c r="F209" s="8" t="s">
        <v>68</v>
      </c>
      <c r="G209" s="8" t="s">
        <v>1707</v>
      </c>
      <c r="H209" s="8" t="s">
        <v>3096</v>
      </c>
      <c r="I209" s="55" t="s">
        <v>144</v>
      </c>
      <c r="J209" s="60" t="s">
        <v>7095</v>
      </c>
      <c r="K209" s="22">
        <v>33.0</v>
      </c>
      <c r="L209" s="22">
        <f>+SUMIF('حركه المخزن الرئيسي اليوميه'!$F:$F,$H:$H,'حركه المخزن الرئيسي اليوميه'!$H:$H)</f>
        <v>0.0</v>
      </c>
      <c r="M209" s="22">
        <f>+SUMIF('حركه المخزن الرئيسي اليوميه'!$F:$F,$H:$H,'حركه المخزن الرئيسي اليوميه'!$I:$I)</f>
        <v>0.0</v>
      </c>
      <c r="N209" s="22">
        <f t="shared" si="9"/>
        <v>33.0</v>
      </c>
      <c r="O209" s="22">
        <f t="shared" si="10"/>
        <v>33.0</v>
      </c>
      <c r="P209" s="22">
        <f t="shared" si="11"/>
        <v>0.0</v>
      </c>
      <c r="Q209" s="57"/>
      <c r="R209" s="58"/>
    </row>
    <row r="210" spans="8:8">
      <c r="B210" s="8">
        <v>201.0</v>
      </c>
      <c r="C210" s="8" t="s">
        <v>766</v>
      </c>
      <c r="D210" s="8" t="s">
        <v>828</v>
      </c>
      <c r="E210" s="8" t="s">
        <v>3097</v>
      </c>
      <c r="F210" s="8" t="s">
        <v>68</v>
      </c>
      <c r="G210" s="8" t="s">
        <v>1716</v>
      </c>
      <c r="H210" s="8" t="s">
        <v>3097</v>
      </c>
      <c r="I210" s="55" t="s">
        <v>144</v>
      </c>
      <c r="J210" s="60" t="s">
        <v>7096</v>
      </c>
      <c r="K210" s="22">
        <v>30.0</v>
      </c>
      <c r="L210" s="22">
        <f>+SUMIF('حركه المخزن الرئيسي اليوميه'!$F:$F,$H:$H,'حركه المخزن الرئيسي اليوميه'!$H:$H)</f>
        <v>0.0</v>
      </c>
      <c r="M210" s="22">
        <f>+SUMIF('حركه المخزن الرئيسي اليوميه'!$F:$F,$H:$H,'حركه المخزن الرئيسي اليوميه'!$I:$I)</f>
        <v>0.0</v>
      </c>
      <c r="N210" s="22">
        <f t="shared" si="9"/>
        <v>30.0</v>
      </c>
      <c r="O210" s="22">
        <f t="shared" si="10"/>
        <v>30.0</v>
      </c>
      <c r="P210" s="22">
        <f t="shared" si="11"/>
        <v>0.0</v>
      </c>
      <c r="Q210" s="57"/>
      <c r="R210" s="58"/>
    </row>
    <row r="211" spans="8:8">
      <c r="B211" s="8">
        <v>202.0</v>
      </c>
      <c r="C211" s="8" t="s">
        <v>828</v>
      </c>
      <c r="D211" s="8" t="s">
        <v>828</v>
      </c>
      <c r="E211" s="8" t="s">
        <v>1532</v>
      </c>
      <c r="F211" s="8" t="s">
        <v>1501</v>
      </c>
      <c r="G211" s="8" t="s">
        <v>1787</v>
      </c>
      <c r="H211" s="8" t="s">
        <v>1532</v>
      </c>
      <c r="I211" s="55" t="s">
        <v>144</v>
      </c>
      <c r="J211" s="60" t="s">
        <v>7097</v>
      </c>
      <c r="K211" s="22">
        <v>1.0</v>
      </c>
      <c r="L211" s="22">
        <f>+SUMIF('حركه المخزن الرئيسي اليوميه'!$F:$F,$H:$H,'حركه المخزن الرئيسي اليوميه'!$H:$H)</f>
        <v>0.0</v>
      </c>
      <c r="M211" s="22">
        <f>+SUMIF('حركه المخزن الرئيسي اليوميه'!$F:$F,$H:$H,'حركه المخزن الرئيسي اليوميه'!$I:$I)</f>
        <v>0.0</v>
      </c>
      <c r="N211" s="22">
        <f t="shared" si="9"/>
        <v>1.0</v>
      </c>
      <c r="O211" s="22">
        <f t="shared" si="10"/>
        <v>1.0</v>
      </c>
      <c r="P211" s="22">
        <f t="shared" si="11"/>
        <v>0.0</v>
      </c>
      <c r="Q211" s="57"/>
      <c r="R211" s="58"/>
    </row>
    <row r="212" spans="8:8">
      <c r="B212" s="8">
        <v>203.0</v>
      </c>
      <c r="C212" s="8" t="s">
        <v>766</v>
      </c>
      <c r="D212" s="8" t="s">
        <v>828</v>
      </c>
      <c r="E212" s="8" t="s">
        <v>1333</v>
      </c>
      <c r="F212" s="8" t="s">
        <v>68</v>
      </c>
      <c r="G212" s="8" t="s">
        <v>1709</v>
      </c>
      <c r="H212" s="8" t="s">
        <v>1333</v>
      </c>
      <c r="I212" s="55" t="s">
        <v>144</v>
      </c>
      <c r="J212" s="60" t="s">
        <v>7098</v>
      </c>
      <c r="K212" s="22">
        <v>7.0</v>
      </c>
      <c r="L212" s="22">
        <f>+SUMIF('حركه المخزن الرئيسي اليوميه'!$F:$F,$H:$H,'حركه المخزن الرئيسي اليوميه'!$H:$H)</f>
        <v>0.0</v>
      </c>
      <c r="M212" s="22">
        <f>+SUMIF('حركه المخزن الرئيسي اليوميه'!$F:$F,$H:$H,'حركه المخزن الرئيسي اليوميه'!$I:$I)</f>
        <v>0.0</v>
      </c>
      <c r="N212" s="22">
        <f t="shared" si="9"/>
        <v>7.0</v>
      </c>
      <c r="O212" s="22">
        <f t="shared" si="10"/>
        <v>7.0</v>
      </c>
      <c r="P212" s="22">
        <f t="shared" si="11"/>
        <v>0.0</v>
      </c>
      <c r="Q212" s="57"/>
      <c r="R212" s="58"/>
    </row>
    <row r="213" spans="8:8">
      <c r="B213" s="8">
        <v>204.0</v>
      </c>
      <c r="C213" s="8" t="s">
        <v>766</v>
      </c>
      <c r="D213" s="8" t="s">
        <v>828</v>
      </c>
      <c r="E213" s="8" t="s">
        <v>3098</v>
      </c>
      <c r="F213" s="8" t="s">
        <v>68</v>
      </c>
      <c r="G213" s="8" t="s">
        <v>1713</v>
      </c>
      <c r="H213" s="8" t="s">
        <v>3098</v>
      </c>
      <c r="I213" s="55" t="s">
        <v>144</v>
      </c>
      <c r="J213" s="60" t="s">
        <v>7099</v>
      </c>
      <c r="K213" s="22">
        <v>0.0</v>
      </c>
      <c r="L213" s="22">
        <f>+SUMIF('حركه المخزن الرئيسي اليوميه'!$F:$F,$H:$H,'حركه المخزن الرئيسي اليوميه'!$H:$H)</f>
        <v>0.0</v>
      </c>
      <c r="M213" s="22">
        <f>+SUMIF('حركه المخزن الرئيسي اليوميه'!$F:$F,$H:$H,'حركه المخزن الرئيسي اليوميه'!$I:$I)</f>
        <v>0.0</v>
      </c>
      <c r="N213" s="22">
        <f t="shared" si="9"/>
        <v>0.0</v>
      </c>
      <c r="O213" s="22">
        <f t="shared" si="10"/>
        <v>0.0</v>
      </c>
      <c r="P213" s="22">
        <f t="shared" si="11"/>
        <v>0.0</v>
      </c>
      <c r="Q213" s="57"/>
      <c r="R213" s="58"/>
    </row>
    <row r="214" spans="8:8">
      <c r="B214" s="8">
        <v>205.0</v>
      </c>
      <c r="C214" s="8" t="s">
        <v>766</v>
      </c>
      <c r="D214" s="8" t="s">
        <v>828</v>
      </c>
      <c r="E214" s="8" t="s">
        <v>451</v>
      </c>
      <c r="F214" s="8" t="s">
        <v>68</v>
      </c>
      <c r="G214" s="8" t="s">
        <v>1705</v>
      </c>
      <c r="H214" s="8" t="s">
        <v>451</v>
      </c>
      <c r="I214" s="55" t="s">
        <v>144</v>
      </c>
      <c r="J214" s="60" t="s">
        <v>7100</v>
      </c>
      <c r="K214" s="22">
        <v>0.0</v>
      </c>
      <c r="L214" s="22">
        <f>+SUMIF('حركه المخزن الرئيسي اليوميه'!$F:$F,$H:$H,'حركه المخزن الرئيسي اليوميه'!$H:$H)</f>
        <v>0.0</v>
      </c>
      <c r="M214" s="22">
        <f>+SUMIF('حركه المخزن الرئيسي اليوميه'!$F:$F,$H:$H,'حركه المخزن الرئيسي اليوميه'!$I:$I)</f>
        <v>0.0</v>
      </c>
      <c r="N214" s="22">
        <f t="shared" si="9"/>
        <v>0.0</v>
      </c>
      <c r="O214" s="22">
        <f t="shared" si="10"/>
        <v>0.0</v>
      </c>
      <c r="P214" s="22">
        <f t="shared" si="11"/>
        <v>0.0</v>
      </c>
      <c r="Q214" s="57"/>
      <c r="R214" s="58"/>
    </row>
    <row r="215" spans="8:8">
      <c r="B215" s="8">
        <v>206.0</v>
      </c>
      <c r="C215" s="8" t="s">
        <v>764</v>
      </c>
      <c r="D215" s="8" t="s">
        <v>828</v>
      </c>
      <c r="E215" s="8" t="s">
        <v>553</v>
      </c>
      <c r="F215" s="8" t="s">
        <v>68</v>
      </c>
      <c r="G215" s="8" t="s">
        <v>1758</v>
      </c>
      <c r="H215" s="8" t="s">
        <v>553</v>
      </c>
      <c r="I215" s="55" t="s">
        <v>148</v>
      </c>
      <c r="J215" s="60" t="s">
        <v>7101</v>
      </c>
      <c r="K215" s="22">
        <v>0.0</v>
      </c>
      <c r="L215" s="22">
        <f>+SUMIF('حركه المخزن الرئيسي اليوميه'!$F:$F,$H:$H,'حركه المخزن الرئيسي اليوميه'!$H:$H)</f>
        <v>0.0</v>
      </c>
      <c r="M215" s="22">
        <f>+SUMIF('حركه المخزن الرئيسي اليوميه'!$F:$F,$H:$H,'حركه المخزن الرئيسي اليوميه'!$I:$I)</f>
        <v>0.0</v>
      </c>
      <c r="N215" s="22">
        <f t="shared" si="9"/>
        <v>0.0</v>
      </c>
      <c r="O215" s="22">
        <f t="shared" si="10"/>
        <v>0.0</v>
      </c>
      <c r="P215" s="22">
        <f t="shared" si="11"/>
        <v>0.0</v>
      </c>
      <c r="Q215" s="57"/>
      <c r="R215" s="58"/>
    </row>
    <row r="216" spans="8:8">
      <c r="B216" s="8">
        <v>207.0</v>
      </c>
      <c r="C216" s="8" t="s">
        <v>828</v>
      </c>
      <c r="D216" s="8" t="s">
        <v>828</v>
      </c>
      <c r="E216" s="8" t="s">
        <v>2864</v>
      </c>
      <c r="F216" s="8" t="s">
        <v>1501</v>
      </c>
      <c r="G216" s="8"/>
      <c r="H216" s="8" t="s">
        <v>2864</v>
      </c>
      <c r="I216" s="55" t="s">
        <v>148</v>
      </c>
      <c r="J216" s="60" t="s">
        <v>7102</v>
      </c>
      <c r="K216" s="22">
        <v>0.0</v>
      </c>
      <c r="L216" s="22">
        <f>+SUMIF('حركه المخزن الرئيسي اليوميه'!$F:$F,$H:$H,'حركه المخزن الرئيسي اليوميه'!$H:$H)</f>
        <v>0.0</v>
      </c>
      <c r="M216" s="22">
        <f>+SUMIF('حركه المخزن الرئيسي اليوميه'!$F:$F,$H:$H,'حركه المخزن الرئيسي اليوميه'!$I:$I)</f>
        <v>0.0</v>
      </c>
      <c r="N216" s="22">
        <f t="shared" si="9"/>
        <v>0.0</v>
      </c>
      <c r="O216" s="22">
        <f t="shared" si="10"/>
        <v>0.0</v>
      </c>
      <c r="P216" s="22">
        <f t="shared" si="11"/>
        <v>0.0</v>
      </c>
      <c r="Q216" s="57"/>
      <c r="R216" s="58"/>
    </row>
    <row r="217" spans="8:8">
      <c r="B217" s="8">
        <v>208.0</v>
      </c>
      <c r="C217" s="8" t="s">
        <v>766</v>
      </c>
      <c r="D217" s="8" t="s">
        <v>828</v>
      </c>
      <c r="E217" s="8" t="s">
        <v>2752</v>
      </c>
      <c r="F217" s="8" t="s">
        <v>68</v>
      </c>
      <c r="G217" s="8" t="s">
        <v>1715</v>
      </c>
      <c r="H217" s="8" t="s">
        <v>2752</v>
      </c>
      <c r="I217" s="55" t="s">
        <v>148</v>
      </c>
      <c r="J217" s="60" t="s">
        <v>7103</v>
      </c>
      <c r="K217" s="22">
        <v>17.0</v>
      </c>
      <c r="L217" s="22">
        <f>+SUMIF('حركه المخزن الرئيسي اليوميه'!$F:$F,$H:$H,'حركه المخزن الرئيسي اليوميه'!$H:$H)</f>
        <v>0.0</v>
      </c>
      <c r="M217" s="22">
        <f>+SUMIF('حركه المخزن الرئيسي اليوميه'!$F:$F,$H:$H,'حركه المخزن الرئيسي اليوميه'!$I:$I)</f>
        <v>0.0</v>
      </c>
      <c r="N217" s="22">
        <f t="shared" si="9"/>
        <v>17.0</v>
      </c>
      <c r="O217" s="22">
        <f t="shared" si="10"/>
        <v>17.0</v>
      </c>
      <c r="P217" s="22">
        <f t="shared" si="11"/>
        <v>0.0</v>
      </c>
      <c r="Q217" s="57"/>
      <c r="R217" s="58"/>
    </row>
    <row r="218" spans="8:8">
      <c r="B218" s="8">
        <v>209.0</v>
      </c>
      <c r="C218" s="8" t="s">
        <v>766</v>
      </c>
      <c r="D218" s="8" t="s">
        <v>828</v>
      </c>
      <c r="E218" s="8" t="s">
        <v>2816</v>
      </c>
      <c r="F218" s="8" t="s">
        <v>68</v>
      </c>
      <c r="G218" s="8" t="s">
        <v>1706</v>
      </c>
      <c r="H218" s="8" t="s">
        <v>2816</v>
      </c>
      <c r="I218" s="55" t="s">
        <v>148</v>
      </c>
      <c r="J218" s="60" t="s">
        <v>7104</v>
      </c>
      <c r="K218" s="22">
        <v>12.0</v>
      </c>
      <c r="L218" s="22">
        <f>+SUMIF('حركه المخزن الرئيسي اليوميه'!$F:$F,$H:$H,'حركه المخزن الرئيسي اليوميه'!$H:$H)</f>
        <v>0.0</v>
      </c>
      <c r="M218" s="22">
        <f>+SUMIF('حركه المخزن الرئيسي اليوميه'!$F:$F,$H:$H,'حركه المخزن الرئيسي اليوميه'!$I:$I)</f>
        <v>0.0</v>
      </c>
      <c r="N218" s="22">
        <f t="shared" si="9"/>
        <v>12.0</v>
      </c>
      <c r="O218" s="22">
        <f t="shared" si="10"/>
        <v>12.0</v>
      </c>
      <c r="P218" s="22">
        <f t="shared" si="11"/>
        <v>0.0</v>
      </c>
      <c r="Q218" s="57"/>
      <c r="R218" s="58"/>
    </row>
    <row r="219" spans="8:8">
      <c r="B219" s="8">
        <v>210.0</v>
      </c>
      <c r="C219" s="8" t="s">
        <v>764</v>
      </c>
      <c r="D219" s="8" t="s">
        <v>828</v>
      </c>
      <c r="E219" s="8" t="s">
        <v>531</v>
      </c>
      <c r="F219" s="8" t="s">
        <v>68</v>
      </c>
      <c r="G219" s="8"/>
      <c r="H219" s="8" t="s">
        <v>3507</v>
      </c>
      <c r="I219" s="55" t="s">
        <v>28</v>
      </c>
      <c r="J219" s="60" t="s">
        <v>7105</v>
      </c>
      <c r="K219" s="22">
        <v>0.0</v>
      </c>
      <c r="L219" s="22">
        <f>+SUMIF('حركه المخزن الرئيسي اليوميه'!$F:$F,$H:$H,'حركه المخزن الرئيسي اليوميه'!$H:$H)</f>
        <v>0.0</v>
      </c>
      <c r="M219" s="22">
        <f>+SUMIF('حركه المخزن الرئيسي اليوميه'!$F:$F,$H:$H,'حركه المخزن الرئيسي اليوميه'!$I:$I)</f>
        <v>0.0</v>
      </c>
      <c r="N219" s="22">
        <f t="shared" si="9"/>
        <v>0.0</v>
      </c>
      <c r="O219" s="22">
        <f t="shared" si="10"/>
        <v>0.0</v>
      </c>
      <c r="P219" s="22">
        <f t="shared" si="11"/>
        <v>0.0</v>
      </c>
      <c r="Q219" s="57"/>
      <c r="R219" s="58"/>
    </row>
    <row r="220" spans="8:8">
      <c r="B220" s="8">
        <v>211.0</v>
      </c>
      <c r="C220" s="8" t="s">
        <v>828</v>
      </c>
      <c r="D220" s="8" t="s">
        <v>828</v>
      </c>
      <c r="E220" s="8" t="s">
        <v>1620</v>
      </c>
      <c r="F220" s="8" t="s">
        <v>1501</v>
      </c>
      <c r="G220" s="8" t="s">
        <v>1795</v>
      </c>
      <c r="H220" s="8" t="s">
        <v>1620</v>
      </c>
      <c r="I220" s="55" t="s">
        <v>148</v>
      </c>
      <c r="J220" s="60" t="s">
        <v>7106</v>
      </c>
      <c r="K220" s="22">
        <v>4.0</v>
      </c>
      <c r="L220" s="22">
        <f>+SUMIF('حركه المخزن الرئيسي اليوميه'!$F:$F,$H:$H,'حركه المخزن الرئيسي اليوميه'!$H:$H)</f>
        <v>0.0</v>
      </c>
      <c r="M220" s="22">
        <f>+SUMIF('حركه المخزن الرئيسي اليوميه'!$F:$F,$H:$H,'حركه المخزن الرئيسي اليوميه'!$I:$I)</f>
        <v>0.0</v>
      </c>
      <c r="N220" s="22">
        <f t="shared" si="9"/>
        <v>4.0</v>
      </c>
      <c r="O220" s="22">
        <f t="shared" si="10"/>
        <v>4.0</v>
      </c>
      <c r="P220" s="22">
        <f t="shared" si="11"/>
        <v>0.0</v>
      </c>
      <c r="Q220" s="57"/>
      <c r="R220" s="58"/>
    </row>
    <row r="221" spans="8:8">
      <c r="B221" s="8">
        <v>212.0</v>
      </c>
      <c r="C221" s="8" t="s">
        <v>828</v>
      </c>
      <c r="D221" s="8" t="s">
        <v>828</v>
      </c>
      <c r="E221" s="8" t="s">
        <v>1063</v>
      </c>
      <c r="F221" s="8" t="s">
        <v>68</v>
      </c>
      <c r="G221" s="8" t="s">
        <v>2200</v>
      </c>
      <c r="H221" s="8" t="s">
        <v>1063</v>
      </c>
      <c r="I221" s="8" t="s">
        <v>148</v>
      </c>
      <c r="J221" s="60" t="s">
        <v>7107</v>
      </c>
      <c r="K221" s="22">
        <v>18.0</v>
      </c>
      <c r="L221" s="22">
        <f>+SUMIF('حركه المخزن الرئيسي اليوميه'!$F:$F,$H:$H,'حركه المخزن الرئيسي اليوميه'!$H:$H)</f>
        <v>0.0</v>
      </c>
      <c r="M221" s="22">
        <f>+SUMIF('حركه المخزن الرئيسي اليوميه'!$F:$F,$H:$H,'حركه المخزن الرئيسي اليوميه'!$I:$I)</f>
        <v>0.0</v>
      </c>
      <c r="N221" s="22">
        <f t="shared" si="9"/>
        <v>18.0</v>
      </c>
      <c r="O221" s="22">
        <f t="shared" si="10"/>
        <v>18.0</v>
      </c>
      <c r="P221" s="22">
        <f t="shared" si="11"/>
        <v>0.0</v>
      </c>
      <c r="Q221" s="57"/>
      <c r="R221" s="58"/>
    </row>
    <row r="222" spans="8:8">
      <c r="B222" s="8">
        <v>213.0</v>
      </c>
      <c r="C222" s="8" t="s">
        <v>828</v>
      </c>
      <c r="D222" s="8" t="s">
        <v>828</v>
      </c>
      <c r="E222" s="8" t="s">
        <v>2863</v>
      </c>
      <c r="F222" s="8" t="s">
        <v>1501</v>
      </c>
      <c r="G222" s="8"/>
      <c r="H222" s="8" t="s">
        <v>2863</v>
      </c>
      <c r="I222" s="55" t="s">
        <v>148</v>
      </c>
      <c r="J222" s="60" t="s">
        <v>7108</v>
      </c>
      <c r="K222" s="22">
        <v>2.0</v>
      </c>
      <c r="L222" s="22">
        <f>+SUMIF('حركه المخزن الرئيسي اليوميه'!$F:$F,$H:$H,'حركه المخزن الرئيسي اليوميه'!$H:$H)</f>
        <v>0.0</v>
      </c>
      <c r="M222" s="22">
        <f>+SUMIF('حركه المخزن الرئيسي اليوميه'!$F:$F,$H:$H,'حركه المخزن الرئيسي اليوميه'!$I:$I)</f>
        <v>0.0</v>
      </c>
      <c r="N222" s="22">
        <f t="shared" si="9"/>
        <v>2.0</v>
      </c>
      <c r="O222" s="22">
        <f t="shared" si="10"/>
        <v>2.0</v>
      </c>
      <c r="P222" s="22">
        <f t="shared" si="11"/>
        <v>0.0</v>
      </c>
      <c r="Q222" s="57"/>
      <c r="R222" s="58"/>
    </row>
    <row r="223" spans="8:8">
      <c r="B223" s="8">
        <v>214.0</v>
      </c>
      <c r="C223" s="8" t="s">
        <v>766</v>
      </c>
      <c r="D223" s="8" t="s">
        <v>828</v>
      </c>
      <c r="E223" s="8" t="s">
        <v>3099</v>
      </c>
      <c r="F223" s="8" t="s">
        <v>68</v>
      </c>
      <c r="G223" s="8" t="s">
        <v>1710</v>
      </c>
      <c r="H223" s="8" t="s">
        <v>3099</v>
      </c>
      <c r="I223" s="55" t="s">
        <v>148</v>
      </c>
      <c r="J223" s="60" t="s">
        <v>7109</v>
      </c>
      <c r="K223" s="22">
        <v>6.0</v>
      </c>
      <c r="L223" s="22">
        <f>+SUMIF('حركه المخزن الرئيسي اليوميه'!$F:$F,$H:$H,'حركه المخزن الرئيسي اليوميه'!$H:$H)</f>
        <v>0.0</v>
      </c>
      <c r="M223" s="22">
        <f>+SUMIF('حركه المخزن الرئيسي اليوميه'!$F:$F,$H:$H,'حركه المخزن الرئيسي اليوميه'!$I:$I)</f>
        <v>0.0</v>
      </c>
      <c r="N223" s="22">
        <f t="shared" si="9"/>
        <v>6.0</v>
      </c>
      <c r="O223" s="22">
        <f t="shared" si="10"/>
        <v>6.0</v>
      </c>
      <c r="P223" s="22">
        <f t="shared" si="11"/>
        <v>0.0</v>
      </c>
      <c r="Q223" s="57"/>
      <c r="R223" s="58"/>
    </row>
    <row r="224" spans="8:8">
      <c r="B224" s="8">
        <v>215.0</v>
      </c>
      <c r="C224" s="8" t="s">
        <v>766</v>
      </c>
      <c r="D224" s="8" t="s">
        <v>828</v>
      </c>
      <c r="E224" s="8" t="s">
        <v>3100</v>
      </c>
      <c r="F224" s="8" t="s">
        <v>68</v>
      </c>
      <c r="G224" s="8" t="s">
        <v>1717</v>
      </c>
      <c r="H224" s="8" t="s">
        <v>3100</v>
      </c>
      <c r="I224" s="55" t="s">
        <v>148</v>
      </c>
      <c r="J224" s="60" t="s">
        <v>7110</v>
      </c>
      <c r="K224" s="22">
        <v>1.0</v>
      </c>
      <c r="L224" s="22">
        <f>+SUMIF('حركه المخزن الرئيسي اليوميه'!$F:$F,$H:$H,'حركه المخزن الرئيسي اليوميه'!$H:$H)</f>
        <v>0.0</v>
      </c>
      <c r="M224" s="22">
        <f>+SUMIF('حركه المخزن الرئيسي اليوميه'!$F:$F,$H:$H,'حركه المخزن الرئيسي اليوميه'!$I:$I)</f>
        <v>0.0</v>
      </c>
      <c r="N224" s="22">
        <f t="shared" si="9"/>
        <v>1.0</v>
      </c>
      <c r="O224" s="22">
        <f t="shared" si="10"/>
        <v>1.0</v>
      </c>
      <c r="P224" s="22">
        <f t="shared" si="11"/>
        <v>0.0</v>
      </c>
      <c r="Q224" s="57"/>
      <c r="R224" s="58"/>
    </row>
    <row r="225" spans="8:8">
      <c r="B225" s="8">
        <v>216.0</v>
      </c>
      <c r="C225" s="8" t="s">
        <v>763</v>
      </c>
      <c r="D225" s="8" t="s">
        <v>828</v>
      </c>
      <c r="E225" s="8" t="s">
        <v>425</v>
      </c>
      <c r="F225" s="8" t="s">
        <v>68</v>
      </c>
      <c r="G225" s="8" t="s">
        <v>1575</v>
      </c>
      <c r="H225" s="8" t="s">
        <v>425</v>
      </c>
      <c r="I225" s="55" t="s">
        <v>153</v>
      </c>
      <c r="J225" s="60" t="s">
        <v>7111</v>
      </c>
      <c r="K225" s="22">
        <v>44.0</v>
      </c>
      <c r="L225" s="22">
        <f>+SUMIF('حركه المخزن الرئيسي اليوميه'!$F:$F,$H:$H,'حركه المخزن الرئيسي اليوميه'!$H:$H)</f>
        <v>0.0</v>
      </c>
      <c r="M225" s="22">
        <f>+SUMIF('حركه المخزن الرئيسي اليوميه'!$F:$F,$H:$H,'حركه المخزن الرئيسي اليوميه'!$I:$I)</f>
        <v>0.0</v>
      </c>
      <c r="N225" s="22">
        <f t="shared" si="9"/>
        <v>44.0</v>
      </c>
      <c r="O225" s="22">
        <f t="shared" si="10"/>
        <v>44.0</v>
      </c>
      <c r="P225" s="22">
        <f t="shared" si="11"/>
        <v>0.0</v>
      </c>
      <c r="Q225" s="57"/>
      <c r="R225" s="58"/>
    </row>
    <row r="226" spans="8:8">
      <c r="B226" s="8">
        <v>217.0</v>
      </c>
      <c r="C226" s="8" t="s">
        <v>828</v>
      </c>
      <c r="D226" s="8" t="s">
        <v>713</v>
      </c>
      <c r="E226" s="8" t="s">
        <v>795</v>
      </c>
      <c r="F226" s="8" t="s">
        <v>68</v>
      </c>
      <c r="G226" s="8" t="s">
        <v>1766</v>
      </c>
      <c r="H226" s="8" t="s">
        <v>719</v>
      </c>
      <c r="I226" s="55" t="s">
        <v>818</v>
      </c>
      <c r="J226" s="60" t="s">
        <v>7112</v>
      </c>
      <c r="K226" s="22">
        <v>13.0</v>
      </c>
      <c r="L226" s="22">
        <f>+SUMIF('حركه المخزن الرئيسي اليوميه'!$F:$F,$H:$H,'حركه المخزن الرئيسي اليوميه'!$H:$H)</f>
        <v>0.0</v>
      </c>
      <c r="M226" s="22">
        <f>+SUMIF('حركه المخزن الرئيسي اليوميه'!$F:$F,$H:$H,'حركه المخزن الرئيسي اليوميه'!$I:$I)</f>
        <v>0.0</v>
      </c>
      <c r="N226" s="22">
        <f t="shared" si="9"/>
        <v>13.0</v>
      </c>
      <c r="O226" s="22">
        <f t="shared" si="10"/>
        <v>13.0</v>
      </c>
      <c r="P226" s="22">
        <f t="shared" si="11"/>
        <v>0.0</v>
      </c>
      <c r="Q226" s="57"/>
      <c r="R226" s="69"/>
    </row>
    <row r="227" spans="8:8">
      <c r="B227" s="8">
        <v>218.0</v>
      </c>
      <c r="C227" s="8" t="s">
        <v>764</v>
      </c>
      <c r="D227" s="8"/>
      <c r="E227" s="8"/>
      <c r="F227" s="8"/>
      <c r="G227" s="55" t="s">
        <v>1813</v>
      </c>
      <c r="H227" s="8"/>
      <c r="I227" s="55"/>
      <c r="J227" s="60" t="s">
        <v>7113</v>
      </c>
      <c r="K227" s="22">
        <v>0.0</v>
      </c>
      <c r="L227" s="22">
        <f>+SUMIF('حركه المخزن الرئيسي اليوميه'!$F:$F,$H:$H,'حركه المخزن الرئيسي اليوميه'!$H:$H)</f>
        <v>0.0</v>
      </c>
      <c r="M227" s="22">
        <f>+SUMIF('حركه المخزن الرئيسي اليوميه'!$F:$F,$H:$H,'حركه المخزن الرئيسي اليوميه'!$I:$I)</f>
        <v>0.0</v>
      </c>
      <c r="N227" s="22">
        <f t="shared" si="9"/>
        <v>0.0</v>
      </c>
      <c r="O227" s="22">
        <f t="shared" si="10"/>
        <v>0.0</v>
      </c>
      <c r="P227" s="22">
        <f t="shared" si="11"/>
        <v>0.0</v>
      </c>
      <c r="Q227" s="57"/>
      <c r="R227" s="69"/>
    </row>
    <row r="228" spans="8:8">
      <c r="B228" s="8">
        <v>219.0</v>
      </c>
      <c r="C228" s="8" t="s">
        <v>764</v>
      </c>
      <c r="D228" s="8"/>
      <c r="E228" s="8"/>
      <c r="F228" s="8"/>
      <c r="G228" s="55" t="s">
        <v>1813</v>
      </c>
      <c r="H228" s="8"/>
      <c r="I228" s="55"/>
      <c r="J228" s="60" t="s">
        <v>7114</v>
      </c>
      <c r="K228" s="22">
        <v>0.0</v>
      </c>
      <c r="L228" s="22">
        <f>+SUMIF('حركه المخزن الرئيسي اليوميه'!$F:$F,$H:$H,'حركه المخزن الرئيسي اليوميه'!$H:$H)</f>
        <v>0.0</v>
      </c>
      <c r="M228" s="22">
        <f>+SUMIF('حركه المخزن الرئيسي اليوميه'!$F:$F,$H:$H,'حركه المخزن الرئيسي اليوميه'!$I:$I)</f>
        <v>0.0</v>
      </c>
      <c r="N228" s="22">
        <f t="shared" si="9"/>
        <v>0.0</v>
      </c>
      <c r="O228" s="22">
        <f t="shared" si="10"/>
        <v>0.0</v>
      </c>
      <c r="P228" s="22">
        <f t="shared" si="11"/>
        <v>0.0</v>
      </c>
      <c r="Q228" s="57"/>
      <c r="R228" s="58"/>
    </row>
    <row r="229" spans="8:8">
      <c r="B229" s="8">
        <v>220.0</v>
      </c>
      <c r="C229" s="8" t="s">
        <v>764</v>
      </c>
      <c r="D229" s="8"/>
      <c r="E229" s="8"/>
      <c r="F229" s="8"/>
      <c r="G229" s="55" t="s">
        <v>1813</v>
      </c>
      <c r="H229" s="8"/>
      <c r="I229" s="55"/>
      <c r="J229" s="60" t="s">
        <v>7115</v>
      </c>
      <c r="K229" s="22">
        <v>0.0</v>
      </c>
      <c r="L229" s="22">
        <f>+SUMIF('حركه المخزن الرئيسي اليوميه'!$F:$F,$H:$H,'حركه المخزن الرئيسي اليوميه'!$H:$H)</f>
        <v>0.0</v>
      </c>
      <c r="M229" s="22">
        <f>+SUMIF('حركه المخزن الرئيسي اليوميه'!$F:$F,$H:$H,'حركه المخزن الرئيسي اليوميه'!$I:$I)</f>
        <v>0.0</v>
      </c>
      <c r="N229" s="22">
        <f t="shared" si="9"/>
        <v>0.0</v>
      </c>
      <c r="O229" s="22">
        <f t="shared" si="10"/>
        <v>0.0</v>
      </c>
      <c r="P229" s="22">
        <f t="shared" si="11"/>
        <v>0.0</v>
      </c>
      <c r="Q229" s="57"/>
      <c r="R229" s="58"/>
    </row>
    <row r="230" spans="8:8">
      <c r="B230" s="8">
        <v>221.0</v>
      </c>
      <c r="C230" s="8" t="s">
        <v>828</v>
      </c>
      <c r="D230" s="8" t="s">
        <v>820</v>
      </c>
      <c r="E230" s="8" t="s">
        <v>2578</v>
      </c>
      <c r="F230" s="8" t="s">
        <v>68</v>
      </c>
      <c r="G230" s="8"/>
      <c r="H230" s="8" t="s">
        <v>1148</v>
      </c>
      <c r="I230" s="55" t="s">
        <v>818</v>
      </c>
      <c r="J230" s="60" t="s">
        <v>7116</v>
      </c>
      <c r="K230" s="22">
        <v>0.0</v>
      </c>
      <c r="L230" s="22">
        <f>+SUMIF('حركه المخزن الرئيسي اليوميه'!$F:$F,$H:$H,'حركه المخزن الرئيسي اليوميه'!$H:$H)</f>
        <v>0.0</v>
      </c>
      <c r="M230" s="22">
        <f>+SUMIF('حركه المخزن الرئيسي اليوميه'!$F:$F,$H:$H,'حركه المخزن الرئيسي اليوميه'!$I:$I)</f>
        <v>0.0</v>
      </c>
      <c r="N230" s="22">
        <f t="shared" si="9"/>
        <v>0.0</v>
      </c>
      <c r="O230" s="22">
        <f t="shared" si="10"/>
        <v>0.0</v>
      </c>
      <c r="P230" s="22">
        <f t="shared" si="11"/>
        <v>0.0</v>
      </c>
      <c r="Q230" s="57"/>
      <c r="R230" s="58"/>
    </row>
    <row r="231" spans="8:8">
      <c r="B231" s="8">
        <v>222.0</v>
      </c>
      <c r="C231" s="8" t="s">
        <v>764</v>
      </c>
      <c r="D231" s="8" t="s">
        <v>713</v>
      </c>
      <c r="E231" s="8" t="s">
        <v>675</v>
      </c>
      <c r="F231" s="8" t="s">
        <v>68</v>
      </c>
      <c r="G231" s="8" t="s">
        <v>2160</v>
      </c>
      <c r="H231" s="8" t="s">
        <v>675</v>
      </c>
      <c r="I231" s="55" t="s">
        <v>818</v>
      </c>
      <c r="J231" s="60" t="s">
        <v>7117</v>
      </c>
      <c r="K231" s="22">
        <v>12.0</v>
      </c>
      <c r="L231" s="22">
        <f>+SUMIF('حركه المخزن الرئيسي اليوميه'!$F:$F,$H:$H,'حركه المخزن الرئيسي اليوميه'!$H:$H)</f>
        <v>0.0</v>
      </c>
      <c r="M231" s="22">
        <f>+SUMIF('حركه المخزن الرئيسي اليوميه'!$F:$F,$H:$H,'حركه المخزن الرئيسي اليوميه'!$I:$I)</f>
        <v>0.0</v>
      </c>
      <c r="N231" s="22">
        <f t="shared" si="9"/>
        <v>12.0</v>
      </c>
      <c r="O231" s="22">
        <f t="shared" si="10"/>
        <v>12.0</v>
      </c>
      <c r="P231" s="22">
        <f t="shared" si="11"/>
        <v>0.0</v>
      </c>
      <c r="Q231" s="57"/>
      <c r="R231" s="58"/>
    </row>
    <row r="232" spans="8:8">
      <c r="B232" s="8">
        <v>223.0</v>
      </c>
      <c r="C232" s="8" t="s">
        <v>764</v>
      </c>
      <c r="D232" s="8" t="s">
        <v>713</v>
      </c>
      <c r="E232" s="8"/>
      <c r="F232" s="8" t="s">
        <v>68</v>
      </c>
      <c r="G232" s="8" t="s">
        <v>2380</v>
      </c>
      <c r="H232" s="8"/>
      <c r="I232" s="55" t="s">
        <v>818</v>
      </c>
      <c r="J232" s="60" t="s">
        <v>7118</v>
      </c>
      <c r="K232" s="22">
        <v>0.0</v>
      </c>
      <c r="L232" s="22">
        <f>+SUMIF('حركه المخزن الرئيسي اليوميه'!$F:$F,$H:$H,'حركه المخزن الرئيسي اليوميه'!$H:$H)</f>
        <v>0.0</v>
      </c>
      <c r="M232" s="22">
        <f>+SUMIF('حركه المخزن الرئيسي اليوميه'!$F:$F,$H:$H,'حركه المخزن الرئيسي اليوميه'!$I:$I)</f>
        <v>0.0</v>
      </c>
      <c r="N232" s="22">
        <f t="shared" si="9"/>
        <v>0.0</v>
      </c>
      <c r="O232" s="22">
        <f t="shared" si="10"/>
        <v>0.0</v>
      </c>
      <c r="P232" s="22">
        <f t="shared" si="11"/>
        <v>0.0</v>
      </c>
      <c r="Q232" s="57"/>
      <c r="R232" s="58"/>
    </row>
    <row r="233" spans="8:8">
      <c r="B233" s="8">
        <v>224.0</v>
      </c>
      <c r="C233" s="8" t="s">
        <v>828</v>
      </c>
      <c r="D233" s="8" t="s">
        <v>828</v>
      </c>
      <c r="E233" s="8" t="s">
        <v>3276</v>
      </c>
      <c r="F233" s="8" t="s">
        <v>1501</v>
      </c>
      <c r="G233" s="8" t="s">
        <v>1796</v>
      </c>
      <c r="H233" s="8" t="s">
        <v>3276</v>
      </c>
      <c r="I233" s="55" t="s">
        <v>28</v>
      </c>
      <c r="J233" s="60" t="s">
        <v>7119</v>
      </c>
      <c r="K233" s="22">
        <v>0.0</v>
      </c>
      <c r="L233" s="22">
        <f>+SUMIF('حركه المخزن الرئيسي اليوميه'!$F:$F,$H:$H,'حركه المخزن الرئيسي اليوميه'!$H:$H)</f>
        <v>0.0</v>
      </c>
      <c r="M233" s="22">
        <f>+SUMIF('حركه المخزن الرئيسي اليوميه'!$F:$F,$H:$H,'حركه المخزن الرئيسي اليوميه'!$I:$I)</f>
        <v>0.0</v>
      </c>
      <c r="N233" s="22">
        <f t="shared" si="9"/>
        <v>0.0</v>
      </c>
      <c r="O233" s="22">
        <f t="shared" si="10"/>
        <v>0.0</v>
      </c>
      <c r="P233" s="22">
        <f t="shared" si="11"/>
        <v>0.0</v>
      </c>
      <c r="Q233" s="57"/>
      <c r="R233" s="58"/>
    </row>
    <row r="234" spans="8:8">
      <c r="B234" s="8">
        <v>225.0</v>
      </c>
      <c r="C234" s="8" t="s">
        <v>766</v>
      </c>
      <c r="D234" s="8"/>
      <c r="E234" s="8"/>
      <c r="F234" s="8"/>
      <c r="G234" s="8" t="s">
        <v>2141</v>
      </c>
      <c r="H234" s="8"/>
      <c r="I234" s="8"/>
      <c r="J234" s="60" t="s">
        <v>7120</v>
      </c>
      <c r="K234" s="22">
        <v>0.0</v>
      </c>
      <c r="L234" s="22">
        <f>+SUMIF('حركه المخزن الرئيسي اليوميه'!$F:$F,$H:$H,'حركه المخزن الرئيسي اليوميه'!$H:$H)</f>
        <v>0.0</v>
      </c>
      <c r="M234" s="22">
        <f>+SUMIF('حركه المخزن الرئيسي اليوميه'!$F:$F,$H:$H,'حركه المخزن الرئيسي اليوميه'!$I:$I)</f>
        <v>0.0</v>
      </c>
      <c r="N234" s="22">
        <f t="shared" si="9"/>
        <v>0.0</v>
      </c>
      <c r="O234" s="22">
        <f t="shared" si="10"/>
        <v>0.0</v>
      </c>
      <c r="P234" s="22">
        <f t="shared" si="11"/>
        <v>0.0</v>
      </c>
      <c r="Q234" s="57"/>
      <c r="R234" s="58"/>
    </row>
    <row r="235" spans="8:8">
      <c r="B235" s="8">
        <v>226.0</v>
      </c>
      <c r="C235" s="8" t="s">
        <v>764</v>
      </c>
      <c r="D235" s="8" t="s">
        <v>828</v>
      </c>
      <c r="E235" s="8" t="s">
        <v>481</v>
      </c>
      <c r="F235" s="8" t="s">
        <v>68</v>
      </c>
      <c r="G235" s="8" t="s">
        <v>1834</v>
      </c>
      <c r="H235" s="8" t="s">
        <v>481</v>
      </c>
      <c r="I235" s="55" t="s">
        <v>818</v>
      </c>
      <c r="J235" s="60" t="s">
        <v>7121</v>
      </c>
      <c r="K235" s="22">
        <v>0.0</v>
      </c>
      <c r="L235" s="22">
        <f>+SUMIF('حركه المخزن الرئيسي اليوميه'!$F:$F,$H:$H,'حركه المخزن الرئيسي اليوميه'!$H:$H)</f>
        <v>0.0</v>
      </c>
      <c r="M235" s="22">
        <f>+SUMIF('حركه المخزن الرئيسي اليوميه'!$F:$F,$H:$H,'حركه المخزن الرئيسي اليوميه'!$I:$I)</f>
        <v>0.0</v>
      </c>
      <c r="N235" s="22">
        <f t="shared" si="9"/>
        <v>0.0</v>
      </c>
      <c r="O235" s="22">
        <f t="shared" si="10"/>
        <v>0.0</v>
      </c>
      <c r="P235" s="22">
        <f t="shared" si="11"/>
        <v>0.0</v>
      </c>
      <c r="Q235" s="57"/>
      <c r="R235" s="58"/>
    </row>
    <row r="236" spans="8:8">
      <c r="B236" s="8">
        <v>227.0</v>
      </c>
      <c r="C236" s="8" t="s">
        <v>764</v>
      </c>
      <c r="D236" s="8" t="s">
        <v>828</v>
      </c>
      <c r="E236" s="8" t="s">
        <v>3735</v>
      </c>
      <c r="F236" s="8" t="s">
        <v>873</v>
      </c>
      <c r="G236" s="8" t="s">
        <v>2369</v>
      </c>
      <c r="H236" s="8" t="s">
        <v>3735</v>
      </c>
      <c r="I236" s="55" t="s">
        <v>818</v>
      </c>
      <c r="J236" s="60" t="s">
        <v>7122</v>
      </c>
      <c r="K236" s="22">
        <v>8.0</v>
      </c>
      <c r="L236" s="22">
        <f>+SUMIF('حركه المخزن الرئيسي اليوميه'!$F:$F,$H:$H,'حركه المخزن الرئيسي اليوميه'!$H:$H)</f>
        <v>0.0</v>
      </c>
      <c r="M236" s="22">
        <f>+SUMIF('حركه المخزن الرئيسي اليوميه'!$F:$F,$H:$H,'حركه المخزن الرئيسي اليوميه'!$I:$I)</f>
        <v>0.0</v>
      </c>
      <c r="N236" s="22">
        <f t="shared" si="9"/>
        <v>8.0</v>
      </c>
      <c r="O236" s="22">
        <f t="shared" si="10"/>
        <v>8.0</v>
      </c>
      <c r="P236" s="22">
        <f t="shared" si="11"/>
        <v>0.0</v>
      </c>
      <c r="Q236" s="57"/>
      <c r="R236" s="58"/>
    </row>
    <row r="237" spans="8:8">
      <c r="B237" s="8">
        <v>228.0</v>
      </c>
      <c r="C237" s="8" t="s">
        <v>764</v>
      </c>
      <c r="D237" s="8" t="s">
        <v>828</v>
      </c>
      <c r="E237" s="8" t="s">
        <v>2770</v>
      </c>
      <c r="F237" s="8" t="s">
        <v>282</v>
      </c>
      <c r="G237" s="8" t="s">
        <v>1744</v>
      </c>
      <c r="H237" s="8" t="s">
        <v>2770</v>
      </c>
      <c r="I237" s="8" t="s">
        <v>24</v>
      </c>
      <c r="J237" s="60" t="s">
        <v>7123</v>
      </c>
      <c r="K237" s="22">
        <v>2.0</v>
      </c>
      <c r="L237" s="22">
        <f>+SUMIF('حركه المخزن الرئيسي اليوميه'!$F:$F,$H:$H,'حركه المخزن الرئيسي اليوميه'!$H:$H)</f>
        <v>0.0</v>
      </c>
      <c r="M237" s="22">
        <f>+SUMIF('حركه المخزن الرئيسي اليوميه'!$F:$F,$H:$H,'حركه المخزن الرئيسي اليوميه'!$I:$I)</f>
        <v>0.0</v>
      </c>
      <c r="N237" s="22">
        <f t="shared" si="9"/>
        <v>2.0</v>
      </c>
      <c r="O237" s="22">
        <f t="shared" si="10"/>
        <v>2.0</v>
      </c>
      <c r="P237" s="22">
        <f t="shared" si="11"/>
        <v>0.0</v>
      </c>
      <c r="Q237" s="57"/>
      <c r="R237" s="58"/>
    </row>
    <row r="238" spans="8:8">
      <c r="B238" s="8">
        <v>229.0</v>
      </c>
      <c r="C238" s="8" t="s">
        <v>764</v>
      </c>
      <c r="D238" s="8" t="s">
        <v>828</v>
      </c>
      <c r="E238" s="8" t="s">
        <v>2932</v>
      </c>
      <c r="F238" s="8" t="s">
        <v>68</v>
      </c>
      <c r="G238" s="8" t="s">
        <v>2151</v>
      </c>
      <c r="H238" s="8" t="s">
        <v>2932</v>
      </c>
      <c r="I238" s="55" t="s">
        <v>3614</v>
      </c>
      <c r="J238" s="60" t="s">
        <v>7124</v>
      </c>
      <c r="K238" s="22">
        <v>2.0</v>
      </c>
      <c r="L238" s="22">
        <f>+SUMIF('حركه المخزن الرئيسي اليوميه'!$F:$F,$H:$H,'حركه المخزن الرئيسي اليوميه'!$H:$H)</f>
        <v>0.0</v>
      </c>
      <c r="M238" s="22">
        <f>+SUMIF('حركه المخزن الرئيسي اليوميه'!$F:$F,$H:$H,'حركه المخزن الرئيسي اليوميه'!$I:$I)</f>
        <v>0.0</v>
      </c>
      <c r="N238" s="22">
        <f t="shared" si="9"/>
        <v>2.0</v>
      </c>
      <c r="O238" s="22">
        <f t="shared" si="10"/>
        <v>2.0</v>
      </c>
      <c r="P238" s="22">
        <f t="shared" si="11"/>
        <v>0.0</v>
      </c>
      <c r="Q238" s="57"/>
      <c r="R238" s="58"/>
    </row>
    <row r="239" spans="8:8">
      <c r="B239" s="8">
        <v>230.0</v>
      </c>
      <c r="C239" s="8" t="s">
        <v>828</v>
      </c>
      <c r="D239" s="8" t="s">
        <v>820</v>
      </c>
      <c r="E239" s="8" t="s">
        <v>2718</v>
      </c>
      <c r="F239" s="8" t="s">
        <v>876</v>
      </c>
      <c r="G239" s="8" t="s">
        <v>1826</v>
      </c>
      <c r="H239" s="8" t="s">
        <v>2718</v>
      </c>
      <c r="I239" s="8" t="s">
        <v>818</v>
      </c>
      <c r="J239" s="60" t="s">
        <v>7125</v>
      </c>
      <c r="K239" s="22">
        <v>0.0</v>
      </c>
      <c r="L239" s="22">
        <f>+SUMIF('حركه المخزن الرئيسي اليوميه'!$F:$F,$H:$H,'حركه المخزن الرئيسي اليوميه'!$H:$H)</f>
        <v>0.0</v>
      </c>
      <c r="M239" s="22">
        <f>+SUMIF('حركه المخزن الرئيسي اليوميه'!$F:$F,$H:$H,'حركه المخزن الرئيسي اليوميه'!$I:$I)</f>
        <v>0.0</v>
      </c>
      <c r="N239" s="22">
        <f t="shared" si="9"/>
        <v>0.0</v>
      </c>
      <c r="O239" s="22">
        <f t="shared" si="10"/>
        <v>0.0</v>
      </c>
      <c r="P239" s="22">
        <f t="shared" si="11"/>
        <v>0.0</v>
      </c>
      <c r="Q239" s="57"/>
      <c r="R239" s="58"/>
    </row>
    <row r="240" spans="8:8">
      <c r="B240" s="8">
        <v>231.0</v>
      </c>
      <c r="C240" s="8" t="s">
        <v>828</v>
      </c>
      <c r="D240" s="8" t="s">
        <v>828</v>
      </c>
      <c r="E240" s="8" t="s">
        <v>1621</v>
      </c>
      <c r="F240" s="8" t="s">
        <v>1501</v>
      </c>
      <c r="G240" s="8" t="s">
        <v>1797</v>
      </c>
      <c r="H240" s="8" t="s">
        <v>1621</v>
      </c>
      <c r="I240" s="55" t="s">
        <v>818</v>
      </c>
      <c r="J240" s="60" t="s">
        <v>7126</v>
      </c>
      <c r="K240" s="22">
        <v>11.0</v>
      </c>
      <c r="L240" s="22">
        <f>+SUMIF('حركه المخزن الرئيسي اليوميه'!$F:$F,$H:$H,'حركه المخزن الرئيسي اليوميه'!$H:$H)</f>
        <v>0.0</v>
      </c>
      <c r="M240" s="22">
        <f>+SUMIF('حركه المخزن الرئيسي اليوميه'!$F:$F,$H:$H,'حركه المخزن الرئيسي اليوميه'!$I:$I)</f>
        <v>0.0</v>
      </c>
      <c r="N240" s="22">
        <f t="shared" si="9"/>
        <v>11.0</v>
      </c>
      <c r="O240" s="22">
        <f t="shared" si="10"/>
        <v>11.0</v>
      </c>
      <c r="P240" s="22">
        <f t="shared" si="11"/>
        <v>0.0</v>
      </c>
      <c r="Q240" s="57"/>
      <c r="R240" s="58"/>
    </row>
    <row r="241" spans="8:8">
      <c r="B241" s="8">
        <v>232.0</v>
      </c>
      <c r="C241" s="8" t="s">
        <v>766</v>
      </c>
      <c r="D241" s="8" t="s">
        <v>828</v>
      </c>
      <c r="E241" s="8" t="s">
        <v>2927</v>
      </c>
      <c r="F241" s="8" t="s">
        <v>68</v>
      </c>
      <c r="G241" s="8" t="s">
        <v>1747</v>
      </c>
      <c r="H241" s="8" t="s">
        <v>2927</v>
      </c>
      <c r="I241" s="55" t="s">
        <v>3614</v>
      </c>
      <c r="J241" s="60" t="s">
        <v>7127</v>
      </c>
      <c r="K241" s="22">
        <v>1.0</v>
      </c>
      <c r="L241" s="22">
        <f>+SUMIF('حركه المخزن الرئيسي اليوميه'!$F:$F,$H:$H,'حركه المخزن الرئيسي اليوميه'!$H:$H)</f>
        <v>0.0</v>
      </c>
      <c r="M241" s="22">
        <f>+SUMIF('حركه المخزن الرئيسي اليوميه'!$F:$F,$H:$H,'حركه المخزن الرئيسي اليوميه'!$I:$I)</f>
        <v>0.0</v>
      </c>
      <c r="N241" s="22">
        <f t="shared" si="9"/>
        <v>1.0</v>
      </c>
      <c r="O241" s="22">
        <f t="shared" si="10"/>
        <v>1.0</v>
      </c>
      <c r="P241" s="22">
        <f t="shared" si="11"/>
        <v>0.0</v>
      </c>
      <c r="Q241" s="57"/>
      <c r="R241" s="58"/>
    </row>
    <row r="242" spans="8:8">
      <c r="B242" s="8">
        <v>233.0</v>
      </c>
      <c r="C242" s="8" t="s">
        <v>828</v>
      </c>
      <c r="D242" s="8" t="s">
        <v>828</v>
      </c>
      <c r="E242" s="8" t="s">
        <v>2762</v>
      </c>
      <c r="F242" s="8" t="s">
        <v>1501</v>
      </c>
      <c r="G242" s="8"/>
      <c r="H242" s="8" t="s">
        <v>2762</v>
      </c>
      <c r="I242" s="55" t="s">
        <v>818</v>
      </c>
      <c r="J242" s="60" t="s">
        <v>7128</v>
      </c>
      <c r="K242" s="22">
        <v>0.0</v>
      </c>
      <c r="L242" s="22">
        <f>+SUMIF('حركه المخزن الرئيسي اليوميه'!$F:$F,$H:$H,'حركه المخزن الرئيسي اليوميه'!$H:$H)</f>
        <v>0.0</v>
      </c>
      <c r="M242" s="22">
        <f>+SUMIF('حركه المخزن الرئيسي اليوميه'!$F:$F,$H:$H,'حركه المخزن الرئيسي اليوميه'!$I:$I)</f>
        <v>0.0</v>
      </c>
      <c r="N242" s="22">
        <f t="shared" si="9"/>
        <v>0.0</v>
      </c>
      <c r="O242" s="22">
        <f t="shared" si="10"/>
        <v>0.0</v>
      </c>
      <c r="P242" s="22">
        <f t="shared" si="11"/>
        <v>0.0</v>
      </c>
      <c r="Q242" s="57"/>
      <c r="R242" s="58"/>
    </row>
    <row r="243" spans="8:8">
      <c r="B243" s="8">
        <v>234.0</v>
      </c>
      <c r="C243" s="8" t="s">
        <v>764</v>
      </c>
      <c r="D243" s="8" t="s">
        <v>828</v>
      </c>
      <c r="E243" s="8" t="s">
        <v>530</v>
      </c>
      <c r="F243" s="8" t="s">
        <v>68</v>
      </c>
      <c r="G243" s="8"/>
      <c r="H243" s="8" t="s">
        <v>530</v>
      </c>
      <c r="I243" s="55" t="s">
        <v>3614</v>
      </c>
      <c r="J243" s="60" t="s">
        <v>7129</v>
      </c>
      <c r="K243" s="22">
        <v>0.0</v>
      </c>
      <c r="L243" s="22">
        <f>+SUMIF('حركه المخزن الرئيسي اليوميه'!$F:$F,$H:$H,'حركه المخزن الرئيسي اليوميه'!$H:$H)</f>
        <v>0.0</v>
      </c>
      <c r="M243" s="22">
        <f>+SUMIF('حركه المخزن الرئيسي اليوميه'!$F:$F,$H:$H,'حركه المخزن الرئيسي اليوميه'!$I:$I)</f>
        <v>0.0</v>
      </c>
      <c r="N243" s="22">
        <f t="shared" si="9"/>
        <v>0.0</v>
      </c>
      <c r="O243" s="22">
        <f t="shared" si="10"/>
        <v>0.0</v>
      </c>
      <c r="P243" s="22">
        <f t="shared" si="11"/>
        <v>0.0</v>
      </c>
      <c r="Q243" s="57"/>
      <c r="R243" s="58"/>
    </row>
    <row r="244" spans="8:8">
      <c r="B244" s="8">
        <v>235.0</v>
      </c>
      <c r="C244" s="8" t="s">
        <v>828</v>
      </c>
      <c r="D244" s="8" t="s">
        <v>820</v>
      </c>
      <c r="E244" s="8" t="s">
        <v>1152</v>
      </c>
      <c r="F244" s="8" t="s">
        <v>1153</v>
      </c>
      <c r="G244" s="8" t="s">
        <v>2213</v>
      </c>
      <c r="H244" s="8" t="s">
        <v>1152</v>
      </c>
      <c r="I244" s="55" t="s">
        <v>224</v>
      </c>
      <c r="J244" s="60" t="s">
        <v>7130</v>
      </c>
      <c r="K244" s="22">
        <v>1.0</v>
      </c>
      <c r="L244" s="22">
        <f>+SUMIF('حركه المخزن الرئيسي اليوميه'!$F:$F,$H:$H,'حركه المخزن الرئيسي اليوميه'!$H:$H)</f>
        <v>0.0</v>
      </c>
      <c r="M244" s="22">
        <f>+SUMIF('حركه المخزن الرئيسي اليوميه'!$F:$F,$H:$H,'حركه المخزن الرئيسي اليوميه'!$I:$I)</f>
        <v>0.0</v>
      </c>
      <c r="N244" s="22">
        <f t="shared" si="9"/>
        <v>1.0</v>
      </c>
      <c r="O244" s="22">
        <f t="shared" si="10"/>
        <v>1.0</v>
      </c>
      <c r="P244" s="22">
        <f t="shared" si="11"/>
        <v>0.0</v>
      </c>
      <c r="Q244" s="57"/>
      <c r="R244" s="58"/>
    </row>
    <row r="245" spans="8:8">
      <c r="B245" s="8">
        <v>236.0</v>
      </c>
      <c r="C245" s="8" t="s">
        <v>766</v>
      </c>
      <c r="D245" s="8" t="s">
        <v>820</v>
      </c>
      <c r="E245" s="8" t="s">
        <v>1301</v>
      </c>
      <c r="F245" s="8" t="s">
        <v>68</v>
      </c>
      <c r="G245" s="8"/>
      <c r="H245" s="8" t="s">
        <v>1300</v>
      </c>
      <c r="I245" s="55"/>
      <c r="J245" s="60" t="s">
        <v>7131</v>
      </c>
      <c r="K245" s="22">
        <v>0.0</v>
      </c>
      <c r="L245" s="22">
        <f>+SUMIF('حركه المخزن الرئيسي اليوميه'!$F:$F,$H:$H,'حركه المخزن الرئيسي اليوميه'!$H:$H)</f>
        <v>0.0</v>
      </c>
      <c r="M245" s="22">
        <f>+SUMIF('حركه المخزن الرئيسي اليوميه'!$F:$F,$H:$H,'حركه المخزن الرئيسي اليوميه'!$I:$I)</f>
        <v>0.0</v>
      </c>
      <c r="N245" s="22">
        <f t="shared" si="9"/>
        <v>0.0</v>
      </c>
      <c r="O245" s="22">
        <f t="shared" si="10"/>
        <v>0.0</v>
      </c>
      <c r="P245" s="22">
        <f t="shared" si="11"/>
        <v>0.0</v>
      </c>
      <c r="Q245" s="57"/>
      <c r="R245" s="58"/>
    </row>
    <row r="246" spans="8:8">
      <c r="B246" s="8">
        <v>237.0</v>
      </c>
      <c r="C246" s="8" t="s">
        <v>828</v>
      </c>
      <c r="D246" s="8" t="s">
        <v>820</v>
      </c>
      <c r="E246" s="8" t="s">
        <v>1431</v>
      </c>
      <c r="F246" s="8" t="s">
        <v>68</v>
      </c>
      <c r="G246" s="8" t="s">
        <v>1431</v>
      </c>
      <c r="H246" s="8" t="s">
        <v>1431</v>
      </c>
      <c r="I246" s="55"/>
      <c r="J246" s="60" t="s">
        <v>7132</v>
      </c>
      <c r="K246" s="22">
        <v>0.0</v>
      </c>
      <c r="L246" s="22">
        <f>+SUMIF('حركه المخزن الرئيسي اليوميه'!$F:$F,$H:$H,'حركه المخزن الرئيسي اليوميه'!$H:$H)</f>
        <v>0.0</v>
      </c>
      <c r="M246" s="22">
        <f>+SUMIF('حركه المخزن الرئيسي اليوميه'!$F:$F,$H:$H,'حركه المخزن الرئيسي اليوميه'!$I:$I)</f>
        <v>0.0</v>
      </c>
      <c r="N246" s="22">
        <f t="shared" si="14" ref="N246:N308">+K246+L246-M246</f>
        <v>0.0</v>
      </c>
      <c r="O246" s="22">
        <f t="shared" si="15" ref="O246:O308">+N246</f>
        <v>0.0</v>
      </c>
      <c r="P246" s="22">
        <f t="shared" si="16" ref="P246:P273">+N246-O246</f>
        <v>0.0</v>
      </c>
      <c r="Q246" s="57"/>
      <c r="R246" s="58"/>
    </row>
    <row r="247" spans="8:8">
      <c r="B247" s="8">
        <v>238.0</v>
      </c>
      <c r="C247" s="8" t="s">
        <v>764</v>
      </c>
      <c r="D247" s="8" t="s">
        <v>713</v>
      </c>
      <c r="E247" s="8" t="s">
        <v>670</v>
      </c>
      <c r="F247" s="8" t="s">
        <v>68</v>
      </c>
      <c r="G247" s="8"/>
      <c r="H247" s="8" t="s">
        <v>670</v>
      </c>
      <c r="I247" s="55"/>
      <c r="J247" s="60" t="s">
        <v>7133</v>
      </c>
      <c r="K247" s="22">
        <v>0.0</v>
      </c>
      <c r="L247" s="22">
        <f>+SUMIF('حركه المخزن الرئيسي اليوميه'!$F:$F,$H:$H,'حركه المخزن الرئيسي اليوميه'!$H:$H)</f>
        <v>0.0</v>
      </c>
      <c r="M247" s="22">
        <f>+SUMIF('حركه المخزن الرئيسي اليوميه'!$F:$F,$H:$H,'حركه المخزن الرئيسي اليوميه'!$I:$I)</f>
        <v>0.0</v>
      </c>
      <c r="N247" s="22">
        <f t="shared" si="14"/>
        <v>0.0</v>
      </c>
      <c r="O247" s="22">
        <f t="shared" si="15"/>
        <v>0.0</v>
      </c>
      <c r="P247" s="22">
        <f t="shared" si="16"/>
        <v>0.0</v>
      </c>
      <c r="Q247" s="57"/>
      <c r="R247" s="58"/>
    </row>
    <row r="248" spans="8:8">
      <c r="B248" s="8">
        <v>239.0</v>
      </c>
      <c r="C248" s="8" t="s">
        <v>766</v>
      </c>
      <c r="D248" s="8" t="s">
        <v>820</v>
      </c>
      <c r="E248" s="8" t="s">
        <v>1451</v>
      </c>
      <c r="F248" s="8" t="s">
        <v>68</v>
      </c>
      <c r="G248" s="8" t="s">
        <v>2398</v>
      </c>
      <c r="H248" s="8" t="s">
        <v>2975</v>
      </c>
      <c r="I248" s="55"/>
      <c r="J248" s="60" t="s">
        <v>7134</v>
      </c>
      <c r="K248" s="22">
        <v>0.0</v>
      </c>
      <c r="L248" s="22">
        <f>+SUMIF('حركه المخزن الرئيسي اليوميه'!$F:$F,$H:$H,'حركه المخزن الرئيسي اليوميه'!$H:$H)</f>
        <v>0.0</v>
      </c>
      <c r="M248" s="22">
        <f>+SUMIF('حركه المخزن الرئيسي اليوميه'!$F:$F,$H:$H,'حركه المخزن الرئيسي اليوميه'!$I:$I)</f>
        <v>0.0</v>
      </c>
      <c r="N248" s="22">
        <f t="shared" si="14"/>
        <v>0.0</v>
      </c>
      <c r="O248" s="22">
        <f t="shared" si="15"/>
        <v>0.0</v>
      </c>
      <c r="P248" s="22">
        <f t="shared" si="16"/>
        <v>0.0</v>
      </c>
      <c r="Q248" s="57"/>
      <c r="R248" s="58"/>
    </row>
    <row r="249" spans="8:8">
      <c r="B249" s="8">
        <v>240.0</v>
      </c>
      <c r="C249" s="8" t="s">
        <v>764</v>
      </c>
      <c r="D249" s="8" t="s">
        <v>713</v>
      </c>
      <c r="E249" s="8" t="s">
        <v>659</v>
      </c>
      <c r="F249" s="8" t="s">
        <v>68</v>
      </c>
      <c r="G249" s="8" t="s">
        <v>659</v>
      </c>
      <c r="H249" s="8" t="s">
        <v>659</v>
      </c>
      <c r="I249" s="55"/>
      <c r="J249" s="60" t="s">
        <v>7135</v>
      </c>
      <c r="K249" s="22">
        <v>0.0</v>
      </c>
      <c r="L249" s="22">
        <f>+SUMIF('حركه المخزن الرئيسي اليوميه'!$F:$F,$H:$H,'حركه المخزن الرئيسي اليوميه'!$H:$H)</f>
        <v>0.0</v>
      </c>
      <c r="M249" s="22">
        <f>+SUMIF('حركه المخزن الرئيسي اليوميه'!$F:$F,$H:$H,'حركه المخزن الرئيسي اليوميه'!$I:$I)</f>
        <v>0.0</v>
      </c>
      <c r="N249" s="22">
        <f t="shared" si="14"/>
        <v>0.0</v>
      </c>
      <c r="O249" s="22">
        <f t="shared" si="15"/>
        <v>0.0</v>
      </c>
      <c r="P249" s="22">
        <f t="shared" si="16"/>
        <v>0.0</v>
      </c>
      <c r="Q249" s="57"/>
      <c r="R249" s="58"/>
    </row>
    <row r="250" spans="8:8">
      <c r="B250" s="8">
        <v>241.0</v>
      </c>
      <c r="C250" s="8" t="s">
        <v>764</v>
      </c>
      <c r="D250" s="8" t="s">
        <v>828</v>
      </c>
      <c r="E250" s="8" t="s">
        <v>544</v>
      </c>
      <c r="F250" s="8" t="s">
        <v>68</v>
      </c>
      <c r="G250" s="8"/>
      <c r="H250" s="8" t="s">
        <v>544</v>
      </c>
      <c r="I250" s="8"/>
      <c r="J250" s="60" t="s">
        <v>7136</v>
      </c>
      <c r="K250" s="22">
        <v>0.0</v>
      </c>
      <c r="L250" s="22">
        <f>+SUMIF('حركه المخزن الرئيسي اليوميه'!$F:$F,$H:$H,'حركه المخزن الرئيسي اليوميه'!$H:$H)</f>
        <v>0.0</v>
      </c>
      <c r="M250" s="22">
        <f>+SUMIF('حركه المخزن الرئيسي اليوميه'!$F:$F,$H:$H,'حركه المخزن الرئيسي اليوميه'!$I:$I)</f>
        <v>0.0</v>
      </c>
      <c r="N250" s="22">
        <f t="shared" si="14"/>
        <v>0.0</v>
      </c>
      <c r="O250" s="22">
        <f t="shared" si="15"/>
        <v>0.0</v>
      </c>
      <c r="P250" s="22">
        <f t="shared" si="16"/>
        <v>0.0</v>
      </c>
      <c r="Q250" s="57"/>
      <c r="R250" s="58"/>
    </row>
    <row r="251" spans="8:8">
      <c r="B251" s="8">
        <v>242.0</v>
      </c>
      <c r="C251" s="8" t="s">
        <v>764</v>
      </c>
      <c r="D251" s="8" t="s">
        <v>828</v>
      </c>
      <c r="E251" s="8" t="s">
        <v>545</v>
      </c>
      <c r="F251" s="8" t="s">
        <v>68</v>
      </c>
      <c r="G251" s="8"/>
      <c r="H251" s="8" t="s">
        <v>545</v>
      </c>
      <c r="I251" s="8"/>
      <c r="J251" s="60" t="s">
        <v>7137</v>
      </c>
      <c r="K251" s="22">
        <v>0.0</v>
      </c>
      <c r="L251" s="22">
        <f>+SUMIF('حركه المخزن الرئيسي اليوميه'!$F:$F,$H:$H,'حركه المخزن الرئيسي اليوميه'!$H:$H)</f>
        <v>0.0</v>
      </c>
      <c r="M251" s="22">
        <f>+SUMIF('حركه المخزن الرئيسي اليوميه'!$F:$F,$H:$H,'حركه المخزن الرئيسي اليوميه'!$I:$I)</f>
        <v>0.0</v>
      </c>
      <c r="N251" s="22">
        <f t="shared" si="14"/>
        <v>0.0</v>
      </c>
      <c r="O251" s="22">
        <f t="shared" si="15"/>
        <v>0.0</v>
      </c>
      <c r="P251" s="22">
        <f t="shared" si="16"/>
        <v>0.0</v>
      </c>
      <c r="Q251" s="57"/>
      <c r="R251" s="58"/>
    </row>
    <row r="252" spans="8:8">
      <c r="B252" s="8">
        <v>243.0</v>
      </c>
      <c r="C252" s="8" t="s">
        <v>764</v>
      </c>
      <c r="D252" s="8" t="s">
        <v>713</v>
      </c>
      <c r="E252" s="8" t="s">
        <v>678</v>
      </c>
      <c r="F252" s="8" t="s">
        <v>68</v>
      </c>
      <c r="G252" s="8" t="s">
        <v>2389</v>
      </c>
      <c r="H252" s="8" t="s">
        <v>678</v>
      </c>
      <c r="I252" s="55"/>
      <c r="J252" s="60" t="s">
        <v>7138</v>
      </c>
      <c r="K252" s="22">
        <v>0.0</v>
      </c>
      <c r="L252" s="22">
        <f>+SUMIF('حركه المخزن الرئيسي اليوميه'!$F:$F,$H:$H,'حركه المخزن الرئيسي اليوميه'!$H:$H)</f>
        <v>0.0</v>
      </c>
      <c r="M252" s="22">
        <f>+SUMIF('حركه المخزن الرئيسي اليوميه'!$F:$F,$H:$H,'حركه المخزن الرئيسي اليوميه'!$I:$I)</f>
        <v>0.0</v>
      </c>
      <c r="N252" s="22">
        <f t="shared" si="14"/>
        <v>0.0</v>
      </c>
      <c r="O252" s="22">
        <f t="shared" si="15"/>
        <v>0.0</v>
      </c>
      <c r="P252" s="22">
        <f t="shared" si="16"/>
        <v>0.0</v>
      </c>
      <c r="Q252" s="57"/>
      <c r="R252" s="58"/>
    </row>
    <row r="253" spans="8:8">
      <c r="B253" s="8">
        <v>244.0</v>
      </c>
      <c r="C253" s="8" t="s">
        <v>764</v>
      </c>
      <c r="D253" s="8" t="s">
        <v>713</v>
      </c>
      <c r="E253" s="8" t="s">
        <v>662</v>
      </c>
      <c r="F253" s="8" t="s">
        <v>68</v>
      </c>
      <c r="G253" s="8" t="s">
        <v>2381</v>
      </c>
      <c r="H253" s="8" t="s">
        <v>662</v>
      </c>
      <c r="I253" s="55"/>
      <c r="J253" s="60" t="s">
        <v>7139</v>
      </c>
      <c r="K253" s="22">
        <v>0.0</v>
      </c>
      <c r="L253" s="22">
        <f>+SUMIF('حركه المخزن الرئيسي اليوميه'!$F:$F,$H:$H,'حركه المخزن الرئيسي اليوميه'!$H:$H)</f>
        <v>0.0</v>
      </c>
      <c r="M253" s="22">
        <f>+SUMIF('حركه المخزن الرئيسي اليوميه'!$F:$F,$H:$H,'حركه المخزن الرئيسي اليوميه'!$I:$I)</f>
        <v>0.0</v>
      </c>
      <c r="N253" s="22">
        <f t="shared" si="14"/>
        <v>0.0</v>
      </c>
      <c r="O253" s="22">
        <f t="shared" si="15"/>
        <v>0.0</v>
      </c>
      <c r="P253" s="22">
        <f t="shared" si="16"/>
        <v>0.0</v>
      </c>
      <c r="Q253" s="57"/>
      <c r="R253" s="58"/>
    </row>
    <row r="254" spans="8:8">
      <c r="B254" s="8">
        <v>245.0</v>
      </c>
      <c r="C254" s="8" t="s">
        <v>764</v>
      </c>
      <c r="D254" s="8" t="s">
        <v>713</v>
      </c>
      <c r="E254" s="8" t="s">
        <v>772</v>
      </c>
      <c r="F254" s="8" t="s">
        <v>1199</v>
      </c>
      <c r="G254" s="8" t="s">
        <v>1910</v>
      </c>
      <c r="H254" s="8" t="s">
        <v>700</v>
      </c>
      <c r="I254" s="55" t="s">
        <v>174</v>
      </c>
      <c r="J254" s="60" t="s">
        <v>7140</v>
      </c>
      <c r="K254" s="22">
        <v>2.0</v>
      </c>
      <c r="L254" s="22">
        <f>+SUMIF('حركه المخزن الرئيسي اليوميه'!$F:$F,$H:$H,'حركه المخزن الرئيسي اليوميه'!$H:$H)</f>
        <v>0.0</v>
      </c>
      <c r="M254" s="22">
        <f>+SUMIF('حركه المخزن الرئيسي اليوميه'!$F:$F,$H:$H,'حركه المخزن الرئيسي اليوميه'!$I:$I)</f>
        <v>0.0</v>
      </c>
      <c r="N254" s="22">
        <f t="shared" si="14"/>
        <v>2.0</v>
      </c>
      <c r="O254" s="22">
        <f t="shared" si="15"/>
        <v>2.0</v>
      </c>
      <c r="P254" s="22">
        <f t="shared" si="16"/>
        <v>0.0</v>
      </c>
      <c r="Q254" s="57"/>
      <c r="R254" s="58"/>
    </row>
    <row r="255" spans="8:8">
      <c r="B255" s="8">
        <v>246.0</v>
      </c>
      <c r="C255" s="8" t="s">
        <v>764</v>
      </c>
      <c r="D255" s="8" t="s">
        <v>713</v>
      </c>
      <c r="E255" s="8" t="s">
        <v>656</v>
      </c>
      <c r="F255" s="8" t="s">
        <v>68</v>
      </c>
      <c r="G255" s="8" t="s">
        <v>2160</v>
      </c>
      <c r="H255" s="8" t="s">
        <v>656</v>
      </c>
      <c r="I255" s="55"/>
      <c r="J255" s="60" t="s">
        <v>7141</v>
      </c>
      <c r="K255" s="22">
        <v>0.0</v>
      </c>
      <c r="L255" s="22">
        <f>+SUMIF('حركه المخزن الرئيسي اليوميه'!$F:$F,$H:$H,'حركه المخزن الرئيسي اليوميه'!$H:$H)</f>
        <v>0.0</v>
      </c>
      <c r="M255" s="22">
        <f>+SUMIF('حركه المخزن الرئيسي اليوميه'!$F:$F,$H:$H,'حركه المخزن الرئيسي اليوميه'!$I:$I)</f>
        <v>0.0</v>
      </c>
      <c r="N255" s="22">
        <f t="shared" si="14"/>
        <v>0.0</v>
      </c>
      <c r="O255" s="22">
        <f t="shared" si="15"/>
        <v>0.0</v>
      </c>
      <c r="P255" s="22">
        <f t="shared" si="16"/>
        <v>0.0</v>
      </c>
      <c r="Q255" s="57"/>
      <c r="R255" s="58"/>
    </row>
    <row r="256" spans="8:8">
      <c r="B256" s="8">
        <v>247.0</v>
      </c>
      <c r="C256" s="8" t="s">
        <v>764</v>
      </c>
      <c r="D256" s="8" t="s">
        <v>713</v>
      </c>
      <c r="E256" s="8" t="s">
        <v>770</v>
      </c>
      <c r="F256" s="8" t="s">
        <v>68</v>
      </c>
      <c r="G256" s="8" t="s">
        <v>1762</v>
      </c>
      <c r="H256" s="8" t="s">
        <v>775</v>
      </c>
      <c r="I256" s="55"/>
      <c r="J256" s="60" t="s">
        <v>7142</v>
      </c>
      <c r="K256" s="22">
        <v>0.0</v>
      </c>
      <c r="L256" s="22">
        <f>+SUMIF('حركه المخزن الرئيسي اليوميه'!$F:$F,$H:$H,'حركه المخزن الرئيسي اليوميه'!$H:$H)</f>
        <v>0.0</v>
      </c>
      <c r="M256" s="22">
        <f>+SUMIF('حركه المخزن الرئيسي اليوميه'!$F:$F,$H:$H,'حركه المخزن الرئيسي اليوميه'!$I:$I)</f>
        <v>0.0</v>
      </c>
      <c r="N256" s="22">
        <f t="shared" si="14"/>
        <v>0.0</v>
      </c>
      <c r="O256" s="22">
        <f t="shared" si="15"/>
        <v>0.0</v>
      </c>
      <c r="P256" s="22">
        <f t="shared" si="16"/>
        <v>0.0</v>
      </c>
      <c r="Q256" s="57"/>
      <c r="R256" s="58"/>
    </row>
    <row r="257" spans="8:8">
      <c r="B257" s="8">
        <v>248.0</v>
      </c>
      <c r="C257" s="8" t="s">
        <v>764</v>
      </c>
      <c r="D257" s="8" t="s">
        <v>713</v>
      </c>
      <c r="E257" s="8" t="s">
        <v>770</v>
      </c>
      <c r="F257" s="8" t="s">
        <v>68</v>
      </c>
      <c r="G257" s="8" t="s">
        <v>1762</v>
      </c>
      <c r="H257" s="8" t="s">
        <v>711</v>
      </c>
      <c r="I257" s="55"/>
      <c r="J257" s="60" t="s">
        <v>7143</v>
      </c>
      <c r="K257" s="22">
        <v>0.0</v>
      </c>
      <c r="L257" s="22">
        <f>+SUMIF('حركه المخزن الرئيسي اليوميه'!$F:$F,$H:$H,'حركه المخزن الرئيسي اليوميه'!$H:$H)</f>
        <v>0.0</v>
      </c>
      <c r="M257" s="22">
        <f>+SUMIF('حركه المخزن الرئيسي اليوميه'!$F:$F,$H:$H,'حركه المخزن الرئيسي اليوميه'!$I:$I)</f>
        <v>0.0</v>
      </c>
      <c r="N257" s="22">
        <f t="shared" si="14"/>
        <v>0.0</v>
      </c>
      <c r="O257" s="22">
        <f t="shared" si="15"/>
        <v>0.0</v>
      </c>
      <c r="P257" s="22">
        <f t="shared" si="16"/>
        <v>0.0</v>
      </c>
      <c r="Q257" s="57"/>
      <c r="R257" s="58"/>
    </row>
    <row r="258" spans="8:8">
      <c r="B258" s="8">
        <v>249.0</v>
      </c>
      <c r="C258" s="8" t="s">
        <v>764</v>
      </c>
      <c r="D258" s="8" t="s">
        <v>713</v>
      </c>
      <c r="E258" s="8" t="s">
        <v>770</v>
      </c>
      <c r="F258" s="8" t="s">
        <v>68</v>
      </c>
      <c r="G258" s="8" t="s">
        <v>1762</v>
      </c>
      <c r="H258" s="8" t="s">
        <v>710</v>
      </c>
      <c r="I258" s="55"/>
      <c r="J258" s="60" t="s">
        <v>7144</v>
      </c>
      <c r="K258" s="22">
        <v>0.0</v>
      </c>
      <c r="L258" s="22">
        <f>+SUMIF('حركه المخزن الرئيسي اليوميه'!$F:$F,$H:$H,'حركه المخزن الرئيسي اليوميه'!$H:$H)</f>
        <v>0.0</v>
      </c>
      <c r="M258" s="22">
        <f>+SUMIF('حركه المخزن الرئيسي اليوميه'!$F:$F,$H:$H,'حركه المخزن الرئيسي اليوميه'!$I:$I)</f>
        <v>0.0</v>
      </c>
      <c r="N258" s="22">
        <f t="shared" si="14"/>
        <v>0.0</v>
      </c>
      <c r="O258" s="22">
        <f t="shared" si="15"/>
        <v>0.0</v>
      </c>
      <c r="P258" s="22">
        <f t="shared" si="16"/>
        <v>0.0</v>
      </c>
      <c r="Q258" s="57"/>
      <c r="R258" s="58"/>
    </row>
    <row r="259" spans="8:8">
      <c r="B259" s="8">
        <v>250.0</v>
      </c>
      <c r="C259" s="8" t="s">
        <v>764</v>
      </c>
      <c r="D259" s="8" t="s">
        <v>713</v>
      </c>
      <c r="E259" s="8" t="s">
        <v>770</v>
      </c>
      <c r="F259" s="8" t="s">
        <v>68</v>
      </c>
      <c r="G259" s="8" t="s">
        <v>1762</v>
      </c>
      <c r="H259" s="8" t="s">
        <v>773</v>
      </c>
      <c r="I259" s="55"/>
      <c r="J259" s="60" t="s">
        <v>7145</v>
      </c>
      <c r="K259" s="22">
        <v>0.0</v>
      </c>
      <c r="L259" s="22">
        <f>+SUMIF('حركه المخزن الرئيسي اليوميه'!$F:$F,$H:$H,'حركه المخزن الرئيسي اليوميه'!$H:$H)</f>
        <v>0.0</v>
      </c>
      <c r="M259" s="22">
        <f>+SUMIF('حركه المخزن الرئيسي اليوميه'!$F:$F,$H:$H,'حركه المخزن الرئيسي اليوميه'!$I:$I)</f>
        <v>0.0</v>
      </c>
      <c r="N259" s="22">
        <f t="shared" si="14"/>
        <v>0.0</v>
      </c>
      <c r="O259" s="22">
        <f t="shared" si="15"/>
        <v>0.0</v>
      </c>
      <c r="P259" s="22">
        <f t="shared" si="16"/>
        <v>0.0</v>
      </c>
      <c r="Q259" s="57"/>
      <c r="R259" s="58"/>
    </row>
    <row r="260" spans="8:8">
      <c r="B260" s="8">
        <v>251.0</v>
      </c>
      <c r="C260" s="8" t="s">
        <v>764</v>
      </c>
      <c r="D260" s="8" t="s">
        <v>713</v>
      </c>
      <c r="E260" s="8" t="s">
        <v>770</v>
      </c>
      <c r="F260" s="8" t="s">
        <v>68</v>
      </c>
      <c r="G260" s="8" t="s">
        <v>1762</v>
      </c>
      <c r="H260" s="8" t="s">
        <v>774</v>
      </c>
      <c r="I260" s="55"/>
      <c r="J260" s="60" t="s">
        <v>7146</v>
      </c>
      <c r="K260" s="22">
        <v>0.0</v>
      </c>
      <c r="L260" s="22">
        <f>+SUMIF('حركه المخزن الرئيسي اليوميه'!$F:$F,$H:$H,'حركه المخزن الرئيسي اليوميه'!$H:$H)</f>
        <v>0.0</v>
      </c>
      <c r="M260" s="22">
        <f>+SUMIF('حركه المخزن الرئيسي اليوميه'!$F:$F,$H:$H,'حركه المخزن الرئيسي اليوميه'!$I:$I)</f>
        <v>0.0</v>
      </c>
      <c r="N260" s="22">
        <f t="shared" si="14"/>
        <v>0.0</v>
      </c>
      <c r="O260" s="22">
        <f t="shared" si="15"/>
        <v>0.0</v>
      </c>
      <c r="P260" s="22">
        <f t="shared" si="16"/>
        <v>0.0</v>
      </c>
      <c r="Q260" s="57"/>
      <c r="R260" s="58"/>
    </row>
    <row r="261" spans="8:8">
      <c r="B261" s="8">
        <v>252.0</v>
      </c>
      <c r="C261" s="8" t="s">
        <v>764</v>
      </c>
      <c r="D261" s="8" t="s">
        <v>713</v>
      </c>
      <c r="E261" s="8" t="s">
        <v>770</v>
      </c>
      <c r="F261" s="8" t="s">
        <v>68</v>
      </c>
      <c r="G261" s="8" t="s">
        <v>1762</v>
      </c>
      <c r="H261" s="8" t="s">
        <v>709</v>
      </c>
      <c r="I261" s="55"/>
      <c r="J261" s="60" t="s">
        <v>7147</v>
      </c>
      <c r="K261" s="22">
        <v>0.0</v>
      </c>
      <c r="L261" s="22">
        <f>+SUMIF('حركه المخزن الرئيسي اليوميه'!$F:$F,$H:$H,'حركه المخزن الرئيسي اليوميه'!$H:$H)</f>
        <v>0.0</v>
      </c>
      <c r="M261" s="22">
        <f>+SUMIF('حركه المخزن الرئيسي اليوميه'!$F:$F,$H:$H,'حركه المخزن الرئيسي اليوميه'!$I:$I)</f>
        <v>0.0</v>
      </c>
      <c r="N261" s="22">
        <f t="shared" si="14"/>
        <v>0.0</v>
      </c>
      <c r="O261" s="22">
        <f t="shared" si="15"/>
        <v>0.0</v>
      </c>
      <c r="P261" s="22">
        <f t="shared" si="16"/>
        <v>0.0</v>
      </c>
      <c r="Q261" s="57"/>
      <c r="R261" s="58"/>
    </row>
    <row r="262" spans="8:8">
      <c r="B262" s="8">
        <v>253.0</v>
      </c>
      <c r="C262" s="8" t="s">
        <v>764</v>
      </c>
      <c r="D262" s="8" t="s">
        <v>713</v>
      </c>
      <c r="E262" s="8" t="s">
        <v>770</v>
      </c>
      <c r="F262" s="8" t="s">
        <v>68</v>
      </c>
      <c r="G262" s="8" t="s">
        <v>1762</v>
      </c>
      <c r="H262" s="8" t="s">
        <v>705</v>
      </c>
      <c r="I262" s="55"/>
      <c r="J262" s="60" t="s">
        <v>7148</v>
      </c>
      <c r="K262" s="22">
        <v>0.0</v>
      </c>
      <c r="L262" s="22">
        <f>+SUMIF('حركه المخزن الرئيسي اليوميه'!$F:$F,$H:$H,'حركه المخزن الرئيسي اليوميه'!$H:$H)</f>
        <v>0.0</v>
      </c>
      <c r="M262" s="22">
        <f>+SUMIF('حركه المخزن الرئيسي اليوميه'!$F:$F,$H:$H,'حركه المخزن الرئيسي اليوميه'!$I:$I)</f>
        <v>0.0</v>
      </c>
      <c r="N262" s="22">
        <f t="shared" si="14"/>
        <v>0.0</v>
      </c>
      <c r="O262" s="22">
        <f t="shared" si="15"/>
        <v>0.0</v>
      </c>
      <c r="P262" s="22">
        <f t="shared" si="16"/>
        <v>0.0</v>
      </c>
      <c r="Q262" s="57"/>
      <c r="R262" s="58"/>
    </row>
    <row r="263" spans="8:8">
      <c r="B263" s="8">
        <v>254.0</v>
      </c>
      <c r="C263" s="8" t="s">
        <v>764</v>
      </c>
      <c r="D263" s="8" t="s">
        <v>713</v>
      </c>
      <c r="E263" s="8" t="s">
        <v>770</v>
      </c>
      <c r="F263" s="8" t="s">
        <v>68</v>
      </c>
      <c r="G263" s="8" t="s">
        <v>1762</v>
      </c>
      <c r="H263" s="8" t="s">
        <v>680</v>
      </c>
      <c r="I263" s="55"/>
      <c r="J263" s="60" t="s">
        <v>7149</v>
      </c>
      <c r="K263" s="22">
        <v>0.0</v>
      </c>
      <c r="L263" s="22">
        <f>+SUMIF('حركه المخزن الرئيسي اليوميه'!$F:$F,$H:$H,'حركه المخزن الرئيسي اليوميه'!$H:$H)</f>
        <v>0.0</v>
      </c>
      <c r="M263" s="22">
        <f>+SUMIF('حركه المخزن الرئيسي اليوميه'!$F:$F,$H:$H,'حركه المخزن الرئيسي اليوميه'!$I:$I)</f>
        <v>0.0</v>
      </c>
      <c r="N263" s="22">
        <f t="shared" si="14"/>
        <v>0.0</v>
      </c>
      <c r="O263" s="22">
        <f t="shared" si="15"/>
        <v>0.0</v>
      </c>
      <c r="P263" s="22">
        <f t="shared" si="16"/>
        <v>0.0</v>
      </c>
      <c r="Q263" s="57"/>
      <c r="R263" s="58"/>
    </row>
    <row r="264" spans="8:8">
      <c r="B264" s="8">
        <v>255.0</v>
      </c>
      <c r="C264" s="8" t="s">
        <v>764</v>
      </c>
      <c r="D264" s="8" t="s">
        <v>713</v>
      </c>
      <c r="E264" s="8" t="s">
        <v>770</v>
      </c>
      <c r="F264" s="8" t="s">
        <v>68</v>
      </c>
      <c r="G264" s="8" t="s">
        <v>1762</v>
      </c>
      <c r="H264" s="8" t="s">
        <v>707</v>
      </c>
      <c r="I264" s="55"/>
      <c r="J264" s="60" t="s">
        <v>7150</v>
      </c>
      <c r="K264" s="22">
        <v>0.0</v>
      </c>
      <c r="L264" s="22">
        <f>+SUMIF('حركه المخزن الرئيسي اليوميه'!$F:$F,$H:$H,'حركه المخزن الرئيسي اليوميه'!$H:$H)</f>
        <v>0.0</v>
      </c>
      <c r="M264" s="22">
        <f>+SUMIF('حركه المخزن الرئيسي اليوميه'!$F:$F,$H:$H,'حركه المخزن الرئيسي اليوميه'!$I:$I)</f>
        <v>0.0</v>
      </c>
      <c r="N264" s="22">
        <f t="shared" si="14"/>
        <v>0.0</v>
      </c>
      <c r="O264" s="22">
        <f t="shared" si="15"/>
        <v>0.0</v>
      </c>
      <c r="P264" s="22">
        <f t="shared" si="16"/>
        <v>0.0</v>
      </c>
      <c r="Q264" s="57"/>
      <c r="R264" s="58"/>
    </row>
    <row r="265" spans="8:8">
      <c r="B265" s="8">
        <v>256.0</v>
      </c>
      <c r="C265" s="8" t="s">
        <v>764</v>
      </c>
      <c r="D265" s="8" t="s">
        <v>713</v>
      </c>
      <c r="E265" s="8" t="s">
        <v>770</v>
      </c>
      <c r="F265" s="8" t="s">
        <v>68</v>
      </c>
      <c r="G265" s="8" t="s">
        <v>1762</v>
      </c>
      <c r="H265" s="8" t="s">
        <v>704</v>
      </c>
      <c r="I265" s="55"/>
      <c r="J265" s="60" t="s">
        <v>7151</v>
      </c>
      <c r="K265" s="22">
        <v>0.0</v>
      </c>
      <c r="L265" s="22">
        <f>+SUMIF('حركه المخزن الرئيسي اليوميه'!$F:$F,$H:$H,'حركه المخزن الرئيسي اليوميه'!$H:$H)</f>
        <v>0.0</v>
      </c>
      <c r="M265" s="22">
        <f>+SUMIF('حركه المخزن الرئيسي اليوميه'!$F:$F,$H:$H,'حركه المخزن الرئيسي اليوميه'!$I:$I)</f>
        <v>0.0</v>
      </c>
      <c r="N265" s="22">
        <f t="shared" si="14"/>
        <v>0.0</v>
      </c>
      <c r="O265" s="22">
        <f t="shared" si="15"/>
        <v>0.0</v>
      </c>
      <c r="P265" s="22">
        <f t="shared" si="16"/>
        <v>0.0</v>
      </c>
      <c r="Q265" s="57"/>
      <c r="R265" s="58"/>
    </row>
    <row r="266" spans="8:8">
      <c r="B266" s="8">
        <v>257.0</v>
      </c>
      <c r="C266" s="8" t="s">
        <v>764</v>
      </c>
      <c r="D266" s="8" t="s">
        <v>713</v>
      </c>
      <c r="E266" s="8" t="s">
        <v>770</v>
      </c>
      <c r="F266" s="8" t="s">
        <v>68</v>
      </c>
      <c r="G266" s="8" t="s">
        <v>1762</v>
      </c>
      <c r="H266" s="8" t="s">
        <v>708</v>
      </c>
      <c r="I266" s="55"/>
      <c r="J266" s="60" t="s">
        <v>7152</v>
      </c>
      <c r="K266" s="22">
        <v>0.0</v>
      </c>
      <c r="L266" s="22">
        <f>+SUMIF('حركه المخزن الرئيسي اليوميه'!$F:$F,$H:$H,'حركه المخزن الرئيسي اليوميه'!$H:$H)</f>
        <v>0.0</v>
      </c>
      <c r="M266" s="22">
        <f>+SUMIF('حركه المخزن الرئيسي اليوميه'!$F:$F,$H:$H,'حركه المخزن الرئيسي اليوميه'!$I:$I)</f>
        <v>0.0</v>
      </c>
      <c r="N266" s="22">
        <f t="shared" si="14"/>
        <v>0.0</v>
      </c>
      <c r="O266" s="22">
        <f t="shared" si="15"/>
        <v>0.0</v>
      </c>
      <c r="P266" s="22">
        <f t="shared" si="16"/>
        <v>0.0</v>
      </c>
      <c r="Q266" s="57"/>
      <c r="R266" s="58"/>
    </row>
    <row r="267" spans="8:8">
      <c r="B267" s="8">
        <v>258.0</v>
      </c>
      <c r="C267" s="8" t="s">
        <v>764</v>
      </c>
      <c r="D267" s="8" t="s">
        <v>713</v>
      </c>
      <c r="E267" s="8" t="s">
        <v>770</v>
      </c>
      <c r="F267" s="8" t="s">
        <v>68</v>
      </c>
      <c r="G267" s="8" t="s">
        <v>1762</v>
      </c>
      <c r="H267" s="8" t="s">
        <v>703</v>
      </c>
      <c r="I267" s="55"/>
      <c r="J267" s="60" t="s">
        <v>7153</v>
      </c>
      <c r="K267" s="22">
        <v>0.0</v>
      </c>
      <c r="L267" s="22">
        <f>+SUMIF('حركه المخزن الرئيسي اليوميه'!$F:$F,$H:$H,'حركه المخزن الرئيسي اليوميه'!$H:$H)</f>
        <v>0.0</v>
      </c>
      <c r="M267" s="22">
        <f>+SUMIF('حركه المخزن الرئيسي اليوميه'!$F:$F,$H:$H,'حركه المخزن الرئيسي اليوميه'!$I:$I)</f>
        <v>0.0</v>
      </c>
      <c r="N267" s="22">
        <f t="shared" si="14"/>
        <v>0.0</v>
      </c>
      <c r="O267" s="22">
        <f t="shared" si="15"/>
        <v>0.0</v>
      </c>
      <c r="P267" s="22">
        <f t="shared" si="16"/>
        <v>0.0</v>
      </c>
      <c r="Q267" s="57"/>
      <c r="R267" s="58"/>
    </row>
    <row r="268" spans="8:8">
      <c r="B268" s="8">
        <v>259.0</v>
      </c>
      <c r="C268" s="8" t="s">
        <v>764</v>
      </c>
      <c r="D268" s="8" t="s">
        <v>713</v>
      </c>
      <c r="E268" s="8" t="s">
        <v>770</v>
      </c>
      <c r="F268" s="8" t="s">
        <v>68</v>
      </c>
      <c r="G268" s="8" t="s">
        <v>1762</v>
      </c>
      <c r="H268" s="8" t="s">
        <v>702</v>
      </c>
      <c r="I268" s="55"/>
      <c r="J268" s="60" t="s">
        <v>7154</v>
      </c>
      <c r="K268" s="22">
        <v>0.0</v>
      </c>
      <c r="L268" s="22">
        <f>+SUMIF('حركه المخزن الرئيسي اليوميه'!$F:$F,$H:$H,'حركه المخزن الرئيسي اليوميه'!$H:$H)</f>
        <v>0.0</v>
      </c>
      <c r="M268" s="22">
        <f>+SUMIF('حركه المخزن الرئيسي اليوميه'!$F:$F,$H:$H,'حركه المخزن الرئيسي اليوميه'!$I:$I)</f>
        <v>0.0</v>
      </c>
      <c r="N268" s="22">
        <f t="shared" si="14"/>
        <v>0.0</v>
      </c>
      <c r="O268" s="22">
        <f t="shared" si="15"/>
        <v>0.0</v>
      </c>
      <c r="P268" s="22">
        <f t="shared" si="16"/>
        <v>0.0</v>
      </c>
      <c r="Q268" s="57"/>
      <c r="R268" s="58"/>
    </row>
    <row r="269" spans="8:8">
      <c r="B269" s="8">
        <v>260.0</v>
      </c>
      <c r="C269" s="8" t="s">
        <v>764</v>
      </c>
      <c r="D269" s="8" t="s">
        <v>713</v>
      </c>
      <c r="E269" s="8" t="s">
        <v>770</v>
      </c>
      <c r="F269" s="8" t="s">
        <v>68</v>
      </c>
      <c r="G269" s="8" t="s">
        <v>1762</v>
      </c>
      <c r="H269" s="8" t="s">
        <v>706</v>
      </c>
      <c r="I269" s="55"/>
      <c r="J269" s="60" t="s">
        <v>7155</v>
      </c>
      <c r="K269" s="22">
        <v>0.0</v>
      </c>
      <c r="L269" s="22">
        <f>+SUMIF('حركه المخزن الرئيسي اليوميه'!$F:$F,$H:$H,'حركه المخزن الرئيسي اليوميه'!$H:$H)</f>
        <v>0.0</v>
      </c>
      <c r="M269" s="22">
        <f>+SUMIF('حركه المخزن الرئيسي اليوميه'!$F:$F,$H:$H,'حركه المخزن الرئيسي اليوميه'!$I:$I)</f>
        <v>0.0</v>
      </c>
      <c r="N269" s="22">
        <f t="shared" si="14"/>
        <v>0.0</v>
      </c>
      <c r="O269" s="22">
        <f t="shared" si="15"/>
        <v>0.0</v>
      </c>
      <c r="P269" s="22">
        <f t="shared" si="16"/>
        <v>0.0</v>
      </c>
      <c r="Q269" s="57"/>
      <c r="R269" s="58"/>
    </row>
    <row r="270" spans="8:8">
      <c r="B270" s="8">
        <v>261.0</v>
      </c>
      <c r="C270" s="8" t="s">
        <v>764</v>
      </c>
      <c r="D270" s="8" t="s">
        <v>713</v>
      </c>
      <c r="E270" s="8" t="s">
        <v>770</v>
      </c>
      <c r="F270" s="8" t="s">
        <v>68</v>
      </c>
      <c r="G270" s="8" t="s">
        <v>1762</v>
      </c>
      <c r="H270" s="8" t="s">
        <v>679</v>
      </c>
      <c r="I270" s="55"/>
      <c r="J270" s="60" t="s">
        <v>7156</v>
      </c>
      <c r="K270" s="22">
        <v>0.0</v>
      </c>
      <c r="L270" s="22">
        <f>+SUMIF('حركه المخزن الرئيسي اليوميه'!$F:$F,$H:$H,'حركه المخزن الرئيسي اليوميه'!$H:$H)</f>
        <v>0.0</v>
      </c>
      <c r="M270" s="22">
        <f>+SUMIF('حركه المخزن الرئيسي اليوميه'!$F:$F,$H:$H,'حركه المخزن الرئيسي اليوميه'!$I:$I)</f>
        <v>0.0</v>
      </c>
      <c r="N270" s="22">
        <f t="shared" si="14"/>
        <v>0.0</v>
      </c>
      <c r="O270" s="22">
        <f t="shared" si="15"/>
        <v>0.0</v>
      </c>
      <c r="P270" s="22">
        <f t="shared" si="16"/>
        <v>0.0</v>
      </c>
      <c r="Q270" s="57"/>
      <c r="R270" s="58"/>
    </row>
    <row r="271" spans="8:8">
      <c r="B271" s="8">
        <v>262.0</v>
      </c>
      <c r="C271" s="8" t="s">
        <v>764</v>
      </c>
      <c r="D271" s="8" t="s">
        <v>713</v>
      </c>
      <c r="E271" s="8" t="s">
        <v>770</v>
      </c>
      <c r="F271" s="8" t="s">
        <v>68</v>
      </c>
      <c r="G271" s="8" t="s">
        <v>1762</v>
      </c>
      <c r="H271" s="8" t="s">
        <v>776</v>
      </c>
      <c r="I271" s="55"/>
      <c r="J271" s="60" t="s">
        <v>7157</v>
      </c>
      <c r="K271" s="22">
        <v>0.0</v>
      </c>
      <c r="L271" s="22">
        <f>+SUMIF('حركه المخزن الرئيسي اليوميه'!$F:$F,$H:$H,'حركه المخزن الرئيسي اليوميه'!$H:$H)</f>
        <v>0.0</v>
      </c>
      <c r="M271" s="22">
        <f>+SUMIF('حركه المخزن الرئيسي اليوميه'!$F:$F,$H:$H,'حركه المخزن الرئيسي اليوميه'!$I:$I)</f>
        <v>0.0</v>
      </c>
      <c r="N271" s="22">
        <f t="shared" si="14"/>
        <v>0.0</v>
      </c>
      <c r="O271" s="22">
        <f t="shared" si="15"/>
        <v>0.0</v>
      </c>
      <c r="P271" s="22">
        <f t="shared" si="16"/>
        <v>0.0</v>
      </c>
      <c r="Q271" s="57"/>
      <c r="R271" s="58"/>
    </row>
    <row r="272" spans="8:8">
      <c r="B272" s="8">
        <v>263.0</v>
      </c>
      <c r="C272" s="8" t="s">
        <v>828</v>
      </c>
      <c r="D272" s="8" t="s">
        <v>820</v>
      </c>
      <c r="E272" s="8" t="s">
        <v>1414</v>
      </c>
      <c r="F272" s="8" t="s">
        <v>68</v>
      </c>
      <c r="G272" s="8" t="s">
        <v>1785</v>
      </c>
      <c r="H272" s="8" t="s">
        <v>1414</v>
      </c>
      <c r="I272" s="55"/>
      <c r="J272" s="60" t="s">
        <v>7158</v>
      </c>
      <c r="K272" s="22">
        <v>0.0</v>
      </c>
      <c r="L272" s="22">
        <f>+SUMIF('حركه المخزن الرئيسي اليوميه'!$F:$F,$H:$H,'حركه المخزن الرئيسي اليوميه'!$H:$H)</f>
        <v>0.0</v>
      </c>
      <c r="M272" s="22">
        <f>+SUMIF('حركه المخزن الرئيسي اليوميه'!$F:$F,$H:$H,'حركه المخزن الرئيسي اليوميه'!$I:$I)</f>
        <v>0.0</v>
      </c>
      <c r="N272" s="22">
        <f t="shared" si="14"/>
        <v>0.0</v>
      </c>
      <c r="O272" s="22">
        <f t="shared" si="15"/>
        <v>0.0</v>
      </c>
      <c r="P272" s="22">
        <f t="shared" si="16"/>
        <v>0.0</v>
      </c>
      <c r="Q272" s="57"/>
      <c r="R272" s="58"/>
    </row>
    <row r="273" spans="8:8">
      <c r="B273" s="8">
        <v>264.0</v>
      </c>
      <c r="C273" s="8" t="s">
        <v>828</v>
      </c>
      <c r="D273" s="8" t="s">
        <v>828</v>
      </c>
      <c r="E273" s="8" t="s">
        <v>1531</v>
      </c>
      <c r="F273" s="8" t="s">
        <v>1501</v>
      </c>
      <c r="G273" s="8" t="s">
        <v>1786</v>
      </c>
      <c r="H273" s="8" t="s">
        <v>1531</v>
      </c>
      <c r="I273" s="55"/>
      <c r="J273" s="60" t="s">
        <v>7159</v>
      </c>
      <c r="K273" s="22">
        <v>0.0</v>
      </c>
      <c r="L273" s="22">
        <f>+SUMIF('حركه المخزن الرئيسي اليوميه'!$F:$F,$H:$H,'حركه المخزن الرئيسي اليوميه'!$H:$H)</f>
        <v>0.0</v>
      </c>
      <c r="M273" s="22">
        <f>+SUMIF('حركه المخزن الرئيسي اليوميه'!$F:$F,$H:$H,'حركه المخزن الرئيسي اليوميه'!$I:$I)</f>
        <v>0.0</v>
      </c>
      <c r="N273" s="22">
        <f t="shared" si="14"/>
        <v>0.0</v>
      </c>
      <c r="O273" s="22">
        <f t="shared" si="15"/>
        <v>0.0</v>
      </c>
      <c r="P273" s="22">
        <f t="shared" si="16"/>
        <v>0.0</v>
      </c>
      <c r="Q273" s="57"/>
      <c r="R273" s="58"/>
    </row>
    <row r="274" spans="8:8">
      <c r="B274" s="8">
        <v>265.0</v>
      </c>
      <c r="C274" s="8" t="s">
        <v>828</v>
      </c>
      <c r="D274" s="8" t="s">
        <v>828</v>
      </c>
      <c r="E274" s="8" t="s">
        <v>1533</v>
      </c>
      <c r="F274" s="8" t="s">
        <v>1501</v>
      </c>
      <c r="G274" s="8" t="s">
        <v>1788</v>
      </c>
      <c r="H274" s="8" t="s">
        <v>1533</v>
      </c>
      <c r="I274" s="55"/>
      <c r="J274" s="60" t="s">
        <v>7160</v>
      </c>
      <c r="K274" s="22">
        <v>0.0</v>
      </c>
      <c r="L274" s="22">
        <f>+SUMIF('حركه المخزن الرئيسي اليوميه'!$F:$F,$H:$H,'حركه المخزن الرئيسي اليوميه'!$H:$H)</f>
        <v>0.0</v>
      </c>
      <c r="M274" s="22">
        <f>+SUMIF('حركه المخزن الرئيسي اليوميه'!$F:$F,$H:$H,'حركه المخزن الرئيسي اليوميه'!$I:$I)</f>
        <v>0.0</v>
      </c>
      <c r="N274" s="22">
        <f t="shared" si="14"/>
        <v>0.0</v>
      </c>
      <c r="O274" s="22">
        <f t="shared" si="15"/>
        <v>0.0</v>
      </c>
      <c r="P274" s="22"/>
      <c r="Q274" s="57"/>
      <c r="R274" s="58"/>
    </row>
    <row r="275" spans="8:8">
      <c r="B275" s="8">
        <v>266.0</v>
      </c>
      <c r="C275" s="8" t="s">
        <v>764</v>
      </c>
      <c r="D275" s="8" t="s">
        <v>828</v>
      </c>
      <c r="E275" s="8" t="s">
        <v>554</v>
      </c>
      <c r="F275" s="8" t="s">
        <v>68</v>
      </c>
      <c r="G275" s="8" t="s">
        <v>1757</v>
      </c>
      <c r="H275" s="8" t="s">
        <v>554</v>
      </c>
      <c r="I275" s="55"/>
      <c r="J275" s="60" t="s">
        <v>7161</v>
      </c>
      <c r="K275" s="22">
        <v>0.0</v>
      </c>
      <c r="L275" s="22">
        <f>+SUMIF('حركه المخزن الرئيسي اليوميه'!$F:$F,$H:$H,'حركه المخزن الرئيسي اليوميه'!$H:$H)</f>
        <v>0.0</v>
      </c>
      <c r="M275" s="22">
        <f>+SUMIF('حركه المخزن الرئيسي اليوميه'!$F:$F,$H:$H,'حركه المخزن الرئيسي اليوميه'!$I:$I)</f>
        <v>0.0</v>
      </c>
      <c r="N275" s="22">
        <f t="shared" si="14"/>
        <v>0.0</v>
      </c>
      <c r="O275" s="22">
        <f t="shared" si="15"/>
        <v>0.0</v>
      </c>
      <c r="P275" s="22">
        <f t="shared" si="17" ref="P275:P305">+N275-O275</f>
        <v>0.0</v>
      </c>
      <c r="Q275" s="57"/>
      <c r="R275" s="58"/>
    </row>
    <row r="276" spans="8:8">
      <c r="B276" s="8">
        <v>267.0</v>
      </c>
      <c r="C276" s="8" t="s">
        <v>764</v>
      </c>
      <c r="D276" s="8" t="s">
        <v>828</v>
      </c>
      <c r="E276" s="8" t="s">
        <v>1440</v>
      </c>
      <c r="F276" s="8" t="s">
        <v>68</v>
      </c>
      <c r="G276" s="8" t="s">
        <v>1723</v>
      </c>
      <c r="H276" s="8" t="s">
        <v>1440</v>
      </c>
      <c r="I276" s="55" t="s">
        <v>70</v>
      </c>
      <c r="J276" s="60" t="s">
        <v>7162</v>
      </c>
      <c r="K276" s="22">
        <v>0.0</v>
      </c>
      <c r="L276" s="22">
        <f>+SUMIF('حركه المخزن الرئيسي اليوميه'!$F:$F,$H:$H,'حركه المخزن الرئيسي اليوميه'!$H:$H)</f>
        <v>0.0</v>
      </c>
      <c r="M276" s="22">
        <f>+SUMIF('حركه المخزن الرئيسي اليوميه'!$F:$F,$H:$H,'حركه المخزن الرئيسي اليوميه'!$I:$I)</f>
        <v>0.0</v>
      </c>
      <c r="N276" s="22">
        <f t="shared" si="14"/>
        <v>0.0</v>
      </c>
      <c r="O276" s="22">
        <f t="shared" si="15"/>
        <v>0.0</v>
      </c>
      <c r="P276" s="22">
        <f t="shared" si="17"/>
        <v>0.0</v>
      </c>
      <c r="Q276" s="57"/>
      <c r="R276" s="58"/>
    </row>
    <row r="277" spans="8:8">
      <c r="B277" s="8">
        <v>268.0</v>
      </c>
      <c r="C277" s="8" t="s">
        <v>828</v>
      </c>
      <c r="D277" s="8" t="s">
        <v>828</v>
      </c>
      <c r="E277" s="8" t="s">
        <v>1526</v>
      </c>
      <c r="F277" s="8" t="s">
        <v>1501</v>
      </c>
      <c r="G277" s="8" t="s">
        <v>1576</v>
      </c>
      <c r="H277" s="8" t="s">
        <v>1526</v>
      </c>
      <c r="I277" s="55" t="s">
        <v>70</v>
      </c>
      <c r="J277" s="60" t="s">
        <v>7163</v>
      </c>
      <c r="K277" s="22">
        <v>0.0</v>
      </c>
      <c r="L277" s="22">
        <f>+SUMIF('حركه المخزن الرئيسي اليوميه'!$F:$F,$H:$H,'حركه المخزن الرئيسي اليوميه'!$H:$H)</f>
        <v>0.0</v>
      </c>
      <c r="M277" s="22">
        <f>+SUMIF('حركه المخزن الرئيسي اليوميه'!$F:$F,$H:$H,'حركه المخزن الرئيسي اليوميه'!$I:$I)</f>
        <v>0.0</v>
      </c>
      <c r="N277" s="22">
        <f t="shared" si="14"/>
        <v>0.0</v>
      </c>
      <c r="O277" s="22">
        <f t="shared" si="15"/>
        <v>0.0</v>
      </c>
      <c r="P277" s="22">
        <f t="shared" si="17"/>
        <v>0.0</v>
      </c>
      <c r="Q277" s="57"/>
      <c r="R277" s="58"/>
    </row>
    <row r="278" spans="8:8">
      <c r="B278" s="8">
        <v>269.0</v>
      </c>
      <c r="C278" s="8" t="s">
        <v>764</v>
      </c>
      <c r="D278" s="8" t="s">
        <v>828</v>
      </c>
      <c r="E278" s="8" t="s">
        <v>509</v>
      </c>
      <c r="F278" s="8" t="s">
        <v>68</v>
      </c>
      <c r="G278" s="8" t="s">
        <v>1576</v>
      </c>
      <c r="H278" s="8" t="s">
        <v>509</v>
      </c>
      <c r="I278" s="8" t="s">
        <v>224</v>
      </c>
      <c r="J278" s="60" t="s">
        <v>7164</v>
      </c>
      <c r="K278" s="22">
        <v>1.0</v>
      </c>
      <c r="L278" s="22">
        <f>+SUMIF('حركه المخزن الرئيسي اليوميه'!$F:$F,$H:$H,'حركه المخزن الرئيسي اليوميه'!$H:$H)</f>
        <v>0.0</v>
      </c>
      <c r="M278" s="22">
        <f>+SUMIF('حركه المخزن الرئيسي اليوميه'!$F:$F,$H:$H,'حركه المخزن الرئيسي اليوميه'!$I:$I)</f>
        <v>0.0</v>
      </c>
      <c r="N278" s="22">
        <f t="shared" si="14"/>
        <v>1.0</v>
      </c>
      <c r="O278" s="22">
        <f t="shared" si="15"/>
        <v>1.0</v>
      </c>
      <c r="P278" s="22">
        <f t="shared" si="17"/>
        <v>0.0</v>
      </c>
      <c r="Q278" s="57"/>
      <c r="R278" s="58"/>
    </row>
    <row r="279" spans="8:8">
      <c r="B279" s="8">
        <v>270.0</v>
      </c>
      <c r="C279" s="8" t="s">
        <v>764</v>
      </c>
      <c r="D279" s="8" t="s">
        <v>713</v>
      </c>
      <c r="E279" s="8" t="s">
        <v>671</v>
      </c>
      <c r="F279" s="8" t="s">
        <v>68</v>
      </c>
      <c r="G279" s="8" t="s">
        <v>2385</v>
      </c>
      <c r="H279" s="8" t="s">
        <v>2040</v>
      </c>
      <c r="I279" s="55"/>
      <c r="J279" s="60" t="s">
        <v>7165</v>
      </c>
      <c r="K279" s="22">
        <v>0.0</v>
      </c>
      <c r="L279" s="22">
        <f>+SUMIF('حركه المخزن الرئيسي اليوميه'!$F:$F,$H:$H,'حركه المخزن الرئيسي اليوميه'!$H:$H)</f>
        <v>0.0</v>
      </c>
      <c r="M279" s="22">
        <f>+SUMIF('حركه المخزن الرئيسي اليوميه'!$F:$F,$H:$H,'حركه المخزن الرئيسي اليوميه'!$I:$I)</f>
        <v>0.0</v>
      </c>
      <c r="N279" s="22">
        <f t="shared" si="14"/>
        <v>0.0</v>
      </c>
      <c r="O279" s="22">
        <f t="shared" si="15"/>
        <v>0.0</v>
      </c>
      <c r="P279" s="22">
        <f t="shared" si="17"/>
        <v>0.0</v>
      </c>
      <c r="Q279" s="57"/>
      <c r="R279" s="58"/>
    </row>
    <row r="280" spans="8:8">
      <c r="B280" s="8">
        <v>271.0</v>
      </c>
      <c r="C280" s="8" t="s">
        <v>764</v>
      </c>
      <c r="D280" s="8" t="s">
        <v>713</v>
      </c>
      <c r="E280" s="8" t="s">
        <v>677</v>
      </c>
      <c r="F280" s="8" t="s">
        <v>68</v>
      </c>
      <c r="G280" s="8" t="s">
        <v>2388</v>
      </c>
      <c r="H280" s="8" t="s">
        <v>677</v>
      </c>
      <c r="I280" s="55"/>
      <c r="J280" s="60" t="s">
        <v>7166</v>
      </c>
      <c r="K280" s="22">
        <v>0.0</v>
      </c>
      <c r="L280" s="22">
        <f>+SUMIF('حركه المخزن الرئيسي اليوميه'!$F:$F,$H:$H,'حركه المخزن الرئيسي اليوميه'!$H:$H)</f>
        <v>0.0</v>
      </c>
      <c r="M280" s="22">
        <f>+SUMIF('حركه المخزن الرئيسي اليوميه'!$F:$F,$H:$H,'حركه المخزن الرئيسي اليوميه'!$I:$I)</f>
        <v>0.0</v>
      </c>
      <c r="N280" s="22">
        <f t="shared" si="14"/>
        <v>0.0</v>
      </c>
      <c r="O280" s="22">
        <f t="shared" si="15"/>
        <v>0.0</v>
      </c>
      <c r="P280" s="22">
        <f t="shared" si="17"/>
        <v>0.0</v>
      </c>
      <c r="Q280" s="57"/>
      <c r="R280" s="58"/>
    </row>
    <row r="281" spans="8:8">
      <c r="B281" s="8">
        <v>272.0</v>
      </c>
      <c r="C281" s="8" t="s">
        <v>764</v>
      </c>
      <c r="D281" s="8" t="s">
        <v>713</v>
      </c>
      <c r="E281" s="8" t="s">
        <v>672</v>
      </c>
      <c r="F281" s="8" t="s">
        <v>68</v>
      </c>
      <c r="G281" s="8" t="s">
        <v>2386</v>
      </c>
      <c r="H281" s="8" t="s">
        <v>672</v>
      </c>
      <c r="I281" s="55"/>
      <c r="J281" s="60" t="s">
        <v>7167</v>
      </c>
      <c r="K281" s="22">
        <v>0.0</v>
      </c>
      <c r="L281" s="22">
        <f>+SUMIF('حركه المخزن الرئيسي اليوميه'!$F:$F,$H:$H,'حركه المخزن الرئيسي اليوميه'!$H:$H)</f>
        <v>0.0</v>
      </c>
      <c r="M281" s="22">
        <f>+SUMIF('حركه المخزن الرئيسي اليوميه'!$F:$F,$H:$H,'حركه المخزن الرئيسي اليوميه'!$I:$I)</f>
        <v>0.0</v>
      </c>
      <c r="N281" s="22">
        <f t="shared" si="14"/>
        <v>0.0</v>
      </c>
      <c r="O281" s="22">
        <f t="shared" si="15"/>
        <v>0.0</v>
      </c>
      <c r="P281" s="22">
        <f t="shared" si="17"/>
        <v>0.0</v>
      </c>
      <c r="Q281" s="57"/>
      <c r="R281" s="58"/>
    </row>
    <row r="282" spans="8:8">
      <c r="B282" s="8">
        <v>273.0</v>
      </c>
      <c r="C282" s="8" t="s">
        <v>764</v>
      </c>
      <c r="D282" s="8" t="s">
        <v>713</v>
      </c>
      <c r="E282" s="8" t="s">
        <v>673</v>
      </c>
      <c r="F282" s="8" t="s">
        <v>68</v>
      </c>
      <c r="G282" s="8" t="s">
        <v>2387</v>
      </c>
      <c r="H282" s="8" t="s">
        <v>673</v>
      </c>
      <c r="I282" s="55"/>
      <c r="J282" s="60" t="s">
        <v>7168</v>
      </c>
      <c r="K282" s="22">
        <v>0.0</v>
      </c>
      <c r="L282" s="22">
        <f>+SUMIF('حركه المخزن الرئيسي اليوميه'!$F:$F,$H:$H,'حركه المخزن الرئيسي اليوميه'!$H:$H)</f>
        <v>0.0</v>
      </c>
      <c r="M282" s="22">
        <f>+SUMIF('حركه المخزن الرئيسي اليوميه'!$F:$F,$H:$H,'حركه المخزن الرئيسي اليوميه'!$I:$I)</f>
        <v>0.0</v>
      </c>
      <c r="N282" s="22">
        <f t="shared" si="14"/>
        <v>0.0</v>
      </c>
      <c r="O282" s="22">
        <f t="shared" si="15"/>
        <v>0.0</v>
      </c>
      <c r="P282" s="22">
        <f t="shared" si="17"/>
        <v>0.0</v>
      </c>
      <c r="Q282" s="57"/>
      <c r="R282" s="58"/>
    </row>
    <row r="283" spans="8:8">
      <c r="B283" s="8">
        <v>274.0</v>
      </c>
      <c r="C283" s="8" t="s">
        <v>766</v>
      </c>
      <c r="D283" s="8" t="s">
        <v>828</v>
      </c>
      <c r="E283" s="8" t="s">
        <v>458</v>
      </c>
      <c r="F283" s="8" t="s">
        <v>68</v>
      </c>
      <c r="G283" s="8" t="s">
        <v>1701</v>
      </c>
      <c r="H283" s="8" t="s">
        <v>458</v>
      </c>
      <c r="I283" s="55"/>
      <c r="J283" s="60" t="s">
        <v>7169</v>
      </c>
      <c r="K283" s="22">
        <v>0.0</v>
      </c>
      <c r="L283" s="22">
        <f>+SUMIF('حركه المخزن الرئيسي اليوميه'!$F:$F,$H:$H,'حركه المخزن الرئيسي اليوميه'!$H:$H)</f>
        <v>0.0</v>
      </c>
      <c r="M283" s="22">
        <f>+SUMIF('حركه المخزن الرئيسي اليوميه'!$F:$F,$H:$H,'حركه المخزن الرئيسي اليوميه'!$I:$I)</f>
        <v>0.0</v>
      </c>
      <c r="N283" s="22">
        <f t="shared" si="14"/>
        <v>0.0</v>
      </c>
      <c r="O283" s="22">
        <f t="shared" si="15"/>
        <v>0.0</v>
      </c>
      <c r="P283" s="22">
        <f t="shared" si="17"/>
        <v>0.0</v>
      </c>
      <c r="Q283" s="57"/>
      <c r="R283" s="58"/>
    </row>
    <row r="284" spans="8:8">
      <c r="B284" s="8">
        <v>275.0</v>
      </c>
      <c r="C284" s="8" t="s">
        <v>764</v>
      </c>
      <c r="D284" s="8" t="s">
        <v>713</v>
      </c>
      <c r="E284" s="8" t="s">
        <v>789</v>
      </c>
      <c r="F284" s="8" t="s">
        <v>68</v>
      </c>
      <c r="G284" s="8" t="s">
        <v>2163</v>
      </c>
      <c r="H284" s="8" t="s">
        <v>785</v>
      </c>
      <c r="I284" s="55"/>
      <c r="J284" s="60" t="s">
        <v>7170</v>
      </c>
      <c r="K284" s="22">
        <v>0.0</v>
      </c>
      <c r="L284" s="22">
        <f>+SUMIF('حركه المخزن الرئيسي اليوميه'!$F:$F,$H:$H,'حركه المخزن الرئيسي اليوميه'!$H:$H)</f>
        <v>0.0</v>
      </c>
      <c r="M284" s="22">
        <f>+SUMIF('حركه المخزن الرئيسي اليوميه'!$F:$F,$H:$H,'حركه المخزن الرئيسي اليوميه'!$I:$I)</f>
        <v>0.0</v>
      </c>
      <c r="N284" s="22">
        <f t="shared" si="14"/>
        <v>0.0</v>
      </c>
      <c r="O284" s="22">
        <f t="shared" si="15"/>
        <v>0.0</v>
      </c>
      <c r="P284" s="22">
        <f t="shared" si="17"/>
        <v>0.0</v>
      </c>
      <c r="Q284" s="57"/>
      <c r="R284" s="58"/>
    </row>
    <row r="285" spans="8:8">
      <c r="B285" s="8">
        <v>276.0</v>
      </c>
      <c r="C285" s="8" t="s">
        <v>764</v>
      </c>
      <c r="D285" s="8" t="s">
        <v>713</v>
      </c>
      <c r="E285" s="8" t="s">
        <v>666</v>
      </c>
      <c r="F285" s="8" t="s">
        <v>68</v>
      </c>
      <c r="G285" s="8" t="s">
        <v>2332</v>
      </c>
      <c r="H285" s="8" t="s">
        <v>666</v>
      </c>
      <c r="I285" s="55"/>
      <c r="J285" s="60" t="s">
        <v>7171</v>
      </c>
      <c r="K285" s="22">
        <v>0.0</v>
      </c>
      <c r="L285" s="22">
        <f>+SUMIF('حركه المخزن الرئيسي اليوميه'!$F:$F,$H:$H,'حركه المخزن الرئيسي اليوميه'!$H:$H)</f>
        <v>0.0</v>
      </c>
      <c r="M285" s="22">
        <f>+SUMIF('حركه المخزن الرئيسي اليوميه'!$F:$F,$H:$H,'حركه المخزن الرئيسي اليوميه'!$I:$I)</f>
        <v>0.0</v>
      </c>
      <c r="N285" s="22">
        <f t="shared" si="14"/>
        <v>0.0</v>
      </c>
      <c r="O285" s="22">
        <f t="shared" si="15"/>
        <v>0.0</v>
      </c>
      <c r="P285" s="22">
        <f t="shared" si="17"/>
        <v>0.0</v>
      </c>
      <c r="Q285" s="57"/>
      <c r="R285" s="58"/>
    </row>
    <row r="286" spans="8:8">
      <c r="B286" s="8">
        <v>277.0</v>
      </c>
      <c r="C286" s="8" t="s">
        <v>764</v>
      </c>
      <c r="D286" s="8" t="s">
        <v>828</v>
      </c>
      <c r="E286" s="8" t="s">
        <v>1268</v>
      </c>
      <c r="F286" s="8" t="s">
        <v>68</v>
      </c>
      <c r="G286" s="8" t="s">
        <v>2444</v>
      </c>
      <c r="H286" s="8" t="s">
        <v>1268</v>
      </c>
      <c r="I286" s="55" t="s">
        <v>204</v>
      </c>
      <c r="J286" s="60" t="s">
        <v>7172</v>
      </c>
      <c r="K286" s="22">
        <v>0.0</v>
      </c>
      <c r="L286" s="22">
        <f>+SUMIF('حركه المخزن الرئيسي اليوميه'!$F:$F,$H:$H,'حركه المخزن الرئيسي اليوميه'!$H:$H)</f>
        <v>0.0</v>
      </c>
      <c r="M286" s="22">
        <f>+SUMIF('حركه المخزن الرئيسي اليوميه'!$F:$F,$H:$H,'حركه المخزن الرئيسي اليوميه'!$I:$I)</f>
        <v>0.0</v>
      </c>
      <c r="N286" s="22">
        <f t="shared" si="14"/>
        <v>0.0</v>
      </c>
      <c r="O286" s="22">
        <f t="shared" si="15"/>
        <v>0.0</v>
      </c>
      <c r="P286" s="22">
        <f t="shared" si="17"/>
        <v>0.0</v>
      </c>
      <c r="Q286" s="57"/>
      <c r="R286" s="58"/>
    </row>
    <row r="287" spans="8:8">
      <c r="B287" s="8">
        <v>278.0</v>
      </c>
      <c r="C287" s="8" t="s">
        <v>764</v>
      </c>
      <c r="D287" s="8" t="s">
        <v>828</v>
      </c>
      <c r="E287" s="8" t="s">
        <v>505</v>
      </c>
      <c r="F287" s="8" t="s">
        <v>68</v>
      </c>
      <c r="G287" s="8" t="s">
        <v>2355</v>
      </c>
      <c r="H287" s="8" t="s">
        <v>505</v>
      </c>
      <c r="I287" s="55"/>
      <c r="J287" s="60" t="s">
        <v>7173</v>
      </c>
      <c r="K287" s="22">
        <v>0.0</v>
      </c>
      <c r="L287" s="22">
        <f>+SUMIF('حركه المخزن الرئيسي اليوميه'!$F:$F,$H:$H,'حركه المخزن الرئيسي اليوميه'!$H:$H)</f>
        <v>0.0</v>
      </c>
      <c r="M287" s="22">
        <f>+SUMIF('حركه المخزن الرئيسي اليوميه'!$F:$F,$H:$H,'حركه المخزن الرئيسي اليوميه'!$I:$I)</f>
        <v>0.0</v>
      </c>
      <c r="N287" s="22">
        <f t="shared" si="14"/>
        <v>0.0</v>
      </c>
      <c r="O287" s="22">
        <f t="shared" si="15"/>
        <v>0.0</v>
      </c>
      <c r="P287" s="22">
        <f t="shared" si="17"/>
        <v>0.0</v>
      </c>
      <c r="Q287" s="57"/>
      <c r="R287" s="58"/>
    </row>
    <row r="288" spans="8:8">
      <c r="B288" s="8">
        <v>279.0</v>
      </c>
      <c r="C288" s="8" t="s">
        <v>764</v>
      </c>
      <c r="D288" s="8" t="s">
        <v>828</v>
      </c>
      <c r="E288" s="8" t="s">
        <v>519</v>
      </c>
      <c r="F288" s="8" t="s">
        <v>68</v>
      </c>
      <c r="G288" s="8" t="s">
        <v>2144</v>
      </c>
      <c r="H288" s="8" t="s">
        <v>519</v>
      </c>
      <c r="I288" s="55"/>
      <c r="J288" s="60" t="s">
        <v>7174</v>
      </c>
      <c r="K288" s="22">
        <v>0.0</v>
      </c>
      <c r="L288" s="22">
        <f>+SUMIF('حركه المخزن الرئيسي اليوميه'!$F:$F,$H:$H,'حركه المخزن الرئيسي اليوميه'!$H:$H)</f>
        <v>0.0</v>
      </c>
      <c r="M288" s="22">
        <f>+SUMIF('حركه المخزن الرئيسي اليوميه'!$F:$F,$H:$H,'حركه المخزن الرئيسي اليوميه'!$I:$I)</f>
        <v>0.0</v>
      </c>
      <c r="N288" s="22">
        <f t="shared" si="14"/>
        <v>0.0</v>
      </c>
      <c r="O288" s="22">
        <f t="shared" si="15"/>
        <v>0.0</v>
      </c>
      <c r="P288" s="22">
        <f t="shared" si="17"/>
        <v>0.0</v>
      </c>
      <c r="Q288" s="57"/>
      <c r="R288" s="58"/>
    </row>
    <row r="289" spans="8:8">
      <c r="B289" s="8">
        <v>280.0</v>
      </c>
      <c r="C289" s="8" t="s">
        <v>764</v>
      </c>
      <c r="D289" s="8" t="s">
        <v>828</v>
      </c>
      <c r="E289" s="8" t="s">
        <v>486</v>
      </c>
      <c r="F289" s="8" t="s">
        <v>68</v>
      </c>
      <c r="G289" s="8" t="s">
        <v>2144</v>
      </c>
      <c r="H289" s="8" t="s">
        <v>486</v>
      </c>
      <c r="I289" s="55"/>
      <c r="J289" s="60" t="s">
        <v>7175</v>
      </c>
      <c r="K289" s="22">
        <v>0.0</v>
      </c>
      <c r="L289" s="22">
        <f>+SUMIF('حركه المخزن الرئيسي اليوميه'!$F:$F,$H:$H,'حركه المخزن الرئيسي اليوميه'!$H:$H)</f>
        <v>0.0</v>
      </c>
      <c r="M289" s="22">
        <f>+SUMIF('حركه المخزن الرئيسي اليوميه'!$F:$F,$H:$H,'حركه المخزن الرئيسي اليوميه'!$I:$I)</f>
        <v>0.0</v>
      </c>
      <c r="N289" s="22">
        <f t="shared" si="14"/>
        <v>0.0</v>
      </c>
      <c r="O289" s="22">
        <f t="shared" si="15"/>
        <v>0.0</v>
      </c>
      <c r="P289" s="22">
        <f t="shared" si="17"/>
        <v>0.0</v>
      </c>
      <c r="Q289" s="57"/>
      <c r="R289" s="58"/>
    </row>
    <row r="290" spans="8:8">
      <c r="B290" s="8">
        <v>281.0</v>
      </c>
      <c r="C290" s="8" t="s">
        <v>764</v>
      </c>
      <c r="D290" s="8" t="s">
        <v>828</v>
      </c>
      <c r="E290" s="8" t="s">
        <v>518</v>
      </c>
      <c r="F290" s="8" t="s">
        <v>68</v>
      </c>
      <c r="G290" s="8" t="s">
        <v>2144</v>
      </c>
      <c r="H290" s="8" t="s">
        <v>518</v>
      </c>
      <c r="I290" s="55"/>
      <c r="J290" s="60" t="s">
        <v>7176</v>
      </c>
      <c r="K290" s="22">
        <v>0.0</v>
      </c>
      <c r="L290" s="22">
        <f>+SUMIF('حركه المخزن الرئيسي اليوميه'!$F:$F,$H:$H,'حركه المخزن الرئيسي اليوميه'!$H:$H)</f>
        <v>0.0</v>
      </c>
      <c r="M290" s="22">
        <f>+SUMIF('حركه المخزن الرئيسي اليوميه'!$F:$F,$H:$H,'حركه المخزن الرئيسي اليوميه'!$I:$I)</f>
        <v>0.0</v>
      </c>
      <c r="N290" s="22">
        <f t="shared" si="14"/>
        <v>0.0</v>
      </c>
      <c r="O290" s="22">
        <f t="shared" si="15"/>
        <v>0.0</v>
      </c>
      <c r="P290" s="22">
        <f t="shared" si="17"/>
        <v>0.0</v>
      </c>
      <c r="Q290" s="57"/>
      <c r="R290" s="58"/>
    </row>
    <row r="291" spans="8:8">
      <c r="B291" s="8">
        <v>282.0</v>
      </c>
      <c r="C291" s="8" t="s">
        <v>764</v>
      </c>
      <c r="D291" s="8" t="s">
        <v>828</v>
      </c>
      <c r="E291" s="8" t="s">
        <v>489</v>
      </c>
      <c r="F291" s="8" t="s">
        <v>68</v>
      </c>
      <c r="G291" s="8" t="s">
        <v>2144</v>
      </c>
      <c r="H291" s="8" t="s">
        <v>1119</v>
      </c>
      <c r="I291" s="55"/>
      <c r="J291" s="60" t="s">
        <v>7177</v>
      </c>
      <c r="K291" s="22">
        <v>0.0</v>
      </c>
      <c r="L291" s="22">
        <f>+SUMIF('حركه المخزن الرئيسي اليوميه'!$F:$F,$H:$H,'حركه المخزن الرئيسي اليوميه'!$H:$H)</f>
        <v>0.0</v>
      </c>
      <c r="M291" s="22">
        <f>+SUMIF('حركه المخزن الرئيسي اليوميه'!$F:$F,$H:$H,'حركه المخزن الرئيسي اليوميه'!$I:$I)</f>
        <v>0.0</v>
      </c>
      <c r="N291" s="22">
        <f t="shared" si="14"/>
        <v>0.0</v>
      </c>
      <c r="O291" s="22">
        <f t="shared" si="15"/>
        <v>0.0</v>
      </c>
      <c r="P291" s="22">
        <f t="shared" si="17"/>
        <v>0.0</v>
      </c>
      <c r="Q291" s="57"/>
      <c r="R291" s="58"/>
    </row>
    <row r="292" spans="8:8">
      <c r="B292" s="8">
        <v>283.0</v>
      </c>
      <c r="C292" s="8" t="s">
        <v>764</v>
      </c>
      <c r="D292" s="8" t="s">
        <v>828</v>
      </c>
      <c r="E292" s="8" t="s">
        <v>515</v>
      </c>
      <c r="F292" s="8" t="s">
        <v>68</v>
      </c>
      <c r="G292" s="8" t="s">
        <v>2359</v>
      </c>
      <c r="H292" s="8" t="s">
        <v>515</v>
      </c>
      <c r="I292" s="8"/>
      <c r="J292" s="60" t="s">
        <v>7178</v>
      </c>
      <c r="K292" s="22">
        <v>0.0</v>
      </c>
      <c r="L292" s="22">
        <f>+SUMIF('حركه المخزن الرئيسي اليوميه'!$F:$F,$H:$H,'حركه المخزن الرئيسي اليوميه'!$H:$H)</f>
        <v>0.0</v>
      </c>
      <c r="M292" s="22">
        <f>+SUMIF('حركه المخزن الرئيسي اليوميه'!$F:$F,$H:$H,'حركه المخزن الرئيسي اليوميه'!$I:$I)</f>
        <v>0.0</v>
      </c>
      <c r="N292" s="22">
        <f t="shared" si="14"/>
        <v>0.0</v>
      </c>
      <c r="O292" s="22">
        <f t="shared" si="15"/>
        <v>0.0</v>
      </c>
      <c r="P292" s="22">
        <f t="shared" si="17"/>
        <v>0.0</v>
      </c>
      <c r="Q292" s="57"/>
      <c r="R292" s="58"/>
    </row>
    <row r="293" spans="8:8">
      <c r="B293" s="8">
        <v>284.0</v>
      </c>
      <c r="C293" s="8" t="s">
        <v>766</v>
      </c>
      <c r="D293" s="8" t="s">
        <v>828</v>
      </c>
      <c r="E293" s="8" t="s">
        <v>456</v>
      </c>
      <c r="F293" s="8" t="s">
        <v>68</v>
      </c>
      <c r="G293" s="8" t="s">
        <v>1844</v>
      </c>
      <c r="H293" s="8" t="s">
        <v>456</v>
      </c>
      <c r="I293" s="8"/>
      <c r="J293" s="60" t="s">
        <v>7179</v>
      </c>
      <c r="K293" s="22">
        <v>0.0</v>
      </c>
      <c r="L293" s="22">
        <f>+SUMIF('حركه المخزن الرئيسي اليوميه'!$F:$F,$H:$H,'حركه المخزن الرئيسي اليوميه'!$H:$H)</f>
        <v>0.0</v>
      </c>
      <c r="M293" s="22">
        <f>+SUMIF('حركه المخزن الرئيسي اليوميه'!$F:$F,$H:$H,'حركه المخزن الرئيسي اليوميه'!$I:$I)</f>
        <v>0.0</v>
      </c>
      <c r="N293" s="22">
        <f t="shared" si="14"/>
        <v>0.0</v>
      </c>
      <c r="O293" s="22">
        <f t="shared" si="15"/>
        <v>0.0</v>
      </c>
      <c r="P293" s="22">
        <f t="shared" si="17"/>
        <v>0.0</v>
      </c>
      <c r="Q293" s="57"/>
      <c r="R293" s="58"/>
    </row>
    <row r="294" spans="8:8">
      <c r="B294" s="8">
        <v>285.0</v>
      </c>
      <c r="C294" s="8" t="s">
        <v>764</v>
      </c>
      <c r="D294" s="8" t="s">
        <v>828</v>
      </c>
      <c r="E294" s="8" t="s">
        <v>525</v>
      </c>
      <c r="F294" s="8" t="s">
        <v>68</v>
      </c>
      <c r="G294" s="8" t="s">
        <v>1845</v>
      </c>
      <c r="H294" s="8" t="s">
        <v>525</v>
      </c>
      <c r="I294" s="8"/>
      <c r="J294" s="60" t="s">
        <v>7180</v>
      </c>
      <c r="K294" s="22">
        <v>0.0</v>
      </c>
      <c r="L294" s="22">
        <f>+SUMIF('حركه المخزن الرئيسي اليوميه'!$F:$F,$H:$H,'حركه المخزن الرئيسي اليوميه'!$H:$H)</f>
        <v>0.0</v>
      </c>
      <c r="M294" s="22">
        <f>+SUMIF('حركه المخزن الرئيسي اليوميه'!$F:$F,$H:$H,'حركه المخزن الرئيسي اليوميه'!$I:$I)</f>
        <v>0.0</v>
      </c>
      <c r="N294" s="22">
        <f t="shared" si="14"/>
        <v>0.0</v>
      </c>
      <c r="O294" s="22">
        <f t="shared" si="15"/>
        <v>0.0</v>
      </c>
      <c r="P294" s="22">
        <f t="shared" si="17"/>
        <v>0.0</v>
      </c>
      <c r="Q294" s="57"/>
      <c r="R294" s="58"/>
    </row>
    <row r="295" spans="8:8">
      <c r="B295" s="8">
        <v>286.0</v>
      </c>
      <c r="C295" s="8" t="s">
        <v>764</v>
      </c>
      <c r="D295" s="8" t="s">
        <v>713</v>
      </c>
      <c r="E295" s="8" t="s">
        <v>804</v>
      </c>
      <c r="F295" s="8" t="s">
        <v>68</v>
      </c>
      <c r="G295" s="8" t="s">
        <v>1774</v>
      </c>
      <c r="H295" s="8" t="s">
        <v>745</v>
      </c>
      <c r="I295" s="55"/>
      <c r="J295" s="60" t="s">
        <v>7181</v>
      </c>
      <c r="K295" s="22">
        <v>0.0</v>
      </c>
      <c r="L295" s="22">
        <f>+SUMIF('حركه المخزن الرئيسي اليوميه'!$F:$F,$H:$H,'حركه المخزن الرئيسي اليوميه'!$H:$H)</f>
        <v>0.0</v>
      </c>
      <c r="M295" s="22">
        <f>+SUMIF('حركه المخزن الرئيسي اليوميه'!$F:$F,$H:$H,'حركه المخزن الرئيسي اليوميه'!$I:$I)</f>
        <v>0.0</v>
      </c>
      <c r="N295" s="22">
        <f t="shared" si="14"/>
        <v>0.0</v>
      </c>
      <c r="O295" s="22">
        <f t="shared" si="15"/>
        <v>0.0</v>
      </c>
      <c r="P295" s="22">
        <f t="shared" si="17"/>
        <v>0.0</v>
      </c>
      <c r="Q295" s="57"/>
      <c r="R295" s="58"/>
    </row>
    <row r="296" spans="8:8">
      <c r="B296" s="8">
        <v>287.0</v>
      </c>
      <c r="C296" s="8" t="s">
        <v>766</v>
      </c>
      <c r="D296" s="8" t="s">
        <v>766</v>
      </c>
      <c r="E296" s="8" t="s">
        <v>2672</v>
      </c>
      <c r="F296" s="8" t="s">
        <v>68</v>
      </c>
      <c r="G296" s="8"/>
      <c r="H296" s="8" t="s">
        <v>2672</v>
      </c>
      <c r="I296" s="8"/>
      <c r="J296" s="60" t="s">
        <v>7182</v>
      </c>
      <c r="K296" s="22">
        <v>0.0</v>
      </c>
      <c r="L296" s="22">
        <f>+SUMIF('حركه المخزن الرئيسي اليوميه'!$F:$F,$H:$H,'حركه المخزن الرئيسي اليوميه'!$H:$H)</f>
        <v>0.0</v>
      </c>
      <c r="M296" s="22">
        <f>+SUMIF('حركه المخزن الرئيسي اليوميه'!$F:$F,$H:$H,'حركه المخزن الرئيسي اليوميه'!$I:$I)</f>
        <v>0.0</v>
      </c>
      <c r="N296" s="22">
        <f t="shared" si="14"/>
        <v>0.0</v>
      </c>
      <c r="O296" s="22">
        <f t="shared" si="15"/>
        <v>0.0</v>
      </c>
      <c r="P296" s="22">
        <f t="shared" si="17"/>
        <v>0.0</v>
      </c>
      <c r="Q296" s="57"/>
      <c r="R296" s="58"/>
    </row>
    <row r="297" spans="8:8">
      <c r="B297" s="8">
        <v>288.0</v>
      </c>
      <c r="C297" s="8" t="s">
        <v>764</v>
      </c>
      <c r="D297" s="8" t="s">
        <v>828</v>
      </c>
      <c r="E297" s="8" t="s">
        <v>532</v>
      </c>
      <c r="F297" s="8" t="s">
        <v>68</v>
      </c>
      <c r="G297" s="8"/>
      <c r="H297" s="8" t="s">
        <v>532</v>
      </c>
      <c r="I297" s="55"/>
      <c r="J297" s="60" t="s">
        <v>7183</v>
      </c>
      <c r="K297" s="22">
        <v>0.0</v>
      </c>
      <c r="L297" s="22">
        <f>+SUMIF('حركه المخزن الرئيسي اليوميه'!$F:$F,$H:$H,'حركه المخزن الرئيسي اليوميه'!$H:$H)</f>
        <v>0.0</v>
      </c>
      <c r="M297" s="22">
        <f>+SUMIF('حركه المخزن الرئيسي اليوميه'!$F:$F,$H:$H,'حركه المخزن الرئيسي اليوميه'!$I:$I)</f>
        <v>0.0</v>
      </c>
      <c r="N297" s="22">
        <f t="shared" si="14"/>
        <v>0.0</v>
      </c>
      <c r="O297" s="22">
        <f t="shared" si="15"/>
        <v>0.0</v>
      </c>
      <c r="P297" s="22">
        <f t="shared" si="17"/>
        <v>0.0</v>
      </c>
      <c r="Q297" s="57"/>
      <c r="R297" s="58"/>
    </row>
    <row r="298" spans="8:8">
      <c r="B298" s="8">
        <v>289.0</v>
      </c>
      <c r="C298" s="8" t="s">
        <v>764</v>
      </c>
      <c r="D298" s="8" t="s">
        <v>713</v>
      </c>
      <c r="E298" s="8" t="s">
        <v>669</v>
      </c>
      <c r="F298" s="8" t="s">
        <v>68</v>
      </c>
      <c r="G298" s="8" t="s">
        <v>2384</v>
      </c>
      <c r="H298" s="8" t="s">
        <v>669</v>
      </c>
      <c r="I298" s="8"/>
      <c r="J298" s="60" t="s">
        <v>7184</v>
      </c>
      <c r="K298" s="22">
        <v>0.0</v>
      </c>
      <c r="L298" s="22">
        <f>+SUMIF('حركه المخزن الرئيسي اليوميه'!$F:$F,$H:$H,'حركه المخزن الرئيسي اليوميه'!$H:$H)</f>
        <v>0.0</v>
      </c>
      <c r="M298" s="22">
        <f>+SUMIF('حركه المخزن الرئيسي اليوميه'!$F:$F,$H:$H,'حركه المخزن الرئيسي اليوميه'!$I:$I)</f>
        <v>0.0</v>
      </c>
      <c r="N298" s="22">
        <f t="shared" si="14"/>
        <v>0.0</v>
      </c>
      <c r="O298" s="22">
        <f t="shared" si="15"/>
        <v>0.0</v>
      </c>
      <c r="P298" s="22">
        <f t="shared" si="17"/>
        <v>0.0</v>
      </c>
      <c r="Q298" s="57"/>
      <c r="R298" s="58"/>
    </row>
    <row r="299" spans="8:8">
      <c r="B299" s="8">
        <v>290.0</v>
      </c>
      <c r="C299" s="8" t="s">
        <v>828</v>
      </c>
      <c r="D299" s="8" t="s">
        <v>828</v>
      </c>
      <c r="E299" s="8" t="s">
        <v>669</v>
      </c>
      <c r="F299" s="8" t="s">
        <v>1501</v>
      </c>
      <c r="G299" s="8" t="s">
        <v>1790</v>
      </c>
      <c r="H299" s="8" t="s">
        <v>669</v>
      </c>
      <c r="I299" s="55"/>
      <c r="J299" s="60" t="s">
        <v>7185</v>
      </c>
      <c r="K299" s="22">
        <v>0.0</v>
      </c>
      <c r="L299" s="22">
        <f>+SUMIF('حركه المخزن الرئيسي اليوميه'!$F:$F,$H:$H,'حركه المخزن الرئيسي اليوميه'!$H:$H)</f>
        <v>0.0</v>
      </c>
      <c r="M299" s="22">
        <f>+SUMIF('حركه المخزن الرئيسي اليوميه'!$F:$F,$H:$H,'حركه المخزن الرئيسي اليوميه'!$I:$I)</f>
        <v>0.0</v>
      </c>
      <c r="N299" s="22">
        <f t="shared" si="14"/>
        <v>0.0</v>
      </c>
      <c r="O299" s="22">
        <f t="shared" si="15"/>
        <v>0.0</v>
      </c>
      <c r="P299" s="22">
        <f t="shared" si="17"/>
        <v>0.0</v>
      </c>
      <c r="Q299" s="57"/>
      <c r="R299" s="58"/>
    </row>
    <row r="300" spans="8:8">
      <c r="B300" s="8">
        <v>291.0</v>
      </c>
      <c r="C300" s="8" t="s">
        <v>764</v>
      </c>
      <c r="D300" s="8" t="s">
        <v>828</v>
      </c>
      <c r="E300" s="8" t="s">
        <v>513</v>
      </c>
      <c r="F300" s="8" t="s">
        <v>68</v>
      </c>
      <c r="G300" s="8" t="s">
        <v>2358</v>
      </c>
      <c r="H300" s="8" t="s">
        <v>513</v>
      </c>
      <c r="I300" s="8"/>
      <c r="J300" s="60" t="s">
        <v>7186</v>
      </c>
      <c r="K300" s="22">
        <v>0.0</v>
      </c>
      <c r="L300" s="22">
        <f>+SUMIF('حركه المخزن الرئيسي اليوميه'!$F:$F,$H:$H,'حركه المخزن الرئيسي اليوميه'!$H:$H)</f>
        <v>0.0</v>
      </c>
      <c r="M300" s="22">
        <f>+SUMIF('حركه المخزن الرئيسي اليوميه'!$F:$F,$H:$H,'حركه المخزن الرئيسي اليوميه'!$I:$I)</f>
        <v>0.0</v>
      </c>
      <c r="N300" s="22">
        <f t="shared" si="14"/>
        <v>0.0</v>
      </c>
      <c r="O300" s="22">
        <f t="shared" si="15"/>
        <v>0.0</v>
      </c>
      <c r="P300" s="22">
        <f t="shared" si="17"/>
        <v>0.0</v>
      </c>
      <c r="Q300" s="57"/>
      <c r="R300" s="58"/>
    </row>
    <row r="301" spans="8:8">
      <c r="B301" s="8">
        <v>292.0</v>
      </c>
      <c r="C301" s="8" t="s">
        <v>764</v>
      </c>
      <c r="D301" s="8" t="s">
        <v>828</v>
      </c>
      <c r="E301" s="8" t="s">
        <v>540</v>
      </c>
      <c r="F301" s="8" t="s">
        <v>68</v>
      </c>
      <c r="G301" s="8" t="s">
        <v>2368</v>
      </c>
      <c r="H301" s="8" t="s">
        <v>540</v>
      </c>
      <c r="I301" s="8"/>
      <c r="J301" s="60" t="s">
        <v>7187</v>
      </c>
      <c r="K301" s="22">
        <v>0.0</v>
      </c>
      <c r="L301" s="22">
        <f>+SUMIF('حركه المخزن الرئيسي اليوميه'!$F:$F,$H:$H,'حركه المخزن الرئيسي اليوميه'!$H:$H)</f>
        <v>0.0</v>
      </c>
      <c r="M301" s="22">
        <f>+SUMIF('حركه المخزن الرئيسي اليوميه'!$F:$F,$H:$H,'حركه المخزن الرئيسي اليوميه'!$I:$I)</f>
        <v>0.0</v>
      </c>
      <c r="N301" s="22">
        <f t="shared" si="14"/>
        <v>0.0</v>
      </c>
      <c r="O301" s="22">
        <f t="shared" si="15"/>
        <v>0.0</v>
      </c>
      <c r="P301" s="22">
        <f t="shared" si="17"/>
        <v>0.0</v>
      </c>
      <c r="Q301" s="57"/>
      <c r="R301" s="58"/>
    </row>
    <row r="302" spans="8:8">
      <c r="B302" s="8">
        <v>293.0</v>
      </c>
      <c r="C302" s="8" t="s">
        <v>764</v>
      </c>
      <c r="D302" s="8" t="s">
        <v>828</v>
      </c>
      <c r="E302" s="8" t="s">
        <v>504</v>
      </c>
      <c r="F302" s="8" t="s">
        <v>68</v>
      </c>
      <c r="G302" s="8" t="s">
        <v>2354</v>
      </c>
      <c r="H302" s="8" t="s">
        <v>504</v>
      </c>
      <c r="I302" s="8"/>
      <c r="J302" s="60" t="s">
        <v>7188</v>
      </c>
      <c r="K302" s="22">
        <v>0.0</v>
      </c>
      <c r="L302" s="22">
        <f>+SUMIF('حركه المخزن الرئيسي اليوميه'!$F:$F,$H:$H,'حركه المخزن الرئيسي اليوميه'!$H:$H)</f>
        <v>0.0</v>
      </c>
      <c r="M302" s="22">
        <f>+SUMIF('حركه المخزن الرئيسي اليوميه'!$F:$F,$H:$H,'حركه المخزن الرئيسي اليوميه'!$I:$I)</f>
        <v>0.0</v>
      </c>
      <c r="N302" s="22">
        <f t="shared" si="14"/>
        <v>0.0</v>
      </c>
      <c r="O302" s="22">
        <f t="shared" si="15"/>
        <v>0.0</v>
      </c>
      <c r="P302" s="22">
        <f t="shared" si="17"/>
        <v>0.0</v>
      </c>
      <c r="Q302" s="57"/>
      <c r="R302" s="58"/>
    </row>
    <row r="303" spans="8:8">
      <c r="B303" s="8">
        <v>294.0</v>
      </c>
      <c r="C303" s="8" t="s">
        <v>764</v>
      </c>
      <c r="D303" s="8" t="s">
        <v>828</v>
      </c>
      <c r="E303" s="8" t="s">
        <v>503</v>
      </c>
      <c r="F303" s="8" t="s">
        <v>68</v>
      </c>
      <c r="G303" s="8" t="s">
        <v>2354</v>
      </c>
      <c r="H303" s="8" t="s">
        <v>503</v>
      </c>
      <c r="I303" s="8"/>
      <c r="J303" s="60" t="s">
        <v>7189</v>
      </c>
      <c r="K303" s="22">
        <v>0.0</v>
      </c>
      <c r="L303" s="22">
        <f>+SUMIF('حركه المخزن الرئيسي اليوميه'!$F:$F,$H:$H,'حركه المخزن الرئيسي اليوميه'!$H:$H)</f>
        <v>0.0</v>
      </c>
      <c r="M303" s="22">
        <f>+SUMIF('حركه المخزن الرئيسي اليوميه'!$F:$F,$H:$H,'حركه المخزن الرئيسي اليوميه'!$I:$I)</f>
        <v>0.0</v>
      </c>
      <c r="N303" s="22">
        <f t="shared" si="14"/>
        <v>0.0</v>
      </c>
      <c r="O303" s="22">
        <f t="shared" si="15"/>
        <v>0.0</v>
      </c>
      <c r="P303" s="22">
        <f t="shared" si="17"/>
        <v>0.0</v>
      </c>
      <c r="Q303" s="57"/>
      <c r="R303" s="58"/>
    </row>
    <row r="304" spans="8:8">
      <c r="B304" s="8">
        <v>295.0</v>
      </c>
      <c r="C304" s="8" t="s">
        <v>764</v>
      </c>
      <c r="D304" s="8" t="s">
        <v>713</v>
      </c>
      <c r="E304" s="8" t="s">
        <v>793</v>
      </c>
      <c r="F304" s="8" t="s">
        <v>68</v>
      </c>
      <c r="G304" s="8" t="s">
        <v>1776</v>
      </c>
      <c r="H304" s="8" t="s">
        <v>714</v>
      </c>
      <c r="I304" s="55"/>
      <c r="J304" s="60" t="s">
        <v>7190</v>
      </c>
      <c r="K304" s="22">
        <v>0.0</v>
      </c>
      <c r="L304" s="22">
        <f>+SUMIF('حركه المخزن الرئيسي اليوميه'!$F:$F,$H:$H,'حركه المخزن الرئيسي اليوميه'!$H:$H)</f>
        <v>0.0</v>
      </c>
      <c r="M304" s="22">
        <f>+SUMIF('حركه المخزن الرئيسي اليوميه'!$F:$F,$H:$H,'حركه المخزن الرئيسي اليوميه'!$I:$I)</f>
        <v>0.0</v>
      </c>
      <c r="N304" s="22">
        <f t="shared" si="14"/>
        <v>0.0</v>
      </c>
      <c r="O304" s="22">
        <f t="shared" si="15"/>
        <v>0.0</v>
      </c>
      <c r="P304" s="22">
        <f t="shared" si="17"/>
        <v>0.0</v>
      </c>
      <c r="Q304" s="57"/>
      <c r="R304" s="58"/>
    </row>
    <row r="305" spans="8:8">
      <c r="B305" s="8">
        <v>296.0</v>
      </c>
      <c r="C305" s="8" t="s">
        <v>764</v>
      </c>
      <c r="D305" s="8" t="s">
        <v>713</v>
      </c>
      <c r="E305" s="8" t="s">
        <v>663</v>
      </c>
      <c r="F305" s="8" t="s">
        <v>68</v>
      </c>
      <c r="G305" s="8"/>
      <c r="H305" s="8" t="s">
        <v>663</v>
      </c>
      <c r="I305" s="8"/>
      <c r="J305" s="60" t="s">
        <v>7191</v>
      </c>
      <c r="K305" s="22">
        <v>0.0</v>
      </c>
      <c r="L305" s="22">
        <f>+SUMIF('حركه المخزن الرئيسي اليوميه'!$F:$F,$H:$H,'حركه المخزن الرئيسي اليوميه'!$H:$H)</f>
        <v>0.0</v>
      </c>
      <c r="M305" s="22">
        <f>+SUMIF('حركه المخزن الرئيسي اليوميه'!$F:$F,$H:$H,'حركه المخزن الرئيسي اليوميه'!$I:$I)</f>
        <v>0.0</v>
      </c>
      <c r="N305" s="22">
        <f t="shared" si="14"/>
        <v>0.0</v>
      </c>
      <c r="O305" s="22">
        <f t="shared" si="15"/>
        <v>0.0</v>
      </c>
      <c r="P305" s="22">
        <f t="shared" si="17"/>
        <v>0.0</v>
      </c>
      <c r="Q305" s="57"/>
      <c r="R305" s="58"/>
    </row>
    <row r="306" spans="8:8">
      <c r="B306" s="8">
        <v>297.0</v>
      </c>
      <c r="C306" s="8" t="s">
        <v>766</v>
      </c>
      <c r="D306" s="8" t="s">
        <v>828</v>
      </c>
      <c r="E306" s="8" t="s">
        <v>1047</v>
      </c>
      <c r="F306" s="8" t="s">
        <v>1046</v>
      </c>
      <c r="G306" s="8" t="s">
        <v>2422</v>
      </c>
      <c r="H306" s="8" t="s">
        <v>1047</v>
      </c>
      <c r="I306" s="8"/>
      <c r="J306" s="60" t="s">
        <v>7192</v>
      </c>
      <c r="K306" s="22">
        <v>0.0</v>
      </c>
      <c r="L306" s="22">
        <f>+SUMIF('حركه المخزن الرئيسي اليوميه'!$F:$F,$H:$H,'حركه المخزن الرئيسي اليوميه'!$H:$H)</f>
        <v>0.0</v>
      </c>
      <c r="M306" s="22">
        <f>+SUMIF('حركه المخزن الرئيسي اليوميه'!$F:$F,$H:$H,'حركه المخزن الرئيسي اليوميه'!$I:$I)</f>
        <v>0.0</v>
      </c>
      <c r="N306" s="22">
        <f t="shared" si="14"/>
        <v>0.0</v>
      </c>
      <c r="O306" s="22">
        <f t="shared" si="15"/>
        <v>0.0</v>
      </c>
      <c r="P306" s="22">
        <f t="shared" si="18" ref="P306:P337">+N306-O306</f>
        <v>0.0</v>
      </c>
      <c r="Q306" s="57"/>
      <c r="R306" s="58"/>
    </row>
    <row r="307" spans="8:8">
      <c r="B307" s="8">
        <v>298.0</v>
      </c>
      <c r="C307" s="8" t="s">
        <v>764</v>
      </c>
      <c r="D307" s="8" t="s">
        <v>713</v>
      </c>
      <c r="E307" s="8" t="s">
        <v>771</v>
      </c>
      <c r="F307" s="8" t="s">
        <v>68</v>
      </c>
      <c r="G307" s="8" t="s">
        <v>1921</v>
      </c>
      <c r="H307" s="8" t="s">
        <v>696</v>
      </c>
      <c r="I307" s="55"/>
      <c r="J307" s="60" t="s">
        <v>7193</v>
      </c>
      <c r="K307" s="22">
        <v>0.0</v>
      </c>
      <c r="L307" s="22">
        <f>+SUMIF('حركه المخزن الرئيسي اليوميه'!$F:$F,$H:$H,'حركه المخزن الرئيسي اليوميه'!$H:$H)</f>
        <v>0.0</v>
      </c>
      <c r="M307" s="22">
        <f>+SUMIF('حركه المخزن الرئيسي اليوميه'!$F:$F,$H:$H,'حركه المخزن الرئيسي اليوميه'!$I:$I)</f>
        <v>0.0</v>
      </c>
      <c r="N307" s="22">
        <f t="shared" si="14"/>
        <v>0.0</v>
      </c>
      <c r="O307" s="22">
        <f t="shared" si="15"/>
        <v>0.0</v>
      </c>
      <c r="P307" s="22">
        <f t="shared" si="18"/>
        <v>0.0</v>
      </c>
      <c r="Q307" s="57"/>
      <c r="R307" s="58"/>
    </row>
    <row r="308" spans="8:8">
      <c r="B308" s="8">
        <v>299.0</v>
      </c>
      <c r="C308" s="8" t="s">
        <v>764</v>
      </c>
      <c r="D308" s="8" t="s">
        <v>828</v>
      </c>
      <c r="E308" s="8" t="s">
        <v>500</v>
      </c>
      <c r="F308" s="8" t="s">
        <v>68</v>
      </c>
      <c r="G308" s="8" t="s">
        <v>2141</v>
      </c>
      <c r="H308" s="8" t="s">
        <v>500</v>
      </c>
      <c r="I308" s="8"/>
      <c r="J308" s="60" t="s">
        <v>7194</v>
      </c>
      <c r="K308" s="22">
        <v>0.0</v>
      </c>
      <c r="L308" s="22">
        <f>+SUMIF('حركه المخزن الرئيسي اليوميه'!$F:$F,$H:$H,'حركه المخزن الرئيسي اليوميه'!$H:$H)</f>
        <v>0.0</v>
      </c>
      <c r="M308" s="22">
        <f>+SUMIF('حركه المخزن الرئيسي اليوميه'!$F:$F,$H:$H,'حركه المخزن الرئيسي اليوميه'!$I:$I)</f>
        <v>0.0</v>
      </c>
      <c r="N308" s="22">
        <f t="shared" si="14"/>
        <v>0.0</v>
      </c>
      <c r="O308" s="22">
        <f t="shared" si="15"/>
        <v>0.0</v>
      </c>
      <c r="P308" s="22">
        <f t="shared" si="18"/>
        <v>0.0</v>
      </c>
      <c r="Q308" s="57"/>
      <c r="R308" s="58"/>
    </row>
    <row r="309" spans="8:8">
      <c r="B309" s="8">
        <v>300.0</v>
      </c>
      <c r="C309" s="8" t="s">
        <v>764</v>
      </c>
      <c r="D309" s="8" t="s">
        <v>828</v>
      </c>
      <c r="E309" s="8" t="s">
        <v>497</v>
      </c>
      <c r="F309" s="8" t="s">
        <v>68</v>
      </c>
      <c r="G309" s="8" t="s">
        <v>2141</v>
      </c>
      <c r="H309" s="8" t="s">
        <v>497</v>
      </c>
      <c r="I309" s="8"/>
      <c r="J309" s="60" t="s">
        <v>7195</v>
      </c>
      <c r="K309" s="22">
        <v>0.0</v>
      </c>
      <c r="L309" s="22">
        <f>+SUMIF('حركه المخزن الرئيسي اليوميه'!$F:$F,$H:$H,'حركه المخزن الرئيسي اليوميه'!$H:$H)</f>
        <v>0.0</v>
      </c>
      <c r="M309" s="22">
        <f>+SUMIF('حركه المخزن الرئيسي اليوميه'!$F:$F,$H:$H,'حركه المخزن الرئيسي اليوميه'!$I:$I)</f>
        <v>0.0</v>
      </c>
      <c r="N309" s="22">
        <f t="shared" si="19" ref="N309:N372">+K309+L309-M309</f>
        <v>0.0</v>
      </c>
      <c r="O309" s="22">
        <f t="shared" si="20" ref="O309:O372">+N309</f>
        <v>0.0</v>
      </c>
      <c r="P309" s="22">
        <f t="shared" si="18"/>
        <v>0.0</v>
      </c>
      <c r="Q309" s="57"/>
      <c r="R309" s="58"/>
    </row>
    <row r="310" spans="8:8">
      <c r="B310" s="8">
        <v>301.0</v>
      </c>
      <c r="C310" s="8" t="s">
        <v>828</v>
      </c>
      <c r="D310" s="8" t="s">
        <v>828</v>
      </c>
      <c r="E310" s="8" t="s">
        <v>1622</v>
      </c>
      <c r="F310" s="8" t="s">
        <v>1501</v>
      </c>
      <c r="G310" s="8" t="s">
        <v>2296</v>
      </c>
      <c r="H310" s="8" t="s">
        <v>1622</v>
      </c>
      <c r="I310" s="8"/>
      <c r="J310" s="60" t="s">
        <v>7196</v>
      </c>
      <c r="K310" s="22">
        <v>0.0</v>
      </c>
      <c r="L310" s="22">
        <f>+SUMIF('حركه المخزن الرئيسي اليوميه'!$F:$F,$H:$H,'حركه المخزن الرئيسي اليوميه'!$H:$H)</f>
        <v>0.0</v>
      </c>
      <c r="M310" s="22">
        <f>+SUMIF('حركه المخزن الرئيسي اليوميه'!$F:$F,$H:$H,'حركه المخزن الرئيسي اليوميه'!$I:$I)</f>
        <v>0.0</v>
      </c>
      <c r="N310" s="22">
        <f t="shared" si="19"/>
        <v>0.0</v>
      </c>
      <c r="O310" s="22">
        <f t="shared" si="20"/>
        <v>0.0</v>
      </c>
      <c r="P310" s="22">
        <f t="shared" si="18"/>
        <v>0.0</v>
      </c>
      <c r="Q310" s="57"/>
      <c r="R310" s="58"/>
    </row>
    <row r="311" spans="8:8">
      <c r="B311" s="8">
        <v>302.0</v>
      </c>
      <c r="C311" s="8" t="s">
        <v>764</v>
      </c>
      <c r="D311" s="8" t="s">
        <v>713</v>
      </c>
      <c r="E311" s="8" t="s">
        <v>661</v>
      </c>
      <c r="F311" s="8" t="s">
        <v>68</v>
      </c>
      <c r="G311" s="8" t="s">
        <v>1761</v>
      </c>
      <c r="H311" s="8" t="s">
        <v>661</v>
      </c>
      <c r="I311" s="55"/>
      <c r="J311" s="60" t="s">
        <v>7197</v>
      </c>
      <c r="K311" s="22">
        <v>0.0</v>
      </c>
      <c r="L311" s="22">
        <f>+SUMIF('حركه المخزن الرئيسي اليوميه'!$F:$F,$H:$H,'حركه المخزن الرئيسي اليوميه'!$H:$H)</f>
        <v>0.0</v>
      </c>
      <c r="M311" s="22">
        <f>+SUMIF('حركه المخزن الرئيسي اليوميه'!$F:$F,$H:$H,'حركه المخزن الرئيسي اليوميه'!$I:$I)</f>
        <v>0.0</v>
      </c>
      <c r="N311" s="22">
        <f t="shared" si="19"/>
        <v>0.0</v>
      </c>
      <c r="O311" s="22">
        <f t="shared" si="20"/>
        <v>0.0</v>
      </c>
      <c r="P311" s="22">
        <f t="shared" si="18"/>
        <v>0.0</v>
      </c>
      <c r="Q311" s="57"/>
      <c r="R311" s="58"/>
    </row>
    <row r="312" spans="8:8">
      <c r="B312" s="8">
        <v>303.0</v>
      </c>
      <c r="C312" s="8" t="s">
        <v>764</v>
      </c>
      <c r="D312" s="8" t="s">
        <v>713</v>
      </c>
      <c r="E312" s="8" t="s">
        <v>658</v>
      </c>
      <c r="F312" s="8" t="s">
        <v>68</v>
      </c>
      <c r="G312" s="8" t="s">
        <v>1760</v>
      </c>
      <c r="H312" s="8" t="s">
        <v>658</v>
      </c>
      <c r="I312" s="55" t="s">
        <v>818</v>
      </c>
      <c r="J312" s="60" t="s">
        <v>7198</v>
      </c>
      <c r="K312" s="22">
        <v>0.0</v>
      </c>
      <c r="L312" s="22">
        <f>+SUMIF('حركه المخزن الرئيسي اليوميه'!$F:$F,$H:$H,'حركه المخزن الرئيسي اليوميه'!$H:$H)</f>
        <v>0.0</v>
      </c>
      <c r="M312" s="22">
        <f>+SUMIF('حركه المخزن الرئيسي اليوميه'!$F:$F,$H:$H,'حركه المخزن الرئيسي اليوميه'!$I:$I)</f>
        <v>0.0</v>
      </c>
      <c r="N312" s="22">
        <f t="shared" si="19"/>
        <v>0.0</v>
      </c>
      <c r="O312" s="22">
        <f t="shared" si="20"/>
        <v>0.0</v>
      </c>
      <c r="P312" s="22">
        <f t="shared" si="18"/>
        <v>0.0</v>
      </c>
      <c r="Q312" s="57"/>
      <c r="R312" s="58"/>
    </row>
    <row r="313" spans="8:8">
      <c r="B313" s="8">
        <v>304.0</v>
      </c>
      <c r="C313" s="8" t="s">
        <v>764</v>
      </c>
      <c r="D313" s="8" t="s">
        <v>828</v>
      </c>
      <c r="E313" s="8" t="s">
        <v>501</v>
      </c>
      <c r="F313" s="8" t="s">
        <v>68</v>
      </c>
      <c r="G313" s="8" t="s">
        <v>2352</v>
      </c>
      <c r="H313" s="8" t="s">
        <v>501</v>
      </c>
      <c r="I313" s="55"/>
      <c r="J313" s="60" t="s">
        <v>7199</v>
      </c>
      <c r="K313" s="22">
        <v>0.0</v>
      </c>
      <c r="L313" s="22">
        <f>+SUMIF('حركه المخزن الرئيسي اليوميه'!$F:$F,$H:$H,'حركه المخزن الرئيسي اليوميه'!$H:$H)</f>
        <v>0.0</v>
      </c>
      <c r="M313" s="22">
        <f>+SUMIF('حركه المخزن الرئيسي اليوميه'!$F:$F,$H:$H,'حركه المخزن الرئيسي اليوميه'!$I:$I)</f>
        <v>0.0</v>
      </c>
      <c r="N313" s="22">
        <f t="shared" si="19"/>
        <v>0.0</v>
      </c>
      <c r="O313" s="22">
        <f t="shared" si="20"/>
        <v>0.0</v>
      </c>
      <c r="P313" s="22">
        <f t="shared" si="18"/>
        <v>0.0</v>
      </c>
      <c r="Q313" s="57"/>
      <c r="R313" s="58"/>
    </row>
    <row r="314" spans="8:8">
      <c r="B314" s="8">
        <v>305.0</v>
      </c>
      <c r="C314" s="8" t="s">
        <v>764</v>
      </c>
      <c r="D314" s="8" t="s">
        <v>828</v>
      </c>
      <c r="E314" s="8" t="s">
        <v>480</v>
      </c>
      <c r="F314" s="8" t="s">
        <v>68</v>
      </c>
      <c r="G314" s="8"/>
      <c r="H314" s="8" t="s">
        <v>480</v>
      </c>
      <c r="I314" s="8"/>
      <c r="J314" s="60" t="s">
        <v>7200</v>
      </c>
      <c r="K314" s="22">
        <v>0.0</v>
      </c>
      <c r="L314" s="22">
        <f>+SUMIF('حركه المخزن الرئيسي اليوميه'!$F:$F,$H:$H,'حركه المخزن الرئيسي اليوميه'!$H:$H)</f>
        <v>0.0</v>
      </c>
      <c r="M314" s="22">
        <f>+SUMIF('حركه المخزن الرئيسي اليوميه'!$F:$F,$H:$H,'حركه المخزن الرئيسي اليوميه'!$I:$I)</f>
        <v>0.0</v>
      </c>
      <c r="N314" s="22">
        <f t="shared" si="19"/>
        <v>0.0</v>
      </c>
      <c r="O314" s="22">
        <f t="shared" si="20"/>
        <v>0.0</v>
      </c>
      <c r="P314" s="22">
        <f t="shared" si="18"/>
        <v>0.0</v>
      </c>
      <c r="Q314" s="57"/>
      <c r="R314" s="58"/>
    </row>
    <row r="315" spans="8:8">
      <c r="B315" s="8">
        <v>306.0</v>
      </c>
      <c r="C315" s="8" t="s">
        <v>764</v>
      </c>
      <c r="D315" s="8" t="s">
        <v>828</v>
      </c>
      <c r="E315" s="8" t="s">
        <v>541</v>
      </c>
      <c r="F315" s="8" t="s">
        <v>68</v>
      </c>
      <c r="G315" s="8" t="s">
        <v>2368</v>
      </c>
      <c r="H315" s="8" t="s">
        <v>541</v>
      </c>
      <c r="I315" s="8"/>
      <c r="J315" s="60" t="s">
        <v>7201</v>
      </c>
      <c r="K315" s="22">
        <v>0.0</v>
      </c>
      <c r="L315" s="22">
        <f>+SUMIF('حركه المخزن الرئيسي اليوميه'!$F:$F,$H:$H,'حركه المخزن الرئيسي اليوميه'!$H:$H)</f>
        <v>0.0</v>
      </c>
      <c r="M315" s="22">
        <f>+SUMIF('حركه المخزن الرئيسي اليوميه'!$F:$F,$H:$H,'حركه المخزن الرئيسي اليوميه'!$I:$I)</f>
        <v>0.0</v>
      </c>
      <c r="N315" s="22">
        <f t="shared" si="19"/>
        <v>0.0</v>
      </c>
      <c r="O315" s="22">
        <f t="shared" si="20"/>
        <v>0.0</v>
      </c>
      <c r="P315" s="22">
        <f t="shared" si="18"/>
        <v>0.0</v>
      </c>
      <c r="Q315" s="57"/>
      <c r="R315" s="58"/>
    </row>
    <row r="316" spans="8:8">
      <c r="B316" s="8">
        <v>307.0</v>
      </c>
      <c r="C316" s="8" t="s">
        <v>764</v>
      </c>
      <c r="D316" s="8" t="s">
        <v>713</v>
      </c>
      <c r="E316" s="8" t="s">
        <v>791</v>
      </c>
      <c r="F316" s="8" t="s">
        <v>68</v>
      </c>
      <c r="G316" s="8" t="s">
        <v>1763</v>
      </c>
      <c r="H316" s="8" t="s">
        <v>787</v>
      </c>
      <c r="I316" s="55"/>
      <c r="J316" s="60" t="s">
        <v>7202</v>
      </c>
      <c r="K316" s="22">
        <v>0.0</v>
      </c>
      <c r="L316" s="22">
        <f>+SUMIF('حركه المخزن الرئيسي اليوميه'!$F:$F,$H:$H,'حركه المخزن الرئيسي اليوميه'!$H:$H)</f>
        <v>0.0</v>
      </c>
      <c r="M316" s="22">
        <f>+SUMIF('حركه المخزن الرئيسي اليوميه'!$F:$F,$H:$H,'حركه المخزن الرئيسي اليوميه'!$I:$I)</f>
        <v>0.0</v>
      </c>
      <c r="N316" s="22">
        <f t="shared" si="19"/>
        <v>0.0</v>
      </c>
      <c r="O316" s="22">
        <f t="shared" si="20"/>
        <v>0.0</v>
      </c>
      <c r="P316" s="22">
        <f t="shared" si="18"/>
        <v>0.0</v>
      </c>
      <c r="Q316" s="57"/>
      <c r="R316" s="58"/>
    </row>
    <row r="317" spans="8:8">
      <c r="B317" s="8">
        <v>308.0</v>
      </c>
      <c r="C317" s="8" t="s">
        <v>764</v>
      </c>
      <c r="D317" s="8" t="s">
        <v>713</v>
      </c>
      <c r="E317" s="8" t="s">
        <v>791</v>
      </c>
      <c r="F317" s="8" t="s">
        <v>68</v>
      </c>
      <c r="G317" s="8" t="s">
        <v>1763</v>
      </c>
      <c r="H317" s="8" t="s">
        <v>786</v>
      </c>
      <c r="I317" s="55"/>
      <c r="J317" s="60" t="s">
        <v>7203</v>
      </c>
      <c r="K317" s="22">
        <v>0.0</v>
      </c>
      <c r="L317" s="22">
        <f>+SUMIF('حركه المخزن الرئيسي اليوميه'!$F:$F,$H:$H,'حركه المخزن الرئيسي اليوميه'!$H:$H)</f>
        <v>0.0</v>
      </c>
      <c r="M317" s="22">
        <f>+SUMIF('حركه المخزن الرئيسي اليوميه'!$F:$F,$H:$H,'حركه المخزن الرئيسي اليوميه'!$I:$I)</f>
        <v>0.0</v>
      </c>
      <c r="N317" s="22">
        <f t="shared" si="19"/>
        <v>0.0</v>
      </c>
      <c r="O317" s="22">
        <f t="shared" si="20"/>
        <v>0.0</v>
      </c>
      <c r="P317" s="22">
        <f t="shared" si="18"/>
        <v>0.0</v>
      </c>
      <c r="Q317" s="57"/>
      <c r="R317" s="58"/>
    </row>
    <row r="318" spans="8:8">
      <c r="B318" s="8">
        <v>309.0</v>
      </c>
      <c r="C318" s="8" t="s">
        <v>828</v>
      </c>
      <c r="D318" s="8" t="s">
        <v>828</v>
      </c>
      <c r="E318" s="8"/>
      <c r="F318" s="8" t="s">
        <v>1501</v>
      </c>
      <c r="G318" s="8" t="s">
        <v>1836</v>
      </c>
      <c r="H318" s="8"/>
      <c r="I318" s="55"/>
      <c r="J318" s="60" t="s">
        <v>7204</v>
      </c>
      <c r="K318" s="22">
        <v>0.0</v>
      </c>
      <c r="L318" s="22">
        <f>+SUMIF('حركه المخزن الرئيسي اليوميه'!$F:$F,$H:$H,'حركه المخزن الرئيسي اليوميه'!$H:$H)</f>
        <v>0.0</v>
      </c>
      <c r="M318" s="22">
        <f>+SUMIF('حركه المخزن الرئيسي اليوميه'!$F:$F,$H:$H,'حركه المخزن الرئيسي اليوميه'!$I:$I)</f>
        <v>0.0</v>
      </c>
      <c r="N318" s="22">
        <f t="shared" si="19"/>
        <v>0.0</v>
      </c>
      <c r="O318" s="22">
        <f t="shared" si="20"/>
        <v>0.0</v>
      </c>
      <c r="P318" s="22">
        <f t="shared" si="18"/>
        <v>0.0</v>
      </c>
      <c r="Q318" s="57"/>
      <c r="R318" s="58"/>
    </row>
    <row r="319" spans="8:8">
      <c r="B319" s="8">
        <v>310.0</v>
      </c>
      <c r="C319" s="8" t="s">
        <v>764</v>
      </c>
      <c r="D319" s="8" t="s">
        <v>828</v>
      </c>
      <c r="E319" s="8" t="s">
        <v>527</v>
      </c>
      <c r="F319" s="8" t="s">
        <v>68</v>
      </c>
      <c r="G319" s="8" t="s">
        <v>2150</v>
      </c>
      <c r="H319" s="8" t="s">
        <v>527</v>
      </c>
      <c r="I319" s="55"/>
      <c r="J319" s="60" t="s">
        <v>7205</v>
      </c>
      <c r="K319" s="22">
        <v>0.0</v>
      </c>
      <c r="L319" s="22">
        <f>+SUMIF('حركه المخزن الرئيسي اليوميه'!$F:$F,$H:$H,'حركه المخزن الرئيسي اليوميه'!$H:$H)</f>
        <v>0.0</v>
      </c>
      <c r="M319" s="22">
        <f>+SUMIF('حركه المخزن الرئيسي اليوميه'!$F:$F,$H:$H,'حركه المخزن الرئيسي اليوميه'!$I:$I)</f>
        <v>0.0</v>
      </c>
      <c r="N319" s="22">
        <f t="shared" si="19"/>
        <v>0.0</v>
      </c>
      <c r="O319" s="22">
        <f t="shared" si="20"/>
        <v>0.0</v>
      </c>
      <c r="P319" s="22">
        <f t="shared" si="18"/>
        <v>0.0</v>
      </c>
      <c r="Q319" s="57"/>
      <c r="R319" s="58"/>
    </row>
    <row r="320" spans="8:8">
      <c r="B320" s="8">
        <v>311.0</v>
      </c>
      <c r="C320" s="8" t="s">
        <v>828</v>
      </c>
      <c r="D320" s="8" t="s">
        <v>828</v>
      </c>
      <c r="E320" s="8" t="s">
        <v>1583</v>
      </c>
      <c r="F320" s="8" t="s">
        <v>1501</v>
      </c>
      <c r="G320" s="8" t="s">
        <v>1837</v>
      </c>
      <c r="H320" s="8" t="s">
        <v>1583</v>
      </c>
      <c r="I320" s="55"/>
      <c r="J320" s="60" t="s">
        <v>7206</v>
      </c>
      <c r="K320" s="22">
        <v>0.0</v>
      </c>
      <c r="L320" s="22">
        <f>+SUMIF('حركه المخزن الرئيسي اليوميه'!$F:$F,$H:$H,'حركه المخزن الرئيسي اليوميه'!$H:$H)</f>
        <v>0.0</v>
      </c>
      <c r="M320" s="22">
        <f>+SUMIF('حركه المخزن الرئيسي اليوميه'!$F:$F,$H:$H,'حركه المخزن الرئيسي اليوميه'!$I:$I)</f>
        <v>0.0</v>
      </c>
      <c r="N320" s="22">
        <f t="shared" si="19"/>
        <v>0.0</v>
      </c>
      <c r="O320" s="22">
        <f t="shared" si="20"/>
        <v>0.0</v>
      </c>
      <c r="P320" s="22">
        <f t="shared" si="18"/>
        <v>0.0</v>
      </c>
      <c r="Q320" s="57"/>
      <c r="R320" s="58"/>
    </row>
    <row r="321" spans="8:8">
      <c r="B321" s="8">
        <v>312.0</v>
      </c>
      <c r="C321" s="8" t="s">
        <v>764</v>
      </c>
      <c r="D321" s="8" t="s">
        <v>828</v>
      </c>
      <c r="E321" s="8" t="s">
        <v>528</v>
      </c>
      <c r="F321" s="8" t="s">
        <v>68</v>
      </c>
      <c r="G321" s="8" t="s">
        <v>2363</v>
      </c>
      <c r="H321" s="8" t="s">
        <v>528</v>
      </c>
      <c r="I321" s="55"/>
      <c r="J321" s="60" t="s">
        <v>7207</v>
      </c>
      <c r="K321" s="22">
        <v>0.0</v>
      </c>
      <c r="L321" s="22">
        <f>+SUMIF('حركه المخزن الرئيسي اليوميه'!$F:$F,$H:$H,'حركه المخزن الرئيسي اليوميه'!$H:$H)</f>
        <v>0.0</v>
      </c>
      <c r="M321" s="22">
        <f>+SUMIF('حركه المخزن الرئيسي اليوميه'!$F:$F,$H:$H,'حركه المخزن الرئيسي اليوميه'!$I:$I)</f>
        <v>0.0</v>
      </c>
      <c r="N321" s="22">
        <f t="shared" si="19"/>
        <v>0.0</v>
      </c>
      <c r="O321" s="22">
        <f t="shared" si="20"/>
        <v>0.0</v>
      </c>
      <c r="P321" s="22">
        <f t="shared" si="18"/>
        <v>0.0</v>
      </c>
      <c r="Q321" s="57"/>
      <c r="R321" s="58"/>
    </row>
    <row r="322" spans="8:8">
      <c r="B322" s="8">
        <v>313.0</v>
      </c>
      <c r="C322" s="8" t="s">
        <v>764</v>
      </c>
      <c r="D322" s="8" t="s">
        <v>828</v>
      </c>
      <c r="E322" s="8" t="s">
        <v>3397</v>
      </c>
      <c r="F322" s="8" t="s">
        <v>68</v>
      </c>
      <c r="G322" s="8" t="s">
        <v>2373</v>
      </c>
      <c r="H322" s="8" t="s">
        <v>3397</v>
      </c>
      <c r="I322" s="55"/>
      <c r="J322" s="60" t="s">
        <v>7208</v>
      </c>
      <c r="K322" s="22">
        <v>0.0</v>
      </c>
      <c r="L322" s="22">
        <f>+SUMIF('حركه المخزن الرئيسي اليوميه'!$F:$F,$H:$H,'حركه المخزن الرئيسي اليوميه'!$H:$H)</f>
        <v>0.0</v>
      </c>
      <c r="M322" s="22">
        <f>+SUMIF('حركه المخزن الرئيسي اليوميه'!$F:$F,$H:$H,'حركه المخزن الرئيسي اليوميه'!$I:$I)</f>
        <v>0.0</v>
      </c>
      <c r="N322" s="22">
        <f t="shared" si="19"/>
        <v>0.0</v>
      </c>
      <c r="O322" s="22">
        <f t="shared" si="20"/>
        <v>0.0</v>
      </c>
      <c r="P322" s="22">
        <f t="shared" si="18"/>
        <v>0.0</v>
      </c>
      <c r="Q322" s="57"/>
      <c r="R322" s="58"/>
    </row>
    <row r="323" spans="8:8">
      <c r="B323" s="8">
        <v>314.0</v>
      </c>
      <c r="C323" s="8" t="s">
        <v>764</v>
      </c>
      <c r="D323" s="8" t="s">
        <v>828</v>
      </c>
      <c r="E323" s="8" t="s">
        <v>482</v>
      </c>
      <c r="F323" s="8" t="s">
        <v>68</v>
      </c>
      <c r="G323" s="8" t="s">
        <v>1835</v>
      </c>
      <c r="H323" s="8" t="s">
        <v>482</v>
      </c>
      <c r="I323" s="55"/>
      <c r="J323" s="60" t="s">
        <v>7209</v>
      </c>
      <c r="K323" s="22">
        <v>0.0</v>
      </c>
      <c r="L323" s="22">
        <f>+SUMIF('حركه المخزن الرئيسي اليوميه'!$F:$F,$H:$H,'حركه المخزن الرئيسي اليوميه'!$H:$H)</f>
        <v>0.0</v>
      </c>
      <c r="M323" s="22">
        <f>+SUMIF('حركه المخزن الرئيسي اليوميه'!$F:$F,$H:$H,'حركه المخزن الرئيسي اليوميه'!$I:$I)</f>
        <v>0.0</v>
      </c>
      <c r="N323" s="22">
        <f t="shared" si="19"/>
        <v>0.0</v>
      </c>
      <c r="O323" s="22">
        <f t="shared" si="20"/>
        <v>0.0</v>
      </c>
      <c r="P323" s="22">
        <f t="shared" si="18"/>
        <v>0.0</v>
      </c>
      <c r="Q323" s="57"/>
      <c r="R323" s="58"/>
    </row>
    <row r="324" spans="8:8">
      <c r="B324" s="8">
        <v>315.0</v>
      </c>
      <c r="C324" s="8" t="s">
        <v>764</v>
      </c>
      <c r="D324" s="8" t="s">
        <v>828</v>
      </c>
      <c r="E324" s="8" t="s">
        <v>523</v>
      </c>
      <c r="F324" s="8" t="s">
        <v>68</v>
      </c>
      <c r="G324" s="8" t="s">
        <v>2361</v>
      </c>
      <c r="H324" s="8" t="s">
        <v>523</v>
      </c>
      <c r="I324" s="55"/>
      <c r="J324" s="60" t="s">
        <v>7210</v>
      </c>
      <c r="K324" s="22">
        <v>0.0</v>
      </c>
      <c r="L324" s="22">
        <f>+SUMIF('حركه المخزن الرئيسي اليوميه'!$F:$F,$H:$H,'حركه المخزن الرئيسي اليوميه'!$H:$H)</f>
        <v>0.0</v>
      </c>
      <c r="M324" s="22">
        <f>+SUMIF('حركه المخزن الرئيسي اليوميه'!$F:$F,$H:$H,'حركه المخزن الرئيسي اليوميه'!$I:$I)</f>
        <v>0.0</v>
      </c>
      <c r="N324" s="22">
        <f t="shared" si="19"/>
        <v>0.0</v>
      </c>
      <c r="O324" s="22">
        <f t="shared" si="20"/>
        <v>0.0</v>
      </c>
      <c r="P324" s="22">
        <f t="shared" si="18"/>
        <v>0.0</v>
      </c>
      <c r="Q324" s="57"/>
      <c r="R324" s="58"/>
    </row>
    <row r="325" spans="8:8">
      <c r="B325" s="8">
        <v>316.0</v>
      </c>
      <c r="C325" s="8" t="s">
        <v>764</v>
      </c>
      <c r="D325" s="8" t="s">
        <v>828</v>
      </c>
      <c r="E325" s="8" t="s">
        <v>526</v>
      </c>
      <c r="F325" s="8" t="s">
        <v>68</v>
      </c>
      <c r="G325" s="8" t="s">
        <v>2362</v>
      </c>
      <c r="H325" s="8" t="s">
        <v>526</v>
      </c>
      <c r="I325" s="8"/>
      <c r="J325" s="60" t="s">
        <v>7211</v>
      </c>
      <c r="K325" s="22">
        <v>0.0</v>
      </c>
      <c r="L325" s="22">
        <f>+SUMIF('حركه المخزن الرئيسي اليوميه'!$F:$F,$H:$H,'حركه المخزن الرئيسي اليوميه'!$H:$H)</f>
        <v>0.0</v>
      </c>
      <c r="M325" s="22">
        <f>+SUMIF('حركه المخزن الرئيسي اليوميه'!$F:$F,$H:$H,'حركه المخزن الرئيسي اليوميه'!$I:$I)</f>
        <v>0.0</v>
      </c>
      <c r="N325" s="22">
        <f t="shared" si="19"/>
        <v>0.0</v>
      </c>
      <c r="O325" s="22">
        <f t="shared" si="20"/>
        <v>0.0</v>
      </c>
      <c r="P325" s="22">
        <f t="shared" si="18"/>
        <v>0.0</v>
      </c>
      <c r="Q325" s="57"/>
      <c r="R325" s="58"/>
    </row>
    <row r="326" spans="8:8">
      <c r="B326" s="8">
        <v>317.0</v>
      </c>
      <c r="C326" s="8" t="s">
        <v>764</v>
      </c>
      <c r="D326" s="8" t="s">
        <v>713</v>
      </c>
      <c r="E326" s="8" t="s">
        <v>664</v>
      </c>
      <c r="F326" s="8" t="s">
        <v>68</v>
      </c>
      <c r="G326" s="8" t="s">
        <v>2382</v>
      </c>
      <c r="H326" s="8" t="s">
        <v>664</v>
      </c>
      <c r="I326" s="8"/>
      <c r="J326" s="60" t="s">
        <v>7212</v>
      </c>
      <c r="K326" s="22">
        <v>0.0</v>
      </c>
      <c r="L326" s="22">
        <f>+SUMIF('حركه المخزن الرئيسي اليوميه'!$F:$F,$H:$H,'حركه المخزن الرئيسي اليوميه'!$H:$H)</f>
        <v>0.0</v>
      </c>
      <c r="M326" s="22">
        <f>+SUMIF('حركه المخزن الرئيسي اليوميه'!$F:$F,$H:$H,'حركه المخزن الرئيسي اليوميه'!$I:$I)</f>
        <v>0.0</v>
      </c>
      <c r="N326" s="22">
        <f t="shared" si="19"/>
        <v>0.0</v>
      </c>
      <c r="O326" s="22">
        <f t="shared" si="20"/>
        <v>0.0</v>
      </c>
      <c r="P326" s="22">
        <f t="shared" si="18"/>
        <v>0.0</v>
      </c>
      <c r="Q326" s="57"/>
      <c r="R326" s="58"/>
    </row>
    <row r="327" spans="8:8">
      <c r="B327" s="8">
        <v>318.0</v>
      </c>
      <c r="C327" s="8" t="s">
        <v>764</v>
      </c>
      <c r="D327" s="8" t="s">
        <v>828</v>
      </c>
      <c r="E327" s="8" t="s">
        <v>521</v>
      </c>
      <c r="F327" s="8" t="s">
        <v>68</v>
      </c>
      <c r="G327" s="8" t="s">
        <v>1744</v>
      </c>
      <c r="H327" s="8" t="s">
        <v>521</v>
      </c>
      <c r="I327" s="8"/>
      <c r="J327" s="60" t="s">
        <v>7213</v>
      </c>
      <c r="K327" s="22">
        <v>0.0</v>
      </c>
      <c r="L327" s="22">
        <f>+SUMIF('حركه المخزن الرئيسي اليوميه'!$F:$F,$H:$H,'حركه المخزن الرئيسي اليوميه'!$H:$H)</f>
        <v>0.0</v>
      </c>
      <c r="M327" s="22">
        <f>+SUMIF('حركه المخزن الرئيسي اليوميه'!$F:$F,$H:$H,'حركه المخزن الرئيسي اليوميه'!$I:$I)</f>
        <v>0.0</v>
      </c>
      <c r="N327" s="22">
        <f t="shared" si="19"/>
        <v>0.0</v>
      </c>
      <c r="O327" s="22">
        <f t="shared" si="20"/>
        <v>0.0</v>
      </c>
      <c r="P327" s="22">
        <f t="shared" si="18"/>
        <v>0.0</v>
      </c>
      <c r="Q327" s="57"/>
      <c r="R327" s="58"/>
    </row>
    <row r="328" spans="8:8">
      <c r="B328" s="8">
        <v>319.0</v>
      </c>
      <c r="C328" s="8" t="s">
        <v>764</v>
      </c>
      <c r="D328" s="8" t="s">
        <v>828</v>
      </c>
      <c r="E328" s="8" t="s">
        <v>533</v>
      </c>
      <c r="F328" s="8" t="s">
        <v>68</v>
      </c>
      <c r="G328" s="8" t="s">
        <v>2365</v>
      </c>
      <c r="H328" s="8" t="s">
        <v>533</v>
      </c>
      <c r="I328" s="8"/>
      <c r="J328" s="60" t="s">
        <v>7214</v>
      </c>
      <c r="K328" s="22">
        <v>0.0</v>
      </c>
      <c r="L328" s="22">
        <f>+SUMIF('حركه المخزن الرئيسي اليوميه'!$F:$F,$H:$H,'حركه المخزن الرئيسي اليوميه'!$H:$H)</f>
        <v>0.0</v>
      </c>
      <c r="M328" s="22">
        <f>+SUMIF('حركه المخزن الرئيسي اليوميه'!$F:$F,$H:$H,'حركه المخزن الرئيسي اليوميه'!$I:$I)</f>
        <v>0.0</v>
      </c>
      <c r="N328" s="22">
        <f t="shared" si="19"/>
        <v>0.0</v>
      </c>
      <c r="O328" s="22">
        <f t="shared" si="20"/>
        <v>0.0</v>
      </c>
      <c r="P328" s="22">
        <f t="shared" si="18"/>
        <v>0.0</v>
      </c>
      <c r="Q328" s="57"/>
      <c r="R328" s="58"/>
    </row>
    <row r="329" spans="8:8">
      <c r="B329" s="8">
        <v>320.0</v>
      </c>
      <c r="C329" s="8" t="s">
        <v>764</v>
      </c>
      <c r="D329" s="8" t="s">
        <v>828</v>
      </c>
      <c r="E329" s="8" t="s">
        <v>516</v>
      </c>
      <c r="F329" s="8" t="s">
        <v>68</v>
      </c>
      <c r="G329" s="8" t="s">
        <v>1828</v>
      </c>
      <c r="H329" s="8" t="s">
        <v>516</v>
      </c>
      <c r="I329" s="8"/>
      <c r="J329" s="60" t="s">
        <v>7215</v>
      </c>
      <c r="K329" s="22">
        <v>0.0</v>
      </c>
      <c r="L329" s="22">
        <f>+SUMIF('حركه المخزن الرئيسي اليوميه'!$F:$F,$H:$H,'حركه المخزن الرئيسي اليوميه'!$H:$H)</f>
        <v>0.0</v>
      </c>
      <c r="M329" s="22">
        <f>+SUMIF('حركه المخزن الرئيسي اليوميه'!$F:$F,$H:$H,'حركه المخزن الرئيسي اليوميه'!$I:$I)</f>
        <v>0.0</v>
      </c>
      <c r="N329" s="22">
        <f t="shared" si="19"/>
        <v>0.0</v>
      </c>
      <c r="O329" s="22">
        <f t="shared" si="20"/>
        <v>0.0</v>
      </c>
      <c r="P329" s="22">
        <f t="shared" si="18"/>
        <v>0.0</v>
      </c>
      <c r="Q329" s="57"/>
      <c r="R329" s="58"/>
    </row>
    <row r="330" spans="8:8">
      <c r="B330" s="8">
        <v>321.0</v>
      </c>
      <c r="C330" s="8" t="s">
        <v>764</v>
      </c>
      <c r="D330" s="8" t="s">
        <v>713</v>
      </c>
      <c r="E330" s="8" t="s">
        <v>667</v>
      </c>
      <c r="F330" s="8" t="s">
        <v>68</v>
      </c>
      <c r="G330" s="8" t="s">
        <v>1575</v>
      </c>
      <c r="H330" s="8" t="s">
        <v>667</v>
      </c>
      <c r="I330" s="55"/>
      <c r="J330" s="60" t="s">
        <v>7216</v>
      </c>
      <c r="K330" s="22">
        <v>0.0</v>
      </c>
      <c r="L330" s="22">
        <f>+SUMIF('حركه المخزن الرئيسي اليوميه'!$F:$F,$H:$H,'حركه المخزن الرئيسي اليوميه'!$H:$H)</f>
        <v>0.0</v>
      </c>
      <c r="M330" s="22">
        <f>+SUMIF('حركه المخزن الرئيسي اليوميه'!$F:$F,$H:$H,'حركه المخزن الرئيسي اليوميه'!$I:$I)</f>
        <v>0.0</v>
      </c>
      <c r="N330" s="22">
        <f t="shared" si="19"/>
        <v>0.0</v>
      </c>
      <c r="O330" s="22">
        <f t="shared" si="20"/>
        <v>0.0</v>
      </c>
      <c r="P330" s="22">
        <f t="shared" si="18"/>
        <v>0.0</v>
      </c>
      <c r="Q330" s="57"/>
      <c r="R330" s="58"/>
    </row>
    <row r="331" spans="8:8">
      <c r="B331" s="8">
        <v>322.0</v>
      </c>
      <c r="C331" s="8" t="s">
        <v>766</v>
      </c>
      <c r="D331" s="8" t="s">
        <v>828</v>
      </c>
      <c r="E331" s="8" t="s">
        <v>463</v>
      </c>
      <c r="F331" s="8" t="s">
        <v>68</v>
      </c>
      <c r="G331" s="8" t="s">
        <v>1575</v>
      </c>
      <c r="H331" s="8" t="s">
        <v>463</v>
      </c>
      <c r="I331" s="55"/>
      <c r="J331" s="60" t="s">
        <v>7217</v>
      </c>
      <c r="K331" s="22">
        <v>0.0</v>
      </c>
      <c r="L331" s="22">
        <f>+SUMIF('حركه المخزن الرئيسي اليوميه'!$F:$F,$H:$H,'حركه المخزن الرئيسي اليوميه'!$H:$H)</f>
        <v>0.0</v>
      </c>
      <c r="M331" s="22">
        <f>+SUMIF('حركه المخزن الرئيسي اليوميه'!$F:$F,$H:$H,'حركه المخزن الرئيسي اليوميه'!$I:$I)</f>
        <v>0.0</v>
      </c>
      <c r="N331" s="22">
        <f t="shared" si="19"/>
        <v>0.0</v>
      </c>
      <c r="O331" s="22">
        <f t="shared" si="20"/>
        <v>0.0</v>
      </c>
      <c r="P331" s="22">
        <f t="shared" si="18"/>
        <v>0.0</v>
      </c>
      <c r="Q331" s="57"/>
      <c r="R331" s="58"/>
    </row>
    <row r="332" spans="8:8">
      <c r="B332" s="8">
        <v>323.0</v>
      </c>
      <c r="C332" s="8" t="s">
        <v>764</v>
      </c>
      <c r="D332" s="8" t="s">
        <v>828</v>
      </c>
      <c r="E332" s="8" t="s">
        <v>539</v>
      </c>
      <c r="F332" s="8" t="s">
        <v>68</v>
      </c>
      <c r="G332" s="8" t="s">
        <v>2367</v>
      </c>
      <c r="H332" s="8" t="s">
        <v>539</v>
      </c>
      <c r="I332" s="55"/>
      <c r="J332" s="60" t="s">
        <v>7218</v>
      </c>
      <c r="K332" s="22">
        <v>0.0</v>
      </c>
      <c r="L332" s="22">
        <f>+SUMIF('حركه المخزن الرئيسي اليوميه'!$F:$F,$H:$H,'حركه المخزن الرئيسي اليوميه'!$H:$H)</f>
        <v>0.0</v>
      </c>
      <c r="M332" s="22">
        <f>+SUMIF('حركه المخزن الرئيسي اليوميه'!$F:$F,$H:$H,'حركه المخزن الرئيسي اليوميه'!$I:$I)</f>
        <v>0.0</v>
      </c>
      <c r="N332" s="22">
        <f t="shared" si="19"/>
        <v>0.0</v>
      </c>
      <c r="O332" s="22">
        <f t="shared" si="20"/>
        <v>0.0</v>
      </c>
      <c r="P332" s="22">
        <f t="shared" si="18"/>
        <v>0.0</v>
      </c>
      <c r="Q332" s="57"/>
      <c r="R332" s="58"/>
    </row>
    <row r="333" spans="8:8">
      <c r="B333" s="8">
        <v>324.0</v>
      </c>
      <c r="C333" s="8" t="s">
        <v>764</v>
      </c>
      <c r="D333" s="8" t="s">
        <v>828</v>
      </c>
      <c r="E333" s="8" t="s">
        <v>507</v>
      </c>
      <c r="F333" s="8" t="s">
        <v>68</v>
      </c>
      <c r="G333" s="8" t="s">
        <v>1743</v>
      </c>
      <c r="H333" s="8" t="s">
        <v>507</v>
      </c>
      <c r="I333" s="55"/>
      <c r="J333" s="60" t="s">
        <v>7219</v>
      </c>
      <c r="K333" s="22">
        <v>0.0</v>
      </c>
      <c r="L333" s="22">
        <f>+SUMIF('حركه المخزن الرئيسي اليوميه'!$F:$F,$H:$H,'حركه المخزن الرئيسي اليوميه'!$H:$H)</f>
        <v>0.0</v>
      </c>
      <c r="M333" s="22">
        <f>+SUMIF('حركه المخزن الرئيسي اليوميه'!$F:$F,$H:$H,'حركه المخزن الرئيسي اليوميه'!$I:$I)</f>
        <v>0.0</v>
      </c>
      <c r="N333" s="22">
        <f t="shared" si="19"/>
        <v>0.0</v>
      </c>
      <c r="O333" s="22">
        <f t="shared" si="20"/>
        <v>0.0</v>
      </c>
      <c r="P333" s="22">
        <f t="shared" si="18"/>
        <v>0.0</v>
      </c>
      <c r="Q333" s="57"/>
      <c r="R333" s="58"/>
    </row>
    <row r="334" spans="8:8">
      <c r="B334" s="8">
        <v>325.0</v>
      </c>
      <c r="C334" s="8" t="s">
        <v>764</v>
      </c>
      <c r="D334" s="8" t="s">
        <v>828</v>
      </c>
      <c r="E334" s="8" t="s">
        <v>543</v>
      </c>
      <c r="F334" s="8" t="s">
        <v>68</v>
      </c>
      <c r="G334" s="8" t="s">
        <v>2370</v>
      </c>
      <c r="H334" s="8" t="s">
        <v>543</v>
      </c>
      <c r="I334" s="55"/>
      <c r="J334" s="60" t="s">
        <v>7220</v>
      </c>
      <c r="K334" s="22">
        <v>0.0</v>
      </c>
      <c r="L334" s="22">
        <f>+SUMIF('حركه المخزن الرئيسي اليوميه'!$F:$F,$H:$H,'حركه المخزن الرئيسي اليوميه'!$H:$H)</f>
        <v>0.0</v>
      </c>
      <c r="M334" s="22">
        <f>+SUMIF('حركه المخزن الرئيسي اليوميه'!$F:$F,$H:$H,'حركه المخزن الرئيسي اليوميه'!$I:$I)</f>
        <v>0.0</v>
      </c>
      <c r="N334" s="22">
        <f t="shared" si="19"/>
        <v>0.0</v>
      </c>
      <c r="O334" s="22">
        <f t="shared" si="20"/>
        <v>0.0</v>
      </c>
      <c r="P334" s="22">
        <f t="shared" si="18"/>
        <v>0.0</v>
      </c>
      <c r="Q334" s="57"/>
      <c r="R334" s="58"/>
    </row>
    <row r="335" spans="8:8">
      <c r="B335" s="8">
        <v>326.0</v>
      </c>
      <c r="C335" s="8" t="s">
        <v>764</v>
      </c>
      <c r="D335" s="8" t="s">
        <v>828</v>
      </c>
      <c r="E335" s="8" t="s">
        <v>2771</v>
      </c>
      <c r="F335" s="8" t="s">
        <v>282</v>
      </c>
      <c r="G335" s="8" t="s">
        <v>1745</v>
      </c>
      <c r="H335" s="8" t="s">
        <v>2771</v>
      </c>
      <c r="I335" s="55" t="s">
        <v>28</v>
      </c>
      <c r="J335" s="60" t="s">
        <v>7221</v>
      </c>
      <c r="K335" s="22">
        <v>0.0</v>
      </c>
      <c r="L335" s="22">
        <f>+SUMIF('حركه المخزن الرئيسي اليوميه'!$F:$F,$H:$H,'حركه المخزن الرئيسي اليوميه'!$H:$H)</f>
        <v>0.0</v>
      </c>
      <c r="M335" s="22">
        <f>+SUMIF('حركه المخزن الرئيسي اليوميه'!$F:$F,$H:$H,'حركه المخزن الرئيسي اليوميه'!$I:$I)</f>
        <v>0.0</v>
      </c>
      <c r="N335" s="22">
        <f t="shared" si="19"/>
        <v>0.0</v>
      </c>
      <c r="O335" s="22">
        <f t="shared" si="20"/>
        <v>0.0</v>
      </c>
      <c r="P335" s="22">
        <f t="shared" si="18"/>
        <v>0.0</v>
      </c>
      <c r="Q335" s="57"/>
      <c r="R335" s="58"/>
    </row>
    <row r="336" spans="8:8">
      <c r="B336" s="8">
        <v>327.0</v>
      </c>
      <c r="C336" s="8" t="s">
        <v>764</v>
      </c>
      <c r="D336" s="8" t="s">
        <v>828</v>
      </c>
      <c r="E336" s="8" t="s">
        <v>2772</v>
      </c>
      <c r="F336" s="8" t="s">
        <v>68</v>
      </c>
      <c r="G336" s="8" t="s">
        <v>1739</v>
      </c>
      <c r="H336" s="8" t="s">
        <v>2772</v>
      </c>
      <c r="I336" s="55"/>
      <c r="J336" s="60" t="s">
        <v>7222</v>
      </c>
      <c r="K336" s="22">
        <v>0.0</v>
      </c>
      <c r="L336" s="22">
        <f>+SUMIF('حركه المخزن الرئيسي اليوميه'!$F:$F,$H:$H,'حركه المخزن الرئيسي اليوميه'!$H:$H)</f>
        <v>0.0</v>
      </c>
      <c r="M336" s="22">
        <f>+SUMIF('حركه المخزن الرئيسي اليوميه'!$F:$F,$H:$H,'حركه المخزن الرئيسي اليوميه'!$I:$I)</f>
        <v>0.0</v>
      </c>
      <c r="N336" s="22">
        <f t="shared" si="19"/>
        <v>0.0</v>
      </c>
      <c r="O336" s="22">
        <f t="shared" si="20"/>
        <v>0.0</v>
      </c>
      <c r="P336" s="22">
        <f t="shared" si="18"/>
        <v>0.0</v>
      </c>
      <c r="Q336" s="57"/>
      <c r="R336" s="58"/>
    </row>
    <row r="337" spans="8:8">
      <c r="B337" s="8">
        <v>328.0</v>
      </c>
      <c r="C337" s="8" t="s">
        <v>764</v>
      </c>
      <c r="D337" s="8" t="s">
        <v>828</v>
      </c>
      <c r="E337" s="8" t="s">
        <v>2773</v>
      </c>
      <c r="F337" s="8" t="s">
        <v>68</v>
      </c>
      <c r="G337" s="8" t="s">
        <v>2366</v>
      </c>
      <c r="H337" s="8" t="s">
        <v>2773</v>
      </c>
      <c r="I337" s="55"/>
      <c r="J337" s="60" t="s">
        <v>7223</v>
      </c>
      <c r="K337" s="22">
        <v>0.0</v>
      </c>
      <c r="L337" s="22">
        <f>+SUMIF('حركه المخزن الرئيسي اليوميه'!$F:$F,$H:$H,'حركه المخزن الرئيسي اليوميه'!$H:$H)</f>
        <v>0.0</v>
      </c>
      <c r="M337" s="22">
        <f>+SUMIF('حركه المخزن الرئيسي اليوميه'!$F:$F,$H:$H,'حركه المخزن الرئيسي اليوميه'!$I:$I)</f>
        <v>0.0</v>
      </c>
      <c r="N337" s="22">
        <f t="shared" si="19"/>
        <v>0.0</v>
      </c>
      <c r="O337" s="22">
        <f t="shared" si="20"/>
        <v>0.0</v>
      </c>
      <c r="P337" s="22">
        <f t="shared" si="18"/>
        <v>0.0</v>
      </c>
      <c r="Q337" s="57"/>
      <c r="R337" s="58"/>
    </row>
    <row r="338" spans="8:8">
      <c r="B338" s="8">
        <v>329.0</v>
      </c>
      <c r="C338" s="8" t="s">
        <v>828</v>
      </c>
      <c r="D338" s="8" t="s">
        <v>820</v>
      </c>
      <c r="E338" s="8" t="s">
        <v>2774</v>
      </c>
      <c r="F338" s="8" t="s">
        <v>1139</v>
      </c>
      <c r="G338" s="8" t="s">
        <v>1784</v>
      </c>
      <c r="H338" s="8" t="s">
        <v>2774</v>
      </c>
      <c r="I338" s="55"/>
      <c r="J338" s="60" t="s">
        <v>7224</v>
      </c>
      <c r="K338" s="22">
        <v>0.0</v>
      </c>
      <c r="L338" s="22">
        <f>+SUMIF('حركه المخزن الرئيسي اليوميه'!$F:$F,$H:$H,'حركه المخزن الرئيسي اليوميه'!$H:$H)</f>
        <v>0.0</v>
      </c>
      <c r="M338" s="22">
        <f>+SUMIF('حركه المخزن الرئيسي اليوميه'!$F:$F,$H:$H,'حركه المخزن الرئيسي اليوميه'!$I:$I)</f>
        <v>0.0</v>
      </c>
      <c r="N338" s="22">
        <f t="shared" si="19"/>
        <v>0.0</v>
      </c>
      <c r="O338" s="22">
        <f t="shared" si="20"/>
        <v>0.0</v>
      </c>
      <c r="P338" s="22">
        <f t="shared" si="21" ref="P338:P369">+N338-O338</f>
        <v>0.0</v>
      </c>
      <c r="Q338" s="57"/>
      <c r="R338" s="58"/>
    </row>
    <row r="339" spans="8:8">
      <c r="B339" s="8">
        <v>330.0</v>
      </c>
      <c r="C339" s="8" t="s">
        <v>828</v>
      </c>
      <c r="D339" s="8" t="s">
        <v>820</v>
      </c>
      <c r="E339" s="8" t="s">
        <v>8129</v>
      </c>
      <c r="F339" s="8" t="s">
        <v>1139</v>
      </c>
      <c r="G339" s="8" t="s">
        <v>1784</v>
      </c>
      <c r="H339" s="8" t="s">
        <v>8129</v>
      </c>
      <c r="I339" s="55" t="s">
        <v>818</v>
      </c>
      <c r="J339" s="60" t="s">
        <v>7225</v>
      </c>
      <c r="K339" s="22">
        <v>0.0</v>
      </c>
      <c r="L339" s="22">
        <f>+SUMIF('حركه المخزن الرئيسي اليوميه'!$F:$F,$H:$H,'حركه المخزن الرئيسي اليوميه'!$H:$H)</f>
        <v>0.0</v>
      </c>
      <c r="M339" s="22">
        <f>+SUMIF('حركه المخزن الرئيسي اليوميه'!$F:$F,$H:$H,'حركه المخزن الرئيسي اليوميه'!$I:$I)</f>
        <v>0.0</v>
      </c>
      <c r="N339" s="22">
        <f t="shared" si="19"/>
        <v>0.0</v>
      </c>
      <c r="O339" s="22">
        <f t="shared" si="20"/>
        <v>0.0</v>
      </c>
      <c r="P339" s="22">
        <f t="shared" si="21"/>
        <v>0.0</v>
      </c>
      <c r="Q339" s="57"/>
      <c r="R339" s="58"/>
    </row>
    <row r="340" spans="8:8">
      <c r="B340" s="8">
        <v>331.0</v>
      </c>
      <c r="C340" s="8" t="s">
        <v>764</v>
      </c>
      <c r="D340" s="8" t="s">
        <v>828</v>
      </c>
      <c r="E340" s="8" t="s">
        <v>542</v>
      </c>
      <c r="F340" s="8" t="s">
        <v>68</v>
      </c>
      <c r="G340" s="8" t="s">
        <v>1737</v>
      </c>
      <c r="H340" s="8" t="s">
        <v>542</v>
      </c>
      <c r="I340" s="55"/>
      <c r="J340" s="60" t="s">
        <v>7226</v>
      </c>
      <c r="K340" s="22">
        <v>0.0</v>
      </c>
      <c r="L340" s="22">
        <f>+SUMIF('حركه المخزن الرئيسي اليوميه'!$F:$F,$H:$H,'حركه المخزن الرئيسي اليوميه'!$H:$H)</f>
        <v>0.0</v>
      </c>
      <c r="M340" s="22">
        <f>+SUMIF('حركه المخزن الرئيسي اليوميه'!$F:$F,$H:$H,'حركه المخزن الرئيسي اليوميه'!$I:$I)</f>
        <v>0.0</v>
      </c>
      <c r="N340" s="22">
        <f t="shared" si="19"/>
        <v>0.0</v>
      </c>
      <c r="O340" s="22">
        <f t="shared" si="20"/>
        <v>0.0</v>
      </c>
      <c r="P340" s="22">
        <f t="shared" si="21"/>
        <v>0.0</v>
      </c>
      <c r="Q340" s="57"/>
      <c r="R340" s="58"/>
    </row>
    <row r="341" spans="8:8">
      <c r="B341" s="8">
        <v>332.0</v>
      </c>
      <c r="C341" s="8" t="s">
        <v>764</v>
      </c>
      <c r="D341" s="8" t="s">
        <v>828</v>
      </c>
      <c r="E341" s="8" t="s">
        <v>2776</v>
      </c>
      <c r="F341" s="8" t="s">
        <v>68</v>
      </c>
      <c r="G341" s="8" t="s">
        <v>1736</v>
      </c>
      <c r="H341" s="8" t="s">
        <v>2776</v>
      </c>
      <c r="I341" s="55"/>
      <c r="J341" s="60" t="s">
        <v>7227</v>
      </c>
      <c r="K341" s="22">
        <v>0.0</v>
      </c>
      <c r="L341" s="22">
        <f>+SUMIF('حركه المخزن الرئيسي اليوميه'!$F:$F,$H:$H,'حركه المخزن الرئيسي اليوميه'!$H:$H)</f>
        <v>0.0</v>
      </c>
      <c r="M341" s="22">
        <f>+SUMIF('حركه المخزن الرئيسي اليوميه'!$F:$F,$H:$H,'حركه المخزن الرئيسي اليوميه'!$I:$I)</f>
        <v>0.0</v>
      </c>
      <c r="N341" s="22">
        <f t="shared" si="19"/>
        <v>0.0</v>
      </c>
      <c r="O341" s="22">
        <f t="shared" si="20"/>
        <v>0.0</v>
      </c>
      <c r="P341" s="22">
        <f t="shared" si="21"/>
        <v>0.0</v>
      </c>
      <c r="Q341" s="57"/>
      <c r="R341" s="58"/>
    </row>
    <row r="342" spans="8:8">
      <c r="B342" s="8">
        <v>333.0</v>
      </c>
      <c r="C342" s="8" t="s">
        <v>828</v>
      </c>
      <c r="D342" s="8" t="s">
        <v>828</v>
      </c>
      <c r="E342" s="8" t="s">
        <v>1066</v>
      </c>
      <c r="F342" s="8" t="s">
        <v>122</v>
      </c>
      <c r="G342" s="8"/>
      <c r="H342" s="8" t="s">
        <v>1066</v>
      </c>
      <c r="I342" s="8"/>
      <c r="J342" s="60" t="s">
        <v>7228</v>
      </c>
      <c r="K342" s="22">
        <v>0.0</v>
      </c>
      <c r="L342" s="22">
        <f>+SUMIF('حركه المخزن الرئيسي اليوميه'!$F:$F,$H:$H,'حركه المخزن الرئيسي اليوميه'!$H:$H)</f>
        <v>0.0</v>
      </c>
      <c r="M342" s="22">
        <f>+SUMIF('حركه المخزن الرئيسي اليوميه'!$F:$F,$H:$H,'حركه المخزن الرئيسي اليوميه'!$I:$I)</f>
        <v>0.0</v>
      </c>
      <c r="N342" s="22">
        <f t="shared" si="19"/>
        <v>0.0</v>
      </c>
      <c r="O342" s="22">
        <f t="shared" si="20"/>
        <v>0.0</v>
      </c>
      <c r="P342" s="22">
        <f t="shared" si="21"/>
        <v>0.0</v>
      </c>
      <c r="Q342" s="57"/>
      <c r="R342" s="58"/>
    </row>
    <row r="343" spans="8:8">
      <c r="B343" s="8">
        <v>334.0</v>
      </c>
      <c r="C343" s="8" t="s">
        <v>764</v>
      </c>
      <c r="D343" s="8" t="s">
        <v>828</v>
      </c>
      <c r="E343" s="8" t="s">
        <v>552</v>
      </c>
      <c r="F343" s="8" t="s">
        <v>68</v>
      </c>
      <c r="G343" s="8" t="s">
        <v>1753</v>
      </c>
      <c r="H343" s="8" t="s">
        <v>552</v>
      </c>
      <c r="I343" s="55"/>
      <c r="J343" s="60" t="s">
        <v>7229</v>
      </c>
      <c r="K343" s="22">
        <v>0.0</v>
      </c>
      <c r="L343" s="22">
        <f>+SUMIF('حركه المخزن الرئيسي اليوميه'!$F:$F,$H:$H,'حركه المخزن الرئيسي اليوميه'!$H:$H)</f>
        <v>0.0</v>
      </c>
      <c r="M343" s="22">
        <f>+SUMIF('حركه المخزن الرئيسي اليوميه'!$F:$F,$H:$H,'حركه المخزن الرئيسي اليوميه'!$I:$I)</f>
        <v>0.0</v>
      </c>
      <c r="N343" s="22">
        <f t="shared" si="19"/>
        <v>0.0</v>
      </c>
      <c r="O343" s="22">
        <f t="shared" si="20"/>
        <v>0.0</v>
      </c>
      <c r="P343" s="22">
        <f t="shared" si="21"/>
        <v>0.0</v>
      </c>
      <c r="Q343" s="57"/>
      <c r="R343" s="58"/>
    </row>
    <row r="344" spans="8:8">
      <c r="B344" s="8">
        <v>335.0</v>
      </c>
      <c r="C344" s="8" t="s">
        <v>764</v>
      </c>
      <c r="D344" s="8" t="s">
        <v>828</v>
      </c>
      <c r="E344" s="8" t="s">
        <v>3275</v>
      </c>
      <c r="F344" s="8" t="s">
        <v>68</v>
      </c>
      <c r="G344" s="8" t="s">
        <v>1734</v>
      </c>
      <c r="H344" s="8" t="s">
        <v>3275</v>
      </c>
      <c r="I344" s="55" t="s">
        <v>818</v>
      </c>
      <c r="J344" s="60" t="s">
        <v>7230</v>
      </c>
      <c r="K344" s="22">
        <v>0.0</v>
      </c>
      <c r="L344" s="22">
        <f>+SUMIF('حركه المخزن الرئيسي اليوميه'!$F:$F,$H:$H,'حركه المخزن الرئيسي اليوميه'!$H:$H)</f>
        <v>0.0</v>
      </c>
      <c r="M344" s="22">
        <f>+SUMIF('حركه المخزن الرئيسي اليوميه'!$F:$F,$H:$H,'حركه المخزن الرئيسي اليوميه'!$I:$I)</f>
        <v>0.0</v>
      </c>
      <c r="N344" s="22">
        <f t="shared" si="19"/>
        <v>0.0</v>
      </c>
      <c r="O344" s="22">
        <f t="shared" si="20"/>
        <v>0.0</v>
      </c>
      <c r="P344" s="22">
        <f t="shared" si="21"/>
        <v>0.0</v>
      </c>
      <c r="Q344" s="57"/>
      <c r="R344" s="58"/>
    </row>
    <row r="345" spans="8:8">
      <c r="B345" s="8">
        <v>336.0</v>
      </c>
      <c r="C345" s="8" t="s">
        <v>764</v>
      </c>
      <c r="D345" s="8" t="s">
        <v>828</v>
      </c>
      <c r="E345" s="8" t="s">
        <v>3881</v>
      </c>
      <c r="F345" s="8" t="s">
        <v>68</v>
      </c>
      <c r="G345" s="8" t="s">
        <v>1738</v>
      </c>
      <c r="H345" s="8" t="s">
        <v>3881</v>
      </c>
      <c r="I345" s="8" t="s">
        <v>224</v>
      </c>
      <c r="J345" s="60" t="s">
        <v>7231</v>
      </c>
      <c r="K345" s="22">
        <v>0.0</v>
      </c>
      <c r="L345" s="22">
        <f>+SUMIF('حركه المخزن الرئيسي اليوميه'!$F:$F,$H:$H,'حركه المخزن الرئيسي اليوميه'!$H:$H)</f>
        <v>0.0</v>
      </c>
      <c r="M345" s="22">
        <f>+SUMIF('حركه المخزن الرئيسي اليوميه'!$F:$F,$H:$H,'حركه المخزن الرئيسي اليوميه'!$I:$I)</f>
        <v>0.0</v>
      </c>
      <c r="N345" s="22">
        <f t="shared" si="19"/>
        <v>0.0</v>
      </c>
      <c r="O345" s="22">
        <f t="shared" si="20"/>
        <v>0.0</v>
      </c>
      <c r="P345" s="22">
        <f t="shared" si="21"/>
        <v>0.0</v>
      </c>
      <c r="Q345" s="57"/>
      <c r="R345" s="58"/>
    </row>
    <row r="346" spans="8:8">
      <c r="B346" s="8">
        <v>337.0</v>
      </c>
      <c r="C346" s="8" t="s">
        <v>764</v>
      </c>
      <c r="D346" s="8" t="s">
        <v>828</v>
      </c>
      <c r="E346" s="8" t="s">
        <v>484</v>
      </c>
      <c r="F346" s="8" t="s">
        <v>68</v>
      </c>
      <c r="G346" s="8" t="s">
        <v>1729</v>
      </c>
      <c r="H346" s="8" t="s">
        <v>484</v>
      </c>
      <c r="I346" s="55"/>
      <c r="J346" s="60" t="s">
        <v>7232</v>
      </c>
      <c r="K346" s="22">
        <v>0.0</v>
      </c>
      <c r="L346" s="22">
        <f>+SUMIF('حركه المخزن الرئيسي اليوميه'!$F:$F,$H:$H,'حركه المخزن الرئيسي اليوميه'!$H:$H)</f>
        <v>0.0</v>
      </c>
      <c r="M346" s="22">
        <f>+SUMIF('حركه المخزن الرئيسي اليوميه'!$F:$F,$H:$H,'حركه المخزن الرئيسي اليوميه'!$I:$I)</f>
        <v>0.0</v>
      </c>
      <c r="N346" s="22">
        <f t="shared" si="19"/>
        <v>0.0</v>
      </c>
      <c r="O346" s="22">
        <f t="shared" si="20"/>
        <v>0.0</v>
      </c>
      <c r="P346" s="22">
        <f t="shared" si="21"/>
        <v>0.0</v>
      </c>
      <c r="Q346" s="57"/>
      <c r="R346" s="58"/>
    </row>
    <row r="347" spans="8:8">
      <c r="B347" s="8">
        <v>338.0</v>
      </c>
      <c r="C347" s="8" t="s">
        <v>764</v>
      </c>
      <c r="D347" s="8" t="s">
        <v>828</v>
      </c>
      <c r="E347" s="8" t="s">
        <v>485</v>
      </c>
      <c r="F347" s="8" t="s">
        <v>68</v>
      </c>
      <c r="G347" s="8" t="s">
        <v>1735</v>
      </c>
      <c r="H347" s="8" t="s">
        <v>485</v>
      </c>
      <c r="I347" s="55"/>
      <c r="J347" s="60" t="s">
        <v>7233</v>
      </c>
      <c r="K347" s="22">
        <v>0.0</v>
      </c>
      <c r="L347" s="22">
        <f>+SUMIF('حركه المخزن الرئيسي اليوميه'!$F:$F,$H:$H,'حركه المخزن الرئيسي اليوميه'!$H:$H)</f>
        <v>0.0</v>
      </c>
      <c r="M347" s="22">
        <f>+SUMIF('حركه المخزن الرئيسي اليوميه'!$F:$F,$H:$H,'حركه المخزن الرئيسي اليوميه'!$I:$I)</f>
        <v>0.0</v>
      </c>
      <c r="N347" s="22">
        <f t="shared" si="19"/>
        <v>0.0</v>
      </c>
      <c r="O347" s="22">
        <f t="shared" si="20"/>
        <v>0.0</v>
      </c>
      <c r="P347" s="22">
        <f t="shared" si="21"/>
        <v>0.0</v>
      </c>
      <c r="Q347" s="57"/>
      <c r="R347" s="58"/>
    </row>
    <row r="348" spans="8:8">
      <c r="B348" s="8">
        <v>339.0</v>
      </c>
      <c r="C348" s="8" t="s">
        <v>764</v>
      </c>
      <c r="D348" s="8" t="s">
        <v>828</v>
      </c>
      <c r="E348" s="8" t="s">
        <v>556</v>
      </c>
      <c r="F348" s="8" t="s">
        <v>68</v>
      </c>
      <c r="G348" s="8" t="s">
        <v>2374</v>
      </c>
      <c r="H348" s="8" t="s">
        <v>556</v>
      </c>
      <c r="I348" s="55"/>
      <c r="J348" s="60" t="s">
        <v>7234</v>
      </c>
      <c r="K348" s="22">
        <v>0.0</v>
      </c>
      <c r="L348" s="22">
        <f>+SUMIF('حركه المخزن الرئيسي اليوميه'!$F:$F,$H:$H,'حركه المخزن الرئيسي اليوميه'!$H:$H)</f>
        <v>0.0</v>
      </c>
      <c r="M348" s="22">
        <f>+SUMIF('حركه المخزن الرئيسي اليوميه'!$F:$F,$H:$H,'حركه المخزن الرئيسي اليوميه'!$I:$I)</f>
        <v>0.0</v>
      </c>
      <c r="N348" s="22">
        <f t="shared" si="19"/>
        <v>0.0</v>
      </c>
      <c r="O348" s="22">
        <f t="shared" si="20"/>
        <v>0.0</v>
      </c>
      <c r="P348" s="22">
        <f t="shared" si="21"/>
        <v>0.0</v>
      </c>
      <c r="Q348" s="57"/>
      <c r="R348" s="58"/>
    </row>
    <row r="349" spans="8:8">
      <c r="B349" s="8">
        <v>340.0</v>
      </c>
      <c r="C349" s="8" t="s">
        <v>828</v>
      </c>
      <c r="D349" s="8" t="s">
        <v>820</v>
      </c>
      <c r="E349" s="8" t="s">
        <v>1396</v>
      </c>
      <c r="F349" s="8" t="s">
        <v>68</v>
      </c>
      <c r="G349" s="8" t="s">
        <v>2433</v>
      </c>
      <c r="H349" s="8" t="s">
        <v>1396</v>
      </c>
      <c r="I349" s="8"/>
      <c r="J349" s="60" t="s">
        <v>7235</v>
      </c>
      <c r="K349" s="22">
        <v>0.0</v>
      </c>
      <c r="L349" s="22">
        <f>+SUMIF('حركه المخزن الرئيسي اليوميه'!$F:$F,$H:$H,'حركه المخزن الرئيسي اليوميه'!$H:$H)</f>
        <v>0.0</v>
      </c>
      <c r="M349" s="22">
        <f>+SUMIF('حركه المخزن الرئيسي اليوميه'!$F:$F,$H:$H,'حركه المخزن الرئيسي اليوميه'!$I:$I)</f>
        <v>0.0</v>
      </c>
      <c r="N349" s="22">
        <f t="shared" si="19"/>
        <v>0.0</v>
      </c>
      <c r="O349" s="22">
        <f t="shared" si="20"/>
        <v>0.0</v>
      </c>
      <c r="P349" s="22">
        <f t="shared" si="21"/>
        <v>0.0</v>
      </c>
      <c r="Q349" s="57"/>
      <c r="R349" s="58"/>
    </row>
    <row r="350" spans="8:8">
      <c r="B350" s="8">
        <v>341.0</v>
      </c>
      <c r="C350" s="8" t="s">
        <v>766</v>
      </c>
      <c r="D350" s="8" t="s">
        <v>828</v>
      </c>
      <c r="E350" s="8" t="s">
        <v>2927</v>
      </c>
      <c r="F350" s="8" t="s">
        <v>68</v>
      </c>
      <c r="G350" s="8" t="s">
        <v>1747</v>
      </c>
      <c r="H350" s="8" t="s">
        <v>1396</v>
      </c>
      <c r="I350" s="8" t="s">
        <v>818</v>
      </c>
      <c r="J350" s="60" t="s">
        <v>7236</v>
      </c>
      <c r="K350" s="22">
        <v>0.0</v>
      </c>
      <c r="L350" s="22">
        <f>+SUMIF('حركه المخزن الرئيسي اليوميه'!$F:$F,$H:$H,'حركه المخزن الرئيسي اليوميه'!$H:$H)</f>
        <v>0.0</v>
      </c>
      <c r="M350" s="22">
        <f>+SUMIF('حركه المخزن الرئيسي اليوميه'!$F:$F,$H:$H,'حركه المخزن الرئيسي اليوميه'!$I:$I)</f>
        <v>0.0</v>
      </c>
      <c r="N350" s="22">
        <f t="shared" si="19"/>
        <v>0.0</v>
      </c>
      <c r="O350" s="22">
        <f t="shared" si="20"/>
        <v>0.0</v>
      </c>
      <c r="P350" s="22">
        <f t="shared" si="21"/>
        <v>0.0</v>
      </c>
      <c r="Q350" s="57"/>
      <c r="R350" s="58"/>
    </row>
    <row r="351" spans="8:8">
      <c r="B351" s="8">
        <v>342.0</v>
      </c>
      <c r="C351" s="8" t="s">
        <v>766</v>
      </c>
      <c r="D351" s="8" t="s">
        <v>828</v>
      </c>
      <c r="E351" s="8" t="s">
        <v>1048</v>
      </c>
      <c r="F351" s="8" t="s">
        <v>876</v>
      </c>
      <c r="G351" s="8" t="s">
        <v>1648</v>
      </c>
      <c r="H351" s="8" t="s">
        <v>1048</v>
      </c>
      <c r="I351" s="8"/>
      <c r="J351" s="60" t="s">
        <v>7237</v>
      </c>
      <c r="K351" s="22">
        <v>0.0</v>
      </c>
      <c r="L351" s="22">
        <f>+SUMIF('حركه المخزن الرئيسي اليوميه'!$F:$F,$H:$H,'حركه المخزن الرئيسي اليوميه'!$H:$H)</f>
        <v>0.0</v>
      </c>
      <c r="M351" s="22">
        <f>+SUMIF('حركه المخزن الرئيسي اليوميه'!$F:$F,$H:$H,'حركه المخزن الرئيسي اليوميه'!$I:$I)</f>
        <v>0.0</v>
      </c>
      <c r="N351" s="22">
        <f t="shared" si="19"/>
        <v>0.0</v>
      </c>
      <c r="O351" s="22">
        <f t="shared" si="20"/>
        <v>0.0</v>
      </c>
      <c r="P351" s="22">
        <f t="shared" si="21"/>
        <v>0.0</v>
      </c>
      <c r="Q351" s="57"/>
      <c r="R351" s="58"/>
    </row>
    <row r="352" spans="8:8">
      <c r="B352" s="8">
        <v>343.0</v>
      </c>
      <c r="C352" s="8" t="s">
        <v>764</v>
      </c>
      <c r="D352" s="8" t="s">
        <v>828</v>
      </c>
      <c r="E352" s="8" t="s">
        <v>2715</v>
      </c>
      <c r="F352" s="8" t="s">
        <v>68</v>
      </c>
      <c r="G352" s="8" t="s">
        <v>1825</v>
      </c>
      <c r="H352" s="8" t="s">
        <v>2715</v>
      </c>
      <c r="I352" s="8"/>
      <c r="J352" s="60" t="s">
        <v>7238</v>
      </c>
      <c r="K352" s="22">
        <v>0.0</v>
      </c>
      <c r="L352" s="22">
        <f>+SUMIF('حركه المخزن الرئيسي اليوميه'!$F:$F,$H:$H,'حركه المخزن الرئيسي اليوميه'!$H:$H)</f>
        <v>0.0</v>
      </c>
      <c r="M352" s="22">
        <f>+SUMIF('حركه المخزن الرئيسي اليوميه'!$F:$F,$H:$H,'حركه المخزن الرئيسي اليوميه'!$I:$I)</f>
        <v>0.0</v>
      </c>
      <c r="N352" s="22">
        <f t="shared" si="19"/>
        <v>0.0</v>
      </c>
      <c r="O352" s="22">
        <f t="shared" si="20"/>
        <v>0.0</v>
      </c>
      <c r="P352" s="22">
        <f t="shared" si="21"/>
        <v>0.0</v>
      </c>
      <c r="Q352" s="57"/>
      <c r="R352" s="58"/>
    </row>
    <row r="353" spans="8:8">
      <c r="B353" s="8">
        <v>344.0</v>
      </c>
      <c r="C353" s="8" t="s">
        <v>828</v>
      </c>
      <c r="D353" s="8" t="s">
        <v>820</v>
      </c>
      <c r="E353" s="8" t="s">
        <v>1155</v>
      </c>
      <c r="F353" s="8" t="s">
        <v>92</v>
      </c>
      <c r="G353" s="8" t="s">
        <v>1783</v>
      </c>
      <c r="H353" s="8" t="s">
        <v>1155</v>
      </c>
      <c r="I353" s="55"/>
      <c r="J353" s="60" t="s">
        <v>7239</v>
      </c>
      <c r="K353" s="22">
        <v>0.0</v>
      </c>
      <c r="L353" s="22">
        <f>+SUMIF('حركه المخزن الرئيسي اليوميه'!$F:$F,$H:$H,'حركه المخزن الرئيسي اليوميه'!$H:$H)</f>
        <v>0.0</v>
      </c>
      <c r="M353" s="22">
        <f>+SUMIF('حركه المخزن الرئيسي اليوميه'!$F:$F,$H:$H,'حركه المخزن الرئيسي اليوميه'!$I:$I)</f>
        <v>0.0</v>
      </c>
      <c r="N353" s="22">
        <f t="shared" si="19"/>
        <v>0.0</v>
      </c>
      <c r="O353" s="22">
        <f t="shared" si="20"/>
        <v>0.0</v>
      </c>
      <c r="P353" s="22">
        <f t="shared" si="21"/>
        <v>0.0</v>
      </c>
      <c r="Q353" s="57"/>
      <c r="R353" s="58"/>
    </row>
    <row r="354" spans="8:8">
      <c r="B354" s="8">
        <v>345.0</v>
      </c>
      <c r="C354" s="74" t="s">
        <v>764</v>
      </c>
      <c r="D354" s="8" t="s">
        <v>828</v>
      </c>
      <c r="E354" s="8" t="s">
        <v>498</v>
      </c>
      <c r="F354" s="8" t="s">
        <v>68</v>
      </c>
      <c r="G354" s="8" t="s">
        <v>2351</v>
      </c>
      <c r="H354" s="8" t="s">
        <v>498</v>
      </c>
      <c r="I354" s="8" t="s">
        <v>89</v>
      </c>
      <c r="J354" s="60" t="s">
        <v>7240</v>
      </c>
      <c r="K354" s="22">
        <v>2.0</v>
      </c>
      <c r="L354" s="22">
        <f>+SUMIF('حركه المخزن الرئيسي اليوميه'!$F:$F,$H:$H,'حركه المخزن الرئيسي اليوميه'!$H:$H)</f>
        <v>0.0</v>
      </c>
      <c r="M354" s="22">
        <f>+SUMIF('حركه المخزن الرئيسي اليوميه'!$F:$F,$H:$H,'حركه المخزن الرئيسي اليوميه'!$I:$I)</f>
        <v>0.0</v>
      </c>
      <c r="N354" s="22">
        <f t="shared" si="19"/>
        <v>2.0</v>
      </c>
      <c r="O354" s="22">
        <f t="shared" si="20"/>
        <v>2.0</v>
      </c>
      <c r="P354" s="22">
        <f t="shared" si="21"/>
        <v>0.0</v>
      </c>
      <c r="Q354" s="57"/>
      <c r="R354" s="58"/>
    </row>
    <row r="355" spans="8:8">
      <c r="B355" s="8">
        <v>346.0</v>
      </c>
      <c r="C355" s="8" t="s">
        <v>764</v>
      </c>
      <c r="D355" s="8" t="s">
        <v>828</v>
      </c>
      <c r="E355" s="8" t="s">
        <v>476</v>
      </c>
      <c r="F355" s="8" t="s">
        <v>68</v>
      </c>
      <c r="G355" s="8" t="s">
        <v>1732</v>
      </c>
      <c r="H355" s="8" t="s">
        <v>583</v>
      </c>
      <c r="I355" s="8"/>
      <c r="J355" s="60" t="s">
        <v>7241</v>
      </c>
      <c r="K355" s="22">
        <v>0.0</v>
      </c>
      <c r="L355" s="22">
        <f>+SUMIF('حركه المخزن الرئيسي اليوميه'!$F:$F,$H:$H,'حركه المخزن الرئيسي اليوميه'!$H:$H)</f>
        <v>0.0</v>
      </c>
      <c r="M355" s="22">
        <f>+SUMIF('حركه المخزن الرئيسي اليوميه'!$F:$F,$H:$H,'حركه المخزن الرئيسي اليوميه'!$I:$I)</f>
        <v>0.0</v>
      </c>
      <c r="N355" s="22">
        <f t="shared" si="19"/>
        <v>0.0</v>
      </c>
      <c r="O355" s="22">
        <f t="shared" si="20"/>
        <v>0.0</v>
      </c>
      <c r="P355" s="22">
        <f t="shared" si="21"/>
        <v>0.0</v>
      </c>
      <c r="Q355" s="57"/>
      <c r="R355" s="58"/>
    </row>
    <row r="356" spans="8:8">
      <c r="B356" s="8">
        <v>347.0</v>
      </c>
      <c r="C356" s="8" t="s">
        <v>764</v>
      </c>
      <c r="D356" s="8" t="s">
        <v>828</v>
      </c>
      <c r="E356" s="8" t="s">
        <v>548</v>
      </c>
      <c r="F356" s="8" t="s">
        <v>68</v>
      </c>
      <c r="G356" s="8"/>
      <c r="H356" s="8" t="s">
        <v>548</v>
      </c>
      <c r="I356" s="8"/>
      <c r="J356" s="60" t="s">
        <v>7242</v>
      </c>
      <c r="K356" s="22">
        <v>0.0</v>
      </c>
      <c r="L356" s="22">
        <f>+SUMIF('حركه المخزن الرئيسي اليوميه'!$F:$F,$H:$H,'حركه المخزن الرئيسي اليوميه'!$H:$H)</f>
        <v>0.0</v>
      </c>
      <c r="M356" s="22">
        <f>+SUMIF('حركه المخزن الرئيسي اليوميه'!$F:$F,$H:$H,'حركه المخزن الرئيسي اليوميه'!$I:$I)</f>
        <v>0.0</v>
      </c>
      <c r="N356" s="22">
        <f t="shared" si="19"/>
        <v>0.0</v>
      </c>
      <c r="O356" s="22">
        <f t="shared" si="20"/>
        <v>0.0</v>
      </c>
      <c r="P356" s="22">
        <f t="shared" si="21"/>
        <v>0.0</v>
      </c>
      <c r="Q356" s="57"/>
      <c r="R356" s="58"/>
    </row>
    <row r="357" spans="8:8">
      <c r="B357" s="8">
        <v>348.0</v>
      </c>
      <c r="C357" s="8" t="s">
        <v>764</v>
      </c>
      <c r="D357" s="8" t="s">
        <v>828</v>
      </c>
      <c r="E357" s="8" t="s">
        <v>522</v>
      </c>
      <c r="F357" s="8" t="s">
        <v>68</v>
      </c>
      <c r="G357" s="8" t="s">
        <v>2360</v>
      </c>
      <c r="H357" s="8" t="s">
        <v>522</v>
      </c>
      <c r="I357" s="55" t="s">
        <v>818</v>
      </c>
      <c r="J357" s="60" t="s">
        <v>7243</v>
      </c>
      <c r="K357" s="22">
        <v>0.0</v>
      </c>
      <c r="L357" s="22">
        <f>+SUMIF('حركه المخزن الرئيسي اليوميه'!$F:$F,$H:$H,'حركه المخزن الرئيسي اليوميه'!$H:$H)</f>
        <v>0.0</v>
      </c>
      <c r="M357" s="22">
        <f>+SUMIF('حركه المخزن الرئيسي اليوميه'!$F:$F,$H:$H,'حركه المخزن الرئيسي اليوميه'!$I:$I)</f>
        <v>0.0</v>
      </c>
      <c r="N357" s="22">
        <f t="shared" si="19"/>
        <v>0.0</v>
      </c>
      <c r="O357" s="22">
        <f t="shared" si="20"/>
        <v>0.0</v>
      </c>
      <c r="P357" s="22">
        <f t="shared" si="21"/>
        <v>0.0</v>
      </c>
      <c r="Q357" s="57"/>
      <c r="R357" s="58"/>
    </row>
    <row r="358" spans="8:8">
      <c r="B358" s="8">
        <v>349.0</v>
      </c>
      <c r="C358" s="8" t="s">
        <v>764</v>
      </c>
      <c r="D358" s="8" t="s">
        <v>828</v>
      </c>
      <c r="E358" s="8" t="s">
        <v>508</v>
      </c>
      <c r="F358" s="8" t="s">
        <v>68</v>
      </c>
      <c r="G358" s="8" t="s">
        <v>2356</v>
      </c>
      <c r="H358" s="8" t="s">
        <v>508</v>
      </c>
      <c r="I358" s="55"/>
      <c r="J358" s="60" t="s">
        <v>7244</v>
      </c>
      <c r="K358" s="22">
        <v>0.0</v>
      </c>
      <c r="L358" s="22">
        <f>+SUMIF('حركه المخزن الرئيسي اليوميه'!$F:$F,$H:$H,'حركه المخزن الرئيسي اليوميه'!$H:$H)</f>
        <v>0.0</v>
      </c>
      <c r="M358" s="22">
        <f>+SUMIF('حركه المخزن الرئيسي اليوميه'!$F:$F,$H:$H,'حركه المخزن الرئيسي اليوميه'!$I:$I)</f>
        <v>0.0</v>
      </c>
      <c r="N358" s="22">
        <f t="shared" si="19"/>
        <v>0.0</v>
      </c>
      <c r="O358" s="22">
        <f t="shared" si="20"/>
        <v>0.0</v>
      </c>
      <c r="P358" s="22">
        <f t="shared" si="21"/>
        <v>0.0</v>
      </c>
      <c r="Q358" s="57"/>
      <c r="R358" s="58"/>
    </row>
    <row r="359" spans="8:8">
      <c r="B359" s="8">
        <v>350.0</v>
      </c>
      <c r="C359" s="8" t="s">
        <v>764</v>
      </c>
      <c r="D359" s="8" t="s">
        <v>713</v>
      </c>
      <c r="E359" s="8" t="s">
        <v>668</v>
      </c>
      <c r="F359" s="8" t="s">
        <v>68</v>
      </c>
      <c r="G359" s="8"/>
      <c r="H359" s="8" t="s">
        <v>668</v>
      </c>
      <c r="I359" s="55"/>
      <c r="J359" s="60" t="s">
        <v>7245</v>
      </c>
      <c r="K359" s="22">
        <v>0.0</v>
      </c>
      <c r="L359" s="22">
        <f>+SUMIF('حركه المخزن الرئيسي اليوميه'!$F:$F,$H:$H,'حركه المخزن الرئيسي اليوميه'!$H:$H)</f>
        <v>0.0</v>
      </c>
      <c r="M359" s="22">
        <f>+SUMIF('حركه المخزن الرئيسي اليوميه'!$F:$F,$H:$H,'حركه المخزن الرئيسي اليوميه'!$I:$I)</f>
        <v>0.0</v>
      </c>
      <c r="N359" s="22">
        <f t="shared" si="19"/>
        <v>0.0</v>
      </c>
      <c r="O359" s="22">
        <f t="shared" si="20"/>
        <v>0.0</v>
      </c>
      <c r="P359" s="22">
        <f t="shared" si="21"/>
        <v>0.0</v>
      </c>
      <c r="Q359" s="57"/>
      <c r="R359" s="58"/>
    </row>
    <row r="360" spans="8:8">
      <c r="B360" s="8">
        <v>351.0</v>
      </c>
      <c r="C360" s="8" t="s">
        <v>828</v>
      </c>
      <c r="D360" s="8" t="s">
        <v>828</v>
      </c>
      <c r="E360" s="8" t="s">
        <v>1613</v>
      </c>
      <c r="F360" s="8" t="s">
        <v>1501</v>
      </c>
      <c r="G360" s="8" t="s">
        <v>1791</v>
      </c>
      <c r="H360" s="8" t="s">
        <v>1613</v>
      </c>
      <c r="I360" s="55"/>
      <c r="J360" s="60" t="s">
        <v>7246</v>
      </c>
      <c r="K360" s="22">
        <v>0.0</v>
      </c>
      <c r="L360" s="22">
        <f>+SUMIF('حركه المخزن الرئيسي اليوميه'!$F:$F,$H:$H,'حركه المخزن الرئيسي اليوميه'!$H:$H)</f>
        <v>0.0</v>
      </c>
      <c r="M360" s="22">
        <f>+SUMIF('حركه المخزن الرئيسي اليوميه'!$F:$F,$H:$H,'حركه المخزن الرئيسي اليوميه'!$I:$I)</f>
        <v>0.0</v>
      </c>
      <c r="N360" s="22">
        <f t="shared" si="19"/>
        <v>0.0</v>
      </c>
      <c r="O360" s="22">
        <f t="shared" si="20"/>
        <v>0.0</v>
      </c>
      <c r="P360" s="22">
        <f t="shared" si="21"/>
        <v>0.0</v>
      </c>
      <c r="Q360" s="57"/>
      <c r="R360" s="58"/>
    </row>
    <row r="361" spans="8:8">
      <c r="B361" s="8">
        <v>352.0</v>
      </c>
      <c r="C361" s="8" t="s">
        <v>764</v>
      </c>
      <c r="D361" s="8" t="s">
        <v>828</v>
      </c>
      <c r="E361" s="8" t="s">
        <v>510</v>
      </c>
      <c r="F361" s="8" t="s">
        <v>68</v>
      </c>
      <c r="G361" s="8" t="s">
        <v>2357</v>
      </c>
      <c r="H361" s="8" t="s">
        <v>510</v>
      </c>
      <c r="I361" s="55"/>
      <c r="J361" s="60" t="s">
        <v>7247</v>
      </c>
      <c r="K361" s="22">
        <v>0.0</v>
      </c>
      <c r="L361" s="22">
        <f>+SUMIF('حركه المخزن الرئيسي اليوميه'!$F:$F,$H:$H,'حركه المخزن الرئيسي اليوميه'!$H:$H)</f>
        <v>0.0</v>
      </c>
      <c r="M361" s="22">
        <f>+SUMIF('حركه المخزن الرئيسي اليوميه'!$F:$F,$H:$H,'حركه المخزن الرئيسي اليوميه'!$I:$I)</f>
        <v>0.0</v>
      </c>
      <c r="N361" s="22">
        <f t="shared" si="19"/>
        <v>0.0</v>
      </c>
      <c r="O361" s="22">
        <f t="shared" si="20"/>
        <v>0.0</v>
      </c>
      <c r="P361" s="22">
        <f t="shared" si="21"/>
        <v>0.0</v>
      </c>
      <c r="Q361" s="57"/>
      <c r="R361" s="58"/>
    </row>
    <row r="362" spans="8:8">
      <c r="B362" s="8">
        <v>353.0</v>
      </c>
      <c r="C362" s="8" t="s">
        <v>764</v>
      </c>
      <c r="D362" s="8" t="s">
        <v>828</v>
      </c>
      <c r="E362" s="8" t="s">
        <v>506</v>
      </c>
      <c r="F362" s="8" t="s">
        <v>68</v>
      </c>
      <c r="G362" s="8" t="s">
        <v>1742</v>
      </c>
      <c r="H362" s="8" t="s">
        <v>506</v>
      </c>
      <c r="I362" s="55" t="s">
        <v>818</v>
      </c>
      <c r="J362" s="60" t="s">
        <v>7248</v>
      </c>
      <c r="K362" s="22">
        <v>0.0</v>
      </c>
      <c r="L362" s="22">
        <f>+SUMIF('حركه المخزن الرئيسي اليوميه'!$F:$F,$H:$H,'حركه المخزن الرئيسي اليوميه'!$H:$H)</f>
        <v>0.0</v>
      </c>
      <c r="M362" s="22">
        <f>+SUMIF('حركه المخزن الرئيسي اليوميه'!$F:$F,$H:$H,'حركه المخزن الرئيسي اليوميه'!$I:$I)</f>
        <v>0.0</v>
      </c>
      <c r="N362" s="22">
        <f t="shared" si="19"/>
        <v>0.0</v>
      </c>
      <c r="O362" s="22">
        <f t="shared" si="20"/>
        <v>0.0</v>
      </c>
      <c r="P362" s="22">
        <f t="shared" si="21"/>
        <v>0.0</v>
      </c>
      <c r="Q362" s="57"/>
      <c r="R362" s="58"/>
    </row>
    <row r="363" spans="8:8">
      <c r="B363" s="8">
        <v>354.0</v>
      </c>
      <c r="C363" s="8"/>
      <c r="D363" s="8"/>
      <c r="E363" s="8"/>
      <c r="F363" s="8"/>
      <c r="G363" s="8" t="s">
        <v>2383</v>
      </c>
      <c r="H363" s="8"/>
      <c r="I363" s="55"/>
      <c r="J363" s="60" t="s">
        <v>7249</v>
      </c>
      <c r="K363" s="22">
        <v>0.0</v>
      </c>
      <c r="L363" s="22">
        <f>+SUMIF('حركه المخزن الرئيسي اليوميه'!$F:$F,$H:$H,'حركه المخزن الرئيسي اليوميه'!$H:$H)</f>
        <v>0.0</v>
      </c>
      <c r="M363" s="22">
        <f>+SUMIF('حركه المخزن الرئيسي اليوميه'!$F:$F,$H:$H,'حركه المخزن الرئيسي اليوميه'!$I:$I)</f>
        <v>0.0</v>
      </c>
      <c r="N363" s="22">
        <f t="shared" si="19"/>
        <v>0.0</v>
      </c>
      <c r="O363" s="22">
        <f t="shared" si="20"/>
        <v>0.0</v>
      </c>
      <c r="P363" s="22">
        <f t="shared" si="21"/>
        <v>0.0</v>
      </c>
      <c r="Q363" s="57"/>
      <c r="R363" s="58"/>
    </row>
    <row r="364" spans="8:8">
      <c r="B364" s="8">
        <v>355.0</v>
      </c>
      <c r="C364" s="8" t="s">
        <v>828</v>
      </c>
      <c r="D364" s="8" t="s">
        <v>828</v>
      </c>
      <c r="E364" s="8" t="s">
        <v>1570</v>
      </c>
      <c r="F364" s="8" t="s">
        <v>1501</v>
      </c>
      <c r="G364" s="8" t="s">
        <v>1789</v>
      </c>
      <c r="H364" s="8" t="s">
        <v>1570</v>
      </c>
      <c r="I364" s="55"/>
      <c r="J364" s="60" t="s">
        <v>7250</v>
      </c>
      <c r="K364" s="22">
        <v>0.0</v>
      </c>
      <c r="L364" s="22">
        <f>+SUMIF('حركه المخزن الرئيسي اليوميه'!$F:$F,$H:$H,'حركه المخزن الرئيسي اليوميه'!$H:$H)</f>
        <v>0.0</v>
      </c>
      <c r="M364" s="22">
        <f>+SUMIF('حركه المخزن الرئيسي اليوميه'!$F:$F,$H:$H,'حركه المخزن الرئيسي اليوميه'!$I:$I)</f>
        <v>0.0</v>
      </c>
      <c r="N364" s="22">
        <f t="shared" si="19"/>
        <v>0.0</v>
      </c>
      <c r="O364" s="22">
        <f t="shared" si="20"/>
        <v>0.0</v>
      </c>
      <c r="P364" s="22">
        <f t="shared" si="21"/>
        <v>0.0</v>
      </c>
      <c r="Q364" s="57"/>
      <c r="R364" s="58"/>
    </row>
    <row r="365" spans="8:8">
      <c r="B365" s="8">
        <v>356.0</v>
      </c>
      <c r="C365" s="8" t="s">
        <v>764</v>
      </c>
      <c r="D365" s="8" t="s">
        <v>828</v>
      </c>
      <c r="E365" s="8" t="s">
        <v>558</v>
      </c>
      <c r="F365" s="8" t="s">
        <v>68</v>
      </c>
      <c r="G365" s="8"/>
      <c r="H365" s="8" t="s">
        <v>558</v>
      </c>
      <c r="I365" s="55" t="s">
        <v>254</v>
      </c>
      <c r="J365" s="60" t="s">
        <v>7251</v>
      </c>
      <c r="K365" s="22">
        <v>16.0</v>
      </c>
      <c r="L365" s="22">
        <f>+SUMIF('حركه المخزن الرئيسي اليوميه'!$F:$F,$H:$H,'حركه المخزن الرئيسي اليوميه'!$H:$H)</f>
        <v>0.0</v>
      </c>
      <c r="M365" s="22">
        <f>+SUMIF('حركه المخزن الرئيسي اليوميه'!$F:$F,$H:$H,'حركه المخزن الرئيسي اليوميه'!$I:$I)</f>
        <v>0.0</v>
      </c>
      <c r="N365" s="22">
        <f t="shared" si="19"/>
        <v>16.0</v>
      </c>
      <c r="O365" s="22">
        <f t="shared" si="20"/>
        <v>16.0</v>
      </c>
      <c r="P365" s="22">
        <f t="shared" si="21"/>
        <v>0.0</v>
      </c>
      <c r="Q365" s="57"/>
      <c r="R365" s="58"/>
    </row>
    <row r="366" spans="8:8">
      <c r="B366" s="8">
        <v>357.0</v>
      </c>
      <c r="C366" s="8" t="s">
        <v>764</v>
      </c>
      <c r="D366" s="8" t="s">
        <v>828</v>
      </c>
      <c r="E366" s="8" t="s">
        <v>520</v>
      </c>
      <c r="F366" s="8" t="s">
        <v>68</v>
      </c>
      <c r="G366" s="8" t="s">
        <v>1746</v>
      </c>
      <c r="H366" s="8" t="s">
        <v>520</v>
      </c>
      <c r="I366" s="8"/>
      <c r="J366" s="60" t="s">
        <v>7252</v>
      </c>
      <c r="K366" s="22">
        <v>0.0</v>
      </c>
      <c r="L366" s="22">
        <f>+SUMIF('حركه المخزن الرئيسي اليوميه'!$F:$F,$H:$H,'حركه المخزن الرئيسي اليوميه'!$H:$H)</f>
        <v>0.0</v>
      </c>
      <c r="M366" s="22">
        <f>+SUMIF('حركه المخزن الرئيسي اليوميه'!$F:$F,$H:$H,'حركه المخزن الرئيسي اليوميه'!$I:$I)</f>
        <v>0.0</v>
      </c>
      <c r="N366" s="22">
        <f t="shared" si="19"/>
        <v>0.0</v>
      </c>
      <c r="O366" s="22">
        <f t="shared" si="20"/>
        <v>0.0</v>
      </c>
      <c r="P366" s="22">
        <f t="shared" si="21"/>
        <v>0.0</v>
      </c>
      <c r="Q366" s="57"/>
      <c r="R366" s="58"/>
    </row>
    <row r="367" spans="8:8">
      <c r="B367" s="8">
        <v>358.0</v>
      </c>
      <c r="C367" s="8" t="s">
        <v>766</v>
      </c>
      <c r="D367" s="8" t="s">
        <v>766</v>
      </c>
      <c r="E367" s="8" t="s">
        <v>2933</v>
      </c>
      <c r="F367" s="8" t="s">
        <v>68</v>
      </c>
      <c r="G367" s="8"/>
      <c r="H367" s="8" t="s">
        <v>2933</v>
      </c>
      <c r="I367" s="8" t="s">
        <v>222</v>
      </c>
      <c r="J367" s="60" t="s">
        <v>7253</v>
      </c>
      <c r="K367" s="22">
        <v>0.0</v>
      </c>
      <c r="L367" s="22">
        <f>+SUMIF('حركه المخزن الرئيسي اليوميه'!$F:$F,$H:$H,'حركه المخزن الرئيسي اليوميه'!$H:$H)</f>
        <v>0.0</v>
      </c>
      <c r="M367" s="22">
        <f>+SUMIF('حركه المخزن الرئيسي اليوميه'!$F:$F,$H:$H,'حركه المخزن الرئيسي اليوميه'!$I:$I)</f>
        <v>0.0</v>
      </c>
      <c r="N367" s="22">
        <f t="shared" si="19"/>
        <v>0.0</v>
      </c>
      <c r="O367" s="22">
        <f t="shared" si="20"/>
        <v>0.0</v>
      </c>
      <c r="P367" s="22">
        <f t="shared" si="21"/>
        <v>0.0</v>
      </c>
      <c r="Q367" s="57"/>
      <c r="R367" s="58"/>
    </row>
    <row r="368" spans="8:8">
      <c r="B368" s="8">
        <v>359.0</v>
      </c>
      <c r="C368" s="8" t="s">
        <v>766</v>
      </c>
      <c r="D368" s="8" t="s">
        <v>766</v>
      </c>
      <c r="E368" s="8" t="s">
        <v>2738</v>
      </c>
      <c r="F368" s="8" t="s">
        <v>68</v>
      </c>
      <c r="G368" s="8"/>
      <c r="H368" s="8" t="s">
        <v>2738</v>
      </c>
      <c r="I368" s="8"/>
      <c r="J368" s="60" t="s">
        <v>7254</v>
      </c>
      <c r="K368" s="22">
        <v>0.0</v>
      </c>
      <c r="L368" s="22">
        <f>+SUMIF('حركه المخزن الرئيسي اليوميه'!$F:$F,$H:$H,'حركه المخزن الرئيسي اليوميه'!$H:$H)</f>
        <v>0.0</v>
      </c>
      <c r="M368" s="22">
        <f>+SUMIF('حركه المخزن الرئيسي اليوميه'!$F:$F,$H:$H,'حركه المخزن الرئيسي اليوميه'!$I:$I)</f>
        <v>0.0</v>
      </c>
      <c r="N368" s="22">
        <f t="shared" si="19"/>
        <v>0.0</v>
      </c>
      <c r="O368" s="22">
        <f t="shared" si="20"/>
        <v>0.0</v>
      </c>
      <c r="P368" s="22">
        <f t="shared" si="21"/>
        <v>0.0</v>
      </c>
      <c r="Q368" s="57"/>
      <c r="R368" s="58"/>
    </row>
    <row r="369" spans="8:8">
      <c r="B369" s="8">
        <v>360.0</v>
      </c>
      <c r="C369" s="8" t="s">
        <v>828</v>
      </c>
      <c r="D369" s="8" t="s">
        <v>828</v>
      </c>
      <c r="E369" s="8" t="s">
        <v>2750</v>
      </c>
      <c r="F369" s="8" t="s">
        <v>1501</v>
      </c>
      <c r="G369" s="8"/>
      <c r="H369" s="8" t="s">
        <v>2750</v>
      </c>
      <c r="I369" s="55"/>
      <c r="J369" s="60" t="s">
        <v>7255</v>
      </c>
      <c r="K369" s="22">
        <v>0.0</v>
      </c>
      <c r="L369" s="22">
        <f>+SUMIF('حركه المخزن الرئيسي اليوميه'!$F:$F,$H:$H,'حركه المخزن الرئيسي اليوميه'!$H:$H)</f>
        <v>0.0</v>
      </c>
      <c r="M369" s="22">
        <f>+SUMIF('حركه المخزن الرئيسي اليوميه'!$F:$F,$H:$H,'حركه المخزن الرئيسي اليوميه'!$I:$I)</f>
        <v>0.0</v>
      </c>
      <c r="N369" s="22">
        <f t="shared" si="19"/>
        <v>0.0</v>
      </c>
      <c r="O369" s="22">
        <f t="shared" si="20"/>
        <v>0.0</v>
      </c>
      <c r="P369" s="22">
        <f t="shared" si="21"/>
        <v>0.0</v>
      </c>
      <c r="Q369" s="57"/>
      <c r="R369" s="58"/>
    </row>
    <row r="370" spans="8:8">
      <c r="B370" s="8">
        <v>361.0</v>
      </c>
      <c r="C370" s="8" t="s">
        <v>828</v>
      </c>
      <c r="D370" s="8" t="s">
        <v>828</v>
      </c>
      <c r="E370" s="8" t="s">
        <v>2753</v>
      </c>
      <c r="F370" s="8" t="s">
        <v>1501</v>
      </c>
      <c r="G370" s="8"/>
      <c r="H370" s="8" t="s">
        <v>2753</v>
      </c>
      <c r="I370" s="55"/>
      <c r="J370" s="60" t="s">
        <v>7256</v>
      </c>
      <c r="K370" s="22">
        <v>0.0</v>
      </c>
      <c r="L370" s="22">
        <f>+SUMIF('حركه المخزن الرئيسي اليوميه'!$F:$F,$H:$H,'حركه المخزن الرئيسي اليوميه'!$H:$H)</f>
        <v>0.0</v>
      </c>
      <c r="M370" s="22">
        <f>+SUMIF('حركه المخزن الرئيسي اليوميه'!$F:$F,$H:$H,'حركه المخزن الرئيسي اليوميه'!$I:$I)</f>
        <v>0.0</v>
      </c>
      <c r="N370" s="22">
        <f t="shared" si="19"/>
        <v>0.0</v>
      </c>
      <c r="O370" s="22">
        <f t="shared" si="20"/>
        <v>0.0</v>
      </c>
      <c r="P370" s="22">
        <f t="shared" si="22" ref="P370:P399">+N370-O370</f>
        <v>0.0</v>
      </c>
      <c r="Q370" s="57"/>
      <c r="R370" s="58"/>
    </row>
    <row r="371" spans="8:8">
      <c r="B371" s="8">
        <v>362.0</v>
      </c>
      <c r="C371" s="8" t="s">
        <v>766</v>
      </c>
      <c r="D371" s="8" t="s">
        <v>766</v>
      </c>
      <c r="E371" s="8" t="s">
        <v>2781</v>
      </c>
      <c r="F371" s="8" t="s">
        <v>1501</v>
      </c>
      <c r="G371" s="8"/>
      <c r="H371" s="8" t="s">
        <v>2781</v>
      </c>
      <c r="I371" s="8"/>
      <c r="J371" s="60" t="s">
        <v>7257</v>
      </c>
      <c r="K371" s="22">
        <v>0.0</v>
      </c>
      <c r="L371" s="22">
        <f>+SUMIF('حركه المخزن الرئيسي اليوميه'!$F:$F,$H:$H,'حركه المخزن الرئيسي اليوميه'!$H:$H)</f>
        <v>0.0</v>
      </c>
      <c r="M371" s="22">
        <f>+SUMIF('حركه المخزن الرئيسي اليوميه'!$F:$F,$H:$H,'حركه المخزن الرئيسي اليوميه'!$I:$I)</f>
        <v>0.0</v>
      </c>
      <c r="N371" s="22">
        <f t="shared" si="19"/>
        <v>0.0</v>
      </c>
      <c r="O371" s="22">
        <f t="shared" si="20"/>
        <v>0.0</v>
      </c>
      <c r="P371" s="22">
        <f t="shared" si="22"/>
        <v>0.0</v>
      </c>
      <c r="Q371" s="57"/>
      <c r="R371" s="58"/>
    </row>
    <row r="372" spans="8:8">
      <c r="B372" s="8">
        <v>363.0</v>
      </c>
      <c r="C372" s="8" t="s">
        <v>766</v>
      </c>
      <c r="D372" s="8" t="s">
        <v>766</v>
      </c>
      <c r="E372" s="8" t="s">
        <v>2782</v>
      </c>
      <c r="F372" s="8" t="s">
        <v>92</v>
      </c>
      <c r="G372" s="8"/>
      <c r="H372" s="8" t="s">
        <v>2782</v>
      </c>
      <c r="I372" s="8" t="s">
        <v>8182</v>
      </c>
      <c r="J372" s="60" t="s">
        <v>7258</v>
      </c>
      <c r="K372" s="22">
        <v>2.0</v>
      </c>
      <c r="L372" s="22">
        <f>+SUMIF('حركه المخزن الرئيسي اليوميه'!$F:$F,$H:$H,'حركه المخزن الرئيسي اليوميه'!$H:$H)</f>
        <v>0.0</v>
      </c>
      <c r="M372" s="22">
        <f>+SUMIF('حركه المخزن الرئيسي اليوميه'!$F:$F,$H:$H,'حركه المخزن الرئيسي اليوميه'!$I:$I)</f>
        <v>0.0</v>
      </c>
      <c r="N372" s="22">
        <f t="shared" si="19"/>
        <v>2.0</v>
      </c>
      <c r="O372" s="22">
        <f t="shared" si="20"/>
        <v>2.0</v>
      </c>
      <c r="P372" s="22">
        <f t="shared" si="22"/>
        <v>0.0</v>
      </c>
      <c r="Q372" s="57"/>
      <c r="R372" s="58"/>
    </row>
    <row r="373" spans="8:8">
      <c r="B373" s="8">
        <v>364.0</v>
      </c>
      <c r="C373" s="8" t="s">
        <v>828</v>
      </c>
      <c r="D373" s="8" t="s">
        <v>568</v>
      </c>
      <c r="E373" s="8" t="s">
        <v>2811</v>
      </c>
      <c r="F373" s="8" t="s">
        <v>1501</v>
      </c>
      <c r="G373" s="8"/>
      <c r="H373" s="8" t="s">
        <v>2811</v>
      </c>
      <c r="I373" s="8" t="s">
        <v>24</v>
      </c>
      <c r="J373" s="60" t="s">
        <v>7259</v>
      </c>
      <c r="K373" s="22">
        <v>0.0</v>
      </c>
      <c r="L373" s="22">
        <f>+SUMIF('حركه المخزن الرئيسي اليوميه'!$F:$F,$H:$H,'حركه المخزن الرئيسي اليوميه'!$H:$H)</f>
        <v>0.0</v>
      </c>
      <c r="M373" s="22">
        <f>+SUMIF('حركه المخزن الرئيسي اليوميه'!$F:$F,$H:$H,'حركه المخزن الرئيسي اليوميه'!$I:$I)</f>
        <v>0.0</v>
      </c>
      <c r="N373" s="22">
        <f t="shared" si="23" ref="N373:N399">+K373+L373-M373</f>
        <v>0.0</v>
      </c>
      <c r="O373" s="22">
        <f t="shared" si="24" ref="O373:O399">+N373</f>
        <v>0.0</v>
      </c>
      <c r="P373" s="22">
        <f t="shared" si="22"/>
        <v>0.0</v>
      </c>
      <c r="Q373" s="57"/>
      <c r="R373" s="58"/>
    </row>
    <row r="374" spans="8:8">
      <c r="B374" s="8">
        <v>365.0</v>
      </c>
      <c r="C374" s="8" t="s">
        <v>766</v>
      </c>
      <c r="D374" s="8"/>
      <c r="E374" s="8"/>
      <c r="F374" s="8"/>
      <c r="G374" s="8"/>
      <c r="H374" s="8"/>
      <c r="I374" s="8"/>
      <c r="J374" s="60" t="s">
        <v>7260</v>
      </c>
      <c r="K374" s="22">
        <v>0.0</v>
      </c>
      <c r="L374" s="22">
        <f>+SUMIF('حركه المخزن الرئيسي اليوميه'!$F:$F,$H:$H,'حركه المخزن الرئيسي اليوميه'!$H:$H)</f>
        <v>0.0</v>
      </c>
      <c r="M374" s="22">
        <f>+SUMIF('حركه المخزن الرئيسي اليوميه'!$F:$F,$H:$H,'حركه المخزن الرئيسي اليوميه'!$I:$I)</f>
        <v>0.0</v>
      </c>
      <c r="N374" s="22">
        <f t="shared" si="23"/>
        <v>0.0</v>
      </c>
      <c r="O374" s="22">
        <f t="shared" si="24"/>
        <v>0.0</v>
      </c>
      <c r="P374" s="22">
        <f t="shared" si="22"/>
        <v>0.0</v>
      </c>
      <c r="Q374" s="57"/>
      <c r="R374" s="58"/>
    </row>
    <row r="375" spans="8:8">
      <c r="B375" s="8">
        <v>366.0</v>
      </c>
      <c r="C375" s="8" t="s">
        <v>766</v>
      </c>
      <c r="D375" s="8" t="s">
        <v>766</v>
      </c>
      <c r="E375" s="8" t="s">
        <v>3037</v>
      </c>
      <c r="F375" s="8" t="s">
        <v>1501</v>
      </c>
      <c r="G375" s="8"/>
      <c r="H375" s="8" t="s">
        <v>3037</v>
      </c>
      <c r="I375" s="8" t="s">
        <v>224</v>
      </c>
      <c r="J375" s="60" t="s">
        <v>7261</v>
      </c>
      <c r="K375" s="22">
        <v>0.0</v>
      </c>
      <c r="L375" s="22">
        <f>+SUMIF('حركه المخزن الرئيسي اليوميه'!$F:$F,$H:$H,'حركه المخزن الرئيسي اليوميه'!$H:$H)</f>
        <v>0.0</v>
      </c>
      <c r="M375" s="22">
        <f>+SUMIF('حركه المخزن الرئيسي اليوميه'!$F:$F,$H:$H,'حركه المخزن الرئيسي اليوميه'!$I:$I)</f>
        <v>0.0</v>
      </c>
      <c r="N375" s="22">
        <f t="shared" si="23"/>
        <v>0.0</v>
      </c>
      <c r="O375" s="22">
        <f t="shared" si="24"/>
        <v>0.0</v>
      </c>
      <c r="P375" s="22">
        <f t="shared" si="22"/>
        <v>0.0</v>
      </c>
      <c r="Q375" s="57"/>
      <c r="R375" s="58"/>
    </row>
    <row r="376" spans="8:8">
      <c r="B376" s="8">
        <v>367.0</v>
      </c>
      <c r="C376" s="8" t="s">
        <v>766</v>
      </c>
      <c r="D376" s="8" t="s">
        <v>766</v>
      </c>
      <c r="E376" s="8" t="s">
        <v>3038</v>
      </c>
      <c r="F376" s="8" t="s">
        <v>1501</v>
      </c>
      <c r="G376" s="8"/>
      <c r="H376" s="8" t="s">
        <v>3038</v>
      </c>
      <c r="I376" s="8" t="s">
        <v>224</v>
      </c>
      <c r="J376" s="60" t="s">
        <v>7262</v>
      </c>
      <c r="K376" s="22">
        <v>3.0</v>
      </c>
      <c r="L376" s="22">
        <f>+SUMIF('حركه المخزن الرئيسي اليوميه'!$F:$F,$H:$H,'حركه المخزن الرئيسي اليوميه'!$H:$H)</f>
        <v>0.0</v>
      </c>
      <c r="M376" s="22">
        <f>+SUMIF('حركه المخزن الرئيسي اليوميه'!$F:$F,$H:$H,'حركه المخزن الرئيسي اليوميه'!$I:$I)</f>
        <v>0.0</v>
      </c>
      <c r="N376" s="22">
        <f t="shared" si="23"/>
        <v>3.0</v>
      </c>
      <c r="O376" s="22">
        <f t="shared" si="24"/>
        <v>3.0</v>
      </c>
      <c r="P376" s="22">
        <f t="shared" si="22"/>
        <v>0.0</v>
      </c>
      <c r="Q376" s="57"/>
      <c r="R376" s="58"/>
    </row>
    <row r="377" spans="8:8">
      <c r="B377" s="8">
        <v>368.0</v>
      </c>
      <c r="C377" s="8" t="s">
        <v>766</v>
      </c>
      <c r="D377" s="8" t="s">
        <v>766</v>
      </c>
      <c r="E377" s="8" t="s">
        <v>3087</v>
      </c>
      <c r="F377" s="8" t="s">
        <v>1501</v>
      </c>
      <c r="G377" s="8"/>
      <c r="H377" s="8" t="s">
        <v>3087</v>
      </c>
      <c r="I377" s="8" t="s">
        <v>37</v>
      </c>
      <c r="J377" s="60" t="s">
        <v>7263</v>
      </c>
      <c r="K377" s="22">
        <v>6.0</v>
      </c>
      <c r="L377" s="22">
        <f>+SUMIF('حركه المخزن الرئيسي اليوميه'!$F:$F,$H:$H,'حركه المخزن الرئيسي اليوميه'!$H:$H)</f>
        <v>0.0</v>
      </c>
      <c r="M377" s="22">
        <f>+SUMIF('حركه المخزن الرئيسي اليوميه'!$F:$F,$H:$H,'حركه المخزن الرئيسي اليوميه'!$I:$I)</f>
        <v>0.0</v>
      </c>
      <c r="N377" s="22">
        <f t="shared" si="23"/>
        <v>6.0</v>
      </c>
      <c r="O377" s="22">
        <f t="shared" si="24"/>
        <v>6.0</v>
      </c>
      <c r="P377" s="22">
        <f t="shared" si="22"/>
        <v>0.0</v>
      </c>
      <c r="Q377" s="57"/>
      <c r="R377" s="58"/>
    </row>
    <row r="378" spans="8:8">
      <c r="B378" s="8">
        <v>369.0</v>
      </c>
      <c r="C378" s="8" t="s">
        <v>766</v>
      </c>
      <c r="D378" s="8" t="s">
        <v>766</v>
      </c>
      <c r="E378" s="8" t="s">
        <v>3088</v>
      </c>
      <c r="F378" s="8" t="s">
        <v>1501</v>
      </c>
      <c r="G378" s="8"/>
      <c r="H378" s="8" t="s">
        <v>3088</v>
      </c>
      <c r="I378" s="55" t="s">
        <v>8127</v>
      </c>
      <c r="J378" s="60" t="s">
        <v>7264</v>
      </c>
      <c r="K378" s="22">
        <v>2.0</v>
      </c>
      <c r="L378" s="22">
        <f>+SUMIF('حركه المخزن الرئيسي اليوميه'!$F:$F,$H:$H,'حركه المخزن الرئيسي اليوميه'!$H:$H)</f>
        <v>0.0</v>
      </c>
      <c r="M378" s="22">
        <f>+SUMIF('حركه المخزن الرئيسي اليوميه'!$F:$F,$H:$H,'حركه المخزن الرئيسي اليوميه'!$I:$I)</f>
        <v>0.0</v>
      </c>
      <c r="N378" s="22">
        <f t="shared" si="23"/>
        <v>2.0</v>
      </c>
      <c r="O378" s="22">
        <f t="shared" si="24"/>
        <v>2.0</v>
      </c>
      <c r="P378" s="22">
        <f t="shared" si="22"/>
        <v>0.0</v>
      </c>
      <c r="Q378" s="57"/>
      <c r="R378" s="58"/>
    </row>
    <row r="379" spans="8:8" ht="18.0" customHeight="1">
      <c r="B379" s="8">
        <v>370.0</v>
      </c>
      <c r="C379" s="8" t="s">
        <v>766</v>
      </c>
      <c r="D379" s="8" t="s">
        <v>766</v>
      </c>
      <c r="E379" s="8" t="s">
        <v>3089</v>
      </c>
      <c r="F379" s="8" t="s">
        <v>1501</v>
      </c>
      <c r="G379" s="8"/>
      <c r="H379" s="8" t="s">
        <v>3089</v>
      </c>
      <c r="I379" s="8" t="s">
        <v>224</v>
      </c>
      <c r="J379" s="60" t="s">
        <v>7265</v>
      </c>
      <c r="K379" s="22">
        <v>2.0</v>
      </c>
      <c r="L379" s="22">
        <f>+SUMIF('حركه المخزن الرئيسي اليوميه'!$F:$F,$H:$H,'حركه المخزن الرئيسي اليوميه'!$H:$H)</f>
        <v>0.0</v>
      </c>
      <c r="M379" s="22">
        <f>+SUMIF('حركه المخزن الرئيسي اليوميه'!$F:$F,$H:$H,'حركه المخزن الرئيسي اليوميه'!$I:$I)</f>
        <v>0.0</v>
      </c>
      <c r="N379" s="22">
        <f t="shared" si="23"/>
        <v>2.0</v>
      </c>
      <c r="O379" s="22">
        <f t="shared" si="24"/>
        <v>2.0</v>
      </c>
      <c r="P379" s="22">
        <f t="shared" si="22"/>
        <v>0.0</v>
      </c>
      <c r="Q379" s="57"/>
      <c r="R379" s="58"/>
    </row>
    <row r="380" spans="8:8">
      <c r="B380" s="8">
        <v>371.0</v>
      </c>
      <c r="C380" s="8" t="s">
        <v>766</v>
      </c>
      <c r="D380" s="8" t="s">
        <v>766</v>
      </c>
      <c r="E380" s="8" t="s">
        <v>3090</v>
      </c>
      <c r="F380" s="8" t="s">
        <v>1501</v>
      </c>
      <c r="G380" s="8"/>
      <c r="H380" s="8" t="s">
        <v>3090</v>
      </c>
      <c r="I380" s="8" t="s">
        <v>224</v>
      </c>
      <c r="J380" s="60" t="s">
        <v>7266</v>
      </c>
      <c r="K380" s="22">
        <v>4.0</v>
      </c>
      <c r="L380" s="22">
        <f>+SUMIF('حركه المخزن الرئيسي اليوميه'!$F:$F,$H:$H,'حركه المخزن الرئيسي اليوميه'!$H:$H)</f>
        <v>0.0</v>
      </c>
      <c r="M380" s="22">
        <f>+SUMIF('حركه المخزن الرئيسي اليوميه'!$F:$F,$H:$H,'حركه المخزن الرئيسي اليوميه'!$I:$I)</f>
        <v>0.0</v>
      </c>
      <c r="N380" s="22">
        <f t="shared" si="23"/>
        <v>4.0</v>
      </c>
      <c r="O380" s="22">
        <f t="shared" si="24"/>
        <v>4.0</v>
      </c>
      <c r="P380" s="22">
        <f t="shared" si="22"/>
        <v>0.0</v>
      </c>
      <c r="Q380" s="57"/>
      <c r="R380" s="58"/>
    </row>
    <row r="381" spans="8:8">
      <c r="B381" s="8">
        <v>372.0</v>
      </c>
      <c r="C381" s="8" t="s">
        <v>766</v>
      </c>
      <c r="D381" s="8" t="s">
        <v>766</v>
      </c>
      <c r="E381" s="8" t="s">
        <v>3091</v>
      </c>
      <c r="F381" s="8" t="s">
        <v>1501</v>
      </c>
      <c r="G381" s="8"/>
      <c r="H381" s="8" t="s">
        <v>3091</v>
      </c>
      <c r="I381" s="8" t="s">
        <v>224</v>
      </c>
      <c r="J381" s="60" t="s">
        <v>7267</v>
      </c>
      <c r="K381" s="22">
        <v>8.0</v>
      </c>
      <c r="L381" s="22">
        <f>+SUMIF('حركه المخزن الرئيسي اليوميه'!$F:$F,$H:$H,'حركه المخزن الرئيسي اليوميه'!$H:$H)</f>
        <v>0.0</v>
      </c>
      <c r="M381" s="22">
        <f>+SUMIF('حركه المخزن الرئيسي اليوميه'!$F:$F,$H:$H,'حركه المخزن الرئيسي اليوميه'!$I:$I)</f>
        <v>0.0</v>
      </c>
      <c r="N381" s="22">
        <f t="shared" si="23"/>
        <v>8.0</v>
      </c>
      <c r="O381" s="22">
        <f t="shared" si="24"/>
        <v>8.0</v>
      </c>
      <c r="P381" s="22">
        <f t="shared" si="22"/>
        <v>0.0</v>
      </c>
      <c r="Q381" s="57"/>
      <c r="R381" s="58"/>
    </row>
    <row r="382" spans="8:8">
      <c r="B382" s="8">
        <v>373.0</v>
      </c>
      <c r="C382" s="8" t="s">
        <v>766</v>
      </c>
      <c r="D382" s="8" t="s">
        <v>766</v>
      </c>
      <c r="E382" s="8" t="s">
        <v>3101</v>
      </c>
      <c r="F382" s="8" t="s">
        <v>1501</v>
      </c>
      <c r="G382" s="8"/>
      <c r="H382" s="8" t="s">
        <v>3101</v>
      </c>
      <c r="I382" s="8"/>
      <c r="J382" s="60" t="s">
        <v>7268</v>
      </c>
      <c r="K382" s="22">
        <v>0.0</v>
      </c>
      <c r="L382" s="22">
        <f>+SUMIF('حركه المخزن الرئيسي اليوميه'!$F:$F,$H:$H,'حركه المخزن الرئيسي اليوميه'!$H:$H)</f>
        <v>0.0</v>
      </c>
      <c r="M382" s="22">
        <f>+SUMIF('حركه المخزن الرئيسي اليوميه'!$F:$F,$H:$H,'حركه المخزن الرئيسي اليوميه'!$I:$I)</f>
        <v>0.0</v>
      </c>
      <c r="N382" s="22">
        <f t="shared" si="23"/>
        <v>0.0</v>
      </c>
      <c r="O382" s="22">
        <f t="shared" si="24"/>
        <v>0.0</v>
      </c>
      <c r="P382" s="22">
        <f t="shared" si="22"/>
        <v>0.0</v>
      </c>
      <c r="Q382" s="57"/>
      <c r="R382" s="58"/>
    </row>
    <row r="383" spans="8:8">
      <c r="B383" s="8">
        <v>374.0</v>
      </c>
      <c r="C383" s="8" t="s">
        <v>766</v>
      </c>
      <c r="D383" s="8" t="s">
        <v>766</v>
      </c>
      <c r="E383" s="8" t="s">
        <v>3261</v>
      </c>
      <c r="F383" s="8" t="s">
        <v>1501</v>
      </c>
      <c r="G383" s="8"/>
      <c r="H383" s="8" t="s">
        <v>3261</v>
      </c>
      <c r="I383" s="8" t="s">
        <v>2947</v>
      </c>
      <c r="J383" s="60" t="s">
        <v>7269</v>
      </c>
      <c r="K383" s="22">
        <v>12.0</v>
      </c>
      <c r="L383" s="22">
        <f>+SUMIF('حركه المخزن الرئيسي اليوميه'!$F:$F,$H:$H,'حركه المخزن الرئيسي اليوميه'!$H:$H)</f>
        <v>0.0</v>
      </c>
      <c r="M383" s="22">
        <f>+SUMIF('حركه المخزن الرئيسي اليوميه'!$F:$F,$H:$H,'حركه المخزن الرئيسي اليوميه'!$I:$I)</f>
        <v>0.0</v>
      </c>
      <c r="N383" s="22">
        <f t="shared" si="23"/>
        <v>12.0</v>
      </c>
      <c r="O383" s="22">
        <f t="shared" si="24"/>
        <v>12.0</v>
      </c>
      <c r="P383" s="22">
        <f t="shared" si="22"/>
        <v>0.0</v>
      </c>
      <c r="Q383" s="57"/>
      <c r="R383" s="58"/>
    </row>
    <row r="384" spans="8:8">
      <c r="B384" s="8">
        <v>375.0</v>
      </c>
      <c r="C384" s="8" t="s">
        <v>766</v>
      </c>
      <c r="D384" s="8" t="s">
        <v>766</v>
      </c>
      <c r="E384" s="8" t="s">
        <v>3307</v>
      </c>
      <c r="F384" s="8" t="s">
        <v>1501</v>
      </c>
      <c r="G384" s="8"/>
      <c r="H384" s="8" t="s">
        <v>3307</v>
      </c>
      <c r="I384" s="55" t="s">
        <v>818</v>
      </c>
      <c r="J384" s="60" t="s">
        <v>7270</v>
      </c>
      <c r="K384" s="22">
        <v>0.0</v>
      </c>
      <c r="L384" s="22">
        <f>+SUMIF('حركه المخزن الرئيسي اليوميه'!$F:$F,$H:$H,'حركه المخزن الرئيسي اليوميه'!$H:$H)</f>
        <v>0.0</v>
      </c>
      <c r="M384" s="22">
        <f>+SUMIF('حركه المخزن الرئيسي اليوميه'!$F:$F,$H:$H,'حركه المخزن الرئيسي اليوميه'!$I:$I)</f>
        <v>0.0</v>
      </c>
      <c r="N384" s="22">
        <f t="shared" si="23"/>
        <v>0.0</v>
      </c>
      <c r="O384" s="22">
        <f t="shared" si="24"/>
        <v>0.0</v>
      </c>
      <c r="P384" s="22">
        <f t="shared" si="22"/>
        <v>0.0</v>
      </c>
      <c r="Q384" s="57"/>
      <c r="R384" s="58"/>
    </row>
    <row r="385" spans="8:8">
      <c r="B385" s="8">
        <v>376.0</v>
      </c>
      <c r="C385" s="8" t="s">
        <v>766</v>
      </c>
      <c r="D385" s="8" t="s">
        <v>766</v>
      </c>
      <c r="E385" s="8" t="s">
        <v>3339</v>
      </c>
      <c r="F385" s="8" t="s">
        <v>1501</v>
      </c>
      <c r="G385" s="8"/>
      <c r="H385" s="8" t="s">
        <v>3339</v>
      </c>
      <c r="I385" s="71" t="s">
        <v>36</v>
      </c>
      <c r="J385" s="60" t="s">
        <v>7271</v>
      </c>
      <c r="K385" s="22">
        <v>5.0</v>
      </c>
      <c r="L385" s="22">
        <f>+SUMIF('حركه المخزن الرئيسي اليوميه'!$F:$F,$H:$H,'حركه المخزن الرئيسي اليوميه'!$H:$H)</f>
        <v>0.0</v>
      </c>
      <c r="M385" s="22">
        <f>+SUMIF('حركه المخزن الرئيسي اليوميه'!$F:$F,$H:$H,'حركه المخزن الرئيسي اليوميه'!$I:$I)</f>
        <v>0.0</v>
      </c>
      <c r="N385" s="22">
        <f t="shared" si="23"/>
        <v>5.0</v>
      </c>
      <c r="O385" s="22">
        <f t="shared" si="24"/>
        <v>5.0</v>
      </c>
      <c r="P385" s="22">
        <f t="shared" si="22"/>
        <v>0.0</v>
      </c>
      <c r="Q385" s="57"/>
      <c r="R385" s="58"/>
    </row>
    <row r="386" spans="8:8">
      <c r="B386" s="8">
        <v>377.0</v>
      </c>
      <c r="C386" s="8" t="s">
        <v>766</v>
      </c>
      <c r="D386" s="8" t="s">
        <v>766</v>
      </c>
      <c r="E386" s="8" t="s">
        <v>3352</v>
      </c>
      <c r="F386" s="8" t="s">
        <v>1501</v>
      </c>
      <c r="G386" s="8"/>
      <c r="H386" s="8" t="s">
        <v>3352</v>
      </c>
      <c r="I386" s="55" t="s">
        <v>148</v>
      </c>
      <c r="J386" s="60" t="s">
        <v>7272</v>
      </c>
      <c r="K386" s="22">
        <v>1.0</v>
      </c>
      <c r="L386" s="22">
        <f>+SUMIF('حركه المخزن الرئيسي اليوميه'!$F:$F,$H:$H,'حركه المخزن الرئيسي اليوميه'!$H:$H)</f>
        <v>0.0</v>
      </c>
      <c r="M386" s="22">
        <f>+SUMIF('حركه المخزن الرئيسي اليوميه'!$F:$F,$H:$H,'حركه المخزن الرئيسي اليوميه'!$I:$I)</f>
        <v>0.0</v>
      </c>
      <c r="N386" s="22">
        <f t="shared" si="23"/>
        <v>1.0</v>
      </c>
      <c r="O386" s="22">
        <f t="shared" si="24"/>
        <v>1.0</v>
      </c>
      <c r="P386" s="22">
        <f t="shared" si="22"/>
        <v>0.0</v>
      </c>
      <c r="Q386" s="57"/>
      <c r="R386" s="58"/>
    </row>
    <row r="387" spans="8:8">
      <c r="B387" s="8">
        <v>378.0</v>
      </c>
      <c r="C387" s="8" t="s">
        <v>766</v>
      </c>
      <c r="D387" s="8" t="s">
        <v>766</v>
      </c>
      <c r="E387" s="8" t="s">
        <v>3376</v>
      </c>
      <c r="F387" s="8" t="s">
        <v>1501</v>
      </c>
      <c r="G387" s="8"/>
      <c r="H387" s="8" t="s">
        <v>3376</v>
      </c>
      <c r="I387" s="55" t="s">
        <v>1132</v>
      </c>
      <c r="J387" s="60" t="s">
        <v>7273</v>
      </c>
      <c r="K387" s="22">
        <v>0.0</v>
      </c>
      <c r="L387" s="22">
        <f>+SUMIF('حركه المخزن الرئيسي اليوميه'!$F:$F,$H:$H,'حركه المخزن الرئيسي اليوميه'!$H:$H)</f>
        <v>0.0</v>
      </c>
      <c r="M387" s="22">
        <f>+SUMIF('حركه المخزن الرئيسي اليوميه'!$F:$F,$H:$H,'حركه المخزن الرئيسي اليوميه'!$I:$I)</f>
        <v>0.0</v>
      </c>
      <c r="N387" s="22">
        <f t="shared" si="23"/>
        <v>0.0</v>
      </c>
      <c r="O387" s="22">
        <f t="shared" si="24"/>
        <v>0.0</v>
      </c>
      <c r="P387" s="22">
        <f t="shared" si="22"/>
        <v>0.0</v>
      </c>
      <c r="Q387" s="57"/>
      <c r="R387" s="58"/>
    </row>
    <row r="388" spans="8:8">
      <c r="B388" s="8">
        <v>379.0</v>
      </c>
      <c r="C388" s="8" t="s">
        <v>766</v>
      </c>
      <c r="D388" s="8" t="s">
        <v>766</v>
      </c>
      <c r="E388" s="8" t="s">
        <v>3403</v>
      </c>
      <c r="F388" s="8" t="s">
        <v>1501</v>
      </c>
      <c r="G388" s="8"/>
      <c r="H388" s="8" t="s">
        <v>3403</v>
      </c>
      <c r="I388" s="55" t="s">
        <v>8127</v>
      </c>
      <c r="J388" s="60" t="s">
        <v>7274</v>
      </c>
      <c r="K388" s="22">
        <v>1.0</v>
      </c>
      <c r="L388" s="22">
        <f>+SUMIF('حركه المخزن الرئيسي اليوميه'!$F:$F,$H:$H,'حركه المخزن الرئيسي اليوميه'!$H:$H)</f>
        <v>0.0</v>
      </c>
      <c r="M388" s="22">
        <f>+SUMIF('حركه المخزن الرئيسي اليوميه'!$F:$F,$H:$H,'حركه المخزن الرئيسي اليوميه'!$I:$I)</f>
        <v>0.0</v>
      </c>
      <c r="N388" s="22">
        <f t="shared" si="23"/>
        <v>1.0</v>
      </c>
      <c r="O388" s="22">
        <f t="shared" si="24"/>
        <v>1.0</v>
      </c>
      <c r="P388" s="22">
        <f t="shared" si="22"/>
        <v>0.0</v>
      </c>
      <c r="Q388" s="57"/>
      <c r="R388" s="58"/>
    </row>
    <row r="389" spans="8:8">
      <c r="B389" s="8">
        <v>380.0</v>
      </c>
      <c r="C389" s="8" t="s">
        <v>766</v>
      </c>
      <c r="D389" s="8" t="s">
        <v>766</v>
      </c>
      <c r="E389" s="8" t="s">
        <v>3405</v>
      </c>
      <c r="F389" s="8" t="s">
        <v>1501</v>
      </c>
      <c r="G389" s="8"/>
      <c r="H389" s="8" t="s">
        <v>3405</v>
      </c>
      <c r="I389" s="55" t="s">
        <v>1132</v>
      </c>
      <c r="J389" s="60" t="s">
        <v>7275</v>
      </c>
      <c r="K389" s="22">
        <v>0.0</v>
      </c>
      <c r="L389" s="22">
        <f>+SUMIF('حركه المخزن الرئيسي اليوميه'!$F:$F,$H:$H,'حركه المخزن الرئيسي اليوميه'!$H:$H)</f>
        <v>0.0</v>
      </c>
      <c r="M389" s="22">
        <f>+SUMIF('حركه المخزن الرئيسي اليوميه'!$F:$F,$H:$H,'حركه المخزن الرئيسي اليوميه'!$I:$I)</f>
        <v>0.0</v>
      </c>
      <c r="N389" s="22">
        <f t="shared" si="23"/>
        <v>0.0</v>
      </c>
      <c r="O389" s="22">
        <f t="shared" si="24"/>
        <v>0.0</v>
      </c>
      <c r="P389" s="22">
        <f t="shared" si="22"/>
        <v>0.0</v>
      </c>
      <c r="Q389" s="57"/>
      <c r="R389" s="58"/>
    </row>
    <row r="390" spans="8:8">
      <c r="B390" s="8">
        <v>381.0</v>
      </c>
      <c r="C390" s="8" t="s">
        <v>766</v>
      </c>
      <c r="D390" s="8" t="s">
        <v>766</v>
      </c>
      <c r="E390" s="8" t="s">
        <v>3420</v>
      </c>
      <c r="F390" s="8" t="s">
        <v>1501</v>
      </c>
      <c r="G390" s="8"/>
      <c r="H390" s="8" t="s">
        <v>3420</v>
      </c>
      <c r="I390" s="8" t="s">
        <v>39</v>
      </c>
      <c r="J390" s="60" t="s">
        <v>7276</v>
      </c>
      <c r="K390" s="22">
        <v>5.0</v>
      </c>
      <c r="L390" s="22">
        <f>+SUMIF('حركه المخزن الرئيسي اليوميه'!$F:$F,$H:$H,'حركه المخزن الرئيسي اليوميه'!$H:$H)</f>
        <v>0.0</v>
      </c>
      <c r="M390" s="22">
        <f>+SUMIF('حركه المخزن الرئيسي اليوميه'!$F:$F,$H:$H,'حركه المخزن الرئيسي اليوميه'!$I:$I)</f>
        <v>0.0</v>
      </c>
      <c r="N390" s="22">
        <f t="shared" si="23"/>
        <v>5.0</v>
      </c>
      <c r="O390" s="22">
        <f t="shared" si="24"/>
        <v>5.0</v>
      </c>
      <c r="P390" s="22">
        <f t="shared" si="22"/>
        <v>0.0</v>
      </c>
      <c r="Q390" s="57"/>
      <c r="R390" s="58"/>
    </row>
    <row r="391" spans="8:8">
      <c r="B391" s="8">
        <v>382.0</v>
      </c>
      <c r="C391" s="8" t="s">
        <v>766</v>
      </c>
      <c r="D391" s="8" t="s">
        <v>766</v>
      </c>
      <c r="E391" s="8" t="s">
        <v>3426</v>
      </c>
      <c r="F391" s="8" t="s">
        <v>1501</v>
      </c>
      <c r="G391" s="8"/>
      <c r="H391" s="8" t="s">
        <v>3426</v>
      </c>
      <c r="I391" s="55" t="s">
        <v>89</v>
      </c>
      <c r="J391" s="60" t="s">
        <v>7277</v>
      </c>
      <c r="K391" s="22">
        <v>36.0</v>
      </c>
      <c r="L391" s="22">
        <f>+SUMIF('حركه المخزن الرئيسي اليوميه'!$F:$F,$H:$H,'حركه المخزن الرئيسي اليوميه'!$H:$H)</f>
        <v>0.0</v>
      </c>
      <c r="M391" s="22">
        <f>+SUMIF('حركه المخزن الرئيسي اليوميه'!$F:$F,$H:$H,'حركه المخزن الرئيسي اليوميه'!$I:$I)</f>
        <v>0.0</v>
      </c>
      <c r="N391" s="22">
        <f t="shared" si="23"/>
        <v>36.0</v>
      </c>
      <c r="O391" s="22">
        <f t="shared" si="24"/>
        <v>36.0</v>
      </c>
      <c r="P391" s="22">
        <f t="shared" si="22"/>
        <v>0.0</v>
      </c>
      <c r="Q391" s="57"/>
      <c r="R391" s="58"/>
    </row>
    <row r="392" spans="8:8">
      <c r="B392" s="8">
        <v>383.0</v>
      </c>
      <c r="C392" s="8" t="s">
        <v>766</v>
      </c>
      <c r="D392" s="8" t="s">
        <v>766</v>
      </c>
      <c r="E392" s="8" t="s">
        <v>3436</v>
      </c>
      <c r="F392" s="8" t="s">
        <v>1139</v>
      </c>
      <c r="G392" s="8"/>
      <c r="H392" s="8" t="s">
        <v>3436</v>
      </c>
      <c r="I392" s="8" t="s">
        <v>818</v>
      </c>
      <c r="J392" s="60" t="s">
        <v>7278</v>
      </c>
      <c r="K392" s="22">
        <v>0.0</v>
      </c>
      <c r="L392" s="22">
        <f>+SUMIF('حركه المخزن الرئيسي اليوميه'!$F:$F,$H:$H,'حركه المخزن الرئيسي اليوميه'!$H:$H)</f>
        <v>0.0</v>
      </c>
      <c r="M392" s="22">
        <f>+SUMIF('حركه المخزن الرئيسي اليوميه'!$F:$F,$H:$H,'حركه المخزن الرئيسي اليوميه'!$I:$I)</f>
        <v>0.0</v>
      </c>
      <c r="N392" s="22">
        <f t="shared" si="23"/>
        <v>0.0</v>
      </c>
      <c r="O392" s="22">
        <f t="shared" si="24"/>
        <v>0.0</v>
      </c>
      <c r="P392" s="22">
        <f t="shared" si="22"/>
        <v>0.0</v>
      </c>
      <c r="Q392" s="57"/>
      <c r="R392" s="58"/>
    </row>
    <row r="393" spans="8:8">
      <c r="B393" s="8">
        <v>384.0</v>
      </c>
      <c r="C393" s="8" t="s">
        <v>766</v>
      </c>
      <c r="D393" s="8" t="s">
        <v>766</v>
      </c>
      <c r="E393" s="8" t="s">
        <v>3439</v>
      </c>
      <c r="F393" s="8" t="s">
        <v>1501</v>
      </c>
      <c r="G393" s="8"/>
      <c r="H393" s="8" t="s">
        <v>3439</v>
      </c>
      <c r="I393" s="8" t="s">
        <v>818</v>
      </c>
      <c r="J393" s="60" t="s">
        <v>7279</v>
      </c>
      <c r="K393" s="22">
        <v>0.0</v>
      </c>
      <c r="L393" s="22">
        <f>+SUMIF('حركه المخزن الرئيسي اليوميه'!$F:$F,$H:$H,'حركه المخزن الرئيسي اليوميه'!$H:$H)</f>
        <v>0.0</v>
      </c>
      <c r="M393" s="22">
        <f>+SUMIF('حركه المخزن الرئيسي اليوميه'!$F:$F,$H:$H,'حركه المخزن الرئيسي اليوميه'!$I:$I)</f>
        <v>0.0</v>
      </c>
      <c r="N393" s="22">
        <f t="shared" si="23"/>
        <v>0.0</v>
      </c>
      <c r="O393" s="22">
        <f t="shared" si="24"/>
        <v>0.0</v>
      </c>
      <c r="P393" s="22">
        <f t="shared" si="22"/>
        <v>0.0</v>
      </c>
      <c r="Q393" s="57"/>
      <c r="R393" s="58"/>
    </row>
    <row r="394" spans="8:8">
      <c r="B394" s="8">
        <v>385.0</v>
      </c>
      <c r="C394" s="8" t="s">
        <v>766</v>
      </c>
      <c r="D394" s="8" t="s">
        <v>766</v>
      </c>
      <c r="E394" s="8" t="s">
        <v>3441</v>
      </c>
      <c r="F394" s="8" t="s">
        <v>1501</v>
      </c>
      <c r="G394" s="8"/>
      <c r="H394" s="8" t="s">
        <v>3441</v>
      </c>
      <c r="I394" s="55" t="s">
        <v>254</v>
      </c>
      <c r="J394" s="60" t="s">
        <v>7280</v>
      </c>
      <c r="K394" s="22">
        <v>0.0</v>
      </c>
      <c r="L394" s="22">
        <f>+SUMIF('حركه المخزن الرئيسي اليوميه'!$F:$F,$H:$H,'حركه المخزن الرئيسي اليوميه'!$H:$H)</f>
        <v>0.0</v>
      </c>
      <c r="M394" s="22">
        <f>+SUMIF('حركه المخزن الرئيسي اليوميه'!$F:$F,$H:$H,'حركه المخزن الرئيسي اليوميه'!$I:$I)</f>
        <v>0.0</v>
      </c>
      <c r="N394" s="22">
        <f t="shared" si="23"/>
        <v>0.0</v>
      </c>
      <c r="O394" s="22">
        <f t="shared" si="24"/>
        <v>0.0</v>
      </c>
      <c r="P394" s="22">
        <f t="shared" si="22"/>
        <v>0.0</v>
      </c>
      <c r="Q394" s="57"/>
      <c r="R394" s="58"/>
    </row>
    <row r="395" spans="8:8">
      <c r="B395" s="8">
        <v>386.0</v>
      </c>
      <c r="C395" s="8" t="s">
        <v>766</v>
      </c>
      <c r="D395" s="8" t="s">
        <v>766</v>
      </c>
      <c r="E395" s="8" t="s">
        <v>3442</v>
      </c>
      <c r="F395" s="8" t="s">
        <v>1501</v>
      </c>
      <c r="G395" s="8"/>
      <c r="H395" s="8" t="s">
        <v>3442</v>
      </c>
      <c r="I395" s="55" t="s">
        <v>45</v>
      </c>
      <c r="J395" s="60" t="s">
        <v>7281</v>
      </c>
      <c r="K395" s="22">
        <v>0.0</v>
      </c>
      <c r="L395" s="22">
        <f>+SUMIF('حركه المخزن الرئيسي اليوميه'!$F:$F,$H:$H,'حركه المخزن الرئيسي اليوميه'!$H:$H)</f>
        <v>0.0</v>
      </c>
      <c r="M395" s="22">
        <f>+SUMIF('حركه المخزن الرئيسي اليوميه'!$F:$F,$H:$H,'حركه المخزن الرئيسي اليوميه'!$I:$I)</f>
        <v>0.0</v>
      </c>
      <c r="N395" s="22">
        <f t="shared" si="23"/>
        <v>0.0</v>
      </c>
      <c r="O395" s="22">
        <f t="shared" si="24"/>
        <v>0.0</v>
      </c>
      <c r="P395" s="22">
        <f t="shared" si="22"/>
        <v>0.0</v>
      </c>
      <c r="Q395" s="57"/>
      <c r="R395" s="58"/>
    </row>
    <row r="396" spans="8:8">
      <c r="B396" s="8">
        <v>387.0</v>
      </c>
      <c r="C396" s="8" t="s">
        <v>766</v>
      </c>
      <c r="D396" s="8" t="s">
        <v>766</v>
      </c>
      <c r="E396" s="8" t="s">
        <v>3443</v>
      </c>
      <c r="F396" s="8" t="s">
        <v>1501</v>
      </c>
      <c r="G396" s="8"/>
      <c r="H396" s="8" t="s">
        <v>3443</v>
      </c>
      <c r="I396" s="55" t="s">
        <v>254</v>
      </c>
      <c r="J396" s="60" t="s">
        <v>7282</v>
      </c>
      <c r="K396" s="22">
        <v>0.0</v>
      </c>
      <c r="L396" s="22">
        <f>+SUMIF('حركه المخزن الرئيسي اليوميه'!$F:$F,$H:$H,'حركه المخزن الرئيسي اليوميه'!$H:$H)</f>
        <v>0.0</v>
      </c>
      <c r="M396" s="22">
        <f>+SUMIF('حركه المخزن الرئيسي اليوميه'!$F:$F,$H:$H,'حركه المخزن الرئيسي اليوميه'!$I:$I)</f>
        <v>0.0</v>
      </c>
      <c r="N396" s="22">
        <f t="shared" si="23"/>
        <v>0.0</v>
      </c>
      <c r="O396" s="22">
        <f t="shared" si="24"/>
        <v>0.0</v>
      </c>
      <c r="P396" s="22">
        <f t="shared" si="22"/>
        <v>0.0</v>
      </c>
      <c r="Q396" s="57"/>
      <c r="R396" s="58"/>
    </row>
    <row r="397" spans="8:8">
      <c r="B397" s="8">
        <v>388.0</v>
      </c>
      <c r="C397" s="8" t="s">
        <v>766</v>
      </c>
      <c r="D397" s="8" t="s">
        <v>766</v>
      </c>
      <c r="E397" s="8" t="s">
        <v>3448</v>
      </c>
      <c r="F397" s="8" t="s">
        <v>1501</v>
      </c>
      <c r="G397" s="8"/>
      <c r="H397" s="8" t="s">
        <v>3448</v>
      </c>
      <c r="I397" s="8" t="s">
        <v>818</v>
      </c>
      <c r="J397" s="60" t="s">
        <v>7283</v>
      </c>
      <c r="K397" s="22">
        <v>0.0</v>
      </c>
      <c r="L397" s="22">
        <f>+SUMIF('حركه المخزن الرئيسي اليوميه'!$F:$F,$H:$H,'حركه المخزن الرئيسي اليوميه'!$H:$H)</f>
        <v>0.0</v>
      </c>
      <c r="M397" s="22">
        <f>+SUMIF('حركه المخزن الرئيسي اليوميه'!$F:$F,$H:$H,'حركه المخزن الرئيسي اليوميه'!$I:$I)</f>
        <v>0.0</v>
      </c>
      <c r="N397" s="22">
        <f t="shared" si="23"/>
        <v>0.0</v>
      </c>
      <c r="O397" s="22">
        <f t="shared" si="24"/>
        <v>0.0</v>
      </c>
      <c r="P397" s="22">
        <f t="shared" si="22"/>
        <v>0.0</v>
      </c>
      <c r="Q397" s="57"/>
      <c r="R397" s="58"/>
    </row>
    <row r="398" spans="8:8">
      <c r="B398" s="8">
        <v>389.0</v>
      </c>
      <c r="C398" s="8" t="s">
        <v>766</v>
      </c>
      <c r="D398" s="8" t="s">
        <v>766</v>
      </c>
      <c r="E398" s="8" t="s">
        <v>3472</v>
      </c>
      <c r="F398" s="8" t="s">
        <v>1501</v>
      </c>
      <c r="G398" s="8"/>
      <c r="H398" s="8" t="s">
        <v>3472</v>
      </c>
      <c r="I398" s="8" t="s">
        <v>3614</v>
      </c>
      <c r="J398" s="60" t="s">
        <v>7284</v>
      </c>
      <c r="K398" s="22">
        <v>0.0</v>
      </c>
      <c r="L398" s="22">
        <f>+SUMIF('حركه المخزن الرئيسي اليوميه'!$F:$F,$H:$H,'حركه المخزن الرئيسي اليوميه'!$H:$H)</f>
        <v>0.0</v>
      </c>
      <c r="M398" s="22">
        <f>+SUMIF('حركه المخزن الرئيسي اليوميه'!$F:$F,$H:$H,'حركه المخزن الرئيسي اليوميه'!$I:$I)</f>
        <v>0.0</v>
      </c>
      <c r="N398" s="22">
        <f t="shared" si="23"/>
        <v>0.0</v>
      </c>
      <c r="O398" s="22">
        <f t="shared" si="24"/>
        <v>0.0</v>
      </c>
      <c r="P398" s="22">
        <f t="shared" si="22"/>
        <v>0.0</v>
      </c>
      <c r="Q398" s="57"/>
      <c r="R398" s="58"/>
    </row>
    <row r="399" spans="8:8">
      <c r="B399" s="8">
        <v>390.0</v>
      </c>
      <c r="C399" s="8" t="s">
        <v>766</v>
      </c>
      <c r="D399" s="8" t="s">
        <v>766</v>
      </c>
      <c r="E399" s="8" t="s">
        <v>3513</v>
      </c>
      <c r="F399" s="8" t="s">
        <v>1501</v>
      </c>
      <c r="G399" s="8"/>
      <c r="H399" s="8" t="s">
        <v>3513</v>
      </c>
      <c r="I399" s="8" t="s">
        <v>28</v>
      </c>
      <c r="J399" s="60" t="s">
        <v>7285</v>
      </c>
      <c r="K399" s="22">
        <v>1.0</v>
      </c>
      <c r="L399" s="22">
        <f>+SUMIF('حركه المخزن الرئيسي اليوميه'!$F:$F,$H:$H,'حركه المخزن الرئيسي اليوميه'!$H:$H)</f>
        <v>0.0</v>
      </c>
      <c r="M399" s="22">
        <f>+SUMIF('حركه المخزن الرئيسي اليوميه'!$F:$F,$H:$H,'حركه المخزن الرئيسي اليوميه'!$I:$I)</f>
        <v>0.0</v>
      </c>
      <c r="N399" s="22">
        <f t="shared" si="23"/>
        <v>1.0</v>
      </c>
      <c r="O399" s="22">
        <f t="shared" si="24"/>
        <v>1.0</v>
      </c>
      <c r="P399" s="22">
        <f t="shared" si="22"/>
        <v>0.0</v>
      </c>
      <c r="Q399" s="57"/>
      <c r="R399" s="58"/>
    </row>
    <row r="400" spans="8:8">
      <c r="B400" s="8">
        <v>391.0</v>
      </c>
      <c r="C400" s="8" t="s">
        <v>766</v>
      </c>
      <c r="D400" s="8" t="s">
        <v>766</v>
      </c>
      <c r="E400" s="8" t="s">
        <v>2611</v>
      </c>
      <c r="F400" s="8" t="s">
        <v>1501</v>
      </c>
      <c r="G400" s="8"/>
      <c r="H400" s="8" t="s">
        <v>2611</v>
      </c>
      <c r="I400" s="55" t="s">
        <v>37</v>
      </c>
      <c r="J400" s="60" t="s">
        <v>7286</v>
      </c>
      <c r="K400" s="22">
        <v>11.0</v>
      </c>
      <c r="L400" s="22">
        <f>+SUMIF('حركه المخزن الرئيسي اليوميه'!$F:$F,$H:$H,'حركه المخزن الرئيسي اليوميه'!$H:$H)</f>
        <v>0.0</v>
      </c>
      <c r="M400" s="22">
        <f>+SUMIF('حركه المخزن الرئيسي اليوميه'!$F:$F,$H:$H,'حركه المخزن الرئيسي اليوميه'!$I:$I)</f>
        <v>0.0</v>
      </c>
      <c r="N400" s="22">
        <f t="shared" si="25" ref="N400:N463">+K400+L400-M400</f>
        <v>11.0</v>
      </c>
      <c r="O400" s="22">
        <f t="shared" si="26" ref="O400:O463">+N400</f>
        <v>11.0</v>
      </c>
      <c r="P400" s="22">
        <f t="shared" si="27" ref="P400:P463">+N400-O400</f>
        <v>0.0</v>
      </c>
      <c r="Q400" s="57"/>
      <c r="R400" s="58"/>
    </row>
    <row r="401" spans="8:8">
      <c r="B401" s="8">
        <v>392.0</v>
      </c>
      <c r="C401" s="8" t="s">
        <v>766</v>
      </c>
      <c r="D401" s="8" t="s">
        <v>766</v>
      </c>
      <c r="E401" s="8" t="s">
        <v>2604</v>
      </c>
      <c r="F401" s="8" t="s">
        <v>1501</v>
      </c>
      <c r="G401" s="8" t="s">
        <v>293</v>
      </c>
      <c r="H401" s="8" t="s">
        <v>2604</v>
      </c>
      <c r="I401" s="55" t="s">
        <v>450</v>
      </c>
      <c r="J401" s="60" t="s">
        <v>7287</v>
      </c>
      <c r="K401" s="22">
        <v>14.0</v>
      </c>
      <c r="L401" s="22">
        <f>+SUMIF('حركه المخزن الرئيسي اليوميه'!$F:$F,$H:$H,'حركه المخزن الرئيسي اليوميه'!$H:$H)</f>
        <v>0.0</v>
      </c>
      <c r="M401" s="22">
        <f>+SUMIF('حركه المخزن الرئيسي اليوميه'!$F:$F,$H:$H,'حركه المخزن الرئيسي اليوميه'!$I:$I)</f>
        <v>0.0</v>
      </c>
      <c r="N401" s="22">
        <f t="shared" si="25"/>
        <v>14.0</v>
      </c>
      <c r="O401" s="22">
        <f t="shared" si="26"/>
        <v>14.0</v>
      </c>
      <c r="P401" s="22">
        <f t="shared" si="27"/>
        <v>0.0</v>
      </c>
      <c r="Q401" s="57"/>
      <c r="R401" s="58"/>
    </row>
    <row r="402" spans="8:8">
      <c r="B402" s="8">
        <v>393.0</v>
      </c>
      <c r="C402" s="8" t="s">
        <v>766</v>
      </c>
      <c r="D402" s="8" t="s">
        <v>766</v>
      </c>
      <c r="E402" s="8" t="s">
        <v>2605</v>
      </c>
      <c r="F402" s="8" t="s">
        <v>1501</v>
      </c>
      <c r="G402" s="8" t="s">
        <v>1816</v>
      </c>
      <c r="H402" s="8" t="s">
        <v>2605</v>
      </c>
      <c r="I402" s="55" t="s">
        <v>450</v>
      </c>
      <c r="J402" s="60" t="s">
        <v>7288</v>
      </c>
      <c r="K402" s="22">
        <v>15.0</v>
      </c>
      <c r="L402" s="22">
        <f>+SUMIF('حركه المخزن الرئيسي اليوميه'!$F:$F,$H:$H,'حركه المخزن الرئيسي اليوميه'!$H:$H)</f>
        <v>0.0</v>
      </c>
      <c r="M402" s="22">
        <f>+SUMIF('حركه المخزن الرئيسي اليوميه'!$F:$F,$H:$H,'حركه المخزن الرئيسي اليوميه'!$I:$I)</f>
        <v>0.0</v>
      </c>
      <c r="N402" s="22">
        <f t="shared" si="25"/>
        <v>15.0</v>
      </c>
      <c r="O402" s="22">
        <f t="shared" si="26"/>
        <v>15.0</v>
      </c>
      <c r="P402" s="22">
        <f t="shared" si="27"/>
        <v>0.0</v>
      </c>
      <c r="Q402" s="57"/>
      <c r="R402" s="58"/>
    </row>
    <row r="403" spans="8:8">
      <c r="B403" s="8">
        <v>394.0</v>
      </c>
      <c r="C403" s="8" t="s">
        <v>766</v>
      </c>
      <c r="D403" s="8" t="s">
        <v>766</v>
      </c>
      <c r="E403" s="8" t="s">
        <v>2603</v>
      </c>
      <c r="F403" s="8" t="s">
        <v>1501</v>
      </c>
      <c r="G403" s="8" t="s">
        <v>1858</v>
      </c>
      <c r="H403" s="8" t="s">
        <v>2603</v>
      </c>
      <c r="I403" s="55" t="s">
        <v>450</v>
      </c>
      <c r="J403" s="60" t="s">
        <v>7289</v>
      </c>
      <c r="K403" s="22">
        <v>11.0</v>
      </c>
      <c r="L403" s="22">
        <f>+SUMIF('حركه المخزن الرئيسي اليوميه'!$F:$F,$H:$H,'حركه المخزن الرئيسي اليوميه'!$H:$H)</f>
        <v>0.0</v>
      </c>
      <c r="M403" s="22">
        <f>+SUMIF('حركه المخزن الرئيسي اليوميه'!$F:$F,$H:$H,'حركه المخزن الرئيسي اليوميه'!$I:$I)</f>
        <v>0.0</v>
      </c>
      <c r="N403" s="22">
        <f t="shared" si="25"/>
        <v>11.0</v>
      </c>
      <c r="O403" s="22">
        <f t="shared" si="26"/>
        <v>11.0</v>
      </c>
      <c r="P403" s="22">
        <f t="shared" si="27"/>
        <v>0.0</v>
      </c>
      <c r="Q403" s="57"/>
      <c r="R403" s="58"/>
    </row>
    <row r="404" spans="8:8">
      <c r="B404" s="8">
        <v>395.0</v>
      </c>
      <c r="C404" s="8" t="s">
        <v>766</v>
      </c>
      <c r="D404" s="8" t="s">
        <v>766</v>
      </c>
      <c r="E404" s="8" t="s">
        <v>2759</v>
      </c>
      <c r="F404" s="8" t="s">
        <v>1501</v>
      </c>
      <c r="G404" s="8" t="s">
        <v>2199</v>
      </c>
      <c r="H404" s="8" t="s">
        <v>2759</v>
      </c>
      <c r="I404" s="8" t="s">
        <v>43</v>
      </c>
      <c r="J404" s="60" t="s">
        <v>7290</v>
      </c>
      <c r="K404" s="22">
        <v>4.0</v>
      </c>
      <c r="L404" s="22">
        <f>+SUMIF('حركه المخزن الرئيسي اليوميه'!$F:$F,$H:$H,'حركه المخزن الرئيسي اليوميه'!$H:$H)</f>
        <v>0.0</v>
      </c>
      <c r="M404" s="22">
        <f>+SUMIF('حركه المخزن الرئيسي اليوميه'!$F:$F,$H:$H,'حركه المخزن الرئيسي اليوميه'!$I:$I)</f>
        <v>0.0</v>
      </c>
      <c r="N404" s="22">
        <f t="shared" si="25"/>
        <v>4.0</v>
      </c>
      <c r="O404" s="22">
        <f t="shared" si="26"/>
        <v>4.0</v>
      </c>
      <c r="P404" s="22">
        <f t="shared" si="27"/>
        <v>0.0</v>
      </c>
      <c r="Q404" s="57"/>
      <c r="R404" s="58"/>
    </row>
    <row r="405" spans="8:8">
      <c r="B405" s="8">
        <v>396.0</v>
      </c>
      <c r="C405" s="8" t="s">
        <v>766</v>
      </c>
      <c r="D405" s="8" t="s">
        <v>766</v>
      </c>
      <c r="E405" s="8" t="s">
        <v>1627</v>
      </c>
      <c r="F405" s="8" t="s">
        <v>1501</v>
      </c>
      <c r="G405" s="8" t="s">
        <v>2299</v>
      </c>
      <c r="H405" s="8" t="s">
        <v>1627</v>
      </c>
      <c r="I405" s="8" t="s">
        <v>45</v>
      </c>
      <c r="J405" s="60" t="s">
        <v>7291</v>
      </c>
      <c r="K405" s="22">
        <v>6.0</v>
      </c>
      <c r="L405" s="22">
        <f>+SUMIF('حركه المخزن الرئيسي اليوميه'!$F:$F,$H:$H,'حركه المخزن الرئيسي اليوميه'!$H:$H)</f>
        <v>0.0</v>
      </c>
      <c r="M405" s="22">
        <f>+SUMIF('حركه المخزن الرئيسي اليوميه'!$F:$F,$H:$H,'حركه المخزن الرئيسي اليوميه'!$I:$I)</f>
        <v>0.0</v>
      </c>
      <c r="N405" s="22">
        <f t="shared" si="25"/>
        <v>6.0</v>
      </c>
      <c r="O405" s="22">
        <f t="shared" si="26"/>
        <v>6.0</v>
      </c>
      <c r="P405" s="22">
        <f t="shared" si="27"/>
        <v>0.0</v>
      </c>
      <c r="Q405" s="57"/>
      <c r="R405" s="58"/>
    </row>
    <row r="406" spans="8:8">
      <c r="B406" s="8">
        <v>397.0</v>
      </c>
      <c r="C406" s="8" t="s">
        <v>766</v>
      </c>
      <c r="D406" s="8" t="s">
        <v>766</v>
      </c>
      <c r="E406" s="8" t="s">
        <v>1419</v>
      </c>
      <c r="F406" s="8" t="s">
        <v>1501</v>
      </c>
      <c r="G406" s="8" t="s">
        <v>2269</v>
      </c>
      <c r="H406" s="8" t="s">
        <v>1419</v>
      </c>
      <c r="I406" s="8" t="s">
        <v>148</v>
      </c>
      <c r="J406" s="60" t="s">
        <v>7292</v>
      </c>
      <c r="K406" s="22">
        <v>0.0</v>
      </c>
      <c r="L406" s="22">
        <f>+SUMIF('حركه المخزن الرئيسي اليوميه'!$F:$F,$H:$H,'حركه المخزن الرئيسي اليوميه'!$H:$H)</f>
        <v>0.0</v>
      </c>
      <c r="M406" s="22">
        <f>+SUMIF('حركه المخزن الرئيسي اليوميه'!$F:$F,$H:$H,'حركه المخزن الرئيسي اليوميه'!$I:$I)</f>
        <v>0.0</v>
      </c>
      <c r="N406" s="22">
        <f t="shared" si="25"/>
        <v>0.0</v>
      </c>
      <c r="O406" s="22">
        <f t="shared" si="26"/>
        <v>0.0</v>
      </c>
      <c r="P406" s="22">
        <f t="shared" si="27"/>
        <v>0.0</v>
      </c>
      <c r="Q406" s="57"/>
      <c r="R406" s="58"/>
    </row>
    <row r="407" spans="8:8">
      <c r="B407" s="8">
        <v>398.0</v>
      </c>
      <c r="C407" s="8" t="s">
        <v>766</v>
      </c>
      <c r="D407" s="8" t="s">
        <v>766</v>
      </c>
      <c r="E407" s="8" t="s">
        <v>1563</v>
      </c>
      <c r="F407" s="8" t="s">
        <v>3602</v>
      </c>
      <c r="G407" s="8"/>
      <c r="H407" s="8" t="s">
        <v>1563</v>
      </c>
      <c r="I407" s="8" t="s">
        <v>247</v>
      </c>
      <c r="J407" s="60" t="s">
        <v>7293</v>
      </c>
      <c r="K407" s="22">
        <v>2.0</v>
      </c>
      <c r="L407" s="22">
        <f>+SUMIF('حركه المخزن الرئيسي اليوميه'!$F:$F,$H:$H,'حركه المخزن الرئيسي اليوميه'!$H:$H)</f>
        <v>0.0</v>
      </c>
      <c r="M407" s="22">
        <f>+SUMIF('حركه المخزن الرئيسي اليوميه'!$F:$F,$H:$H,'حركه المخزن الرئيسي اليوميه'!$I:$I)</f>
        <v>1.0</v>
      </c>
      <c r="N407" s="22">
        <f t="shared" si="25"/>
        <v>1.0</v>
      </c>
      <c r="O407" s="22">
        <f t="shared" si="26"/>
        <v>1.0</v>
      </c>
      <c r="P407" s="22">
        <f t="shared" si="27"/>
        <v>0.0</v>
      </c>
      <c r="Q407" s="57"/>
      <c r="R407" s="58"/>
    </row>
    <row r="408" spans="8:8">
      <c r="B408" s="8">
        <v>399.0</v>
      </c>
      <c r="C408" s="8" t="s">
        <v>766</v>
      </c>
      <c r="D408" s="8" t="s">
        <v>766</v>
      </c>
      <c r="E408" s="8" t="s">
        <v>1134</v>
      </c>
      <c r="F408" s="8" t="s">
        <v>1501</v>
      </c>
      <c r="G408" s="8" t="s">
        <v>2310</v>
      </c>
      <c r="H408" s="8" t="s">
        <v>1134</v>
      </c>
      <c r="I408" s="8" t="s">
        <v>139</v>
      </c>
      <c r="J408" s="60" t="s">
        <v>7294</v>
      </c>
      <c r="K408" s="22">
        <v>3.0</v>
      </c>
      <c r="L408" s="22">
        <f>+SUMIF('حركه المخزن الرئيسي اليوميه'!$F:$F,$H:$H,'حركه المخزن الرئيسي اليوميه'!$H:$H)</f>
        <v>0.0</v>
      </c>
      <c r="M408" s="22">
        <f>+SUMIF('حركه المخزن الرئيسي اليوميه'!$F:$F,$H:$H,'حركه المخزن الرئيسي اليوميه'!$I:$I)</f>
        <v>0.0</v>
      </c>
      <c r="N408" s="22">
        <f t="shared" si="25"/>
        <v>3.0</v>
      </c>
      <c r="O408" s="22">
        <f t="shared" si="26"/>
        <v>3.0</v>
      </c>
      <c r="P408" s="22">
        <f t="shared" si="27"/>
        <v>0.0</v>
      </c>
      <c r="Q408" s="57"/>
      <c r="R408" s="58"/>
    </row>
    <row r="409" spans="8:8">
      <c r="B409" s="8">
        <v>400.0</v>
      </c>
      <c r="C409" s="8" t="s">
        <v>766</v>
      </c>
      <c r="D409" s="8" t="s">
        <v>766</v>
      </c>
      <c r="E409" s="8" t="s">
        <v>3057</v>
      </c>
      <c r="F409" s="8" t="s">
        <v>1501</v>
      </c>
      <c r="G409" s="8"/>
      <c r="H409" s="8" t="s">
        <v>3057</v>
      </c>
      <c r="I409" s="8" t="s">
        <v>204</v>
      </c>
      <c r="J409" s="60" t="s">
        <v>7295</v>
      </c>
      <c r="K409" s="22">
        <v>1.0</v>
      </c>
      <c r="L409" s="22">
        <f>+SUMIF('حركه المخزن الرئيسي اليوميه'!$F:$F,$H:$H,'حركه المخزن الرئيسي اليوميه'!$H:$H)</f>
        <v>0.0</v>
      </c>
      <c r="M409" s="22">
        <f>+SUMIF('حركه المخزن الرئيسي اليوميه'!$F:$F,$H:$H,'حركه المخزن الرئيسي اليوميه'!$I:$I)</f>
        <v>0.0</v>
      </c>
      <c r="N409" s="22">
        <f t="shared" si="25"/>
        <v>1.0</v>
      </c>
      <c r="O409" s="22">
        <f t="shared" si="26"/>
        <v>1.0</v>
      </c>
      <c r="P409" s="22">
        <f t="shared" si="27"/>
        <v>0.0</v>
      </c>
      <c r="Q409" s="57"/>
      <c r="R409" s="58"/>
    </row>
    <row r="410" spans="8:8">
      <c r="B410" s="8">
        <v>401.0</v>
      </c>
      <c r="C410" s="8" t="s">
        <v>766</v>
      </c>
      <c r="D410" s="8" t="s">
        <v>766</v>
      </c>
      <c r="E410" s="8" t="s">
        <v>3058</v>
      </c>
      <c r="F410" s="8" t="s">
        <v>1501</v>
      </c>
      <c r="G410" s="8"/>
      <c r="H410" s="8" t="s">
        <v>3058</v>
      </c>
      <c r="I410" s="8" t="s">
        <v>204</v>
      </c>
      <c r="J410" s="60" t="s">
        <v>7296</v>
      </c>
      <c r="K410" s="22">
        <v>2.0</v>
      </c>
      <c r="L410" s="22">
        <f>+SUMIF('حركه المخزن الرئيسي اليوميه'!$F:$F,$H:$H,'حركه المخزن الرئيسي اليوميه'!$H:$H)</f>
        <v>0.0</v>
      </c>
      <c r="M410" s="22">
        <f>+SUMIF('حركه المخزن الرئيسي اليوميه'!$F:$F,$H:$H,'حركه المخزن الرئيسي اليوميه'!$I:$I)</f>
        <v>0.0</v>
      </c>
      <c r="N410" s="22">
        <f t="shared" si="25"/>
        <v>2.0</v>
      </c>
      <c r="O410" s="22">
        <f t="shared" si="26"/>
        <v>2.0</v>
      </c>
      <c r="P410" s="22">
        <f t="shared" si="27"/>
        <v>0.0</v>
      </c>
      <c r="Q410" s="57"/>
      <c r="R410" s="58"/>
    </row>
    <row r="411" spans="8:8">
      <c r="B411" s="8">
        <v>402.0</v>
      </c>
      <c r="C411" s="8" t="s">
        <v>766</v>
      </c>
      <c r="D411" s="8" t="s">
        <v>766</v>
      </c>
      <c r="E411" s="8" t="s">
        <v>3059</v>
      </c>
      <c r="F411" s="8" t="s">
        <v>1501</v>
      </c>
      <c r="G411" s="8"/>
      <c r="H411" s="8" t="s">
        <v>3059</v>
      </c>
      <c r="I411" s="8" t="s">
        <v>204</v>
      </c>
      <c r="J411" s="60" t="s">
        <v>7297</v>
      </c>
      <c r="K411" s="22">
        <v>1.0</v>
      </c>
      <c r="L411" s="22">
        <f>+SUMIF('حركه المخزن الرئيسي اليوميه'!$F:$F,$H:$H,'حركه المخزن الرئيسي اليوميه'!$H:$H)</f>
        <v>0.0</v>
      </c>
      <c r="M411" s="22">
        <f>+SUMIF('حركه المخزن الرئيسي اليوميه'!$F:$F,$H:$H,'حركه المخزن الرئيسي اليوميه'!$I:$I)</f>
        <v>0.0</v>
      </c>
      <c r="N411" s="22">
        <f t="shared" si="25"/>
        <v>1.0</v>
      </c>
      <c r="O411" s="22">
        <f t="shared" si="26"/>
        <v>1.0</v>
      </c>
      <c r="P411" s="22">
        <f t="shared" si="27"/>
        <v>0.0</v>
      </c>
      <c r="Q411" s="57"/>
      <c r="R411" s="58"/>
    </row>
    <row r="412" spans="8:8">
      <c r="B412" s="8">
        <v>403.0</v>
      </c>
      <c r="C412" s="8" t="s">
        <v>766</v>
      </c>
      <c r="D412" s="8" t="s">
        <v>766</v>
      </c>
      <c r="E412" s="8" t="s">
        <v>1323</v>
      </c>
      <c r="F412" s="8" t="s">
        <v>1501</v>
      </c>
      <c r="G412" s="8" t="s">
        <v>2450</v>
      </c>
      <c r="H412" s="8" t="s">
        <v>1323</v>
      </c>
      <c r="I412" s="55" t="s">
        <v>818</v>
      </c>
      <c r="J412" s="60" t="s">
        <v>7298</v>
      </c>
      <c r="K412" s="22">
        <v>4.0</v>
      </c>
      <c r="L412" s="22">
        <f>+SUMIF('حركه المخزن الرئيسي اليوميه'!$F:$F,$H:$H,'حركه المخزن الرئيسي اليوميه'!$H:$H)</f>
        <v>0.0</v>
      </c>
      <c r="M412" s="22">
        <f>+SUMIF('حركه المخزن الرئيسي اليوميه'!$F:$F,$H:$H,'حركه المخزن الرئيسي اليوميه'!$I:$I)</f>
        <v>0.0</v>
      </c>
      <c r="N412" s="22">
        <f t="shared" si="25"/>
        <v>4.0</v>
      </c>
      <c r="O412" s="22">
        <f t="shared" si="26"/>
        <v>4.0</v>
      </c>
      <c r="P412" s="22">
        <f t="shared" si="27"/>
        <v>0.0</v>
      </c>
      <c r="Q412" s="57"/>
      <c r="R412" s="58"/>
    </row>
    <row r="413" spans="8:8">
      <c r="B413" s="8">
        <v>404.0</v>
      </c>
      <c r="C413" s="8" t="s">
        <v>766</v>
      </c>
      <c r="D413" s="8" t="s">
        <v>766</v>
      </c>
      <c r="E413" s="8" t="s">
        <v>2792</v>
      </c>
      <c r="F413" s="8" t="s">
        <v>1501</v>
      </c>
      <c r="G413" s="8" t="s">
        <v>2147</v>
      </c>
      <c r="H413" s="8" t="s">
        <v>2792</v>
      </c>
      <c r="I413" s="55" t="s">
        <v>467</v>
      </c>
      <c r="J413" s="60" t="s">
        <v>7299</v>
      </c>
      <c r="K413" s="22">
        <v>2.0</v>
      </c>
      <c r="L413" s="22">
        <f>+SUMIF('حركه المخزن الرئيسي اليوميه'!$F:$F,$H:$H,'حركه المخزن الرئيسي اليوميه'!$H:$H)</f>
        <v>0.0</v>
      </c>
      <c r="M413" s="22">
        <f>+SUMIF('حركه المخزن الرئيسي اليوميه'!$F:$F,$H:$H,'حركه المخزن الرئيسي اليوميه'!$I:$I)</f>
        <v>0.0</v>
      </c>
      <c r="N413" s="22">
        <f t="shared" si="25"/>
        <v>2.0</v>
      </c>
      <c r="O413" s="22">
        <f t="shared" si="26"/>
        <v>2.0</v>
      </c>
      <c r="P413" s="22">
        <f t="shared" si="27"/>
        <v>0.0</v>
      </c>
      <c r="Q413" s="57"/>
      <c r="R413" s="58"/>
    </row>
    <row r="414" spans="8:8">
      <c r="B414" s="8">
        <v>405.0</v>
      </c>
      <c r="C414" s="8" t="s">
        <v>766</v>
      </c>
      <c r="D414" s="8" t="s">
        <v>766</v>
      </c>
      <c r="E414" s="8" t="s">
        <v>3659</v>
      </c>
      <c r="F414" s="8" t="s">
        <v>1501</v>
      </c>
      <c r="G414" s="8"/>
      <c r="H414" s="8" t="s">
        <v>3659</v>
      </c>
      <c r="I414" s="55" t="s">
        <v>228</v>
      </c>
      <c r="J414" s="60" t="s">
        <v>7300</v>
      </c>
      <c r="K414" s="22">
        <v>0.0</v>
      </c>
      <c r="L414" s="22">
        <f>+SUMIF('حركه المخزن الرئيسي اليوميه'!$F:$F,$H:$H,'حركه المخزن الرئيسي اليوميه'!$H:$H)</f>
        <v>0.0</v>
      </c>
      <c r="M414" s="22">
        <f>+SUMIF('حركه المخزن الرئيسي اليوميه'!$F:$F,$H:$H,'حركه المخزن الرئيسي اليوميه'!$I:$I)</f>
        <v>0.0</v>
      </c>
      <c r="N414" s="22">
        <f t="shared" si="25"/>
        <v>0.0</v>
      </c>
      <c r="O414" s="22">
        <f t="shared" si="26"/>
        <v>0.0</v>
      </c>
      <c r="P414" s="22">
        <f t="shared" si="27"/>
        <v>0.0</v>
      </c>
      <c r="Q414" s="57"/>
      <c r="R414" s="58"/>
    </row>
    <row r="415" spans="8:8">
      <c r="B415" s="8">
        <v>406.0</v>
      </c>
      <c r="C415" s="8" t="s">
        <v>766</v>
      </c>
      <c r="D415" s="8" t="s">
        <v>766</v>
      </c>
      <c r="E415" s="8" t="s">
        <v>3660</v>
      </c>
      <c r="F415" s="8" t="s">
        <v>1501</v>
      </c>
      <c r="G415" s="8"/>
      <c r="H415" s="8" t="s">
        <v>3660</v>
      </c>
      <c r="I415" s="55" t="s">
        <v>36</v>
      </c>
      <c r="J415" s="60" t="s">
        <v>7301</v>
      </c>
      <c r="K415" s="22">
        <v>6.0</v>
      </c>
      <c r="L415" s="22">
        <f>+SUMIF('حركه المخزن الرئيسي اليوميه'!$F:$F,$H:$H,'حركه المخزن الرئيسي اليوميه'!$H:$H)</f>
        <v>0.0</v>
      </c>
      <c r="M415" s="22">
        <f>+SUMIF('حركه المخزن الرئيسي اليوميه'!$F:$F,$H:$H,'حركه المخزن الرئيسي اليوميه'!$I:$I)</f>
        <v>0.0</v>
      </c>
      <c r="N415" s="22">
        <f t="shared" si="25"/>
        <v>6.0</v>
      </c>
      <c r="O415" s="22">
        <f t="shared" si="26"/>
        <v>6.0</v>
      </c>
      <c r="P415" s="22">
        <f t="shared" si="27"/>
        <v>0.0</v>
      </c>
      <c r="Q415" s="57"/>
      <c r="R415" s="58"/>
    </row>
    <row r="416" spans="8:8">
      <c r="B416" s="8">
        <v>407.0</v>
      </c>
      <c r="C416" s="8" t="s">
        <v>766</v>
      </c>
      <c r="D416" s="8" t="s">
        <v>766</v>
      </c>
      <c r="E416" s="8" t="s">
        <v>3674</v>
      </c>
      <c r="F416" s="8" t="s">
        <v>1501</v>
      </c>
      <c r="G416" s="8"/>
      <c r="H416" s="8" t="s">
        <v>3674</v>
      </c>
      <c r="I416" s="8" t="s">
        <v>174</v>
      </c>
      <c r="J416" s="60" t="s">
        <v>7302</v>
      </c>
      <c r="K416" s="22">
        <v>13.0</v>
      </c>
      <c r="L416" s="22">
        <f>+SUMIF('حركه المخزن الرئيسي اليوميه'!$F:$F,$H:$H,'حركه المخزن الرئيسي اليوميه'!$H:$H)</f>
        <v>0.0</v>
      </c>
      <c r="M416" s="22">
        <f>+SUMIF('حركه المخزن الرئيسي اليوميه'!$F:$F,$H:$H,'حركه المخزن الرئيسي اليوميه'!$I:$I)</f>
        <v>0.0</v>
      </c>
      <c r="N416" s="22">
        <f t="shared" si="25"/>
        <v>13.0</v>
      </c>
      <c r="O416" s="22">
        <f t="shared" si="26"/>
        <v>13.0</v>
      </c>
      <c r="P416" s="22">
        <f t="shared" si="27"/>
        <v>0.0</v>
      </c>
      <c r="Q416" s="57"/>
      <c r="R416" s="58"/>
    </row>
    <row r="417" spans="8:8">
      <c r="B417" s="8">
        <v>408.0</v>
      </c>
      <c r="C417" s="8" t="s">
        <v>766</v>
      </c>
      <c r="D417" s="8" t="s">
        <v>766</v>
      </c>
      <c r="E417" s="8"/>
      <c r="F417" s="8" t="s">
        <v>1501</v>
      </c>
      <c r="G417" s="8"/>
      <c r="H417" s="8"/>
      <c r="I417" s="55"/>
      <c r="J417" s="60" t="s">
        <v>7303</v>
      </c>
      <c r="K417" s="22">
        <v>0.0</v>
      </c>
      <c r="L417" s="22">
        <f>+SUMIF('حركه المخزن الرئيسي اليوميه'!$F:$F,$H:$H,'حركه المخزن الرئيسي اليوميه'!$H:$H)</f>
        <v>0.0</v>
      </c>
      <c r="M417" s="22">
        <f>+SUMIF('حركه المخزن الرئيسي اليوميه'!$F:$F,$H:$H,'حركه المخزن الرئيسي اليوميه'!$I:$I)</f>
        <v>0.0</v>
      </c>
      <c r="N417" s="22">
        <f t="shared" si="25"/>
        <v>0.0</v>
      </c>
      <c r="O417" s="22">
        <f t="shared" si="26"/>
        <v>0.0</v>
      </c>
      <c r="P417" s="22">
        <f t="shared" si="27"/>
        <v>0.0</v>
      </c>
      <c r="Q417" s="57"/>
      <c r="R417" s="58"/>
    </row>
    <row r="418" spans="8:8">
      <c r="B418" s="8">
        <v>409.0</v>
      </c>
      <c r="C418" s="55" t="s">
        <v>766</v>
      </c>
      <c r="D418" s="55" t="s">
        <v>766</v>
      </c>
      <c r="E418" s="55"/>
      <c r="F418" s="55" t="s">
        <v>1501</v>
      </c>
      <c r="G418" s="55"/>
      <c r="H418" s="55"/>
      <c r="I418" s="55"/>
      <c r="J418" s="60" t="s">
        <v>7304</v>
      </c>
      <c r="K418" s="22">
        <v>0.0</v>
      </c>
      <c r="L418" s="22">
        <f>+SUMIF('حركه المخزن الرئيسي اليوميه'!$F:$F,$H:$H,'حركه المخزن الرئيسي اليوميه'!$H:$H)</f>
        <v>0.0</v>
      </c>
      <c r="M418" s="22">
        <f>+SUMIF('حركه المخزن الرئيسي اليوميه'!$F:$F,$H:$H,'حركه المخزن الرئيسي اليوميه'!$I:$I)</f>
        <v>0.0</v>
      </c>
      <c r="N418" s="22">
        <f t="shared" si="25"/>
        <v>0.0</v>
      </c>
      <c r="O418" s="22">
        <f t="shared" si="26"/>
        <v>0.0</v>
      </c>
      <c r="P418" s="22">
        <f t="shared" si="27"/>
        <v>0.0</v>
      </c>
      <c r="Q418" s="57"/>
      <c r="R418" s="58"/>
    </row>
    <row r="419" spans="8:8">
      <c r="B419" s="8">
        <v>410.0</v>
      </c>
      <c r="C419" s="55" t="s">
        <v>766</v>
      </c>
      <c r="D419" s="55" t="s">
        <v>766</v>
      </c>
      <c r="E419" s="55"/>
      <c r="F419" s="55" t="s">
        <v>1501</v>
      </c>
      <c r="G419" s="55"/>
      <c r="H419" s="55"/>
      <c r="I419" s="55"/>
      <c r="J419" s="60" t="s">
        <v>7305</v>
      </c>
      <c r="K419" s="22">
        <v>0.0</v>
      </c>
      <c r="L419" s="22">
        <f>+SUMIF('حركه المخزن الرئيسي اليوميه'!$F:$F,$H:$H,'حركه المخزن الرئيسي اليوميه'!$H:$H)</f>
        <v>0.0</v>
      </c>
      <c r="M419" s="22">
        <f>+SUMIF('حركه المخزن الرئيسي اليوميه'!$F:$F,$H:$H,'حركه المخزن الرئيسي اليوميه'!$I:$I)</f>
        <v>0.0</v>
      </c>
      <c r="N419" s="22">
        <f t="shared" si="25"/>
        <v>0.0</v>
      </c>
      <c r="O419" s="22">
        <f t="shared" si="26"/>
        <v>0.0</v>
      </c>
      <c r="P419" s="22">
        <f t="shared" si="27"/>
        <v>0.0</v>
      </c>
      <c r="Q419" s="57"/>
      <c r="R419" s="58"/>
    </row>
    <row r="420" spans="8:8">
      <c r="B420" s="8">
        <v>411.0</v>
      </c>
      <c r="C420" s="55" t="s">
        <v>766</v>
      </c>
      <c r="D420" s="55" t="s">
        <v>766</v>
      </c>
      <c r="E420" s="55"/>
      <c r="F420" s="55" t="s">
        <v>1501</v>
      </c>
      <c r="G420" s="55"/>
      <c r="H420" s="55"/>
      <c r="I420" s="55"/>
      <c r="J420" s="60" t="s">
        <v>7306</v>
      </c>
      <c r="K420" s="22">
        <v>0.0</v>
      </c>
      <c r="L420" s="22">
        <f>+SUMIF('حركه المخزن الرئيسي اليوميه'!$F:$F,$H:$H,'حركه المخزن الرئيسي اليوميه'!$H:$H)</f>
        <v>0.0</v>
      </c>
      <c r="M420" s="22">
        <f>+SUMIF('حركه المخزن الرئيسي اليوميه'!$F:$F,$H:$H,'حركه المخزن الرئيسي اليوميه'!$I:$I)</f>
        <v>0.0</v>
      </c>
      <c r="N420" s="22">
        <f t="shared" si="25"/>
        <v>0.0</v>
      </c>
      <c r="O420" s="22">
        <f t="shared" si="26"/>
        <v>0.0</v>
      </c>
      <c r="P420" s="22">
        <f t="shared" si="27"/>
        <v>0.0</v>
      </c>
      <c r="Q420" s="57"/>
      <c r="R420" s="58"/>
    </row>
    <row r="421" spans="8:8">
      <c r="B421" s="8">
        <v>412.0</v>
      </c>
      <c r="C421" s="55" t="s">
        <v>766</v>
      </c>
      <c r="D421" s="55" t="s">
        <v>766</v>
      </c>
      <c r="E421" s="55"/>
      <c r="F421" s="55" t="s">
        <v>1501</v>
      </c>
      <c r="G421" s="55"/>
      <c r="H421" s="55"/>
      <c r="I421" s="55"/>
      <c r="J421" s="60" t="s">
        <v>7307</v>
      </c>
      <c r="K421" s="22">
        <v>0.0</v>
      </c>
      <c r="L421" s="22">
        <f>+SUMIF('حركه المخزن الرئيسي اليوميه'!$F:$F,$H:$H,'حركه المخزن الرئيسي اليوميه'!$H:$H)</f>
        <v>0.0</v>
      </c>
      <c r="M421" s="22">
        <f>+SUMIF('حركه المخزن الرئيسي اليوميه'!$F:$F,$H:$H,'حركه المخزن الرئيسي اليوميه'!$I:$I)</f>
        <v>0.0</v>
      </c>
      <c r="N421" s="22">
        <f t="shared" si="25"/>
        <v>0.0</v>
      </c>
      <c r="O421" s="22">
        <f t="shared" si="26"/>
        <v>0.0</v>
      </c>
      <c r="P421" s="22">
        <f t="shared" si="27"/>
        <v>0.0</v>
      </c>
      <c r="Q421" s="57"/>
      <c r="R421" s="58"/>
    </row>
    <row r="422" spans="8:8">
      <c r="B422" s="8">
        <v>413.0</v>
      </c>
      <c r="C422" s="8" t="s">
        <v>766</v>
      </c>
      <c r="D422" s="8" t="s">
        <v>766</v>
      </c>
      <c r="E422" s="8" t="s">
        <v>3682</v>
      </c>
      <c r="F422" s="8" t="s">
        <v>1501</v>
      </c>
      <c r="G422" s="8"/>
      <c r="H422" s="8" t="s">
        <v>3682</v>
      </c>
      <c r="I422" s="55"/>
      <c r="J422" s="60" t="s">
        <v>7308</v>
      </c>
      <c r="K422" s="22">
        <v>0.0</v>
      </c>
      <c r="L422" s="22">
        <f>+SUMIF('حركه المخزن الرئيسي اليوميه'!$F:$F,$H:$H,'حركه المخزن الرئيسي اليوميه'!$H:$H)</f>
        <v>0.0</v>
      </c>
      <c r="M422" s="22">
        <f>+SUMIF('حركه المخزن الرئيسي اليوميه'!$F:$F,$H:$H,'حركه المخزن الرئيسي اليوميه'!$I:$I)</f>
        <v>0.0</v>
      </c>
      <c r="N422" s="22">
        <f t="shared" si="25"/>
        <v>0.0</v>
      </c>
      <c r="O422" s="22">
        <f t="shared" si="26"/>
        <v>0.0</v>
      </c>
      <c r="P422" s="22">
        <f t="shared" si="27"/>
        <v>0.0</v>
      </c>
      <c r="Q422" s="57"/>
      <c r="R422" s="58"/>
    </row>
    <row r="423" spans="8:8">
      <c r="B423" s="8">
        <v>414.0</v>
      </c>
      <c r="C423" s="55" t="s">
        <v>766</v>
      </c>
      <c r="D423" s="55" t="s">
        <v>766</v>
      </c>
      <c r="E423" s="55"/>
      <c r="F423" s="55" t="s">
        <v>1501</v>
      </c>
      <c r="G423" s="55"/>
      <c r="H423" s="55"/>
      <c r="I423" s="55"/>
      <c r="J423" s="60" t="s">
        <v>7309</v>
      </c>
      <c r="K423" s="22">
        <v>0.0</v>
      </c>
      <c r="L423" s="22">
        <f>+SUMIF('حركه المخزن الرئيسي اليوميه'!$F:$F,$H:$H,'حركه المخزن الرئيسي اليوميه'!$H:$H)</f>
        <v>0.0</v>
      </c>
      <c r="M423" s="22">
        <f>+SUMIF('حركه المخزن الرئيسي اليوميه'!$F:$F,$H:$H,'حركه المخزن الرئيسي اليوميه'!$I:$I)</f>
        <v>0.0</v>
      </c>
      <c r="N423" s="22">
        <f t="shared" si="25"/>
        <v>0.0</v>
      </c>
      <c r="O423" s="22">
        <f t="shared" si="26"/>
        <v>0.0</v>
      </c>
      <c r="P423" s="22">
        <f t="shared" si="27"/>
        <v>0.0</v>
      </c>
      <c r="Q423" s="57"/>
      <c r="R423" s="58"/>
    </row>
    <row r="424" spans="8:8">
      <c r="B424" s="8">
        <v>415.0</v>
      </c>
      <c r="C424" s="8" t="s">
        <v>766</v>
      </c>
      <c r="D424" s="8" t="s">
        <v>766</v>
      </c>
      <c r="E424" s="8"/>
      <c r="F424" s="8" t="s">
        <v>1501</v>
      </c>
      <c r="G424" s="8"/>
      <c r="H424" s="8"/>
      <c r="I424" s="55"/>
      <c r="J424" s="60" t="s">
        <v>7310</v>
      </c>
      <c r="K424" s="22">
        <v>0.0</v>
      </c>
      <c r="L424" s="22">
        <f>+SUMIF('حركه المخزن الرئيسي اليوميه'!$F:$F,$H:$H,'حركه المخزن الرئيسي اليوميه'!$H:$H)</f>
        <v>0.0</v>
      </c>
      <c r="M424" s="22">
        <f>+SUMIF('حركه المخزن الرئيسي اليوميه'!$F:$F,$H:$H,'حركه المخزن الرئيسي اليوميه'!$I:$I)</f>
        <v>0.0</v>
      </c>
      <c r="N424" s="22">
        <f t="shared" si="25"/>
        <v>0.0</v>
      </c>
      <c r="O424" s="22">
        <f t="shared" si="26"/>
        <v>0.0</v>
      </c>
      <c r="P424" s="22">
        <f t="shared" si="27"/>
        <v>0.0</v>
      </c>
      <c r="Q424" s="57"/>
      <c r="R424" s="58"/>
    </row>
    <row r="425" spans="8:8">
      <c r="B425" s="8">
        <v>416.0</v>
      </c>
      <c r="C425" s="8" t="s">
        <v>766</v>
      </c>
      <c r="D425" s="8" t="s">
        <v>766</v>
      </c>
      <c r="E425" s="8"/>
      <c r="F425" s="8" t="s">
        <v>1501</v>
      </c>
      <c r="G425" s="8"/>
      <c r="H425" s="8"/>
      <c r="I425" s="55"/>
      <c r="J425" s="60" t="s">
        <v>7311</v>
      </c>
      <c r="K425" s="22">
        <v>0.0</v>
      </c>
      <c r="L425" s="22">
        <f>+SUMIF('حركه المخزن الرئيسي اليوميه'!$F:$F,$H:$H,'حركه المخزن الرئيسي اليوميه'!$H:$H)</f>
        <v>0.0</v>
      </c>
      <c r="M425" s="22">
        <f>+SUMIF('حركه المخزن الرئيسي اليوميه'!$F:$F,$H:$H,'حركه المخزن الرئيسي اليوميه'!$I:$I)</f>
        <v>0.0</v>
      </c>
      <c r="N425" s="22">
        <f t="shared" si="25"/>
        <v>0.0</v>
      </c>
      <c r="O425" s="22">
        <f t="shared" si="26"/>
        <v>0.0</v>
      </c>
      <c r="P425" s="22">
        <f t="shared" si="27"/>
        <v>0.0</v>
      </c>
      <c r="Q425" s="57"/>
      <c r="R425" s="58"/>
    </row>
    <row r="426" spans="8:8">
      <c r="B426" s="8">
        <v>417.0</v>
      </c>
      <c r="C426" s="8" t="s">
        <v>766</v>
      </c>
      <c r="D426" s="8" t="s">
        <v>766</v>
      </c>
      <c r="E426" s="8" t="s">
        <v>3695</v>
      </c>
      <c r="F426" s="8" t="s">
        <v>1501</v>
      </c>
      <c r="G426" s="8"/>
      <c r="H426" s="8" t="s">
        <v>3695</v>
      </c>
      <c r="I426" s="55" t="s">
        <v>37</v>
      </c>
      <c r="J426" s="60" t="s">
        <v>7312</v>
      </c>
      <c r="K426" s="22">
        <v>0.0</v>
      </c>
      <c r="L426" s="22">
        <f>+SUMIF('حركه المخزن الرئيسي اليوميه'!$F:$F,$H:$H,'حركه المخزن الرئيسي اليوميه'!$H:$H)</f>
        <v>0.0</v>
      </c>
      <c r="M426" s="22">
        <f>+SUMIF('حركه المخزن الرئيسي اليوميه'!$F:$F,$H:$H,'حركه المخزن الرئيسي اليوميه'!$I:$I)</f>
        <v>0.0</v>
      </c>
      <c r="N426" s="22">
        <f t="shared" si="25"/>
        <v>0.0</v>
      </c>
      <c r="O426" s="22">
        <f t="shared" si="26"/>
        <v>0.0</v>
      </c>
      <c r="P426" s="22">
        <f t="shared" si="27"/>
        <v>0.0</v>
      </c>
      <c r="Q426" s="57"/>
      <c r="R426" s="58"/>
    </row>
    <row r="427" spans="8:8">
      <c r="B427" s="8">
        <v>418.0</v>
      </c>
      <c r="C427" s="8" t="s">
        <v>766</v>
      </c>
      <c r="D427" s="8" t="s">
        <v>766</v>
      </c>
      <c r="E427" s="8" t="s">
        <v>3699</v>
      </c>
      <c r="F427" s="8" t="s">
        <v>1501</v>
      </c>
      <c r="G427" s="8"/>
      <c r="H427" s="8" t="s">
        <v>3700</v>
      </c>
      <c r="I427" s="8" t="s">
        <v>166</v>
      </c>
      <c r="J427" s="60" t="s">
        <v>7313</v>
      </c>
      <c r="K427" s="22">
        <v>3.0</v>
      </c>
      <c r="L427" s="22">
        <f>+SUMIF('حركه المخزن الرئيسي اليوميه'!$F:$F,$H:$H,'حركه المخزن الرئيسي اليوميه'!$H:$H)</f>
        <v>0.0</v>
      </c>
      <c r="M427" s="22">
        <f>+SUMIF('حركه المخزن الرئيسي اليوميه'!$F:$F,$H:$H,'حركه المخزن الرئيسي اليوميه'!$I:$I)</f>
        <v>0.0</v>
      </c>
      <c r="N427" s="22">
        <f t="shared" si="25"/>
        <v>3.0</v>
      </c>
      <c r="O427" s="22">
        <f t="shared" si="26"/>
        <v>3.0</v>
      </c>
      <c r="P427" s="22">
        <f t="shared" si="27"/>
        <v>0.0</v>
      </c>
      <c r="Q427" s="57"/>
      <c r="R427" s="58"/>
    </row>
    <row r="428" spans="8:8">
      <c r="B428" s="8">
        <v>419.0</v>
      </c>
      <c r="C428" s="8" t="s">
        <v>766</v>
      </c>
      <c r="D428" s="8" t="s">
        <v>766</v>
      </c>
      <c r="E428" s="8" t="s">
        <v>3701</v>
      </c>
      <c r="F428" s="8" t="s">
        <v>1501</v>
      </c>
      <c r="G428" s="8"/>
      <c r="H428" s="8" t="s">
        <v>3701</v>
      </c>
      <c r="I428" s="55"/>
      <c r="J428" s="60" t="s">
        <v>7314</v>
      </c>
      <c r="K428" s="22">
        <v>0.0</v>
      </c>
      <c r="L428" s="22">
        <f>+SUMIF('حركه المخزن الرئيسي اليوميه'!$F:$F,$H:$H,'حركه المخزن الرئيسي اليوميه'!$H:$H)</f>
        <v>0.0</v>
      </c>
      <c r="M428" s="22">
        <f>+SUMIF('حركه المخزن الرئيسي اليوميه'!$F:$F,$H:$H,'حركه المخزن الرئيسي اليوميه'!$I:$I)</f>
        <v>0.0</v>
      </c>
      <c r="N428" s="22">
        <f t="shared" si="25"/>
        <v>0.0</v>
      </c>
      <c r="O428" s="22">
        <f t="shared" si="26"/>
        <v>0.0</v>
      </c>
      <c r="P428" s="22">
        <f t="shared" si="27"/>
        <v>0.0</v>
      </c>
      <c r="Q428" s="57"/>
      <c r="R428" s="58"/>
    </row>
    <row r="429" spans="8:8">
      <c r="B429" s="8">
        <v>420.0</v>
      </c>
      <c r="C429" s="8" t="s">
        <v>766</v>
      </c>
      <c r="D429" s="8" t="s">
        <v>766</v>
      </c>
      <c r="E429" s="8" t="s">
        <v>3708</v>
      </c>
      <c r="F429" s="8" t="s">
        <v>1501</v>
      </c>
      <c r="G429" s="8"/>
      <c r="H429" s="8" t="s">
        <v>3708</v>
      </c>
      <c r="I429" s="55"/>
      <c r="J429" s="60" t="s">
        <v>7315</v>
      </c>
      <c r="K429" s="22">
        <v>0.0</v>
      </c>
      <c r="L429" s="22">
        <f>+SUMIF('حركه المخزن الرئيسي اليوميه'!$F:$F,$H:$H,'حركه المخزن الرئيسي اليوميه'!$H:$H)</f>
        <v>0.0</v>
      </c>
      <c r="M429" s="22">
        <f>+SUMIF('حركه المخزن الرئيسي اليوميه'!$F:$F,$H:$H,'حركه المخزن الرئيسي اليوميه'!$I:$I)</f>
        <v>0.0</v>
      </c>
      <c r="N429" s="22">
        <f t="shared" si="25"/>
        <v>0.0</v>
      </c>
      <c r="O429" s="22">
        <f t="shared" si="26"/>
        <v>0.0</v>
      </c>
      <c r="P429" s="22">
        <f t="shared" si="27"/>
        <v>0.0</v>
      </c>
      <c r="Q429" s="57"/>
      <c r="R429" s="58"/>
    </row>
    <row r="430" spans="8:8">
      <c r="B430" s="8">
        <v>421.0</v>
      </c>
      <c r="C430" s="8" t="s">
        <v>766</v>
      </c>
      <c r="D430" s="8" t="s">
        <v>766</v>
      </c>
      <c r="E430" s="8" t="s">
        <v>3709</v>
      </c>
      <c r="F430" s="8" t="s">
        <v>1501</v>
      </c>
      <c r="G430" s="8"/>
      <c r="H430" s="8" t="s">
        <v>3709</v>
      </c>
      <c r="I430" s="55" t="s">
        <v>174</v>
      </c>
      <c r="J430" s="60" t="s">
        <v>7316</v>
      </c>
      <c r="K430" s="22">
        <v>1.0</v>
      </c>
      <c r="L430" s="22">
        <f>+SUMIF('حركه المخزن الرئيسي اليوميه'!$F:$F,$H:$H,'حركه المخزن الرئيسي اليوميه'!$H:$H)</f>
        <v>0.0</v>
      </c>
      <c r="M430" s="22">
        <f>+SUMIF('حركه المخزن الرئيسي اليوميه'!$F:$F,$H:$H,'حركه المخزن الرئيسي اليوميه'!$I:$I)</f>
        <v>0.0</v>
      </c>
      <c r="N430" s="22">
        <f t="shared" si="25"/>
        <v>1.0</v>
      </c>
      <c r="O430" s="22">
        <f t="shared" si="26"/>
        <v>1.0</v>
      </c>
      <c r="P430" s="22">
        <f t="shared" si="27"/>
        <v>0.0</v>
      </c>
      <c r="Q430" s="57"/>
      <c r="R430" s="58"/>
    </row>
    <row r="431" spans="8:8">
      <c r="B431" s="8">
        <v>422.0</v>
      </c>
      <c r="C431" s="8" t="s">
        <v>766</v>
      </c>
      <c r="D431" s="8" t="s">
        <v>766</v>
      </c>
      <c r="E431" s="8" t="s">
        <v>3710</v>
      </c>
      <c r="F431" s="8" t="s">
        <v>1501</v>
      </c>
      <c r="G431" s="8"/>
      <c r="H431" s="8" t="s">
        <v>3710</v>
      </c>
      <c r="I431" s="55" t="s">
        <v>174</v>
      </c>
      <c r="J431" s="60" t="s">
        <v>7317</v>
      </c>
      <c r="K431" s="22">
        <v>1.0</v>
      </c>
      <c r="L431" s="22">
        <f>+SUMIF('حركه المخزن الرئيسي اليوميه'!$F:$F,$H:$H,'حركه المخزن الرئيسي اليوميه'!$H:$H)</f>
        <v>0.0</v>
      </c>
      <c r="M431" s="22">
        <f>+SUMIF('حركه المخزن الرئيسي اليوميه'!$F:$F,$H:$H,'حركه المخزن الرئيسي اليوميه'!$I:$I)</f>
        <v>0.0</v>
      </c>
      <c r="N431" s="22">
        <f t="shared" si="25"/>
        <v>1.0</v>
      </c>
      <c r="O431" s="22">
        <f t="shared" si="26"/>
        <v>1.0</v>
      </c>
      <c r="P431" s="22">
        <f t="shared" si="27"/>
        <v>0.0</v>
      </c>
      <c r="Q431" s="57"/>
      <c r="R431" s="58"/>
    </row>
    <row r="432" spans="8:8">
      <c r="B432" s="8">
        <v>423.0</v>
      </c>
      <c r="C432" s="8" t="s">
        <v>766</v>
      </c>
      <c r="D432" s="8" t="s">
        <v>766</v>
      </c>
      <c r="E432" s="8" t="s">
        <v>3711</v>
      </c>
      <c r="F432" s="8" t="s">
        <v>1501</v>
      </c>
      <c r="G432" s="8"/>
      <c r="H432" s="8" t="s">
        <v>3711</v>
      </c>
      <c r="I432" s="55" t="s">
        <v>174</v>
      </c>
      <c r="J432" s="60" t="s">
        <v>7318</v>
      </c>
      <c r="K432" s="22">
        <v>1.0</v>
      </c>
      <c r="L432" s="22">
        <f>+SUMIF('حركه المخزن الرئيسي اليوميه'!$F:$F,$H:$H,'حركه المخزن الرئيسي اليوميه'!$H:$H)</f>
        <v>0.0</v>
      </c>
      <c r="M432" s="22">
        <f>+SUMIF('حركه المخزن الرئيسي اليوميه'!$F:$F,$H:$H,'حركه المخزن الرئيسي اليوميه'!$I:$I)</f>
        <v>0.0</v>
      </c>
      <c r="N432" s="22">
        <f t="shared" si="25"/>
        <v>1.0</v>
      </c>
      <c r="O432" s="22">
        <f t="shared" si="26"/>
        <v>1.0</v>
      </c>
      <c r="P432" s="22">
        <f t="shared" si="27"/>
        <v>0.0</v>
      </c>
      <c r="Q432" s="57"/>
      <c r="R432" s="58"/>
    </row>
    <row r="433" spans="8:8">
      <c r="B433" s="8">
        <v>424.0</v>
      </c>
      <c r="C433" s="8" t="s">
        <v>766</v>
      </c>
      <c r="D433" s="8" t="s">
        <v>766</v>
      </c>
      <c r="E433" s="8"/>
      <c r="F433" s="8" t="s">
        <v>1501</v>
      </c>
      <c r="G433" s="8"/>
      <c r="H433" s="8"/>
      <c r="I433" s="55"/>
      <c r="J433" s="60" t="s">
        <v>7319</v>
      </c>
      <c r="K433" s="22">
        <v>0.0</v>
      </c>
      <c r="L433" s="22">
        <f>+SUMIF('حركه المخزن الرئيسي اليوميه'!$F:$F,$H:$H,'حركه المخزن الرئيسي اليوميه'!$H:$H)</f>
        <v>0.0</v>
      </c>
      <c r="M433" s="22">
        <f>+SUMIF('حركه المخزن الرئيسي اليوميه'!$F:$F,$H:$H,'حركه المخزن الرئيسي اليوميه'!$I:$I)</f>
        <v>0.0</v>
      </c>
      <c r="N433" s="22">
        <f t="shared" si="25"/>
        <v>0.0</v>
      </c>
      <c r="O433" s="22">
        <f t="shared" si="26"/>
        <v>0.0</v>
      </c>
      <c r="P433" s="22">
        <f t="shared" si="27"/>
        <v>0.0</v>
      </c>
      <c r="Q433" s="57"/>
      <c r="R433" s="58"/>
    </row>
    <row r="434" spans="8:8">
      <c r="B434" s="8">
        <v>425.0</v>
      </c>
      <c r="C434" s="8" t="s">
        <v>766</v>
      </c>
      <c r="D434" s="8" t="s">
        <v>766</v>
      </c>
      <c r="E434" s="8"/>
      <c r="F434" s="8" t="s">
        <v>1501</v>
      </c>
      <c r="G434" s="8"/>
      <c r="H434" s="8"/>
      <c r="I434" s="55"/>
      <c r="J434" s="60" t="s">
        <v>7320</v>
      </c>
      <c r="K434" s="22">
        <v>0.0</v>
      </c>
      <c r="L434" s="22">
        <f>+SUMIF('حركه المخزن الرئيسي اليوميه'!$F:$F,$H:$H,'حركه المخزن الرئيسي اليوميه'!$H:$H)</f>
        <v>0.0</v>
      </c>
      <c r="M434" s="22">
        <f>+SUMIF('حركه المخزن الرئيسي اليوميه'!$F:$F,$H:$H,'حركه المخزن الرئيسي اليوميه'!$I:$I)</f>
        <v>0.0</v>
      </c>
      <c r="N434" s="22">
        <f t="shared" si="25"/>
        <v>0.0</v>
      </c>
      <c r="O434" s="22">
        <f t="shared" si="26"/>
        <v>0.0</v>
      </c>
      <c r="P434" s="22">
        <f t="shared" si="27"/>
        <v>0.0</v>
      </c>
      <c r="Q434" s="57"/>
      <c r="R434" s="58"/>
    </row>
    <row r="435" spans="8:8">
      <c r="B435" s="8">
        <v>426.0</v>
      </c>
      <c r="C435" s="8" t="s">
        <v>766</v>
      </c>
      <c r="D435" s="8" t="s">
        <v>766</v>
      </c>
      <c r="E435" s="8"/>
      <c r="F435" s="8" t="s">
        <v>1501</v>
      </c>
      <c r="G435" s="8"/>
      <c r="H435" s="8"/>
      <c r="I435" s="55"/>
      <c r="J435" s="60" t="s">
        <v>7321</v>
      </c>
      <c r="K435" s="22">
        <v>0.0</v>
      </c>
      <c r="L435" s="22">
        <f>+SUMIF('حركه المخزن الرئيسي اليوميه'!$F:$F,$H:$H,'حركه المخزن الرئيسي اليوميه'!$H:$H)</f>
        <v>0.0</v>
      </c>
      <c r="M435" s="22">
        <f>+SUMIF('حركه المخزن الرئيسي اليوميه'!$F:$F,$H:$H,'حركه المخزن الرئيسي اليوميه'!$I:$I)</f>
        <v>0.0</v>
      </c>
      <c r="N435" s="22">
        <f t="shared" si="25"/>
        <v>0.0</v>
      </c>
      <c r="O435" s="22">
        <f t="shared" si="26"/>
        <v>0.0</v>
      </c>
      <c r="P435" s="22">
        <f t="shared" si="27"/>
        <v>0.0</v>
      </c>
      <c r="Q435" s="57"/>
      <c r="R435" s="58"/>
    </row>
    <row r="436" spans="8:8">
      <c r="B436" s="8">
        <v>427.0</v>
      </c>
      <c r="C436" s="8" t="s">
        <v>766</v>
      </c>
      <c r="D436" s="8" t="s">
        <v>766</v>
      </c>
      <c r="E436" s="8"/>
      <c r="F436" s="8" t="s">
        <v>1501</v>
      </c>
      <c r="G436" s="8"/>
      <c r="H436" s="8"/>
      <c r="I436" s="55"/>
      <c r="J436" s="60" t="s">
        <v>7322</v>
      </c>
      <c r="K436" s="22">
        <v>0.0</v>
      </c>
      <c r="L436" s="22">
        <f>+SUMIF('حركه المخزن الرئيسي اليوميه'!$F:$F,$H:$H,'حركه المخزن الرئيسي اليوميه'!$H:$H)</f>
        <v>0.0</v>
      </c>
      <c r="M436" s="22">
        <f>+SUMIF('حركه المخزن الرئيسي اليوميه'!$F:$F,$H:$H,'حركه المخزن الرئيسي اليوميه'!$I:$I)</f>
        <v>0.0</v>
      </c>
      <c r="N436" s="22">
        <f t="shared" si="25"/>
        <v>0.0</v>
      </c>
      <c r="O436" s="22">
        <f t="shared" si="26"/>
        <v>0.0</v>
      </c>
      <c r="P436" s="22">
        <f t="shared" si="27"/>
        <v>0.0</v>
      </c>
      <c r="Q436" s="57"/>
      <c r="R436" s="58"/>
    </row>
    <row r="437" spans="8:8">
      <c r="B437" s="8">
        <v>428.0</v>
      </c>
      <c r="C437" s="8" t="s">
        <v>764</v>
      </c>
      <c r="D437" s="8" t="s">
        <v>828</v>
      </c>
      <c r="E437" s="8" t="s">
        <v>3814</v>
      </c>
      <c r="F437" s="8" t="s">
        <v>68</v>
      </c>
      <c r="G437" s="8" t="s">
        <v>3815</v>
      </c>
      <c r="H437" s="8" t="s">
        <v>3814</v>
      </c>
      <c r="I437" s="8" t="s">
        <v>31</v>
      </c>
      <c r="J437" s="60" t="s">
        <v>7323</v>
      </c>
      <c r="K437" s="22">
        <v>1.0</v>
      </c>
      <c r="L437" s="22">
        <f>+SUMIF('حركه المخزن الرئيسي اليوميه'!$F:$F,$H:$H,'حركه المخزن الرئيسي اليوميه'!$H:$H)</f>
        <v>0.0</v>
      </c>
      <c r="M437" s="22">
        <f>+SUMIF('حركه المخزن الرئيسي اليوميه'!$F:$F,$H:$H,'حركه المخزن الرئيسي اليوميه'!$I:$I)</f>
        <v>0.0</v>
      </c>
      <c r="N437" s="22">
        <f t="shared" si="25"/>
        <v>1.0</v>
      </c>
      <c r="O437" s="22">
        <f t="shared" si="26"/>
        <v>1.0</v>
      </c>
      <c r="P437" s="22">
        <f t="shared" si="27"/>
        <v>0.0</v>
      </c>
      <c r="Q437" s="57"/>
      <c r="R437" s="58"/>
    </row>
    <row r="438" spans="8:8">
      <c r="B438" s="8">
        <v>429.0</v>
      </c>
      <c r="C438" s="8" t="s">
        <v>766</v>
      </c>
      <c r="D438" s="8" t="s">
        <v>766</v>
      </c>
      <c r="E438" s="8" t="s">
        <v>3732</v>
      </c>
      <c r="F438" s="8" t="s">
        <v>1501</v>
      </c>
      <c r="G438" s="8"/>
      <c r="H438" s="8" t="s">
        <v>3732</v>
      </c>
      <c r="I438" s="55" t="s">
        <v>818</v>
      </c>
      <c r="J438" s="60" t="s">
        <v>7324</v>
      </c>
      <c r="K438" s="22">
        <v>0.0</v>
      </c>
      <c r="L438" s="22">
        <f>+SUMIF('حركه المخزن الرئيسي اليوميه'!$F:$F,$H:$H,'حركه المخزن الرئيسي اليوميه'!$H:$H)</f>
        <v>0.0</v>
      </c>
      <c r="M438" s="22">
        <f>+SUMIF('حركه المخزن الرئيسي اليوميه'!$F:$F,$H:$H,'حركه المخزن الرئيسي اليوميه'!$I:$I)</f>
        <v>0.0</v>
      </c>
      <c r="N438" s="22">
        <f t="shared" si="25"/>
        <v>0.0</v>
      </c>
      <c r="O438" s="22">
        <f t="shared" si="26"/>
        <v>0.0</v>
      </c>
      <c r="P438" s="22">
        <f t="shared" si="27"/>
        <v>0.0</v>
      </c>
      <c r="Q438" s="57"/>
      <c r="R438" s="58"/>
    </row>
    <row r="439" spans="8:8">
      <c r="B439" s="8">
        <v>430.0</v>
      </c>
      <c r="C439" s="8" t="s">
        <v>766</v>
      </c>
      <c r="D439" s="8" t="s">
        <v>766</v>
      </c>
      <c r="E439" s="8" t="s">
        <v>8131</v>
      </c>
      <c r="F439" s="8" t="s">
        <v>92</v>
      </c>
      <c r="G439" s="8"/>
      <c r="H439" s="8" t="s">
        <v>8131</v>
      </c>
      <c r="I439" s="55" t="s">
        <v>818</v>
      </c>
      <c r="J439" s="60" t="s">
        <v>7325</v>
      </c>
      <c r="K439" s="22">
        <v>1.0</v>
      </c>
      <c r="L439" s="22">
        <f>+SUMIF('حركه المخزن الرئيسي اليوميه'!$F:$F,$H:$H,'حركه المخزن الرئيسي اليوميه'!$H:$H)</f>
        <v>0.0</v>
      </c>
      <c r="M439" s="22">
        <f>+SUMIF('حركه المخزن الرئيسي اليوميه'!$F:$F,$H:$H,'حركه المخزن الرئيسي اليوميه'!$I:$I)</f>
        <v>0.0</v>
      </c>
      <c r="N439" s="22">
        <f t="shared" si="25"/>
        <v>1.0</v>
      </c>
      <c r="O439" s="22">
        <f t="shared" si="26"/>
        <v>1.0</v>
      </c>
      <c r="P439" s="22">
        <f t="shared" si="27"/>
        <v>0.0</v>
      </c>
      <c r="Q439" s="57"/>
      <c r="R439" s="58"/>
    </row>
    <row r="440" spans="8:8">
      <c r="B440" s="8">
        <v>431.0</v>
      </c>
      <c r="C440" s="8" t="s">
        <v>828</v>
      </c>
      <c r="D440" s="8" t="s">
        <v>828</v>
      </c>
      <c r="E440" s="8" t="s">
        <v>3797</v>
      </c>
      <c r="F440" s="8" t="s">
        <v>68</v>
      </c>
      <c r="G440" s="8"/>
      <c r="H440" s="8" t="s">
        <v>3797</v>
      </c>
      <c r="I440" s="8" t="s">
        <v>45</v>
      </c>
      <c r="J440" s="60" t="s">
        <v>7326</v>
      </c>
      <c r="K440" s="22">
        <v>9.0</v>
      </c>
      <c r="L440" s="22">
        <f>+SUMIF('حركه المخزن الرئيسي اليوميه'!$F:$F,$H:$H,'حركه المخزن الرئيسي اليوميه'!$H:$H)</f>
        <v>0.0</v>
      </c>
      <c r="M440" s="22">
        <f>+SUMIF('حركه المخزن الرئيسي اليوميه'!$F:$F,$H:$H,'حركه المخزن الرئيسي اليوميه'!$I:$I)</f>
        <v>0.0</v>
      </c>
      <c r="N440" s="22">
        <f t="shared" si="25"/>
        <v>9.0</v>
      </c>
      <c r="O440" s="22">
        <f t="shared" si="26"/>
        <v>9.0</v>
      </c>
      <c r="P440" s="22">
        <f t="shared" si="27"/>
        <v>0.0</v>
      </c>
      <c r="Q440" s="57"/>
      <c r="R440" s="58"/>
    </row>
    <row r="441" spans="8:8">
      <c r="B441" s="8">
        <v>432.0</v>
      </c>
      <c r="C441" s="8" t="s">
        <v>766</v>
      </c>
      <c r="D441" s="8" t="s">
        <v>828</v>
      </c>
      <c r="E441" s="8"/>
      <c r="F441" s="8" t="s">
        <v>68</v>
      </c>
      <c r="G441" s="8"/>
      <c r="H441" s="8"/>
      <c r="I441" s="55"/>
      <c r="J441" s="60" t="s">
        <v>7327</v>
      </c>
      <c r="K441" s="22">
        <v>0.0</v>
      </c>
      <c r="L441" s="22">
        <f>+SUMIF('حركه المخزن الرئيسي اليوميه'!$F:$F,$H:$H,'حركه المخزن الرئيسي اليوميه'!$H:$H)</f>
        <v>0.0</v>
      </c>
      <c r="M441" s="22">
        <f>+SUMIF('حركه المخزن الرئيسي اليوميه'!$F:$F,$H:$H,'حركه المخزن الرئيسي اليوميه'!$I:$I)</f>
        <v>0.0</v>
      </c>
      <c r="N441" s="22">
        <f t="shared" si="25"/>
        <v>0.0</v>
      </c>
      <c r="O441" s="22">
        <f t="shared" si="26"/>
        <v>0.0</v>
      </c>
      <c r="P441" s="22">
        <f t="shared" si="27"/>
        <v>0.0</v>
      </c>
      <c r="Q441" s="57"/>
      <c r="R441" s="58"/>
    </row>
    <row r="442" spans="8:8">
      <c r="B442" s="8">
        <v>433.0</v>
      </c>
      <c r="C442" s="8" t="s">
        <v>766</v>
      </c>
      <c r="D442" s="8" t="s">
        <v>828</v>
      </c>
      <c r="E442" s="8" t="s">
        <v>3816</v>
      </c>
      <c r="F442" s="8" t="s">
        <v>68</v>
      </c>
      <c r="G442" s="8" t="s">
        <v>3817</v>
      </c>
      <c r="H442" s="8" t="s">
        <v>3816</v>
      </c>
      <c r="I442" s="8" t="s">
        <v>164</v>
      </c>
      <c r="J442" s="60" t="s">
        <v>7328</v>
      </c>
      <c r="K442" s="22">
        <v>4.0</v>
      </c>
      <c r="L442" s="22">
        <f>+SUMIF('حركه المخزن الرئيسي اليوميه'!$F:$F,$H:$H,'حركه المخزن الرئيسي اليوميه'!$H:$H)</f>
        <v>0.0</v>
      </c>
      <c r="M442" s="22">
        <f>+SUMIF('حركه المخزن الرئيسي اليوميه'!$F:$F,$H:$H,'حركه المخزن الرئيسي اليوميه'!$I:$I)</f>
        <v>0.0</v>
      </c>
      <c r="N442" s="22">
        <f t="shared" si="25"/>
        <v>4.0</v>
      </c>
      <c r="O442" s="22">
        <f t="shared" si="26"/>
        <v>4.0</v>
      </c>
      <c r="P442" s="22">
        <f t="shared" si="27"/>
        <v>0.0</v>
      </c>
      <c r="Q442" s="57"/>
      <c r="R442" s="58"/>
    </row>
    <row r="443" spans="8:8">
      <c r="B443" s="8">
        <v>434.0</v>
      </c>
      <c r="C443" s="8" t="s">
        <v>766</v>
      </c>
      <c r="D443" s="8" t="s">
        <v>828</v>
      </c>
      <c r="E443" s="8" t="s">
        <v>3818</v>
      </c>
      <c r="F443" s="8"/>
      <c r="G443" s="8"/>
      <c r="H443" s="8" t="s">
        <v>3818</v>
      </c>
      <c r="I443" s="8" t="s">
        <v>2947</v>
      </c>
      <c r="J443" s="60" t="s">
        <v>7329</v>
      </c>
      <c r="K443" s="22">
        <v>10.0</v>
      </c>
      <c r="L443" s="22">
        <f>+SUMIF('حركه المخزن الرئيسي اليوميه'!$F:$F,$H:$H,'حركه المخزن الرئيسي اليوميه'!$H:$H)</f>
        <v>0.0</v>
      </c>
      <c r="M443" s="22">
        <f>+SUMIF('حركه المخزن الرئيسي اليوميه'!$F:$F,$H:$H,'حركه المخزن الرئيسي اليوميه'!$I:$I)</f>
        <v>0.0</v>
      </c>
      <c r="N443" s="22">
        <f t="shared" si="25"/>
        <v>10.0</v>
      </c>
      <c r="O443" s="22">
        <f t="shared" si="26"/>
        <v>10.0</v>
      </c>
      <c r="P443" s="22">
        <f t="shared" si="27"/>
        <v>0.0</v>
      </c>
      <c r="Q443" s="57"/>
      <c r="R443" s="58"/>
    </row>
    <row r="444" spans="8:8">
      <c r="B444" s="8">
        <v>435.0</v>
      </c>
      <c r="C444" s="8" t="s">
        <v>828</v>
      </c>
      <c r="D444" s="8" t="s">
        <v>828</v>
      </c>
      <c r="E444" s="8" t="s">
        <v>3819</v>
      </c>
      <c r="F444" s="8" t="s">
        <v>68</v>
      </c>
      <c r="G444" s="8"/>
      <c r="H444" s="8" t="s">
        <v>3819</v>
      </c>
      <c r="I444" s="8" t="s">
        <v>28</v>
      </c>
      <c r="J444" s="60" t="s">
        <v>7330</v>
      </c>
      <c r="K444" s="22">
        <v>10.0</v>
      </c>
      <c r="L444" s="22">
        <f>+SUMIF('حركه المخزن الرئيسي اليوميه'!$F:$F,$H:$H,'حركه المخزن الرئيسي اليوميه'!$H:$H)</f>
        <v>0.0</v>
      </c>
      <c r="M444" s="22">
        <f>+SUMIF('حركه المخزن الرئيسي اليوميه'!$F:$F,$H:$H,'حركه المخزن الرئيسي اليوميه'!$I:$I)</f>
        <v>0.0</v>
      </c>
      <c r="N444" s="22">
        <f t="shared" si="25"/>
        <v>10.0</v>
      </c>
      <c r="O444" s="22">
        <f t="shared" si="26"/>
        <v>10.0</v>
      </c>
      <c r="P444" s="22">
        <f t="shared" si="27"/>
        <v>0.0</v>
      </c>
      <c r="Q444" s="57"/>
      <c r="R444" s="58"/>
    </row>
    <row r="445" spans="8:8">
      <c r="B445" s="8">
        <v>436.0</v>
      </c>
      <c r="C445" s="8" t="s">
        <v>766</v>
      </c>
      <c r="D445" s="8" t="s">
        <v>828</v>
      </c>
      <c r="E445" s="8"/>
      <c r="F445" s="8" t="s">
        <v>68</v>
      </c>
      <c r="G445" s="8"/>
      <c r="H445" s="8"/>
      <c r="I445" s="8" t="s">
        <v>43</v>
      </c>
      <c r="J445" s="60" t="s">
        <v>7331</v>
      </c>
      <c r="K445" s="22">
        <v>0.0</v>
      </c>
      <c r="L445" s="22">
        <f>+SUMIF('حركه المخزن الرئيسي اليوميه'!$F:$F,$H:$H,'حركه المخزن الرئيسي اليوميه'!$H:$H)</f>
        <v>0.0</v>
      </c>
      <c r="M445" s="22">
        <f>+SUMIF('حركه المخزن الرئيسي اليوميه'!$F:$F,$H:$H,'حركه المخزن الرئيسي اليوميه'!$I:$I)</f>
        <v>0.0</v>
      </c>
      <c r="N445" s="22">
        <f t="shared" si="25"/>
        <v>0.0</v>
      </c>
      <c r="O445" s="22">
        <f t="shared" si="26"/>
        <v>0.0</v>
      </c>
      <c r="P445" s="22">
        <f t="shared" si="27"/>
        <v>0.0</v>
      </c>
      <c r="Q445" s="57"/>
      <c r="R445" s="58"/>
    </row>
    <row r="446" spans="8:8">
      <c r="B446" s="8">
        <v>437.0</v>
      </c>
      <c r="C446" s="8" t="s">
        <v>766</v>
      </c>
      <c r="D446" s="8" t="s">
        <v>828</v>
      </c>
      <c r="E446" s="8" t="s">
        <v>3848</v>
      </c>
      <c r="F446" s="8" t="s">
        <v>3849</v>
      </c>
      <c r="G446" s="8"/>
      <c r="H446" s="8" t="s">
        <v>3848</v>
      </c>
      <c r="I446" s="8" t="s">
        <v>164</v>
      </c>
      <c r="J446" s="60" t="s">
        <v>7332</v>
      </c>
      <c r="K446" s="22">
        <v>2.0</v>
      </c>
      <c r="L446" s="22">
        <f>+SUMIF('حركه المخزن الرئيسي اليوميه'!$F:$F,$H:$H,'حركه المخزن الرئيسي اليوميه'!$H:$H)</f>
        <v>0.0</v>
      </c>
      <c r="M446" s="22">
        <f>+SUMIF('حركه المخزن الرئيسي اليوميه'!$F:$F,$H:$H,'حركه المخزن الرئيسي اليوميه'!$I:$I)</f>
        <v>0.0</v>
      </c>
      <c r="N446" s="22">
        <f t="shared" si="25"/>
        <v>2.0</v>
      </c>
      <c r="O446" s="22">
        <f t="shared" si="26"/>
        <v>2.0</v>
      </c>
      <c r="P446" s="22">
        <f t="shared" si="27"/>
        <v>0.0</v>
      </c>
      <c r="Q446" s="57"/>
      <c r="R446" s="58"/>
    </row>
    <row r="447" spans="8:8">
      <c r="B447" s="8">
        <v>438.0</v>
      </c>
      <c r="C447" s="8" t="s">
        <v>2528</v>
      </c>
      <c r="D447" s="8" t="s">
        <v>766</v>
      </c>
      <c r="E447" s="8"/>
      <c r="F447" s="8"/>
      <c r="G447" s="8" t="s">
        <v>3823</v>
      </c>
      <c r="H447" s="8"/>
      <c r="I447" s="55" t="s">
        <v>8130</v>
      </c>
      <c r="J447" s="60" t="s">
        <v>7333</v>
      </c>
      <c r="K447" s="22">
        <v>0.0</v>
      </c>
      <c r="L447" s="22">
        <f>+SUMIF('حركه المخزن الرئيسي اليوميه'!$F:$F,$H:$H,'حركه المخزن الرئيسي اليوميه'!$H:$H)</f>
        <v>0.0</v>
      </c>
      <c r="M447" s="22">
        <f>+SUMIF('حركه المخزن الرئيسي اليوميه'!$F:$F,$H:$H,'حركه المخزن الرئيسي اليوميه'!$I:$I)</f>
        <v>0.0</v>
      </c>
      <c r="N447" s="22">
        <f t="shared" si="25"/>
        <v>0.0</v>
      </c>
      <c r="O447" s="22">
        <f t="shared" si="26"/>
        <v>0.0</v>
      </c>
      <c r="P447" s="22">
        <f t="shared" si="27"/>
        <v>0.0</v>
      </c>
      <c r="Q447" s="57"/>
      <c r="R447" s="58"/>
    </row>
    <row r="448" spans="8:8">
      <c r="B448" s="8">
        <v>439.0</v>
      </c>
      <c r="C448" s="8" t="s">
        <v>766</v>
      </c>
      <c r="D448" s="8" t="s">
        <v>766</v>
      </c>
      <c r="E448" s="8" t="s">
        <v>3850</v>
      </c>
      <c r="F448" s="8" t="s">
        <v>68</v>
      </c>
      <c r="G448" s="8"/>
      <c r="H448" s="8" t="s">
        <v>3850</v>
      </c>
      <c r="I448" s="8" t="s">
        <v>164</v>
      </c>
      <c r="J448" s="60" t="s">
        <v>7334</v>
      </c>
      <c r="K448" s="22">
        <v>9.0</v>
      </c>
      <c r="L448" s="22">
        <f>+SUMIF('حركه المخزن الرئيسي اليوميه'!$F:$F,$H:$H,'حركه المخزن الرئيسي اليوميه'!$H:$H)</f>
        <v>0.0</v>
      </c>
      <c r="M448" s="22">
        <f>+SUMIF('حركه المخزن الرئيسي اليوميه'!$F:$F,$H:$H,'حركه المخزن الرئيسي اليوميه'!$I:$I)</f>
        <v>0.0</v>
      </c>
      <c r="N448" s="22">
        <f t="shared" si="25"/>
        <v>9.0</v>
      </c>
      <c r="O448" s="22">
        <f t="shared" si="26"/>
        <v>9.0</v>
      </c>
      <c r="P448" s="22">
        <f t="shared" si="27"/>
        <v>0.0</v>
      </c>
      <c r="Q448" s="57"/>
      <c r="R448" s="58"/>
    </row>
    <row r="449" spans="8:8">
      <c r="B449" s="8">
        <v>440.0</v>
      </c>
      <c r="C449" s="8" t="s">
        <v>766</v>
      </c>
      <c r="D449" s="8" t="s">
        <v>766</v>
      </c>
      <c r="E449" s="8" t="s">
        <v>3851</v>
      </c>
      <c r="F449" s="8" t="s">
        <v>68</v>
      </c>
      <c r="G449" s="8"/>
      <c r="H449" s="8" t="s">
        <v>3851</v>
      </c>
      <c r="I449" s="8" t="s">
        <v>164</v>
      </c>
      <c r="J449" s="60" t="s">
        <v>7335</v>
      </c>
      <c r="K449" s="22">
        <v>6.0</v>
      </c>
      <c r="L449" s="22">
        <f>+SUMIF('حركه المخزن الرئيسي اليوميه'!$F:$F,$H:$H,'حركه المخزن الرئيسي اليوميه'!$H:$H)</f>
        <v>0.0</v>
      </c>
      <c r="M449" s="22">
        <f>+SUMIF('حركه المخزن الرئيسي اليوميه'!$F:$F,$H:$H,'حركه المخزن الرئيسي اليوميه'!$I:$I)</f>
        <v>0.0</v>
      </c>
      <c r="N449" s="22">
        <f t="shared" si="25"/>
        <v>6.0</v>
      </c>
      <c r="O449" s="22">
        <f t="shared" si="26"/>
        <v>6.0</v>
      </c>
      <c r="P449" s="22">
        <f t="shared" si="27"/>
        <v>0.0</v>
      </c>
      <c r="Q449" s="57"/>
      <c r="R449" s="58"/>
    </row>
    <row r="450" spans="8:8">
      <c r="B450" s="8">
        <v>441.0</v>
      </c>
      <c r="C450" s="8" t="s">
        <v>766</v>
      </c>
      <c r="D450" s="8" t="s">
        <v>766</v>
      </c>
      <c r="E450" s="8" t="s">
        <v>3862</v>
      </c>
      <c r="F450" s="8" t="s">
        <v>68</v>
      </c>
      <c r="G450" s="8"/>
      <c r="H450" s="8" t="s">
        <v>3862</v>
      </c>
      <c r="I450" s="8" t="s">
        <v>164</v>
      </c>
      <c r="J450" s="60" t="s">
        <v>7336</v>
      </c>
      <c r="K450" s="22">
        <v>1.0</v>
      </c>
      <c r="L450" s="22">
        <f>+SUMIF('حركه المخزن الرئيسي اليوميه'!$F:$F,$H:$H,'حركه المخزن الرئيسي اليوميه'!$H:$H)</f>
        <v>0.0</v>
      </c>
      <c r="M450" s="22">
        <f>+SUMIF('حركه المخزن الرئيسي اليوميه'!$F:$F,$H:$H,'حركه المخزن الرئيسي اليوميه'!$I:$I)</f>
        <v>0.0</v>
      </c>
      <c r="N450" s="22">
        <f t="shared" si="25"/>
        <v>1.0</v>
      </c>
      <c r="O450" s="22">
        <f t="shared" si="26"/>
        <v>1.0</v>
      </c>
      <c r="P450" s="22">
        <f t="shared" si="27"/>
        <v>0.0</v>
      </c>
      <c r="Q450" s="57"/>
      <c r="R450" s="58"/>
    </row>
    <row r="451" spans="8:8">
      <c r="B451" s="8">
        <v>442.0</v>
      </c>
      <c r="C451" s="8" t="s">
        <v>766</v>
      </c>
      <c r="D451" s="8" t="s">
        <v>766</v>
      </c>
      <c r="E451" s="8" t="s">
        <v>3863</v>
      </c>
      <c r="F451" s="8" t="s">
        <v>68</v>
      </c>
      <c r="G451" s="8"/>
      <c r="H451" s="8" t="s">
        <v>3863</v>
      </c>
      <c r="I451" s="8" t="s">
        <v>164</v>
      </c>
      <c r="J451" s="60" t="s">
        <v>7337</v>
      </c>
      <c r="K451" s="22">
        <v>1.0</v>
      </c>
      <c r="L451" s="22">
        <f>+SUMIF('حركه المخزن الرئيسي اليوميه'!$F:$F,$H:$H,'حركه المخزن الرئيسي اليوميه'!$H:$H)</f>
        <v>0.0</v>
      </c>
      <c r="M451" s="22">
        <f>+SUMIF('حركه المخزن الرئيسي اليوميه'!$F:$F,$H:$H,'حركه المخزن الرئيسي اليوميه'!$I:$I)</f>
        <v>0.0</v>
      </c>
      <c r="N451" s="22">
        <f t="shared" si="25"/>
        <v>1.0</v>
      </c>
      <c r="O451" s="22">
        <f t="shared" si="26"/>
        <v>1.0</v>
      </c>
      <c r="P451" s="22">
        <f t="shared" si="27"/>
        <v>0.0</v>
      </c>
      <c r="Q451" s="57"/>
      <c r="R451" s="58"/>
    </row>
    <row r="452" spans="8:8">
      <c r="B452" s="8">
        <v>443.0</v>
      </c>
      <c r="C452" s="8" t="s">
        <v>766</v>
      </c>
      <c r="D452" s="8" t="s">
        <v>766</v>
      </c>
      <c r="E452" s="8" t="s">
        <v>3864</v>
      </c>
      <c r="F452" s="8" t="s">
        <v>68</v>
      </c>
      <c r="G452" s="8"/>
      <c r="H452" s="8" t="s">
        <v>3864</v>
      </c>
      <c r="I452" s="8" t="s">
        <v>164</v>
      </c>
      <c r="J452" s="60" t="s">
        <v>7338</v>
      </c>
      <c r="K452" s="22">
        <v>1.0</v>
      </c>
      <c r="L452" s="22">
        <f>+SUMIF('حركه المخزن الرئيسي اليوميه'!$F:$F,$H:$H,'حركه المخزن الرئيسي اليوميه'!$H:$H)</f>
        <v>0.0</v>
      </c>
      <c r="M452" s="22">
        <f>+SUMIF('حركه المخزن الرئيسي اليوميه'!$F:$F,$H:$H,'حركه المخزن الرئيسي اليوميه'!$I:$I)</f>
        <v>0.0</v>
      </c>
      <c r="N452" s="22">
        <f t="shared" si="25"/>
        <v>1.0</v>
      </c>
      <c r="O452" s="22">
        <f t="shared" si="26"/>
        <v>1.0</v>
      </c>
      <c r="P452" s="22">
        <f t="shared" si="27"/>
        <v>0.0</v>
      </c>
      <c r="Q452" s="57"/>
      <c r="R452" s="58"/>
    </row>
    <row r="453" spans="8:8">
      <c r="B453" s="8">
        <v>444.0</v>
      </c>
      <c r="C453" s="8" t="s">
        <v>766</v>
      </c>
      <c r="D453" s="8" t="s">
        <v>766</v>
      </c>
      <c r="E453" s="8" t="s">
        <v>3865</v>
      </c>
      <c r="F453" s="8" t="s">
        <v>68</v>
      </c>
      <c r="G453" s="8"/>
      <c r="H453" s="8" t="s">
        <v>3865</v>
      </c>
      <c r="I453" s="8" t="s">
        <v>164</v>
      </c>
      <c r="J453" s="60" t="s">
        <v>7339</v>
      </c>
      <c r="K453" s="22">
        <v>1.0</v>
      </c>
      <c r="L453" s="22">
        <f>+SUMIF('حركه المخزن الرئيسي اليوميه'!$F:$F,$H:$H,'حركه المخزن الرئيسي اليوميه'!$H:$H)</f>
        <v>0.0</v>
      </c>
      <c r="M453" s="22">
        <f>+SUMIF('حركه المخزن الرئيسي اليوميه'!$F:$F,$H:$H,'حركه المخزن الرئيسي اليوميه'!$I:$I)</f>
        <v>0.0</v>
      </c>
      <c r="N453" s="22">
        <f t="shared" si="25"/>
        <v>1.0</v>
      </c>
      <c r="O453" s="22">
        <f t="shared" si="26"/>
        <v>1.0</v>
      </c>
      <c r="P453" s="22">
        <f t="shared" si="27"/>
        <v>0.0</v>
      </c>
      <c r="Q453" s="57"/>
      <c r="R453" s="58"/>
    </row>
    <row r="454" spans="8:8">
      <c r="B454" s="8">
        <v>445.0</v>
      </c>
      <c r="C454" s="8" t="s">
        <v>766</v>
      </c>
      <c r="D454" s="8" t="s">
        <v>766</v>
      </c>
      <c r="E454" s="8" t="s">
        <v>3866</v>
      </c>
      <c r="F454" s="8" t="s">
        <v>68</v>
      </c>
      <c r="G454" s="8"/>
      <c r="H454" s="8" t="s">
        <v>3866</v>
      </c>
      <c r="I454" s="8" t="s">
        <v>164</v>
      </c>
      <c r="J454" s="60" t="s">
        <v>7340</v>
      </c>
      <c r="K454" s="22">
        <v>3.0</v>
      </c>
      <c r="L454" s="22">
        <f>+SUMIF('حركه المخزن الرئيسي اليوميه'!$F:$F,$H:$H,'حركه المخزن الرئيسي اليوميه'!$H:$H)</f>
        <v>0.0</v>
      </c>
      <c r="M454" s="22">
        <f>+SUMIF('حركه المخزن الرئيسي اليوميه'!$F:$F,$H:$H,'حركه المخزن الرئيسي اليوميه'!$I:$I)</f>
        <v>0.0</v>
      </c>
      <c r="N454" s="22">
        <f t="shared" si="25"/>
        <v>3.0</v>
      </c>
      <c r="O454" s="22">
        <f t="shared" si="26"/>
        <v>3.0</v>
      </c>
      <c r="P454" s="22">
        <f t="shared" si="27"/>
        <v>0.0</v>
      </c>
      <c r="Q454" s="57"/>
      <c r="R454" s="58"/>
    </row>
    <row r="455" spans="8:8">
      <c r="B455" s="8">
        <v>446.0</v>
      </c>
      <c r="C455" s="8" t="s">
        <v>766</v>
      </c>
      <c r="D455" s="8" t="s">
        <v>766</v>
      </c>
      <c r="E455" s="8" t="s">
        <v>3867</v>
      </c>
      <c r="F455" s="8" t="s">
        <v>68</v>
      </c>
      <c r="G455" s="8"/>
      <c r="H455" s="8" t="s">
        <v>3867</v>
      </c>
      <c r="I455" s="8" t="s">
        <v>164</v>
      </c>
      <c r="J455" s="60" t="s">
        <v>7341</v>
      </c>
      <c r="K455" s="22">
        <v>3.0</v>
      </c>
      <c r="L455" s="22">
        <f>+SUMIF('حركه المخزن الرئيسي اليوميه'!$F:$F,$H:$H,'حركه المخزن الرئيسي اليوميه'!$H:$H)</f>
        <v>0.0</v>
      </c>
      <c r="M455" s="22">
        <f>+SUMIF('حركه المخزن الرئيسي اليوميه'!$F:$F,$H:$H,'حركه المخزن الرئيسي اليوميه'!$I:$I)</f>
        <v>0.0</v>
      </c>
      <c r="N455" s="22">
        <f t="shared" si="25"/>
        <v>3.0</v>
      </c>
      <c r="O455" s="22">
        <f t="shared" si="26"/>
        <v>3.0</v>
      </c>
      <c r="P455" s="22">
        <f t="shared" si="27"/>
        <v>0.0</v>
      </c>
      <c r="Q455" s="57"/>
      <c r="R455" s="58"/>
    </row>
    <row r="456" spans="8:8">
      <c r="B456" s="8">
        <v>447.0</v>
      </c>
      <c r="C456" s="8" t="s">
        <v>766</v>
      </c>
      <c r="D456" s="8" t="s">
        <v>766</v>
      </c>
      <c r="E456" s="8" t="s">
        <v>3880</v>
      </c>
      <c r="F456" s="8" t="s">
        <v>68</v>
      </c>
      <c r="G456" s="8"/>
      <c r="H456" s="8" t="s">
        <v>3880</v>
      </c>
      <c r="I456" s="55"/>
      <c r="J456" s="60" t="s">
        <v>7342</v>
      </c>
      <c r="K456" s="22">
        <v>0.0</v>
      </c>
      <c r="L456" s="22">
        <f>+SUMIF('حركه المخزن الرئيسي اليوميه'!$F:$F,$H:$H,'حركه المخزن الرئيسي اليوميه'!$H:$H)</f>
        <v>0.0</v>
      </c>
      <c r="M456" s="22">
        <f>+SUMIF('حركه المخزن الرئيسي اليوميه'!$F:$F,$H:$H,'حركه المخزن الرئيسي اليوميه'!$I:$I)</f>
        <v>0.0</v>
      </c>
      <c r="N456" s="22">
        <f t="shared" si="25"/>
        <v>0.0</v>
      </c>
      <c r="O456" s="22">
        <f t="shared" si="26"/>
        <v>0.0</v>
      </c>
      <c r="P456" s="22">
        <f t="shared" si="27"/>
        <v>0.0</v>
      </c>
      <c r="Q456" s="57"/>
      <c r="R456" s="58"/>
    </row>
    <row r="457" spans="8:8">
      <c r="B457" s="8">
        <v>448.0</v>
      </c>
      <c r="C457" s="8" t="s">
        <v>766</v>
      </c>
      <c r="D457" s="8" t="s">
        <v>766</v>
      </c>
      <c r="E457" s="8" t="s">
        <v>3882</v>
      </c>
      <c r="F457" s="8" t="s">
        <v>125</v>
      </c>
      <c r="G457" s="8"/>
      <c r="H457" s="8" t="s">
        <v>3882</v>
      </c>
      <c r="I457" s="55" t="s">
        <v>818</v>
      </c>
      <c r="J457" s="60" t="s">
        <v>7343</v>
      </c>
      <c r="K457" s="22">
        <v>10.0</v>
      </c>
      <c r="L457" s="22">
        <f>+SUMIF('حركه المخزن الرئيسي اليوميه'!$F:$F,$H:$H,'حركه المخزن الرئيسي اليوميه'!$H:$H)</f>
        <v>0.0</v>
      </c>
      <c r="M457" s="22">
        <f>+SUMIF('حركه المخزن الرئيسي اليوميه'!$F:$F,$H:$H,'حركه المخزن الرئيسي اليوميه'!$I:$I)</f>
        <v>0.0</v>
      </c>
      <c r="N457" s="22">
        <f t="shared" si="25"/>
        <v>10.0</v>
      </c>
      <c r="O457" s="22">
        <f t="shared" si="26"/>
        <v>10.0</v>
      </c>
      <c r="P457" s="22">
        <f t="shared" si="27"/>
        <v>0.0</v>
      </c>
      <c r="Q457" s="57"/>
      <c r="R457" s="58"/>
    </row>
    <row r="458" spans="8:8">
      <c r="B458" s="8">
        <v>449.0</v>
      </c>
      <c r="C458" s="8" t="s">
        <v>764</v>
      </c>
      <c r="D458" s="8" t="s">
        <v>828</v>
      </c>
      <c r="E458" s="8" t="s">
        <v>3883</v>
      </c>
      <c r="F458" s="8" t="s">
        <v>68</v>
      </c>
      <c r="G458" s="8" t="s">
        <v>3884</v>
      </c>
      <c r="H458" s="8" t="s">
        <v>3883</v>
      </c>
      <c r="I458" s="8" t="s">
        <v>45</v>
      </c>
      <c r="J458" s="60" t="s">
        <v>7344</v>
      </c>
      <c r="K458" s="22">
        <v>2.0</v>
      </c>
      <c r="L458" s="22">
        <f>+SUMIF('حركه المخزن الرئيسي اليوميه'!$F:$F,$H:$H,'حركه المخزن الرئيسي اليوميه'!$H:$H)</f>
        <v>0.0</v>
      </c>
      <c r="M458" s="22">
        <f>+SUMIF('حركه المخزن الرئيسي اليوميه'!$F:$F,$H:$H,'حركه المخزن الرئيسي اليوميه'!$I:$I)</f>
        <v>0.0</v>
      </c>
      <c r="N458" s="22">
        <f t="shared" si="25"/>
        <v>2.0</v>
      </c>
      <c r="O458" s="22">
        <f t="shared" si="26"/>
        <v>2.0</v>
      </c>
      <c r="P458" s="22">
        <f t="shared" si="27"/>
        <v>0.0</v>
      </c>
      <c r="Q458" s="57"/>
      <c r="R458" s="58"/>
    </row>
    <row r="459" spans="8:8">
      <c r="B459" s="8">
        <v>450.0</v>
      </c>
      <c r="C459" s="8" t="s">
        <v>766</v>
      </c>
      <c r="D459" s="8" t="s">
        <v>828</v>
      </c>
      <c r="E459" s="8" t="s">
        <v>3886</v>
      </c>
      <c r="F459" s="8" t="s">
        <v>68</v>
      </c>
      <c r="G459" s="8"/>
      <c r="H459" s="8" t="s">
        <v>3886</v>
      </c>
      <c r="I459" s="8" t="s">
        <v>166</v>
      </c>
      <c r="J459" s="60" t="s">
        <v>7345</v>
      </c>
      <c r="K459" s="22">
        <v>7.0</v>
      </c>
      <c r="L459" s="22">
        <f>+SUMIF('حركه المخزن الرئيسي اليوميه'!$F:$F,$H:$H,'حركه المخزن الرئيسي اليوميه'!$H:$H)</f>
        <v>3.0</v>
      </c>
      <c r="M459" s="22">
        <f>+SUMIF('حركه المخزن الرئيسي اليوميه'!$F:$F,$H:$H,'حركه المخزن الرئيسي اليوميه'!$I:$I)</f>
        <v>3.0</v>
      </c>
      <c r="N459" s="22">
        <f t="shared" si="25"/>
        <v>7.0</v>
      </c>
      <c r="O459" s="22">
        <f t="shared" si="26"/>
        <v>7.0</v>
      </c>
      <c r="P459" s="22">
        <f t="shared" si="27"/>
        <v>0.0</v>
      </c>
      <c r="Q459" s="57"/>
      <c r="R459" s="58"/>
    </row>
    <row r="460" spans="8:8">
      <c r="B460" s="8">
        <v>451.0</v>
      </c>
      <c r="C460" s="8" t="s">
        <v>766</v>
      </c>
      <c r="D460" s="8" t="s">
        <v>828</v>
      </c>
      <c r="E460" s="8" t="s">
        <v>3896</v>
      </c>
      <c r="F460" s="8" t="s">
        <v>68</v>
      </c>
      <c r="G460" s="8"/>
      <c r="H460" s="8" t="s">
        <v>3896</v>
      </c>
      <c r="I460" s="55" t="s">
        <v>1132</v>
      </c>
      <c r="J460" s="60" t="s">
        <v>7346</v>
      </c>
      <c r="K460" s="22">
        <v>91.0</v>
      </c>
      <c r="L460" s="22">
        <f>+SUMIF('حركه المخزن الرئيسي اليوميه'!$F:$F,$H:$H,'حركه المخزن الرئيسي اليوميه'!$H:$H)</f>
        <v>0.0</v>
      </c>
      <c r="M460" s="22">
        <f>+SUMIF('حركه المخزن الرئيسي اليوميه'!$F:$F,$H:$H,'حركه المخزن الرئيسي اليوميه'!$I:$I)</f>
        <v>0.0</v>
      </c>
      <c r="N460" s="22">
        <f t="shared" si="25"/>
        <v>91.0</v>
      </c>
      <c r="O460" s="22">
        <f t="shared" si="26"/>
        <v>91.0</v>
      </c>
      <c r="P460" s="22">
        <f t="shared" si="27"/>
        <v>0.0</v>
      </c>
      <c r="Q460" s="57"/>
      <c r="R460" s="58"/>
    </row>
    <row r="461" spans="8:8">
      <c r="B461" s="8">
        <v>452.0</v>
      </c>
      <c r="C461" s="8" t="s">
        <v>766</v>
      </c>
      <c r="D461" s="8" t="s">
        <v>828</v>
      </c>
      <c r="E461" s="8" t="s">
        <v>3898</v>
      </c>
      <c r="F461" s="8" t="s">
        <v>68</v>
      </c>
      <c r="G461" s="8"/>
      <c r="H461" s="8" t="s">
        <v>3898</v>
      </c>
      <c r="I461" s="55"/>
      <c r="J461" s="60" t="s">
        <v>7347</v>
      </c>
      <c r="K461" s="22">
        <v>0.0</v>
      </c>
      <c r="L461" s="22">
        <f>+SUMIF('حركه المخزن الرئيسي اليوميه'!$F:$F,$H:$H,'حركه المخزن الرئيسي اليوميه'!$H:$H)</f>
        <v>0.0</v>
      </c>
      <c r="M461" s="22">
        <f>+SUMIF('حركه المخزن الرئيسي اليوميه'!$F:$F,$H:$H,'حركه المخزن الرئيسي اليوميه'!$I:$I)</f>
        <v>0.0</v>
      </c>
      <c r="N461" s="22">
        <f t="shared" si="25"/>
        <v>0.0</v>
      </c>
      <c r="O461" s="22">
        <f t="shared" si="26"/>
        <v>0.0</v>
      </c>
      <c r="P461" s="22">
        <f t="shared" si="27"/>
        <v>0.0</v>
      </c>
      <c r="Q461" s="57"/>
      <c r="R461" s="58"/>
    </row>
    <row r="462" spans="8:8">
      <c r="B462" s="8">
        <v>453.0</v>
      </c>
      <c r="C462" s="8" t="s">
        <v>766</v>
      </c>
      <c r="D462" s="8" t="s">
        <v>828</v>
      </c>
      <c r="E462" s="8" t="s">
        <v>3923</v>
      </c>
      <c r="F462" s="8" t="s">
        <v>68</v>
      </c>
      <c r="G462" s="8"/>
      <c r="H462" s="8" t="s">
        <v>3923</v>
      </c>
      <c r="I462" s="55" t="s">
        <v>8127</v>
      </c>
      <c r="J462" s="60" t="s">
        <v>7348</v>
      </c>
      <c r="K462" s="22">
        <v>2.0</v>
      </c>
      <c r="L462" s="22">
        <f>+SUMIF('حركه المخزن الرئيسي اليوميه'!$F:$F,$H:$H,'حركه المخزن الرئيسي اليوميه'!$H:$H)</f>
        <v>0.0</v>
      </c>
      <c r="M462" s="22">
        <f>+SUMIF('حركه المخزن الرئيسي اليوميه'!$F:$F,$H:$H,'حركه المخزن الرئيسي اليوميه'!$I:$I)</f>
        <v>0.0</v>
      </c>
      <c r="N462" s="22">
        <f t="shared" si="25"/>
        <v>2.0</v>
      </c>
      <c r="O462" s="22">
        <f t="shared" si="26"/>
        <v>2.0</v>
      </c>
      <c r="P462" s="22">
        <f t="shared" si="27"/>
        <v>0.0</v>
      </c>
      <c r="Q462" s="57"/>
      <c r="R462" s="58"/>
    </row>
    <row r="463" spans="8:8">
      <c r="B463" s="8">
        <v>454.0</v>
      </c>
      <c r="C463" s="8" t="s">
        <v>766</v>
      </c>
      <c r="D463" s="8" t="s">
        <v>828</v>
      </c>
      <c r="E463" s="8" t="s">
        <v>3924</v>
      </c>
      <c r="F463" s="8" t="s">
        <v>68</v>
      </c>
      <c r="G463" s="8"/>
      <c r="H463" s="8" t="s">
        <v>3924</v>
      </c>
      <c r="I463" s="55" t="s">
        <v>8127</v>
      </c>
      <c r="J463" s="60" t="s">
        <v>7349</v>
      </c>
      <c r="K463" s="22">
        <v>2.0</v>
      </c>
      <c r="L463" s="22">
        <f>+SUMIF('حركه المخزن الرئيسي اليوميه'!$F:$F,$H:$H,'حركه المخزن الرئيسي اليوميه'!$H:$H)</f>
        <v>0.0</v>
      </c>
      <c r="M463" s="22">
        <f>+SUMIF('حركه المخزن الرئيسي اليوميه'!$F:$F,$H:$H,'حركه المخزن الرئيسي اليوميه'!$I:$I)</f>
        <v>0.0</v>
      </c>
      <c r="N463" s="22">
        <f t="shared" si="25"/>
        <v>2.0</v>
      </c>
      <c r="O463" s="22">
        <f t="shared" si="26"/>
        <v>2.0</v>
      </c>
      <c r="P463" s="22">
        <f t="shared" si="27"/>
        <v>0.0</v>
      </c>
      <c r="Q463" s="57"/>
      <c r="R463" s="58"/>
    </row>
    <row r="464" spans="8:8">
      <c r="B464" s="8">
        <v>455.0</v>
      </c>
      <c r="C464" s="8" t="s">
        <v>766</v>
      </c>
      <c r="D464" s="8"/>
      <c r="E464" s="8"/>
      <c r="F464" s="8"/>
      <c r="G464" s="8"/>
      <c r="H464" s="8"/>
      <c r="I464" s="55"/>
      <c r="J464" s="60" t="s">
        <v>7350</v>
      </c>
      <c r="K464" s="22">
        <v>0.0</v>
      </c>
      <c r="L464" s="22">
        <f>+SUMIF('حركه المخزن الرئيسي اليوميه'!$F:$F,$H:$H,'حركه المخزن الرئيسي اليوميه'!$H:$H)</f>
        <v>0.0</v>
      </c>
      <c r="M464" s="22">
        <f>+SUMIF('حركه المخزن الرئيسي اليوميه'!$F:$F,$H:$H,'حركه المخزن الرئيسي اليوميه'!$I:$I)</f>
        <v>0.0</v>
      </c>
      <c r="N464" s="22">
        <f t="shared" si="28" ref="N464:N527">+K464+L464-M464</f>
        <v>0.0</v>
      </c>
      <c r="O464" s="22">
        <f t="shared" si="29" ref="O464:O527">+N464</f>
        <v>0.0</v>
      </c>
      <c r="P464" s="22">
        <f t="shared" si="30" ref="P464:P527">+N464-O464</f>
        <v>0.0</v>
      </c>
      <c r="Q464" s="57"/>
      <c r="R464" s="58"/>
    </row>
    <row r="465" spans="8:8">
      <c r="B465" s="8">
        <v>456.0</v>
      </c>
      <c r="C465" s="8" t="s">
        <v>766</v>
      </c>
      <c r="D465" s="8"/>
      <c r="E465" s="8"/>
      <c r="F465" s="8"/>
      <c r="G465" s="8"/>
      <c r="H465" s="8"/>
      <c r="I465" s="55"/>
      <c r="J465" s="60" t="s">
        <v>7351</v>
      </c>
      <c r="K465" s="22">
        <v>0.0</v>
      </c>
      <c r="L465" s="22">
        <f>+SUMIF('حركه المخزن الرئيسي اليوميه'!$F:$F,$H:$H,'حركه المخزن الرئيسي اليوميه'!$H:$H)</f>
        <v>0.0</v>
      </c>
      <c r="M465" s="22">
        <f>+SUMIF('حركه المخزن الرئيسي اليوميه'!$F:$F,$H:$H,'حركه المخزن الرئيسي اليوميه'!$I:$I)</f>
        <v>0.0</v>
      </c>
      <c r="N465" s="22">
        <f t="shared" si="28"/>
        <v>0.0</v>
      </c>
      <c r="O465" s="22">
        <f t="shared" si="29"/>
        <v>0.0</v>
      </c>
      <c r="P465" s="22">
        <f t="shared" si="30"/>
        <v>0.0</v>
      </c>
      <c r="Q465" s="57"/>
      <c r="R465" s="58"/>
    </row>
    <row r="466" spans="8:8">
      <c r="B466" s="8">
        <v>457.0</v>
      </c>
      <c r="C466" s="8" t="s">
        <v>766</v>
      </c>
      <c r="D466" s="8"/>
      <c r="E466" s="8"/>
      <c r="F466" s="8"/>
      <c r="G466" s="8"/>
      <c r="H466" s="8"/>
      <c r="I466" s="55"/>
      <c r="J466" s="60" t="s">
        <v>7352</v>
      </c>
      <c r="K466" s="22">
        <v>0.0</v>
      </c>
      <c r="L466" s="22">
        <f>+SUMIF('حركه المخزن الرئيسي اليوميه'!$F:$F,$H:$H,'حركه المخزن الرئيسي اليوميه'!$H:$H)</f>
        <v>0.0</v>
      </c>
      <c r="M466" s="22">
        <f>+SUMIF('حركه المخزن الرئيسي اليوميه'!$F:$F,$H:$H,'حركه المخزن الرئيسي اليوميه'!$I:$I)</f>
        <v>0.0</v>
      </c>
      <c r="N466" s="22">
        <f t="shared" si="28"/>
        <v>0.0</v>
      </c>
      <c r="O466" s="22">
        <f t="shared" si="29"/>
        <v>0.0</v>
      </c>
      <c r="P466" s="22">
        <f t="shared" si="30"/>
        <v>0.0</v>
      </c>
      <c r="Q466" s="57"/>
      <c r="R466" s="58"/>
    </row>
    <row r="467" spans="8:8">
      <c r="B467" s="8">
        <v>458.0</v>
      </c>
      <c r="C467" s="8" t="s">
        <v>766</v>
      </c>
      <c r="D467" s="8"/>
      <c r="E467" s="8"/>
      <c r="F467" s="8"/>
      <c r="G467" s="8"/>
      <c r="H467" s="8"/>
      <c r="I467" s="55"/>
      <c r="J467" s="60" t="s">
        <v>7353</v>
      </c>
      <c r="K467" s="22">
        <v>0.0</v>
      </c>
      <c r="L467" s="22">
        <f>+SUMIF('حركه المخزن الرئيسي اليوميه'!$F:$F,$H:$H,'حركه المخزن الرئيسي اليوميه'!$H:$H)</f>
        <v>0.0</v>
      </c>
      <c r="M467" s="22">
        <f>+SUMIF('حركه المخزن الرئيسي اليوميه'!$F:$F,$H:$H,'حركه المخزن الرئيسي اليوميه'!$I:$I)</f>
        <v>0.0</v>
      </c>
      <c r="N467" s="22">
        <f t="shared" si="28"/>
        <v>0.0</v>
      </c>
      <c r="O467" s="22">
        <f t="shared" si="29"/>
        <v>0.0</v>
      </c>
      <c r="P467" s="22">
        <f t="shared" si="30"/>
        <v>0.0</v>
      </c>
      <c r="Q467" s="57"/>
      <c r="R467" s="58"/>
    </row>
    <row r="468" spans="8:8">
      <c r="B468" s="8">
        <v>459.0</v>
      </c>
      <c r="C468" s="8" t="s">
        <v>766</v>
      </c>
      <c r="D468" s="8"/>
      <c r="E468" s="8"/>
      <c r="F468" s="8"/>
      <c r="G468" s="8"/>
      <c r="H468" s="8"/>
      <c r="I468" s="55"/>
      <c r="J468" s="60" t="s">
        <v>7354</v>
      </c>
      <c r="K468" s="22">
        <v>0.0</v>
      </c>
      <c r="L468" s="22">
        <f>+SUMIF('حركه المخزن الرئيسي اليوميه'!$F:$F,$H:$H,'حركه المخزن الرئيسي اليوميه'!$H:$H)</f>
        <v>0.0</v>
      </c>
      <c r="M468" s="22">
        <f>+SUMIF('حركه المخزن الرئيسي اليوميه'!$F:$F,$H:$H,'حركه المخزن الرئيسي اليوميه'!$I:$I)</f>
        <v>0.0</v>
      </c>
      <c r="N468" s="22">
        <f t="shared" si="28"/>
        <v>0.0</v>
      </c>
      <c r="O468" s="22">
        <f t="shared" si="29"/>
        <v>0.0</v>
      </c>
      <c r="P468" s="22">
        <f t="shared" si="30"/>
        <v>0.0</v>
      </c>
      <c r="Q468" s="57"/>
      <c r="R468" s="58"/>
    </row>
    <row r="469" spans="8:8">
      <c r="B469" s="8">
        <v>460.0</v>
      </c>
      <c r="C469" s="8" t="s">
        <v>766</v>
      </c>
      <c r="D469" s="8"/>
      <c r="E469" s="8"/>
      <c r="F469" s="8"/>
      <c r="G469" s="8"/>
      <c r="H469" s="8"/>
      <c r="I469" s="55"/>
      <c r="J469" s="60" t="s">
        <v>7355</v>
      </c>
      <c r="K469" s="22">
        <v>0.0</v>
      </c>
      <c r="L469" s="22">
        <f>+SUMIF('حركه المخزن الرئيسي اليوميه'!$F:$F,$H:$H,'حركه المخزن الرئيسي اليوميه'!$H:$H)</f>
        <v>0.0</v>
      </c>
      <c r="M469" s="22">
        <f>+SUMIF('حركه المخزن الرئيسي اليوميه'!$F:$F,$H:$H,'حركه المخزن الرئيسي اليوميه'!$I:$I)</f>
        <v>0.0</v>
      </c>
      <c r="N469" s="22">
        <f t="shared" si="28"/>
        <v>0.0</v>
      </c>
      <c r="O469" s="22">
        <f t="shared" si="29"/>
        <v>0.0</v>
      </c>
      <c r="P469" s="22">
        <f t="shared" si="30"/>
        <v>0.0</v>
      </c>
      <c r="Q469" s="57"/>
      <c r="R469" s="58"/>
    </row>
    <row r="470" spans="8:8">
      <c r="B470" s="8">
        <v>461.0</v>
      </c>
      <c r="C470" s="8" t="s">
        <v>766</v>
      </c>
      <c r="D470" s="8"/>
      <c r="E470" s="8"/>
      <c r="F470" s="8"/>
      <c r="G470" s="8"/>
      <c r="H470" s="8"/>
      <c r="I470" s="55"/>
      <c r="J470" s="60" t="s">
        <v>7356</v>
      </c>
      <c r="K470" s="22">
        <v>0.0</v>
      </c>
      <c r="L470" s="22">
        <f>+SUMIF('حركه المخزن الرئيسي اليوميه'!$F:$F,$H:$H,'حركه المخزن الرئيسي اليوميه'!$H:$H)</f>
        <v>0.0</v>
      </c>
      <c r="M470" s="22">
        <f>+SUMIF('حركه المخزن الرئيسي اليوميه'!$F:$F,$H:$H,'حركه المخزن الرئيسي اليوميه'!$I:$I)</f>
        <v>0.0</v>
      </c>
      <c r="N470" s="22">
        <f t="shared" si="28"/>
        <v>0.0</v>
      </c>
      <c r="O470" s="22">
        <f t="shared" si="29"/>
        <v>0.0</v>
      </c>
      <c r="P470" s="22">
        <f t="shared" si="30"/>
        <v>0.0</v>
      </c>
      <c r="Q470" s="57"/>
      <c r="R470" s="58"/>
    </row>
    <row r="471" spans="8:8">
      <c r="B471" s="8">
        <v>462.0</v>
      </c>
      <c r="C471" s="8" t="s">
        <v>766</v>
      </c>
      <c r="D471" s="8"/>
      <c r="E471" s="8"/>
      <c r="F471" s="8"/>
      <c r="G471" s="8"/>
      <c r="H471" s="8"/>
      <c r="I471" s="55"/>
      <c r="J471" s="60" t="s">
        <v>7357</v>
      </c>
      <c r="K471" s="22">
        <v>0.0</v>
      </c>
      <c r="L471" s="22">
        <f>+SUMIF('حركه المخزن الرئيسي اليوميه'!$F:$F,$H:$H,'حركه المخزن الرئيسي اليوميه'!$H:$H)</f>
        <v>0.0</v>
      </c>
      <c r="M471" s="22">
        <f>+SUMIF('حركه المخزن الرئيسي اليوميه'!$F:$F,$H:$H,'حركه المخزن الرئيسي اليوميه'!$I:$I)</f>
        <v>0.0</v>
      </c>
      <c r="N471" s="22">
        <f t="shared" si="28"/>
        <v>0.0</v>
      </c>
      <c r="O471" s="22">
        <f t="shared" si="29"/>
        <v>0.0</v>
      </c>
      <c r="P471" s="22">
        <f t="shared" si="30"/>
        <v>0.0</v>
      </c>
      <c r="Q471" s="57"/>
      <c r="R471" s="58"/>
    </row>
    <row r="472" spans="8:8">
      <c r="B472" s="8">
        <v>463.0</v>
      </c>
      <c r="C472" s="8" t="s">
        <v>766</v>
      </c>
      <c r="D472" s="8"/>
      <c r="E472" s="8"/>
      <c r="F472" s="8"/>
      <c r="G472" s="8"/>
      <c r="H472" s="8"/>
      <c r="I472" s="55"/>
      <c r="J472" s="60" t="s">
        <v>7358</v>
      </c>
      <c r="K472" s="22">
        <v>0.0</v>
      </c>
      <c r="L472" s="22">
        <f>+SUMIF('حركه المخزن الرئيسي اليوميه'!$F:$F,$H:$H,'حركه المخزن الرئيسي اليوميه'!$H:$H)</f>
        <v>0.0</v>
      </c>
      <c r="M472" s="22">
        <f>+SUMIF('حركه المخزن الرئيسي اليوميه'!$F:$F,$H:$H,'حركه المخزن الرئيسي اليوميه'!$I:$I)</f>
        <v>0.0</v>
      </c>
      <c r="N472" s="22">
        <f t="shared" si="28"/>
        <v>0.0</v>
      </c>
      <c r="O472" s="22">
        <f t="shared" si="29"/>
        <v>0.0</v>
      </c>
      <c r="P472" s="22">
        <f t="shared" si="30"/>
        <v>0.0</v>
      </c>
      <c r="Q472" s="57"/>
      <c r="R472" s="58"/>
    </row>
    <row r="473" spans="8:8">
      <c r="B473" s="8">
        <v>464.0</v>
      </c>
      <c r="C473" s="8" t="s">
        <v>766</v>
      </c>
      <c r="D473" s="8"/>
      <c r="E473" s="8"/>
      <c r="F473" s="8"/>
      <c r="G473" s="8"/>
      <c r="H473" s="8"/>
      <c r="I473" s="55"/>
      <c r="J473" s="60" t="s">
        <v>7359</v>
      </c>
      <c r="K473" s="22">
        <v>0.0</v>
      </c>
      <c r="L473" s="22">
        <f>+SUMIF('حركه المخزن الرئيسي اليوميه'!$F:$F,$H:$H,'حركه المخزن الرئيسي اليوميه'!$H:$H)</f>
        <v>0.0</v>
      </c>
      <c r="M473" s="22">
        <f>+SUMIF('حركه المخزن الرئيسي اليوميه'!$F:$F,$H:$H,'حركه المخزن الرئيسي اليوميه'!$I:$I)</f>
        <v>0.0</v>
      </c>
      <c r="N473" s="22">
        <f t="shared" si="28"/>
        <v>0.0</v>
      </c>
      <c r="O473" s="22">
        <f t="shared" si="29"/>
        <v>0.0</v>
      </c>
      <c r="P473" s="22">
        <f t="shared" si="30"/>
        <v>0.0</v>
      </c>
      <c r="Q473" s="57"/>
      <c r="R473" s="58"/>
    </row>
    <row r="474" spans="8:8">
      <c r="B474" s="8">
        <v>465.0</v>
      </c>
      <c r="C474" s="8" t="s">
        <v>766</v>
      </c>
      <c r="D474" s="8"/>
      <c r="E474" s="8"/>
      <c r="F474" s="8"/>
      <c r="G474" s="8"/>
      <c r="H474" s="8"/>
      <c r="I474" s="55"/>
      <c r="J474" s="60" t="s">
        <v>7360</v>
      </c>
      <c r="K474" s="22">
        <v>0.0</v>
      </c>
      <c r="L474" s="22">
        <f>+SUMIF('حركه المخزن الرئيسي اليوميه'!$F:$F,$H:$H,'حركه المخزن الرئيسي اليوميه'!$H:$H)</f>
        <v>0.0</v>
      </c>
      <c r="M474" s="22">
        <f>+SUMIF('حركه المخزن الرئيسي اليوميه'!$F:$F,$H:$H,'حركه المخزن الرئيسي اليوميه'!$I:$I)</f>
        <v>0.0</v>
      </c>
      <c r="N474" s="22">
        <f t="shared" si="28"/>
        <v>0.0</v>
      </c>
      <c r="O474" s="22">
        <f t="shared" si="29"/>
        <v>0.0</v>
      </c>
      <c r="P474" s="22">
        <f t="shared" si="30"/>
        <v>0.0</v>
      </c>
      <c r="Q474" s="57"/>
      <c r="R474" s="58"/>
    </row>
    <row r="475" spans="8:8">
      <c r="B475" s="8">
        <v>466.0</v>
      </c>
      <c r="C475" s="8" t="s">
        <v>766</v>
      </c>
      <c r="D475" s="8"/>
      <c r="E475" s="8"/>
      <c r="F475" s="8"/>
      <c r="G475" s="8"/>
      <c r="H475" s="8"/>
      <c r="I475" s="55"/>
      <c r="J475" s="60" t="s">
        <v>7361</v>
      </c>
      <c r="K475" s="22">
        <v>0.0</v>
      </c>
      <c r="L475" s="22">
        <f>+SUMIF('حركه المخزن الرئيسي اليوميه'!$F:$F,$H:$H,'حركه المخزن الرئيسي اليوميه'!$H:$H)</f>
        <v>0.0</v>
      </c>
      <c r="M475" s="22">
        <f>+SUMIF('حركه المخزن الرئيسي اليوميه'!$F:$F,$H:$H,'حركه المخزن الرئيسي اليوميه'!$I:$I)</f>
        <v>0.0</v>
      </c>
      <c r="N475" s="22">
        <f t="shared" si="28"/>
        <v>0.0</v>
      </c>
      <c r="O475" s="22">
        <f t="shared" si="29"/>
        <v>0.0</v>
      </c>
      <c r="P475" s="22">
        <f t="shared" si="30"/>
        <v>0.0</v>
      </c>
      <c r="Q475" s="57"/>
      <c r="R475" s="58"/>
    </row>
    <row r="476" spans="8:8">
      <c r="B476" s="8">
        <v>467.0</v>
      </c>
      <c r="C476" s="8" t="s">
        <v>766</v>
      </c>
      <c r="D476" s="8"/>
      <c r="E476" s="8"/>
      <c r="F476" s="8"/>
      <c r="G476" s="8"/>
      <c r="H476" s="8"/>
      <c r="I476" s="55"/>
      <c r="J476" s="60" t="s">
        <v>7362</v>
      </c>
      <c r="K476" s="22">
        <v>0.0</v>
      </c>
      <c r="L476" s="22">
        <f>+SUMIF('حركه المخزن الرئيسي اليوميه'!$F:$F,$H:$H,'حركه المخزن الرئيسي اليوميه'!$H:$H)</f>
        <v>0.0</v>
      </c>
      <c r="M476" s="22">
        <f>+SUMIF('حركه المخزن الرئيسي اليوميه'!$F:$F,$H:$H,'حركه المخزن الرئيسي اليوميه'!$I:$I)</f>
        <v>0.0</v>
      </c>
      <c r="N476" s="22">
        <f t="shared" si="28"/>
        <v>0.0</v>
      </c>
      <c r="O476" s="22">
        <f t="shared" si="29"/>
        <v>0.0</v>
      </c>
      <c r="P476" s="22">
        <f t="shared" si="30"/>
        <v>0.0</v>
      </c>
      <c r="Q476" s="57"/>
      <c r="R476" s="58"/>
    </row>
    <row r="477" spans="8:8">
      <c r="B477" s="8">
        <v>468.0</v>
      </c>
      <c r="C477" s="8" t="s">
        <v>766</v>
      </c>
      <c r="D477" s="8"/>
      <c r="E477" s="8"/>
      <c r="F477" s="8"/>
      <c r="G477" s="8"/>
      <c r="H477" s="8"/>
      <c r="I477" s="55"/>
      <c r="J477" s="60" t="s">
        <v>7363</v>
      </c>
      <c r="K477" s="22">
        <v>0.0</v>
      </c>
      <c r="L477" s="22">
        <f>+SUMIF('حركه المخزن الرئيسي اليوميه'!$F:$F,$H:$H,'حركه المخزن الرئيسي اليوميه'!$H:$H)</f>
        <v>0.0</v>
      </c>
      <c r="M477" s="22">
        <f>+SUMIF('حركه المخزن الرئيسي اليوميه'!$F:$F,$H:$H,'حركه المخزن الرئيسي اليوميه'!$I:$I)</f>
        <v>0.0</v>
      </c>
      <c r="N477" s="22">
        <f t="shared" si="28"/>
        <v>0.0</v>
      </c>
      <c r="O477" s="22">
        <f t="shared" si="29"/>
        <v>0.0</v>
      </c>
      <c r="P477" s="22">
        <f t="shared" si="30"/>
        <v>0.0</v>
      </c>
      <c r="Q477" s="57"/>
      <c r="R477" s="58"/>
    </row>
    <row r="478" spans="8:8">
      <c r="B478" s="8">
        <v>469.0</v>
      </c>
      <c r="C478" s="8" t="s">
        <v>766</v>
      </c>
      <c r="D478" s="8"/>
      <c r="E478" s="8"/>
      <c r="F478" s="8"/>
      <c r="G478" s="8"/>
      <c r="H478" s="8"/>
      <c r="I478" s="55"/>
      <c r="J478" s="60" t="s">
        <v>7364</v>
      </c>
      <c r="K478" s="22">
        <v>0.0</v>
      </c>
      <c r="L478" s="22">
        <f>+SUMIF('حركه المخزن الرئيسي اليوميه'!$F:$F,$H:$H,'حركه المخزن الرئيسي اليوميه'!$H:$H)</f>
        <v>0.0</v>
      </c>
      <c r="M478" s="22">
        <f>+SUMIF('حركه المخزن الرئيسي اليوميه'!$F:$F,$H:$H,'حركه المخزن الرئيسي اليوميه'!$I:$I)</f>
        <v>0.0</v>
      </c>
      <c r="N478" s="22">
        <f t="shared" si="28"/>
        <v>0.0</v>
      </c>
      <c r="O478" s="22">
        <f t="shared" si="29"/>
        <v>0.0</v>
      </c>
      <c r="P478" s="22">
        <f t="shared" si="30"/>
        <v>0.0</v>
      </c>
      <c r="Q478" s="57"/>
      <c r="R478" s="58"/>
    </row>
    <row r="479" spans="8:8">
      <c r="B479" s="8">
        <v>470.0</v>
      </c>
      <c r="C479" s="8" t="s">
        <v>766</v>
      </c>
      <c r="D479" s="8"/>
      <c r="E479" s="8"/>
      <c r="F479" s="8"/>
      <c r="G479" s="8"/>
      <c r="H479" s="8"/>
      <c r="I479" s="55"/>
      <c r="J479" s="60" t="s">
        <v>7365</v>
      </c>
      <c r="K479" s="22">
        <v>0.0</v>
      </c>
      <c r="L479" s="22">
        <f>+SUMIF('حركه المخزن الرئيسي اليوميه'!$F:$F,$H:$H,'حركه المخزن الرئيسي اليوميه'!$H:$H)</f>
        <v>0.0</v>
      </c>
      <c r="M479" s="22">
        <f>+SUMIF('حركه المخزن الرئيسي اليوميه'!$F:$F,$H:$H,'حركه المخزن الرئيسي اليوميه'!$I:$I)</f>
        <v>0.0</v>
      </c>
      <c r="N479" s="22">
        <f t="shared" si="28"/>
        <v>0.0</v>
      </c>
      <c r="O479" s="22">
        <f t="shared" si="29"/>
        <v>0.0</v>
      </c>
      <c r="P479" s="22">
        <f t="shared" si="30"/>
        <v>0.0</v>
      </c>
      <c r="Q479" s="57"/>
      <c r="R479" s="58"/>
    </row>
    <row r="480" spans="8:8">
      <c r="B480" s="8">
        <v>471.0</v>
      </c>
      <c r="C480" s="8" t="s">
        <v>766</v>
      </c>
      <c r="D480" s="8"/>
      <c r="E480" s="8"/>
      <c r="F480" s="8"/>
      <c r="G480" s="8"/>
      <c r="H480" s="8"/>
      <c r="I480" s="55"/>
      <c r="J480" s="60" t="s">
        <v>7366</v>
      </c>
      <c r="K480" s="22">
        <v>0.0</v>
      </c>
      <c r="L480" s="22">
        <f>+SUMIF('حركه المخزن الرئيسي اليوميه'!$F:$F,$H:$H,'حركه المخزن الرئيسي اليوميه'!$H:$H)</f>
        <v>0.0</v>
      </c>
      <c r="M480" s="22">
        <f>+SUMIF('حركه المخزن الرئيسي اليوميه'!$F:$F,$H:$H,'حركه المخزن الرئيسي اليوميه'!$I:$I)</f>
        <v>0.0</v>
      </c>
      <c r="N480" s="22">
        <f t="shared" si="28"/>
        <v>0.0</v>
      </c>
      <c r="O480" s="22">
        <f t="shared" si="29"/>
        <v>0.0</v>
      </c>
      <c r="P480" s="22">
        <f t="shared" si="30"/>
        <v>0.0</v>
      </c>
      <c r="Q480" s="57"/>
      <c r="R480" s="58"/>
    </row>
    <row r="481" spans="8:8">
      <c r="B481" s="8">
        <v>472.0</v>
      </c>
      <c r="C481" s="8" t="s">
        <v>766</v>
      </c>
      <c r="D481" s="8"/>
      <c r="E481" s="8"/>
      <c r="F481" s="8"/>
      <c r="G481" s="8"/>
      <c r="H481" s="8"/>
      <c r="I481" s="55"/>
      <c r="J481" s="60" t="s">
        <v>7367</v>
      </c>
      <c r="K481" s="22">
        <v>0.0</v>
      </c>
      <c r="L481" s="22">
        <f>+SUMIF('حركه المخزن الرئيسي اليوميه'!$F:$F,$H:$H,'حركه المخزن الرئيسي اليوميه'!$H:$H)</f>
        <v>0.0</v>
      </c>
      <c r="M481" s="22">
        <f>+SUMIF('حركه المخزن الرئيسي اليوميه'!$F:$F,$H:$H,'حركه المخزن الرئيسي اليوميه'!$I:$I)</f>
        <v>0.0</v>
      </c>
      <c r="N481" s="22">
        <f t="shared" si="28"/>
        <v>0.0</v>
      </c>
      <c r="O481" s="22">
        <f t="shared" si="29"/>
        <v>0.0</v>
      </c>
      <c r="P481" s="22">
        <f t="shared" si="30"/>
        <v>0.0</v>
      </c>
      <c r="Q481" s="57"/>
      <c r="R481" s="58"/>
    </row>
    <row r="482" spans="8:8">
      <c r="B482" s="8">
        <v>473.0</v>
      </c>
      <c r="C482" s="8" t="s">
        <v>766</v>
      </c>
      <c r="D482" s="8"/>
      <c r="E482" s="8"/>
      <c r="F482" s="8"/>
      <c r="G482" s="8"/>
      <c r="H482" s="8"/>
      <c r="I482" s="55"/>
      <c r="J482" s="60" t="s">
        <v>7368</v>
      </c>
      <c r="K482" s="22">
        <v>0.0</v>
      </c>
      <c r="L482" s="22">
        <f>+SUMIF('حركه المخزن الرئيسي اليوميه'!$F:$F,$H:$H,'حركه المخزن الرئيسي اليوميه'!$H:$H)</f>
        <v>0.0</v>
      </c>
      <c r="M482" s="22">
        <f>+SUMIF('حركه المخزن الرئيسي اليوميه'!$F:$F,$H:$H,'حركه المخزن الرئيسي اليوميه'!$I:$I)</f>
        <v>0.0</v>
      </c>
      <c r="N482" s="22">
        <f t="shared" si="28"/>
        <v>0.0</v>
      </c>
      <c r="O482" s="22">
        <f t="shared" si="29"/>
        <v>0.0</v>
      </c>
      <c r="P482" s="22">
        <f t="shared" si="30"/>
        <v>0.0</v>
      </c>
      <c r="Q482" s="57"/>
      <c r="R482" s="58"/>
    </row>
    <row r="483" spans="8:8">
      <c r="B483" s="8">
        <v>474.0</v>
      </c>
      <c r="C483" s="8" t="s">
        <v>766</v>
      </c>
      <c r="D483" s="8"/>
      <c r="E483" s="8"/>
      <c r="F483" s="8"/>
      <c r="G483" s="8"/>
      <c r="H483" s="8"/>
      <c r="I483" s="55"/>
      <c r="J483" s="60" t="s">
        <v>7369</v>
      </c>
      <c r="K483" s="22">
        <v>0.0</v>
      </c>
      <c r="L483" s="22">
        <f>+SUMIF('حركه المخزن الرئيسي اليوميه'!$F:$F,$H:$H,'حركه المخزن الرئيسي اليوميه'!$H:$H)</f>
        <v>0.0</v>
      </c>
      <c r="M483" s="22">
        <f>+SUMIF('حركه المخزن الرئيسي اليوميه'!$F:$F,$H:$H,'حركه المخزن الرئيسي اليوميه'!$I:$I)</f>
        <v>0.0</v>
      </c>
      <c r="N483" s="22">
        <f t="shared" si="28"/>
        <v>0.0</v>
      </c>
      <c r="O483" s="22">
        <f t="shared" si="29"/>
        <v>0.0</v>
      </c>
      <c r="P483" s="22">
        <f t="shared" si="30"/>
        <v>0.0</v>
      </c>
      <c r="Q483" s="57"/>
      <c r="R483" s="58"/>
    </row>
    <row r="484" spans="8:8">
      <c r="B484" s="8">
        <v>475.0</v>
      </c>
      <c r="C484" s="8" t="s">
        <v>766</v>
      </c>
      <c r="D484" s="8"/>
      <c r="E484" s="8"/>
      <c r="F484" s="8"/>
      <c r="G484" s="8"/>
      <c r="H484" s="8"/>
      <c r="I484" s="55"/>
      <c r="J484" s="60" t="s">
        <v>7370</v>
      </c>
      <c r="K484" s="22">
        <v>0.0</v>
      </c>
      <c r="L484" s="22">
        <f>+SUMIF('حركه المخزن الرئيسي اليوميه'!$F:$F,$H:$H,'حركه المخزن الرئيسي اليوميه'!$H:$H)</f>
        <v>0.0</v>
      </c>
      <c r="M484" s="22">
        <f>+SUMIF('حركه المخزن الرئيسي اليوميه'!$F:$F,$H:$H,'حركه المخزن الرئيسي اليوميه'!$I:$I)</f>
        <v>0.0</v>
      </c>
      <c r="N484" s="22">
        <f t="shared" si="28"/>
        <v>0.0</v>
      </c>
      <c r="O484" s="22">
        <f t="shared" si="29"/>
        <v>0.0</v>
      </c>
      <c r="P484" s="22">
        <f t="shared" si="30"/>
        <v>0.0</v>
      </c>
      <c r="Q484" s="57"/>
      <c r="R484" s="58"/>
    </row>
    <row r="485" spans="8:8">
      <c r="B485" s="8">
        <v>476.0</v>
      </c>
      <c r="C485" s="8" t="s">
        <v>766</v>
      </c>
      <c r="D485" s="8"/>
      <c r="E485" s="8"/>
      <c r="F485" s="8"/>
      <c r="G485" s="8"/>
      <c r="H485" s="8"/>
      <c r="I485" s="55"/>
      <c r="J485" s="60" t="s">
        <v>7371</v>
      </c>
      <c r="K485" s="22">
        <v>0.0</v>
      </c>
      <c r="L485" s="22">
        <f>+SUMIF('حركه المخزن الرئيسي اليوميه'!$F:$F,$H:$H,'حركه المخزن الرئيسي اليوميه'!$H:$H)</f>
        <v>0.0</v>
      </c>
      <c r="M485" s="22">
        <f>+SUMIF('حركه المخزن الرئيسي اليوميه'!$F:$F,$H:$H,'حركه المخزن الرئيسي اليوميه'!$I:$I)</f>
        <v>0.0</v>
      </c>
      <c r="N485" s="22">
        <f t="shared" si="28"/>
        <v>0.0</v>
      </c>
      <c r="O485" s="22">
        <f t="shared" si="29"/>
        <v>0.0</v>
      </c>
      <c r="P485" s="22">
        <f t="shared" si="30"/>
        <v>0.0</v>
      </c>
      <c r="Q485" s="57"/>
      <c r="R485" s="58"/>
    </row>
    <row r="486" spans="8:8">
      <c r="B486" s="8">
        <v>477.0</v>
      </c>
      <c r="C486" s="8" t="s">
        <v>766</v>
      </c>
      <c r="D486" s="8"/>
      <c r="E486" s="8"/>
      <c r="F486" s="8"/>
      <c r="G486" s="8"/>
      <c r="H486" s="8"/>
      <c r="I486" s="55"/>
      <c r="J486" s="60" t="s">
        <v>7372</v>
      </c>
      <c r="K486" s="22">
        <v>0.0</v>
      </c>
      <c r="L486" s="22">
        <f>+SUMIF('حركه المخزن الرئيسي اليوميه'!$F:$F,$H:$H,'حركه المخزن الرئيسي اليوميه'!$H:$H)</f>
        <v>0.0</v>
      </c>
      <c r="M486" s="22">
        <f>+SUMIF('حركه المخزن الرئيسي اليوميه'!$F:$F,$H:$H,'حركه المخزن الرئيسي اليوميه'!$I:$I)</f>
        <v>0.0</v>
      </c>
      <c r="N486" s="22">
        <f t="shared" si="28"/>
        <v>0.0</v>
      </c>
      <c r="O486" s="22">
        <f t="shared" si="29"/>
        <v>0.0</v>
      </c>
      <c r="P486" s="22">
        <f t="shared" si="30"/>
        <v>0.0</v>
      </c>
      <c r="Q486" s="57"/>
      <c r="R486" s="58"/>
    </row>
    <row r="487" spans="8:8">
      <c r="B487" s="8">
        <v>478.0</v>
      </c>
      <c r="C487" s="8" t="s">
        <v>766</v>
      </c>
      <c r="D487" s="8"/>
      <c r="E487" s="8"/>
      <c r="F487" s="8"/>
      <c r="G487" s="8"/>
      <c r="H487" s="8"/>
      <c r="I487" s="55"/>
      <c r="J487" s="60" t="s">
        <v>7373</v>
      </c>
      <c r="K487" s="22">
        <v>0.0</v>
      </c>
      <c r="L487" s="22">
        <f>+SUMIF('حركه المخزن الرئيسي اليوميه'!$F:$F,$H:$H,'حركه المخزن الرئيسي اليوميه'!$H:$H)</f>
        <v>0.0</v>
      </c>
      <c r="M487" s="22">
        <f>+SUMIF('حركه المخزن الرئيسي اليوميه'!$F:$F,$H:$H,'حركه المخزن الرئيسي اليوميه'!$I:$I)</f>
        <v>0.0</v>
      </c>
      <c r="N487" s="22">
        <f t="shared" si="28"/>
        <v>0.0</v>
      </c>
      <c r="O487" s="22">
        <f t="shared" si="29"/>
        <v>0.0</v>
      </c>
      <c r="P487" s="22">
        <f t="shared" si="30"/>
        <v>0.0</v>
      </c>
      <c r="Q487" s="57"/>
      <c r="R487" s="58"/>
    </row>
    <row r="488" spans="8:8">
      <c r="B488" s="8">
        <v>479.0</v>
      </c>
      <c r="C488" s="8" t="s">
        <v>766</v>
      </c>
      <c r="D488" s="8"/>
      <c r="E488" s="8"/>
      <c r="F488" s="8"/>
      <c r="G488" s="8"/>
      <c r="H488" s="8"/>
      <c r="I488" s="55"/>
      <c r="J488" s="60" t="s">
        <v>7374</v>
      </c>
      <c r="K488" s="22">
        <v>0.0</v>
      </c>
      <c r="L488" s="22">
        <f>+SUMIF('حركه المخزن الرئيسي اليوميه'!$F:$F,$H:$H,'حركه المخزن الرئيسي اليوميه'!$H:$H)</f>
        <v>0.0</v>
      </c>
      <c r="M488" s="22">
        <f>+SUMIF('حركه المخزن الرئيسي اليوميه'!$F:$F,$H:$H,'حركه المخزن الرئيسي اليوميه'!$I:$I)</f>
        <v>0.0</v>
      </c>
      <c r="N488" s="22">
        <f t="shared" si="28"/>
        <v>0.0</v>
      </c>
      <c r="O488" s="22">
        <f t="shared" si="29"/>
        <v>0.0</v>
      </c>
      <c r="P488" s="22">
        <f t="shared" si="30"/>
        <v>0.0</v>
      </c>
      <c r="Q488" s="57"/>
      <c r="R488" s="58"/>
    </row>
    <row r="489" spans="8:8">
      <c r="B489" s="8">
        <v>480.0</v>
      </c>
      <c r="C489" s="8" t="s">
        <v>766</v>
      </c>
      <c r="D489" s="8"/>
      <c r="E489" s="8"/>
      <c r="F489" s="8"/>
      <c r="G489" s="8"/>
      <c r="H489" s="8"/>
      <c r="I489" s="55"/>
      <c r="J489" s="60" t="s">
        <v>7375</v>
      </c>
      <c r="K489" s="22">
        <v>0.0</v>
      </c>
      <c r="L489" s="22">
        <f>+SUMIF('حركه المخزن الرئيسي اليوميه'!$F:$F,$H:$H,'حركه المخزن الرئيسي اليوميه'!$H:$H)</f>
        <v>0.0</v>
      </c>
      <c r="M489" s="22">
        <f>+SUMIF('حركه المخزن الرئيسي اليوميه'!$F:$F,$H:$H,'حركه المخزن الرئيسي اليوميه'!$I:$I)</f>
        <v>0.0</v>
      </c>
      <c r="N489" s="22">
        <f t="shared" si="28"/>
        <v>0.0</v>
      </c>
      <c r="O489" s="22">
        <f t="shared" si="29"/>
        <v>0.0</v>
      </c>
      <c r="P489" s="22">
        <f t="shared" si="30"/>
        <v>0.0</v>
      </c>
      <c r="Q489" s="57"/>
      <c r="R489" s="58"/>
    </row>
    <row r="490" spans="8:8">
      <c r="B490" s="8">
        <v>481.0</v>
      </c>
      <c r="C490" s="8" t="s">
        <v>766</v>
      </c>
      <c r="D490" s="8"/>
      <c r="E490" s="8"/>
      <c r="F490" s="8"/>
      <c r="G490" s="8"/>
      <c r="H490" s="8"/>
      <c r="I490" s="55"/>
      <c r="J490" s="60" t="s">
        <v>7376</v>
      </c>
      <c r="K490" s="22">
        <v>0.0</v>
      </c>
      <c r="L490" s="22">
        <f>+SUMIF('حركه المخزن الرئيسي اليوميه'!$F:$F,$H:$H,'حركه المخزن الرئيسي اليوميه'!$H:$H)</f>
        <v>0.0</v>
      </c>
      <c r="M490" s="22">
        <f>+SUMIF('حركه المخزن الرئيسي اليوميه'!$F:$F,$H:$H,'حركه المخزن الرئيسي اليوميه'!$I:$I)</f>
        <v>0.0</v>
      </c>
      <c r="N490" s="22">
        <f t="shared" si="28"/>
        <v>0.0</v>
      </c>
      <c r="O490" s="22">
        <f t="shared" si="29"/>
        <v>0.0</v>
      </c>
      <c r="P490" s="22">
        <f t="shared" si="30"/>
        <v>0.0</v>
      </c>
      <c r="Q490" s="57"/>
      <c r="R490" s="58"/>
    </row>
    <row r="491" spans="8:8">
      <c r="B491" s="8">
        <v>482.0</v>
      </c>
      <c r="C491" s="8" t="s">
        <v>766</v>
      </c>
      <c r="D491" s="8"/>
      <c r="E491" s="8"/>
      <c r="F491" s="8"/>
      <c r="G491" s="8"/>
      <c r="H491" s="8"/>
      <c r="I491" s="55"/>
      <c r="J491" s="60" t="s">
        <v>7377</v>
      </c>
      <c r="K491" s="22">
        <v>0.0</v>
      </c>
      <c r="L491" s="22">
        <f>+SUMIF('حركه المخزن الرئيسي اليوميه'!$F:$F,$H:$H,'حركه المخزن الرئيسي اليوميه'!$H:$H)</f>
        <v>0.0</v>
      </c>
      <c r="M491" s="22">
        <f>+SUMIF('حركه المخزن الرئيسي اليوميه'!$F:$F,$H:$H,'حركه المخزن الرئيسي اليوميه'!$I:$I)</f>
        <v>0.0</v>
      </c>
      <c r="N491" s="22">
        <f t="shared" si="28"/>
        <v>0.0</v>
      </c>
      <c r="O491" s="22">
        <f t="shared" si="29"/>
        <v>0.0</v>
      </c>
      <c r="P491" s="22">
        <f t="shared" si="30"/>
        <v>0.0</v>
      </c>
      <c r="Q491" s="57"/>
      <c r="R491" s="58"/>
    </row>
    <row r="492" spans="8:8">
      <c r="B492" s="8">
        <v>483.0</v>
      </c>
      <c r="C492" s="8" t="s">
        <v>766</v>
      </c>
      <c r="D492" s="8"/>
      <c r="E492" s="8"/>
      <c r="F492" s="8"/>
      <c r="G492" s="8"/>
      <c r="H492" s="8"/>
      <c r="I492" s="55"/>
      <c r="J492" s="60" t="s">
        <v>7378</v>
      </c>
      <c r="K492" s="22">
        <v>0.0</v>
      </c>
      <c r="L492" s="22">
        <f>+SUMIF('حركه المخزن الرئيسي اليوميه'!$F:$F,$H:$H,'حركه المخزن الرئيسي اليوميه'!$H:$H)</f>
        <v>0.0</v>
      </c>
      <c r="M492" s="22">
        <f>+SUMIF('حركه المخزن الرئيسي اليوميه'!$F:$F,$H:$H,'حركه المخزن الرئيسي اليوميه'!$I:$I)</f>
        <v>0.0</v>
      </c>
      <c r="N492" s="22">
        <f t="shared" si="28"/>
        <v>0.0</v>
      </c>
      <c r="O492" s="22">
        <f t="shared" si="29"/>
        <v>0.0</v>
      </c>
      <c r="P492" s="22">
        <f t="shared" si="30"/>
        <v>0.0</v>
      </c>
      <c r="Q492" s="57"/>
      <c r="R492" s="58"/>
    </row>
    <row r="493" spans="8:8">
      <c r="B493" s="8">
        <v>484.0</v>
      </c>
      <c r="C493" s="8" t="s">
        <v>766</v>
      </c>
      <c r="D493" s="8"/>
      <c r="E493" s="8"/>
      <c r="F493" s="8"/>
      <c r="G493" s="8"/>
      <c r="H493" s="8"/>
      <c r="I493" s="55"/>
      <c r="J493" s="60" t="s">
        <v>7379</v>
      </c>
      <c r="K493" s="22">
        <v>0.0</v>
      </c>
      <c r="L493" s="22">
        <f>+SUMIF('حركه المخزن الرئيسي اليوميه'!$F:$F,$H:$H,'حركه المخزن الرئيسي اليوميه'!$H:$H)</f>
        <v>0.0</v>
      </c>
      <c r="M493" s="22">
        <f>+SUMIF('حركه المخزن الرئيسي اليوميه'!$F:$F,$H:$H,'حركه المخزن الرئيسي اليوميه'!$I:$I)</f>
        <v>0.0</v>
      </c>
      <c r="N493" s="22">
        <f t="shared" si="28"/>
        <v>0.0</v>
      </c>
      <c r="O493" s="22">
        <f t="shared" si="29"/>
        <v>0.0</v>
      </c>
      <c r="P493" s="22">
        <f t="shared" si="30"/>
        <v>0.0</v>
      </c>
      <c r="Q493" s="57"/>
      <c r="R493" s="58"/>
    </row>
    <row r="494" spans="8:8">
      <c r="B494" s="8">
        <v>485.0</v>
      </c>
      <c r="C494" s="8" t="s">
        <v>766</v>
      </c>
      <c r="D494" s="8"/>
      <c r="E494" s="8"/>
      <c r="F494" s="8"/>
      <c r="G494" s="8"/>
      <c r="H494" s="8"/>
      <c r="I494" s="55"/>
      <c r="J494" s="60" t="s">
        <v>7380</v>
      </c>
      <c r="K494" s="22">
        <v>0.0</v>
      </c>
      <c r="L494" s="22">
        <f>+SUMIF('حركه المخزن الرئيسي اليوميه'!$F:$F,$H:$H,'حركه المخزن الرئيسي اليوميه'!$H:$H)</f>
        <v>0.0</v>
      </c>
      <c r="M494" s="22">
        <f>+SUMIF('حركه المخزن الرئيسي اليوميه'!$F:$F,$H:$H,'حركه المخزن الرئيسي اليوميه'!$I:$I)</f>
        <v>0.0</v>
      </c>
      <c r="N494" s="22">
        <f t="shared" si="28"/>
        <v>0.0</v>
      </c>
      <c r="O494" s="22">
        <f t="shared" si="29"/>
        <v>0.0</v>
      </c>
      <c r="P494" s="22">
        <f t="shared" si="30"/>
        <v>0.0</v>
      </c>
      <c r="Q494" s="57"/>
      <c r="R494" s="58"/>
    </row>
    <row r="495" spans="8:8">
      <c r="B495" s="8">
        <v>486.0</v>
      </c>
      <c r="C495" s="8" t="s">
        <v>766</v>
      </c>
      <c r="D495" s="8"/>
      <c r="E495" s="8"/>
      <c r="F495" s="8"/>
      <c r="G495" s="8"/>
      <c r="H495" s="8"/>
      <c r="I495" s="55"/>
      <c r="J495" s="60" t="s">
        <v>7381</v>
      </c>
      <c r="K495" s="22">
        <v>0.0</v>
      </c>
      <c r="L495" s="22">
        <f>+SUMIF('حركه المخزن الرئيسي اليوميه'!$F:$F,$H:$H,'حركه المخزن الرئيسي اليوميه'!$H:$H)</f>
        <v>0.0</v>
      </c>
      <c r="M495" s="22">
        <f>+SUMIF('حركه المخزن الرئيسي اليوميه'!$F:$F,$H:$H,'حركه المخزن الرئيسي اليوميه'!$I:$I)</f>
        <v>0.0</v>
      </c>
      <c r="N495" s="22">
        <f t="shared" si="28"/>
        <v>0.0</v>
      </c>
      <c r="O495" s="22">
        <f t="shared" si="29"/>
        <v>0.0</v>
      </c>
      <c r="P495" s="22">
        <f t="shared" si="30"/>
        <v>0.0</v>
      </c>
      <c r="Q495" s="57"/>
      <c r="R495" s="58"/>
    </row>
    <row r="496" spans="8:8">
      <c r="B496" s="8">
        <v>487.0</v>
      </c>
      <c r="C496" s="8" t="s">
        <v>766</v>
      </c>
      <c r="D496" s="8"/>
      <c r="E496" s="8"/>
      <c r="F496" s="8"/>
      <c r="G496" s="8"/>
      <c r="H496" s="8"/>
      <c r="I496" s="55"/>
      <c r="J496" s="60" t="s">
        <v>7382</v>
      </c>
      <c r="K496" s="22">
        <v>0.0</v>
      </c>
      <c r="L496" s="22">
        <f>+SUMIF('حركه المخزن الرئيسي اليوميه'!$F:$F,$H:$H,'حركه المخزن الرئيسي اليوميه'!$H:$H)</f>
        <v>0.0</v>
      </c>
      <c r="M496" s="22">
        <f>+SUMIF('حركه المخزن الرئيسي اليوميه'!$F:$F,$H:$H,'حركه المخزن الرئيسي اليوميه'!$I:$I)</f>
        <v>0.0</v>
      </c>
      <c r="N496" s="22">
        <f t="shared" si="28"/>
        <v>0.0</v>
      </c>
      <c r="O496" s="22">
        <f t="shared" si="29"/>
        <v>0.0</v>
      </c>
      <c r="P496" s="22">
        <f t="shared" si="30"/>
        <v>0.0</v>
      </c>
      <c r="Q496" s="57"/>
      <c r="R496" s="58"/>
    </row>
    <row r="497" spans="8:8">
      <c r="B497" s="8">
        <v>488.0</v>
      </c>
      <c r="C497" s="8" t="s">
        <v>766</v>
      </c>
      <c r="D497" s="8"/>
      <c r="E497" s="8"/>
      <c r="F497" s="8"/>
      <c r="G497" s="8"/>
      <c r="H497" s="8"/>
      <c r="I497" s="55"/>
      <c r="J497" s="60" t="s">
        <v>7383</v>
      </c>
      <c r="K497" s="22">
        <v>0.0</v>
      </c>
      <c r="L497" s="22">
        <f>+SUMIF('حركه المخزن الرئيسي اليوميه'!$F:$F,$H:$H,'حركه المخزن الرئيسي اليوميه'!$H:$H)</f>
        <v>0.0</v>
      </c>
      <c r="M497" s="22">
        <f>+SUMIF('حركه المخزن الرئيسي اليوميه'!$F:$F,$H:$H,'حركه المخزن الرئيسي اليوميه'!$I:$I)</f>
        <v>0.0</v>
      </c>
      <c r="N497" s="22">
        <f t="shared" si="28"/>
        <v>0.0</v>
      </c>
      <c r="O497" s="22">
        <f t="shared" si="29"/>
        <v>0.0</v>
      </c>
      <c r="P497" s="22">
        <f t="shared" si="30"/>
        <v>0.0</v>
      </c>
      <c r="Q497" s="57"/>
      <c r="R497" s="58"/>
    </row>
    <row r="498" spans="8:8">
      <c r="B498" s="8">
        <v>489.0</v>
      </c>
      <c r="C498" s="8" t="s">
        <v>766</v>
      </c>
      <c r="D498" s="8"/>
      <c r="E498" s="8"/>
      <c r="F498" s="8"/>
      <c r="G498" s="8"/>
      <c r="H498" s="8"/>
      <c r="I498" s="55"/>
      <c r="J498" s="60" t="s">
        <v>7384</v>
      </c>
      <c r="K498" s="22">
        <v>0.0</v>
      </c>
      <c r="L498" s="22">
        <f>+SUMIF('حركه المخزن الرئيسي اليوميه'!$F:$F,$H:$H,'حركه المخزن الرئيسي اليوميه'!$H:$H)</f>
        <v>0.0</v>
      </c>
      <c r="M498" s="22">
        <f>+SUMIF('حركه المخزن الرئيسي اليوميه'!$F:$F,$H:$H,'حركه المخزن الرئيسي اليوميه'!$I:$I)</f>
        <v>0.0</v>
      </c>
      <c r="N498" s="22">
        <f t="shared" si="28"/>
        <v>0.0</v>
      </c>
      <c r="O498" s="22">
        <f t="shared" si="29"/>
        <v>0.0</v>
      </c>
      <c r="P498" s="22">
        <f t="shared" si="30"/>
        <v>0.0</v>
      </c>
      <c r="Q498" s="57"/>
      <c r="R498" s="58"/>
    </row>
    <row r="499" spans="8:8">
      <c r="B499" s="8">
        <v>490.0</v>
      </c>
      <c r="C499" s="8" t="s">
        <v>766</v>
      </c>
      <c r="D499" s="8"/>
      <c r="E499" s="8"/>
      <c r="F499" s="8"/>
      <c r="G499" s="8"/>
      <c r="H499" s="8"/>
      <c r="I499" s="55"/>
      <c r="J499" s="60" t="s">
        <v>7385</v>
      </c>
      <c r="K499" s="22">
        <v>0.0</v>
      </c>
      <c r="L499" s="22">
        <f>+SUMIF('حركه المخزن الرئيسي اليوميه'!$F:$F,$H:$H,'حركه المخزن الرئيسي اليوميه'!$H:$H)</f>
        <v>0.0</v>
      </c>
      <c r="M499" s="22">
        <f>+SUMIF('حركه المخزن الرئيسي اليوميه'!$F:$F,$H:$H,'حركه المخزن الرئيسي اليوميه'!$I:$I)</f>
        <v>0.0</v>
      </c>
      <c r="N499" s="22">
        <f t="shared" si="28"/>
        <v>0.0</v>
      </c>
      <c r="O499" s="22">
        <f t="shared" si="29"/>
        <v>0.0</v>
      </c>
      <c r="P499" s="22">
        <f t="shared" si="30"/>
        <v>0.0</v>
      </c>
      <c r="Q499" s="57"/>
      <c r="R499" s="58"/>
    </row>
    <row r="500" spans="8:8">
      <c r="B500" s="8">
        <v>491.0</v>
      </c>
      <c r="C500" s="8" t="s">
        <v>766</v>
      </c>
      <c r="D500" s="8"/>
      <c r="E500" s="8"/>
      <c r="F500" s="8"/>
      <c r="G500" s="8"/>
      <c r="H500" s="8"/>
      <c r="I500" s="55"/>
      <c r="J500" s="60" t="s">
        <v>7386</v>
      </c>
      <c r="K500" s="22">
        <v>0.0</v>
      </c>
      <c r="L500" s="22">
        <f>+SUMIF('حركه المخزن الرئيسي اليوميه'!$F:$F,$H:$H,'حركه المخزن الرئيسي اليوميه'!$H:$H)</f>
        <v>0.0</v>
      </c>
      <c r="M500" s="22">
        <f>+SUMIF('حركه المخزن الرئيسي اليوميه'!$F:$F,$H:$H,'حركه المخزن الرئيسي اليوميه'!$I:$I)</f>
        <v>0.0</v>
      </c>
      <c r="N500" s="22">
        <f t="shared" si="28"/>
        <v>0.0</v>
      </c>
      <c r="O500" s="22">
        <f t="shared" si="29"/>
        <v>0.0</v>
      </c>
      <c r="P500" s="22">
        <f t="shared" si="30"/>
        <v>0.0</v>
      </c>
      <c r="Q500" s="57"/>
      <c r="R500" s="58"/>
    </row>
    <row r="501" spans="8:8">
      <c r="B501" s="8">
        <v>492.0</v>
      </c>
      <c r="C501" s="8" t="s">
        <v>766</v>
      </c>
      <c r="D501" s="8"/>
      <c r="E501" s="8"/>
      <c r="F501" s="8"/>
      <c r="G501" s="8"/>
      <c r="H501" s="8"/>
      <c r="I501" s="55"/>
      <c r="J501" s="60" t="s">
        <v>7387</v>
      </c>
      <c r="K501" s="22">
        <v>0.0</v>
      </c>
      <c r="L501" s="22">
        <f>+SUMIF('حركه المخزن الرئيسي اليوميه'!$F:$F,$H:$H,'حركه المخزن الرئيسي اليوميه'!$H:$H)</f>
        <v>0.0</v>
      </c>
      <c r="M501" s="22">
        <f>+SUMIF('حركه المخزن الرئيسي اليوميه'!$F:$F,$H:$H,'حركه المخزن الرئيسي اليوميه'!$I:$I)</f>
        <v>0.0</v>
      </c>
      <c r="N501" s="22">
        <f t="shared" si="28"/>
        <v>0.0</v>
      </c>
      <c r="O501" s="22">
        <f t="shared" si="29"/>
        <v>0.0</v>
      </c>
      <c r="P501" s="22">
        <f t="shared" si="30"/>
        <v>0.0</v>
      </c>
      <c r="Q501" s="57"/>
      <c r="R501" s="58"/>
    </row>
    <row r="502" spans="8:8">
      <c r="B502" s="8">
        <v>493.0</v>
      </c>
      <c r="C502" s="8" t="s">
        <v>766</v>
      </c>
      <c r="D502" s="8"/>
      <c r="E502" s="8"/>
      <c r="F502" s="8"/>
      <c r="G502" s="8"/>
      <c r="H502" s="8"/>
      <c r="I502" s="55"/>
      <c r="J502" s="60" t="s">
        <v>7388</v>
      </c>
      <c r="K502" s="22">
        <v>0.0</v>
      </c>
      <c r="L502" s="22">
        <f>+SUMIF('حركه المخزن الرئيسي اليوميه'!$F:$F,$H:$H,'حركه المخزن الرئيسي اليوميه'!$H:$H)</f>
        <v>0.0</v>
      </c>
      <c r="M502" s="22">
        <f>+SUMIF('حركه المخزن الرئيسي اليوميه'!$F:$F,$H:$H,'حركه المخزن الرئيسي اليوميه'!$I:$I)</f>
        <v>0.0</v>
      </c>
      <c r="N502" s="22">
        <f t="shared" si="28"/>
        <v>0.0</v>
      </c>
      <c r="O502" s="22">
        <f t="shared" si="29"/>
        <v>0.0</v>
      </c>
      <c r="P502" s="22">
        <f t="shared" si="30"/>
        <v>0.0</v>
      </c>
      <c r="Q502" s="57"/>
      <c r="R502" s="58"/>
    </row>
    <row r="503" spans="8:8">
      <c r="B503" s="8">
        <v>494.0</v>
      </c>
      <c r="C503" s="8" t="s">
        <v>766</v>
      </c>
      <c r="D503" s="8"/>
      <c r="E503" s="8"/>
      <c r="F503" s="8"/>
      <c r="G503" s="8"/>
      <c r="H503" s="8"/>
      <c r="I503" s="55"/>
      <c r="J503" s="60" t="s">
        <v>7389</v>
      </c>
      <c r="K503" s="22">
        <v>0.0</v>
      </c>
      <c r="L503" s="22">
        <f>+SUMIF('حركه المخزن الرئيسي اليوميه'!$F:$F,$H:$H,'حركه المخزن الرئيسي اليوميه'!$H:$H)</f>
        <v>0.0</v>
      </c>
      <c r="M503" s="22">
        <f>+SUMIF('حركه المخزن الرئيسي اليوميه'!$F:$F,$H:$H,'حركه المخزن الرئيسي اليوميه'!$I:$I)</f>
        <v>0.0</v>
      </c>
      <c r="N503" s="22">
        <f t="shared" si="28"/>
        <v>0.0</v>
      </c>
      <c r="O503" s="22">
        <f t="shared" si="29"/>
        <v>0.0</v>
      </c>
      <c r="P503" s="22">
        <f t="shared" si="30"/>
        <v>0.0</v>
      </c>
      <c r="Q503" s="57"/>
      <c r="R503" s="58"/>
    </row>
    <row r="504" spans="8:8">
      <c r="B504" s="8">
        <v>495.0</v>
      </c>
      <c r="C504" s="8" t="s">
        <v>766</v>
      </c>
      <c r="D504" s="8"/>
      <c r="E504" s="8"/>
      <c r="F504" s="8"/>
      <c r="G504" s="8"/>
      <c r="H504" s="8"/>
      <c r="I504" s="55"/>
      <c r="J504" s="60" t="s">
        <v>7390</v>
      </c>
      <c r="K504" s="22">
        <v>0.0</v>
      </c>
      <c r="L504" s="22">
        <f>+SUMIF('حركه المخزن الرئيسي اليوميه'!$F:$F,$H:$H,'حركه المخزن الرئيسي اليوميه'!$H:$H)</f>
        <v>0.0</v>
      </c>
      <c r="M504" s="22">
        <f>+SUMIF('حركه المخزن الرئيسي اليوميه'!$F:$F,$H:$H,'حركه المخزن الرئيسي اليوميه'!$I:$I)</f>
        <v>0.0</v>
      </c>
      <c r="N504" s="22">
        <f t="shared" si="28"/>
        <v>0.0</v>
      </c>
      <c r="O504" s="22">
        <f t="shared" si="29"/>
        <v>0.0</v>
      </c>
      <c r="P504" s="22">
        <f t="shared" si="30"/>
        <v>0.0</v>
      </c>
      <c r="Q504" s="57"/>
      <c r="R504" s="58"/>
    </row>
    <row r="505" spans="8:8">
      <c r="B505" s="8">
        <v>496.0</v>
      </c>
      <c r="C505" s="8" t="s">
        <v>766</v>
      </c>
      <c r="D505" s="8"/>
      <c r="E505" s="8"/>
      <c r="F505" s="8"/>
      <c r="G505" s="8"/>
      <c r="H505" s="8"/>
      <c r="I505" s="55"/>
      <c r="J505" s="60" t="s">
        <v>7391</v>
      </c>
      <c r="K505" s="22">
        <v>0.0</v>
      </c>
      <c r="L505" s="22">
        <f>+SUMIF('حركه المخزن الرئيسي اليوميه'!$F:$F,$H:$H,'حركه المخزن الرئيسي اليوميه'!$H:$H)</f>
        <v>0.0</v>
      </c>
      <c r="M505" s="22">
        <f>+SUMIF('حركه المخزن الرئيسي اليوميه'!$F:$F,$H:$H,'حركه المخزن الرئيسي اليوميه'!$I:$I)</f>
        <v>0.0</v>
      </c>
      <c r="N505" s="22">
        <f t="shared" si="28"/>
        <v>0.0</v>
      </c>
      <c r="O505" s="22">
        <f t="shared" si="29"/>
        <v>0.0</v>
      </c>
      <c r="P505" s="22">
        <f t="shared" si="30"/>
        <v>0.0</v>
      </c>
      <c r="Q505" s="57"/>
      <c r="R505" s="58"/>
    </row>
    <row r="506" spans="8:8">
      <c r="B506" s="8">
        <v>497.0</v>
      </c>
      <c r="C506" s="8" t="s">
        <v>766</v>
      </c>
      <c r="D506" s="8"/>
      <c r="E506" s="8"/>
      <c r="F506" s="8"/>
      <c r="G506" s="8"/>
      <c r="H506" s="8"/>
      <c r="I506" s="55"/>
      <c r="J506" s="60" t="s">
        <v>7392</v>
      </c>
      <c r="K506" s="22">
        <v>0.0</v>
      </c>
      <c r="L506" s="22">
        <f>+SUMIF('حركه المخزن الرئيسي اليوميه'!$F:$F,$H:$H,'حركه المخزن الرئيسي اليوميه'!$H:$H)</f>
        <v>0.0</v>
      </c>
      <c r="M506" s="22">
        <f>+SUMIF('حركه المخزن الرئيسي اليوميه'!$F:$F,$H:$H,'حركه المخزن الرئيسي اليوميه'!$I:$I)</f>
        <v>0.0</v>
      </c>
      <c r="N506" s="22">
        <f t="shared" si="28"/>
        <v>0.0</v>
      </c>
      <c r="O506" s="22">
        <f t="shared" si="29"/>
        <v>0.0</v>
      </c>
      <c r="P506" s="22">
        <f t="shared" si="30"/>
        <v>0.0</v>
      </c>
      <c r="Q506" s="57"/>
      <c r="R506" s="58"/>
    </row>
    <row r="507" spans="8:8">
      <c r="B507" s="8">
        <v>498.0</v>
      </c>
      <c r="C507" s="8" t="s">
        <v>766</v>
      </c>
      <c r="D507" s="8"/>
      <c r="E507" s="8"/>
      <c r="F507" s="8"/>
      <c r="G507" s="8"/>
      <c r="H507" s="8"/>
      <c r="I507" s="55"/>
      <c r="J507" s="60" t="s">
        <v>7393</v>
      </c>
      <c r="K507" s="22">
        <v>0.0</v>
      </c>
      <c r="L507" s="22">
        <f>+SUMIF('حركه المخزن الرئيسي اليوميه'!$F:$F,$H:$H,'حركه المخزن الرئيسي اليوميه'!$H:$H)</f>
        <v>0.0</v>
      </c>
      <c r="M507" s="22">
        <f>+SUMIF('حركه المخزن الرئيسي اليوميه'!$F:$F,$H:$H,'حركه المخزن الرئيسي اليوميه'!$I:$I)</f>
        <v>0.0</v>
      </c>
      <c r="N507" s="22">
        <f t="shared" si="28"/>
        <v>0.0</v>
      </c>
      <c r="O507" s="22">
        <f t="shared" si="29"/>
        <v>0.0</v>
      </c>
      <c r="P507" s="22">
        <f t="shared" si="30"/>
        <v>0.0</v>
      </c>
      <c r="Q507" s="57"/>
      <c r="R507" s="58"/>
    </row>
    <row r="508" spans="8:8">
      <c r="B508" s="8">
        <v>499.0</v>
      </c>
      <c r="C508" s="8" t="s">
        <v>766</v>
      </c>
      <c r="D508" s="8"/>
      <c r="E508" s="8"/>
      <c r="F508" s="8"/>
      <c r="G508" s="8"/>
      <c r="H508" s="8"/>
      <c r="I508" s="55"/>
      <c r="J508" s="60" t="s">
        <v>7394</v>
      </c>
      <c r="K508" s="22">
        <v>0.0</v>
      </c>
      <c r="L508" s="22">
        <f>+SUMIF('حركه المخزن الرئيسي اليوميه'!$F:$F,$H:$H,'حركه المخزن الرئيسي اليوميه'!$H:$H)</f>
        <v>0.0</v>
      </c>
      <c r="M508" s="22">
        <f>+SUMIF('حركه المخزن الرئيسي اليوميه'!$F:$F,$H:$H,'حركه المخزن الرئيسي اليوميه'!$I:$I)</f>
        <v>0.0</v>
      </c>
      <c r="N508" s="22">
        <f t="shared" si="28"/>
        <v>0.0</v>
      </c>
      <c r="O508" s="22">
        <f t="shared" si="29"/>
        <v>0.0</v>
      </c>
      <c r="P508" s="22">
        <f t="shared" si="30"/>
        <v>0.0</v>
      </c>
      <c r="Q508" s="57"/>
      <c r="R508" s="58"/>
    </row>
    <row r="509" spans="8:8">
      <c r="B509" s="8">
        <v>500.0</v>
      </c>
      <c r="C509" s="8" t="s">
        <v>766</v>
      </c>
      <c r="D509" s="8"/>
      <c r="E509" s="8"/>
      <c r="F509" s="8"/>
      <c r="G509" s="8"/>
      <c r="H509" s="8"/>
      <c r="I509" s="55"/>
      <c r="J509" s="60" t="s">
        <v>7395</v>
      </c>
      <c r="K509" s="22">
        <v>0.0</v>
      </c>
      <c r="L509" s="22">
        <f>+SUMIF('حركه المخزن الرئيسي اليوميه'!$F:$F,$H:$H,'حركه المخزن الرئيسي اليوميه'!$H:$H)</f>
        <v>0.0</v>
      </c>
      <c r="M509" s="22">
        <f>+SUMIF('حركه المخزن الرئيسي اليوميه'!$F:$F,$H:$H,'حركه المخزن الرئيسي اليوميه'!$I:$I)</f>
        <v>0.0</v>
      </c>
      <c r="N509" s="22">
        <f t="shared" si="28"/>
        <v>0.0</v>
      </c>
      <c r="O509" s="22">
        <f t="shared" si="29"/>
        <v>0.0</v>
      </c>
      <c r="P509" s="22">
        <f t="shared" si="30"/>
        <v>0.0</v>
      </c>
      <c r="Q509" s="57"/>
      <c r="R509" s="58"/>
    </row>
    <row r="510" spans="8:8">
      <c r="B510" s="8">
        <v>501.0</v>
      </c>
      <c r="C510" s="8" t="s">
        <v>766</v>
      </c>
      <c r="D510" s="8"/>
      <c r="E510" s="8"/>
      <c r="F510" s="8"/>
      <c r="G510" s="8"/>
      <c r="H510" s="8"/>
      <c r="I510" s="55"/>
      <c r="J510" s="60" t="s">
        <v>7396</v>
      </c>
      <c r="K510" s="22">
        <v>0.0</v>
      </c>
      <c r="L510" s="22">
        <f>+SUMIF('حركه المخزن الرئيسي اليوميه'!$F:$F,$H:$H,'حركه المخزن الرئيسي اليوميه'!$H:$H)</f>
        <v>0.0</v>
      </c>
      <c r="M510" s="22">
        <f>+SUMIF('حركه المخزن الرئيسي اليوميه'!$F:$F,$H:$H,'حركه المخزن الرئيسي اليوميه'!$I:$I)</f>
        <v>0.0</v>
      </c>
      <c r="N510" s="22">
        <f t="shared" si="28"/>
        <v>0.0</v>
      </c>
      <c r="O510" s="22">
        <f t="shared" si="29"/>
        <v>0.0</v>
      </c>
      <c r="P510" s="22">
        <f t="shared" si="30"/>
        <v>0.0</v>
      </c>
      <c r="Q510" s="57"/>
      <c r="R510" s="58"/>
    </row>
    <row r="511" spans="8:8">
      <c r="B511" s="8">
        <v>502.0</v>
      </c>
      <c r="C511" s="8" t="s">
        <v>766</v>
      </c>
      <c r="D511" s="8"/>
      <c r="E511" s="8"/>
      <c r="F511" s="8"/>
      <c r="G511" s="8"/>
      <c r="H511" s="8"/>
      <c r="I511" s="55"/>
      <c r="J511" s="60" t="s">
        <v>7397</v>
      </c>
      <c r="K511" s="22">
        <v>0.0</v>
      </c>
      <c r="L511" s="22">
        <f>+SUMIF('حركه المخزن الرئيسي اليوميه'!$F:$F,$H:$H,'حركه المخزن الرئيسي اليوميه'!$H:$H)</f>
        <v>0.0</v>
      </c>
      <c r="M511" s="22">
        <f>+SUMIF('حركه المخزن الرئيسي اليوميه'!$F:$F,$H:$H,'حركه المخزن الرئيسي اليوميه'!$I:$I)</f>
        <v>0.0</v>
      </c>
      <c r="N511" s="22">
        <f t="shared" si="28"/>
        <v>0.0</v>
      </c>
      <c r="O511" s="22">
        <f t="shared" si="29"/>
        <v>0.0</v>
      </c>
      <c r="P511" s="22">
        <f t="shared" si="30"/>
        <v>0.0</v>
      </c>
      <c r="Q511" s="57"/>
      <c r="R511" s="58"/>
    </row>
    <row r="512" spans="8:8">
      <c r="B512" s="8">
        <v>503.0</v>
      </c>
      <c r="C512" s="8" t="s">
        <v>766</v>
      </c>
      <c r="D512" s="8"/>
      <c r="E512" s="8"/>
      <c r="F512" s="8"/>
      <c r="G512" s="8"/>
      <c r="H512" s="8"/>
      <c r="I512" s="55"/>
      <c r="J512" s="60" t="s">
        <v>7398</v>
      </c>
      <c r="K512" s="22">
        <v>0.0</v>
      </c>
      <c r="L512" s="22">
        <f>+SUMIF('حركه المخزن الرئيسي اليوميه'!$F:$F,$H:$H,'حركه المخزن الرئيسي اليوميه'!$H:$H)</f>
        <v>0.0</v>
      </c>
      <c r="M512" s="22">
        <f>+SUMIF('حركه المخزن الرئيسي اليوميه'!$F:$F,$H:$H,'حركه المخزن الرئيسي اليوميه'!$I:$I)</f>
        <v>0.0</v>
      </c>
      <c r="N512" s="22">
        <f t="shared" si="28"/>
        <v>0.0</v>
      </c>
      <c r="O512" s="22">
        <f t="shared" si="29"/>
        <v>0.0</v>
      </c>
      <c r="P512" s="22">
        <f t="shared" si="30"/>
        <v>0.0</v>
      </c>
      <c r="Q512" s="57"/>
      <c r="R512" s="58"/>
    </row>
    <row r="513" spans="8:8">
      <c r="B513" s="8">
        <v>504.0</v>
      </c>
      <c r="C513" s="8" t="s">
        <v>766</v>
      </c>
      <c r="D513" s="8"/>
      <c r="E513" s="8"/>
      <c r="F513" s="8"/>
      <c r="G513" s="8"/>
      <c r="H513" s="8"/>
      <c r="I513" s="55"/>
      <c r="J513" s="60" t="s">
        <v>7399</v>
      </c>
      <c r="K513" s="22">
        <v>0.0</v>
      </c>
      <c r="L513" s="22">
        <f>+SUMIF('حركه المخزن الرئيسي اليوميه'!$F:$F,$H:$H,'حركه المخزن الرئيسي اليوميه'!$H:$H)</f>
        <v>0.0</v>
      </c>
      <c r="M513" s="22">
        <f>+SUMIF('حركه المخزن الرئيسي اليوميه'!$F:$F,$H:$H,'حركه المخزن الرئيسي اليوميه'!$I:$I)</f>
        <v>0.0</v>
      </c>
      <c r="N513" s="22">
        <f t="shared" si="28"/>
        <v>0.0</v>
      </c>
      <c r="O513" s="22">
        <f t="shared" si="29"/>
        <v>0.0</v>
      </c>
      <c r="P513" s="22">
        <f t="shared" si="30"/>
        <v>0.0</v>
      </c>
      <c r="Q513" s="57"/>
      <c r="R513" s="58"/>
    </row>
    <row r="514" spans="8:8">
      <c r="B514" s="8">
        <v>505.0</v>
      </c>
      <c r="C514" s="8" t="s">
        <v>766</v>
      </c>
      <c r="D514" s="8"/>
      <c r="E514" s="8"/>
      <c r="F514" s="8"/>
      <c r="G514" s="8"/>
      <c r="H514" s="8"/>
      <c r="I514" s="55"/>
      <c r="J514" s="60" t="s">
        <v>7400</v>
      </c>
      <c r="K514" s="22">
        <v>0.0</v>
      </c>
      <c r="L514" s="22">
        <f>+SUMIF('حركه المخزن الرئيسي اليوميه'!$F:$F,$H:$H,'حركه المخزن الرئيسي اليوميه'!$H:$H)</f>
        <v>0.0</v>
      </c>
      <c r="M514" s="22">
        <f>+SUMIF('حركه المخزن الرئيسي اليوميه'!$F:$F,$H:$H,'حركه المخزن الرئيسي اليوميه'!$I:$I)</f>
        <v>0.0</v>
      </c>
      <c r="N514" s="22">
        <f t="shared" si="28"/>
        <v>0.0</v>
      </c>
      <c r="O514" s="22">
        <f t="shared" si="29"/>
        <v>0.0</v>
      </c>
      <c r="P514" s="22">
        <f t="shared" si="30"/>
        <v>0.0</v>
      </c>
      <c r="Q514" s="57"/>
      <c r="R514" s="58"/>
    </row>
    <row r="515" spans="8:8">
      <c r="B515" s="8">
        <v>506.0</v>
      </c>
      <c r="C515" s="8" t="s">
        <v>766</v>
      </c>
      <c r="D515" s="8"/>
      <c r="E515" s="8"/>
      <c r="F515" s="8"/>
      <c r="G515" s="8"/>
      <c r="H515" s="8"/>
      <c r="I515" s="55"/>
      <c r="J515" s="60" t="s">
        <v>7401</v>
      </c>
      <c r="K515" s="22">
        <v>0.0</v>
      </c>
      <c r="L515" s="22">
        <f>+SUMIF('حركه المخزن الرئيسي اليوميه'!$F:$F,$H:$H,'حركه المخزن الرئيسي اليوميه'!$H:$H)</f>
        <v>0.0</v>
      </c>
      <c r="M515" s="22">
        <f>+SUMIF('حركه المخزن الرئيسي اليوميه'!$F:$F,$H:$H,'حركه المخزن الرئيسي اليوميه'!$I:$I)</f>
        <v>0.0</v>
      </c>
      <c r="N515" s="22">
        <f t="shared" si="28"/>
        <v>0.0</v>
      </c>
      <c r="O515" s="22">
        <f t="shared" si="29"/>
        <v>0.0</v>
      </c>
      <c r="P515" s="22">
        <f t="shared" si="30"/>
        <v>0.0</v>
      </c>
      <c r="Q515" s="57"/>
      <c r="R515" s="58"/>
    </row>
    <row r="516" spans="8:8">
      <c r="B516" s="8">
        <v>507.0</v>
      </c>
      <c r="C516" s="8" t="s">
        <v>766</v>
      </c>
      <c r="D516" s="8"/>
      <c r="E516" s="8"/>
      <c r="F516" s="8"/>
      <c r="G516" s="8"/>
      <c r="H516" s="8"/>
      <c r="I516" s="55"/>
      <c r="J516" s="60" t="s">
        <v>7402</v>
      </c>
      <c r="K516" s="22">
        <v>0.0</v>
      </c>
      <c r="L516" s="22">
        <f>+SUMIF('حركه المخزن الرئيسي اليوميه'!$F:$F,$H:$H,'حركه المخزن الرئيسي اليوميه'!$H:$H)</f>
        <v>0.0</v>
      </c>
      <c r="M516" s="22">
        <f>+SUMIF('حركه المخزن الرئيسي اليوميه'!$F:$F,$H:$H,'حركه المخزن الرئيسي اليوميه'!$I:$I)</f>
        <v>0.0</v>
      </c>
      <c r="N516" s="22">
        <f t="shared" si="28"/>
        <v>0.0</v>
      </c>
      <c r="O516" s="22">
        <f t="shared" si="29"/>
        <v>0.0</v>
      </c>
      <c r="P516" s="22">
        <f t="shared" si="30"/>
        <v>0.0</v>
      </c>
      <c r="Q516" s="57"/>
      <c r="R516" s="58"/>
    </row>
    <row r="517" spans="8:8">
      <c r="B517" s="8">
        <v>508.0</v>
      </c>
      <c r="C517" s="8" t="s">
        <v>766</v>
      </c>
      <c r="D517" s="8"/>
      <c r="E517" s="8"/>
      <c r="F517" s="8"/>
      <c r="G517" s="8"/>
      <c r="H517" s="8"/>
      <c r="I517" s="55"/>
      <c r="J517" s="60" t="s">
        <v>7403</v>
      </c>
      <c r="K517" s="22">
        <v>0.0</v>
      </c>
      <c r="L517" s="22">
        <f>+SUMIF('حركه المخزن الرئيسي اليوميه'!$F:$F,$H:$H,'حركه المخزن الرئيسي اليوميه'!$H:$H)</f>
        <v>0.0</v>
      </c>
      <c r="M517" s="22">
        <f>+SUMIF('حركه المخزن الرئيسي اليوميه'!$F:$F,$H:$H,'حركه المخزن الرئيسي اليوميه'!$I:$I)</f>
        <v>0.0</v>
      </c>
      <c r="N517" s="22">
        <f t="shared" si="28"/>
        <v>0.0</v>
      </c>
      <c r="O517" s="22">
        <f t="shared" si="29"/>
        <v>0.0</v>
      </c>
      <c r="P517" s="22">
        <f t="shared" si="30"/>
        <v>0.0</v>
      </c>
      <c r="Q517" s="57"/>
      <c r="R517" s="58"/>
    </row>
    <row r="518" spans="8:8">
      <c r="B518" s="8">
        <v>509.0</v>
      </c>
      <c r="C518" s="8" t="s">
        <v>766</v>
      </c>
      <c r="D518" s="8"/>
      <c r="E518" s="8"/>
      <c r="F518" s="8"/>
      <c r="G518" s="8"/>
      <c r="H518" s="8"/>
      <c r="I518" s="55"/>
      <c r="J518" s="60" t="s">
        <v>7404</v>
      </c>
      <c r="K518" s="22">
        <v>0.0</v>
      </c>
      <c r="L518" s="22">
        <f>+SUMIF('حركه المخزن الرئيسي اليوميه'!$F:$F,$H:$H,'حركه المخزن الرئيسي اليوميه'!$H:$H)</f>
        <v>0.0</v>
      </c>
      <c r="M518" s="22">
        <f>+SUMIF('حركه المخزن الرئيسي اليوميه'!$F:$F,$H:$H,'حركه المخزن الرئيسي اليوميه'!$I:$I)</f>
        <v>0.0</v>
      </c>
      <c r="N518" s="22">
        <f t="shared" si="28"/>
        <v>0.0</v>
      </c>
      <c r="O518" s="22">
        <f t="shared" si="29"/>
        <v>0.0</v>
      </c>
      <c r="P518" s="22">
        <f t="shared" si="30"/>
        <v>0.0</v>
      </c>
      <c r="Q518" s="57"/>
      <c r="R518" s="58"/>
    </row>
    <row r="519" spans="8:8">
      <c r="B519" s="8">
        <v>510.0</v>
      </c>
      <c r="C519" s="8" t="s">
        <v>766</v>
      </c>
      <c r="D519" s="8"/>
      <c r="E519" s="8"/>
      <c r="F519" s="8"/>
      <c r="G519" s="8"/>
      <c r="H519" s="8"/>
      <c r="I519" s="55"/>
      <c r="J519" s="60" t="s">
        <v>7405</v>
      </c>
      <c r="K519" s="22">
        <v>0.0</v>
      </c>
      <c r="L519" s="22">
        <f>+SUMIF('حركه المخزن الرئيسي اليوميه'!$F:$F,$H:$H,'حركه المخزن الرئيسي اليوميه'!$H:$H)</f>
        <v>0.0</v>
      </c>
      <c r="M519" s="22">
        <f>+SUMIF('حركه المخزن الرئيسي اليوميه'!$F:$F,$H:$H,'حركه المخزن الرئيسي اليوميه'!$I:$I)</f>
        <v>0.0</v>
      </c>
      <c r="N519" s="22">
        <f t="shared" si="28"/>
        <v>0.0</v>
      </c>
      <c r="O519" s="22">
        <f t="shared" si="29"/>
        <v>0.0</v>
      </c>
      <c r="P519" s="22">
        <f t="shared" si="30"/>
        <v>0.0</v>
      </c>
      <c r="Q519" s="57"/>
      <c r="R519" s="58"/>
    </row>
    <row r="520" spans="8:8">
      <c r="B520" s="8">
        <v>511.0</v>
      </c>
      <c r="C520" s="8" t="s">
        <v>766</v>
      </c>
      <c r="D520" s="8"/>
      <c r="E520" s="8"/>
      <c r="F520" s="8"/>
      <c r="G520" s="8"/>
      <c r="H520" s="8"/>
      <c r="I520" s="55"/>
      <c r="J520" s="60" t="s">
        <v>7406</v>
      </c>
      <c r="K520" s="22">
        <v>0.0</v>
      </c>
      <c r="L520" s="22">
        <f>+SUMIF('حركه المخزن الرئيسي اليوميه'!$F:$F,$H:$H,'حركه المخزن الرئيسي اليوميه'!$H:$H)</f>
        <v>0.0</v>
      </c>
      <c r="M520" s="22">
        <f>+SUMIF('حركه المخزن الرئيسي اليوميه'!$F:$F,$H:$H,'حركه المخزن الرئيسي اليوميه'!$I:$I)</f>
        <v>0.0</v>
      </c>
      <c r="N520" s="22">
        <f t="shared" si="28"/>
        <v>0.0</v>
      </c>
      <c r="O520" s="22">
        <f t="shared" si="29"/>
        <v>0.0</v>
      </c>
      <c r="P520" s="22">
        <f t="shared" si="30"/>
        <v>0.0</v>
      </c>
      <c r="Q520" s="57"/>
      <c r="R520" s="58"/>
    </row>
    <row r="521" spans="8:8">
      <c r="B521" s="8">
        <v>512.0</v>
      </c>
      <c r="C521" s="8" t="s">
        <v>766</v>
      </c>
      <c r="D521" s="8"/>
      <c r="E521" s="8"/>
      <c r="F521" s="8"/>
      <c r="G521" s="8"/>
      <c r="H521" s="8"/>
      <c r="I521" s="55"/>
      <c r="J521" s="60" t="s">
        <v>7407</v>
      </c>
      <c r="K521" s="22">
        <v>0.0</v>
      </c>
      <c r="L521" s="22">
        <f>+SUMIF('حركه المخزن الرئيسي اليوميه'!$F:$F,$H:$H,'حركه المخزن الرئيسي اليوميه'!$H:$H)</f>
        <v>0.0</v>
      </c>
      <c r="M521" s="22">
        <f>+SUMIF('حركه المخزن الرئيسي اليوميه'!$F:$F,$H:$H,'حركه المخزن الرئيسي اليوميه'!$I:$I)</f>
        <v>0.0</v>
      </c>
      <c r="N521" s="22">
        <f t="shared" si="28"/>
        <v>0.0</v>
      </c>
      <c r="O521" s="22">
        <f t="shared" si="29"/>
        <v>0.0</v>
      </c>
      <c r="P521" s="22">
        <f t="shared" si="30"/>
        <v>0.0</v>
      </c>
      <c r="Q521" s="57"/>
      <c r="R521" s="58"/>
    </row>
    <row r="522" spans="8:8">
      <c r="B522" s="8">
        <v>513.0</v>
      </c>
      <c r="C522" s="8" t="s">
        <v>766</v>
      </c>
      <c r="D522" s="8"/>
      <c r="E522" s="8"/>
      <c r="F522" s="8"/>
      <c r="G522" s="8"/>
      <c r="H522" s="8"/>
      <c r="I522" s="55"/>
      <c r="J522" s="60" t="s">
        <v>7408</v>
      </c>
      <c r="K522" s="22">
        <v>0.0</v>
      </c>
      <c r="L522" s="22">
        <f>+SUMIF('حركه المخزن الرئيسي اليوميه'!$F:$F,$H:$H,'حركه المخزن الرئيسي اليوميه'!$H:$H)</f>
        <v>0.0</v>
      </c>
      <c r="M522" s="22">
        <f>+SUMIF('حركه المخزن الرئيسي اليوميه'!$F:$F,$H:$H,'حركه المخزن الرئيسي اليوميه'!$I:$I)</f>
        <v>0.0</v>
      </c>
      <c r="N522" s="22">
        <f t="shared" si="28"/>
        <v>0.0</v>
      </c>
      <c r="O522" s="22">
        <f t="shared" si="29"/>
        <v>0.0</v>
      </c>
      <c r="P522" s="22">
        <f t="shared" si="30"/>
        <v>0.0</v>
      </c>
      <c r="Q522" s="57"/>
      <c r="R522" s="58"/>
    </row>
    <row r="523" spans="8:8">
      <c r="B523" s="8">
        <v>514.0</v>
      </c>
      <c r="C523" s="8" t="s">
        <v>766</v>
      </c>
      <c r="D523" s="8"/>
      <c r="E523" s="8"/>
      <c r="F523" s="8"/>
      <c r="G523" s="8"/>
      <c r="H523" s="8"/>
      <c r="I523" s="55"/>
      <c r="J523" s="60" t="s">
        <v>7409</v>
      </c>
      <c r="K523" s="22">
        <v>0.0</v>
      </c>
      <c r="L523" s="22">
        <f>+SUMIF('حركه المخزن الرئيسي اليوميه'!$F:$F,$H:$H,'حركه المخزن الرئيسي اليوميه'!$H:$H)</f>
        <v>0.0</v>
      </c>
      <c r="M523" s="22">
        <f>+SUMIF('حركه المخزن الرئيسي اليوميه'!$F:$F,$H:$H,'حركه المخزن الرئيسي اليوميه'!$I:$I)</f>
        <v>0.0</v>
      </c>
      <c r="N523" s="22">
        <f t="shared" si="28"/>
        <v>0.0</v>
      </c>
      <c r="O523" s="22">
        <f t="shared" si="29"/>
        <v>0.0</v>
      </c>
      <c r="P523" s="22">
        <f t="shared" si="30"/>
        <v>0.0</v>
      </c>
      <c r="Q523" s="57"/>
      <c r="R523" s="58"/>
    </row>
    <row r="524" spans="8:8">
      <c r="B524" s="8">
        <v>515.0</v>
      </c>
      <c r="C524" s="8" t="s">
        <v>766</v>
      </c>
      <c r="D524" s="8"/>
      <c r="E524" s="8"/>
      <c r="F524" s="8"/>
      <c r="G524" s="8"/>
      <c r="H524" s="8"/>
      <c r="I524" s="55"/>
      <c r="J524" s="60" t="s">
        <v>7410</v>
      </c>
      <c r="K524" s="22">
        <v>0.0</v>
      </c>
      <c r="L524" s="22">
        <f>+SUMIF('حركه المخزن الرئيسي اليوميه'!$F:$F,$H:$H,'حركه المخزن الرئيسي اليوميه'!$H:$H)</f>
        <v>0.0</v>
      </c>
      <c r="M524" s="22">
        <f>+SUMIF('حركه المخزن الرئيسي اليوميه'!$F:$F,$H:$H,'حركه المخزن الرئيسي اليوميه'!$I:$I)</f>
        <v>0.0</v>
      </c>
      <c r="N524" s="22">
        <f t="shared" si="28"/>
        <v>0.0</v>
      </c>
      <c r="O524" s="22">
        <f t="shared" si="29"/>
        <v>0.0</v>
      </c>
      <c r="P524" s="22">
        <f t="shared" si="30"/>
        <v>0.0</v>
      </c>
      <c r="Q524" s="57"/>
      <c r="R524" s="58"/>
    </row>
    <row r="525" spans="8:8">
      <c r="B525" s="8">
        <v>516.0</v>
      </c>
      <c r="C525" s="8" t="s">
        <v>766</v>
      </c>
      <c r="D525" s="8"/>
      <c r="E525" s="8"/>
      <c r="F525" s="8"/>
      <c r="G525" s="8"/>
      <c r="H525" s="8"/>
      <c r="I525" s="55"/>
      <c r="J525" s="60" t="s">
        <v>7411</v>
      </c>
      <c r="K525" s="22">
        <v>0.0</v>
      </c>
      <c r="L525" s="22">
        <f>+SUMIF('حركه المخزن الرئيسي اليوميه'!$F:$F,$H:$H,'حركه المخزن الرئيسي اليوميه'!$H:$H)</f>
        <v>0.0</v>
      </c>
      <c r="M525" s="22">
        <f>+SUMIF('حركه المخزن الرئيسي اليوميه'!$F:$F,$H:$H,'حركه المخزن الرئيسي اليوميه'!$I:$I)</f>
        <v>0.0</v>
      </c>
      <c r="N525" s="22">
        <f t="shared" si="28"/>
        <v>0.0</v>
      </c>
      <c r="O525" s="22">
        <f t="shared" si="29"/>
        <v>0.0</v>
      </c>
      <c r="P525" s="22">
        <f t="shared" si="30"/>
        <v>0.0</v>
      </c>
      <c r="Q525" s="57"/>
      <c r="R525" s="58"/>
    </row>
    <row r="526" spans="8:8">
      <c r="B526" s="8">
        <v>517.0</v>
      </c>
      <c r="C526" s="8" t="s">
        <v>766</v>
      </c>
      <c r="D526" s="8"/>
      <c r="E526" s="8"/>
      <c r="F526" s="8"/>
      <c r="G526" s="8"/>
      <c r="H526" s="8"/>
      <c r="I526" s="55"/>
      <c r="J526" s="60" t="s">
        <v>7412</v>
      </c>
      <c r="K526" s="22">
        <v>0.0</v>
      </c>
      <c r="L526" s="22">
        <f>+SUMIF('حركه المخزن الرئيسي اليوميه'!$F:$F,$H:$H,'حركه المخزن الرئيسي اليوميه'!$H:$H)</f>
        <v>0.0</v>
      </c>
      <c r="M526" s="22">
        <f>+SUMIF('حركه المخزن الرئيسي اليوميه'!$F:$F,$H:$H,'حركه المخزن الرئيسي اليوميه'!$I:$I)</f>
        <v>0.0</v>
      </c>
      <c r="N526" s="22">
        <f t="shared" si="28"/>
        <v>0.0</v>
      </c>
      <c r="O526" s="22">
        <f t="shared" si="29"/>
        <v>0.0</v>
      </c>
      <c r="P526" s="22">
        <f t="shared" si="30"/>
        <v>0.0</v>
      </c>
      <c r="Q526" s="57"/>
      <c r="R526" s="58"/>
    </row>
    <row r="527" spans="8:8">
      <c r="B527" s="8">
        <v>518.0</v>
      </c>
      <c r="C527" s="8" t="s">
        <v>766</v>
      </c>
      <c r="D527" s="8"/>
      <c r="E527" s="8"/>
      <c r="F527" s="8"/>
      <c r="G527" s="8"/>
      <c r="H527" s="8"/>
      <c r="I527" s="55"/>
      <c r="J527" s="60" t="s">
        <v>7413</v>
      </c>
      <c r="K527" s="22">
        <v>0.0</v>
      </c>
      <c r="L527" s="22">
        <f>+SUMIF('حركه المخزن الرئيسي اليوميه'!$F:$F,$H:$H,'حركه المخزن الرئيسي اليوميه'!$H:$H)</f>
        <v>0.0</v>
      </c>
      <c r="M527" s="22">
        <f>+SUMIF('حركه المخزن الرئيسي اليوميه'!$F:$F,$H:$H,'حركه المخزن الرئيسي اليوميه'!$I:$I)</f>
        <v>0.0</v>
      </c>
      <c r="N527" s="22">
        <f t="shared" si="28"/>
        <v>0.0</v>
      </c>
      <c r="O527" s="22">
        <f t="shared" si="29"/>
        <v>0.0</v>
      </c>
      <c r="P527" s="22">
        <f t="shared" si="30"/>
        <v>0.0</v>
      </c>
      <c r="Q527" s="57"/>
      <c r="R527" s="58"/>
    </row>
    <row r="528" spans="8:8">
      <c r="B528" s="8">
        <v>519.0</v>
      </c>
      <c r="C528" s="8" t="s">
        <v>766</v>
      </c>
      <c r="D528" s="8"/>
      <c r="E528" s="8"/>
      <c r="F528" s="8"/>
      <c r="G528" s="8"/>
      <c r="H528" s="8"/>
      <c r="I528" s="55"/>
      <c r="J528" s="60" t="s">
        <v>7414</v>
      </c>
      <c r="K528" s="22">
        <v>0.0</v>
      </c>
      <c r="L528" s="22">
        <f>+SUMIF('حركه المخزن الرئيسي اليوميه'!$F:$F,$H:$H,'حركه المخزن الرئيسي اليوميه'!$H:$H)</f>
        <v>0.0</v>
      </c>
      <c r="M528" s="22">
        <f>+SUMIF('حركه المخزن الرئيسي اليوميه'!$F:$F,$H:$H,'حركه المخزن الرئيسي اليوميه'!$I:$I)</f>
        <v>0.0</v>
      </c>
      <c r="N528" s="22">
        <f t="shared" si="31" ref="N528:N591">+K528+L528-M528</f>
        <v>0.0</v>
      </c>
      <c r="O528" s="22">
        <f t="shared" si="32" ref="O528:O591">+N528</f>
        <v>0.0</v>
      </c>
      <c r="P528" s="22">
        <f t="shared" si="33" ref="P528:P591">+N528-O528</f>
        <v>0.0</v>
      </c>
      <c r="Q528" s="57"/>
      <c r="R528" s="58"/>
    </row>
    <row r="529" spans="8:8">
      <c r="B529" s="8">
        <v>520.0</v>
      </c>
      <c r="C529" s="8" t="s">
        <v>766</v>
      </c>
      <c r="D529" s="8"/>
      <c r="E529" s="8"/>
      <c r="F529" s="8"/>
      <c r="G529" s="8"/>
      <c r="H529" s="8"/>
      <c r="I529" s="55"/>
      <c r="J529" s="60" t="s">
        <v>7415</v>
      </c>
      <c r="K529" s="22">
        <v>0.0</v>
      </c>
      <c r="L529" s="22">
        <f>+SUMIF('حركه المخزن الرئيسي اليوميه'!$F:$F,$H:$H,'حركه المخزن الرئيسي اليوميه'!$H:$H)</f>
        <v>0.0</v>
      </c>
      <c r="M529" s="22">
        <f>+SUMIF('حركه المخزن الرئيسي اليوميه'!$F:$F,$H:$H,'حركه المخزن الرئيسي اليوميه'!$I:$I)</f>
        <v>0.0</v>
      </c>
      <c r="N529" s="22">
        <f t="shared" si="31"/>
        <v>0.0</v>
      </c>
      <c r="O529" s="22">
        <f t="shared" si="32"/>
        <v>0.0</v>
      </c>
      <c r="P529" s="22">
        <f t="shared" si="33"/>
        <v>0.0</v>
      </c>
      <c r="Q529" s="57"/>
      <c r="R529" s="58"/>
    </row>
    <row r="530" spans="8:8">
      <c r="B530" s="8">
        <v>521.0</v>
      </c>
      <c r="C530" s="8" t="s">
        <v>766</v>
      </c>
      <c r="D530" s="8"/>
      <c r="E530" s="8"/>
      <c r="F530" s="8"/>
      <c r="G530" s="8"/>
      <c r="H530" s="8"/>
      <c r="I530" s="55"/>
      <c r="J530" s="60" t="s">
        <v>7416</v>
      </c>
      <c r="K530" s="22">
        <v>0.0</v>
      </c>
      <c r="L530" s="22">
        <f>+SUMIF('حركه المخزن الرئيسي اليوميه'!$F:$F,$H:$H,'حركه المخزن الرئيسي اليوميه'!$H:$H)</f>
        <v>0.0</v>
      </c>
      <c r="M530" s="22">
        <f>+SUMIF('حركه المخزن الرئيسي اليوميه'!$F:$F,$H:$H,'حركه المخزن الرئيسي اليوميه'!$I:$I)</f>
        <v>0.0</v>
      </c>
      <c r="N530" s="22">
        <f t="shared" si="31"/>
        <v>0.0</v>
      </c>
      <c r="O530" s="22">
        <f t="shared" si="32"/>
        <v>0.0</v>
      </c>
      <c r="P530" s="22">
        <f t="shared" si="33"/>
        <v>0.0</v>
      </c>
      <c r="Q530" s="57"/>
      <c r="R530" s="58"/>
    </row>
    <row r="531" spans="8:8">
      <c r="B531" s="8">
        <v>522.0</v>
      </c>
      <c r="C531" s="8" t="s">
        <v>766</v>
      </c>
      <c r="D531" s="8"/>
      <c r="E531" s="8"/>
      <c r="F531" s="8"/>
      <c r="G531" s="8"/>
      <c r="H531" s="8"/>
      <c r="I531" s="55"/>
      <c r="J531" s="60" t="s">
        <v>7417</v>
      </c>
      <c r="K531" s="22">
        <v>0.0</v>
      </c>
      <c r="L531" s="22">
        <f>+SUMIF('حركه المخزن الرئيسي اليوميه'!$F:$F,$H:$H,'حركه المخزن الرئيسي اليوميه'!$H:$H)</f>
        <v>0.0</v>
      </c>
      <c r="M531" s="22">
        <f>+SUMIF('حركه المخزن الرئيسي اليوميه'!$F:$F,$H:$H,'حركه المخزن الرئيسي اليوميه'!$I:$I)</f>
        <v>0.0</v>
      </c>
      <c r="N531" s="22">
        <f t="shared" si="31"/>
        <v>0.0</v>
      </c>
      <c r="O531" s="22">
        <f t="shared" si="32"/>
        <v>0.0</v>
      </c>
      <c r="P531" s="22">
        <f t="shared" si="33"/>
        <v>0.0</v>
      </c>
      <c r="Q531" s="57"/>
      <c r="R531" s="58"/>
    </row>
    <row r="532" spans="8:8">
      <c r="B532" s="8">
        <v>523.0</v>
      </c>
      <c r="C532" s="8" t="s">
        <v>766</v>
      </c>
      <c r="D532" s="8"/>
      <c r="E532" s="8"/>
      <c r="F532" s="8"/>
      <c r="G532" s="8"/>
      <c r="H532" s="8"/>
      <c r="I532" s="55"/>
      <c r="J532" s="60" t="s">
        <v>7418</v>
      </c>
      <c r="K532" s="22">
        <v>0.0</v>
      </c>
      <c r="L532" s="22">
        <f>+SUMIF('حركه المخزن الرئيسي اليوميه'!$F:$F,$H:$H,'حركه المخزن الرئيسي اليوميه'!$H:$H)</f>
        <v>0.0</v>
      </c>
      <c r="M532" s="22">
        <f>+SUMIF('حركه المخزن الرئيسي اليوميه'!$F:$F,$H:$H,'حركه المخزن الرئيسي اليوميه'!$I:$I)</f>
        <v>0.0</v>
      </c>
      <c r="N532" s="22">
        <f t="shared" si="31"/>
        <v>0.0</v>
      </c>
      <c r="O532" s="22">
        <f t="shared" si="32"/>
        <v>0.0</v>
      </c>
      <c r="P532" s="22">
        <f t="shared" si="33"/>
        <v>0.0</v>
      </c>
      <c r="Q532" s="57"/>
      <c r="R532" s="58"/>
    </row>
    <row r="533" spans="8:8">
      <c r="B533" s="8">
        <v>524.0</v>
      </c>
      <c r="C533" s="8" t="s">
        <v>766</v>
      </c>
      <c r="D533" s="8"/>
      <c r="E533" s="8"/>
      <c r="F533" s="8"/>
      <c r="G533" s="8"/>
      <c r="H533" s="8"/>
      <c r="I533" s="55"/>
      <c r="J533" s="60" t="s">
        <v>7419</v>
      </c>
      <c r="K533" s="22">
        <v>0.0</v>
      </c>
      <c r="L533" s="22">
        <f>+SUMIF('حركه المخزن الرئيسي اليوميه'!$F:$F,$H:$H,'حركه المخزن الرئيسي اليوميه'!$H:$H)</f>
        <v>0.0</v>
      </c>
      <c r="M533" s="22">
        <f>+SUMIF('حركه المخزن الرئيسي اليوميه'!$F:$F,$H:$H,'حركه المخزن الرئيسي اليوميه'!$I:$I)</f>
        <v>0.0</v>
      </c>
      <c r="N533" s="22">
        <f t="shared" si="31"/>
        <v>0.0</v>
      </c>
      <c r="O533" s="22">
        <f t="shared" si="32"/>
        <v>0.0</v>
      </c>
      <c r="P533" s="22">
        <f t="shared" si="33"/>
        <v>0.0</v>
      </c>
      <c r="Q533" s="57"/>
      <c r="R533" s="58"/>
    </row>
    <row r="534" spans="8:8">
      <c r="B534" s="8">
        <v>525.0</v>
      </c>
      <c r="C534" s="8" t="s">
        <v>766</v>
      </c>
      <c r="D534" s="8"/>
      <c r="E534" s="8"/>
      <c r="F534" s="8"/>
      <c r="G534" s="8"/>
      <c r="H534" s="8"/>
      <c r="I534" s="55"/>
      <c r="J534" s="60" t="s">
        <v>7420</v>
      </c>
      <c r="K534" s="22">
        <v>0.0</v>
      </c>
      <c r="L534" s="22">
        <f>+SUMIF('حركه المخزن الرئيسي اليوميه'!$F:$F,$H:$H,'حركه المخزن الرئيسي اليوميه'!$H:$H)</f>
        <v>0.0</v>
      </c>
      <c r="M534" s="22">
        <f>+SUMIF('حركه المخزن الرئيسي اليوميه'!$F:$F,$H:$H,'حركه المخزن الرئيسي اليوميه'!$I:$I)</f>
        <v>0.0</v>
      </c>
      <c r="N534" s="22">
        <f t="shared" si="31"/>
        <v>0.0</v>
      </c>
      <c r="O534" s="22">
        <f t="shared" si="32"/>
        <v>0.0</v>
      </c>
      <c r="P534" s="22">
        <f t="shared" si="33"/>
        <v>0.0</v>
      </c>
      <c r="Q534" s="57"/>
      <c r="R534" s="58"/>
    </row>
    <row r="535" spans="8:8">
      <c r="B535" s="8">
        <v>526.0</v>
      </c>
      <c r="C535" s="8" t="s">
        <v>766</v>
      </c>
      <c r="D535" s="8"/>
      <c r="E535" s="8"/>
      <c r="F535" s="8"/>
      <c r="G535" s="8"/>
      <c r="H535" s="8"/>
      <c r="I535" s="55"/>
      <c r="J535" s="60" t="s">
        <v>7421</v>
      </c>
      <c r="K535" s="22">
        <v>0.0</v>
      </c>
      <c r="L535" s="22">
        <f>+SUMIF('حركه المخزن الرئيسي اليوميه'!$F:$F,$H:$H,'حركه المخزن الرئيسي اليوميه'!$H:$H)</f>
        <v>0.0</v>
      </c>
      <c r="M535" s="22">
        <f>+SUMIF('حركه المخزن الرئيسي اليوميه'!$F:$F,$H:$H,'حركه المخزن الرئيسي اليوميه'!$I:$I)</f>
        <v>0.0</v>
      </c>
      <c r="N535" s="22">
        <f t="shared" si="31"/>
        <v>0.0</v>
      </c>
      <c r="O535" s="22">
        <f t="shared" si="32"/>
        <v>0.0</v>
      </c>
      <c r="P535" s="22">
        <f t="shared" si="33"/>
        <v>0.0</v>
      </c>
      <c r="Q535" s="57"/>
      <c r="R535" s="58"/>
    </row>
    <row r="536" spans="8:8">
      <c r="B536" s="8">
        <v>527.0</v>
      </c>
      <c r="C536" s="8" t="s">
        <v>766</v>
      </c>
      <c r="D536" s="8"/>
      <c r="E536" s="8"/>
      <c r="F536" s="8"/>
      <c r="G536" s="8"/>
      <c r="H536" s="8"/>
      <c r="I536" s="55"/>
      <c r="J536" s="60" t="s">
        <v>7422</v>
      </c>
      <c r="K536" s="22">
        <v>0.0</v>
      </c>
      <c r="L536" s="22">
        <f>+SUMIF('حركه المخزن الرئيسي اليوميه'!$F:$F,$H:$H,'حركه المخزن الرئيسي اليوميه'!$H:$H)</f>
        <v>0.0</v>
      </c>
      <c r="M536" s="22">
        <f>+SUMIF('حركه المخزن الرئيسي اليوميه'!$F:$F,$H:$H,'حركه المخزن الرئيسي اليوميه'!$I:$I)</f>
        <v>0.0</v>
      </c>
      <c r="N536" s="22">
        <f t="shared" si="31"/>
        <v>0.0</v>
      </c>
      <c r="O536" s="22">
        <f t="shared" si="32"/>
        <v>0.0</v>
      </c>
      <c r="P536" s="22">
        <f t="shared" si="33"/>
        <v>0.0</v>
      </c>
      <c r="Q536" s="57"/>
      <c r="R536" s="58"/>
    </row>
    <row r="537" spans="8:8">
      <c r="B537" s="8">
        <v>528.0</v>
      </c>
      <c r="C537" s="8" t="s">
        <v>766</v>
      </c>
      <c r="D537" s="8"/>
      <c r="E537" s="8"/>
      <c r="F537" s="8"/>
      <c r="G537" s="8"/>
      <c r="H537" s="8"/>
      <c r="I537" s="55"/>
      <c r="J537" s="60" t="s">
        <v>7423</v>
      </c>
      <c r="K537" s="22">
        <v>0.0</v>
      </c>
      <c r="L537" s="22">
        <f>+SUMIF('حركه المخزن الرئيسي اليوميه'!$F:$F,$H:$H,'حركه المخزن الرئيسي اليوميه'!$H:$H)</f>
        <v>0.0</v>
      </c>
      <c r="M537" s="22">
        <f>+SUMIF('حركه المخزن الرئيسي اليوميه'!$F:$F,$H:$H,'حركه المخزن الرئيسي اليوميه'!$I:$I)</f>
        <v>0.0</v>
      </c>
      <c r="N537" s="22">
        <f t="shared" si="31"/>
        <v>0.0</v>
      </c>
      <c r="O537" s="22">
        <f t="shared" si="32"/>
        <v>0.0</v>
      </c>
      <c r="P537" s="22">
        <f t="shared" si="33"/>
        <v>0.0</v>
      </c>
      <c r="Q537" s="57"/>
      <c r="R537" s="58"/>
    </row>
    <row r="538" spans="8:8">
      <c r="B538" s="8">
        <v>529.0</v>
      </c>
      <c r="C538" s="8" t="s">
        <v>766</v>
      </c>
      <c r="D538" s="8"/>
      <c r="E538" s="8"/>
      <c r="F538" s="8"/>
      <c r="G538" s="8"/>
      <c r="H538" s="8"/>
      <c r="I538" s="55"/>
      <c r="J538" s="60" t="s">
        <v>7424</v>
      </c>
      <c r="K538" s="22">
        <v>0.0</v>
      </c>
      <c r="L538" s="22">
        <f>+SUMIF('حركه المخزن الرئيسي اليوميه'!$F:$F,$H:$H,'حركه المخزن الرئيسي اليوميه'!$H:$H)</f>
        <v>0.0</v>
      </c>
      <c r="M538" s="22">
        <f>+SUMIF('حركه المخزن الرئيسي اليوميه'!$F:$F,$H:$H,'حركه المخزن الرئيسي اليوميه'!$I:$I)</f>
        <v>0.0</v>
      </c>
      <c r="N538" s="22">
        <f t="shared" si="31"/>
        <v>0.0</v>
      </c>
      <c r="O538" s="22">
        <f t="shared" si="32"/>
        <v>0.0</v>
      </c>
      <c r="P538" s="22">
        <f t="shared" si="33"/>
        <v>0.0</v>
      </c>
      <c r="Q538" s="57"/>
      <c r="R538" s="58"/>
    </row>
    <row r="539" spans="8:8">
      <c r="B539" s="8">
        <v>530.0</v>
      </c>
      <c r="C539" s="8" t="s">
        <v>766</v>
      </c>
      <c r="D539" s="8"/>
      <c r="E539" s="8"/>
      <c r="F539" s="8"/>
      <c r="G539" s="8"/>
      <c r="H539" s="8"/>
      <c r="I539" s="55"/>
      <c r="J539" s="60" t="s">
        <v>7425</v>
      </c>
      <c r="K539" s="22">
        <v>0.0</v>
      </c>
      <c r="L539" s="22">
        <f>+SUMIF('حركه المخزن الرئيسي اليوميه'!$F:$F,$H:$H,'حركه المخزن الرئيسي اليوميه'!$H:$H)</f>
        <v>0.0</v>
      </c>
      <c r="M539" s="22">
        <f>+SUMIF('حركه المخزن الرئيسي اليوميه'!$F:$F,$H:$H,'حركه المخزن الرئيسي اليوميه'!$I:$I)</f>
        <v>0.0</v>
      </c>
      <c r="N539" s="22">
        <f t="shared" si="31"/>
        <v>0.0</v>
      </c>
      <c r="O539" s="22">
        <f t="shared" si="32"/>
        <v>0.0</v>
      </c>
      <c r="P539" s="22">
        <f t="shared" si="33"/>
        <v>0.0</v>
      </c>
      <c r="Q539" s="57"/>
      <c r="R539" s="58"/>
    </row>
    <row r="540" spans="8:8">
      <c r="B540" s="8">
        <v>531.0</v>
      </c>
      <c r="C540" s="8" t="s">
        <v>766</v>
      </c>
      <c r="D540" s="8"/>
      <c r="E540" s="8"/>
      <c r="F540" s="8"/>
      <c r="G540" s="8"/>
      <c r="H540" s="8"/>
      <c r="I540" s="55"/>
      <c r="J540" s="60" t="s">
        <v>7426</v>
      </c>
      <c r="K540" s="22">
        <v>0.0</v>
      </c>
      <c r="L540" s="22">
        <f>+SUMIF('حركه المخزن الرئيسي اليوميه'!$F:$F,$H:$H,'حركه المخزن الرئيسي اليوميه'!$H:$H)</f>
        <v>0.0</v>
      </c>
      <c r="M540" s="22">
        <f>+SUMIF('حركه المخزن الرئيسي اليوميه'!$F:$F,$H:$H,'حركه المخزن الرئيسي اليوميه'!$I:$I)</f>
        <v>0.0</v>
      </c>
      <c r="N540" s="22">
        <f t="shared" si="31"/>
        <v>0.0</v>
      </c>
      <c r="O540" s="22">
        <f t="shared" si="32"/>
        <v>0.0</v>
      </c>
      <c r="P540" s="22">
        <f t="shared" si="33"/>
        <v>0.0</v>
      </c>
      <c r="Q540" s="57"/>
      <c r="R540" s="58"/>
    </row>
    <row r="541" spans="8:8">
      <c r="B541" s="8">
        <v>532.0</v>
      </c>
      <c r="C541" s="8" t="s">
        <v>766</v>
      </c>
      <c r="D541" s="8"/>
      <c r="E541" s="8"/>
      <c r="F541" s="8"/>
      <c r="G541" s="8"/>
      <c r="H541" s="8"/>
      <c r="I541" s="55"/>
      <c r="J541" s="60" t="s">
        <v>7427</v>
      </c>
      <c r="K541" s="22">
        <v>0.0</v>
      </c>
      <c r="L541" s="22">
        <f>+SUMIF('حركه المخزن الرئيسي اليوميه'!$F:$F,$H:$H,'حركه المخزن الرئيسي اليوميه'!$H:$H)</f>
        <v>0.0</v>
      </c>
      <c r="M541" s="22">
        <f>+SUMIF('حركه المخزن الرئيسي اليوميه'!$F:$F,$H:$H,'حركه المخزن الرئيسي اليوميه'!$I:$I)</f>
        <v>0.0</v>
      </c>
      <c r="N541" s="22">
        <f t="shared" si="31"/>
        <v>0.0</v>
      </c>
      <c r="O541" s="22">
        <f t="shared" si="32"/>
        <v>0.0</v>
      </c>
      <c r="P541" s="22">
        <f t="shared" si="33"/>
        <v>0.0</v>
      </c>
      <c r="Q541" s="57"/>
      <c r="R541" s="58"/>
    </row>
    <row r="542" spans="8:8">
      <c r="B542" s="8">
        <v>533.0</v>
      </c>
      <c r="C542" s="8" t="s">
        <v>766</v>
      </c>
      <c r="D542" s="8"/>
      <c r="E542" s="8"/>
      <c r="F542" s="8"/>
      <c r="G542" s="8"/>
      <c r="H542" s="8"/>
      <c r="I542" s="55"/>
      <c r="J542" s="60" t="s">
        <v>7428</v>
      </c>
      <c r="K542" s="22">
        <v>0.0</v>
      </c>
      <c r="L542" s="22">
        <f>+SUMIF('حركه المخزن الرئيسي اليوميه'!$F:$F,$H:$H,'حركه المخزن الرئيسي اليوميه'!$H:$H)</f>
        <v>0.0</v>
      </c>
      <c r="M542" s="22">
        <f>+SUMIF('حركه المخزن الرئيسي اليوميه'!$F:$F,$H:$H,'حركه المخزن الرئيسي اليوميه'!$I:$I)</f>
        <v>0.0</v>
      </c>
      <c r="N542" s="22">
        <f t="shared" si="31"/>
        <v>0.0</v>
      </c>
      <c r="O542" s="22">
        <f t="shared" si="32"/>
        <v>0.0</v>
      </c>
      <c r="P542" s="22">
        <f t="shared" si="33"/>
        <v>0.0</v>
      </c>
      <c r="Q542" s="57"/>
      <c r="R542" s="58"/>
    </row>
    <row r="543" spans="8:8">
      <c r="B543" s="8">
        <v>534.0</v>
      </c>
      <c r="C543" s="8" t="s">
        <v>766</v>
      </c>
      <c r="D543" s="8"/>
      <c r="E543" s="8"/>
      <c r="F543" s="8"/>
      <c r="G543" s="8"/>
      <c r="H543" s="8"/>
      <c r="I543" s="55"/>
      <c r="J543" s="60" t="s">
        <v>7429</v>
      </c>
      <c r="K543" s="22">
        <v>0.0</v>
      </c>
      <c r="L543" s="22">
        <f>+SUMIF('حركه المخزن الرئيسي اليوميه'!$F:$F,$H:$H,'حركه المخزن الرئيسي اليوميه'!$H:$H)</f>
        <v>0.0</v>
      </c>
      <c r="M543" s="22">
        <f>+SUMIF('حركه المخزن الرئيسي اليوميه'!$F:$F,$H:$H,'حركه المخزن الرئيسي اليوميه'!$I:$I)</f>
        <v>0.0</v>
      </c>
      <c r="N543" s="22">
        <f t="shared" si="31"/>
        <v>0.0</v>
      </c>
      <c r="O543" s="22">
        <f t="shared" si="32"/>
        <v>0.0</v>
      </c>
      <c r="P543" s="22">
        <f t="shared" si="33"/>
        <v>0.0</v>
      </c>
      <c r="Q543" s="57"/>
      <c r="R543" s="58"/>
    </row>
    <row r="544" spans="8:8">
      <c r="B544" s="8">
        <v>535.0</v>
      </c>
      <c r="C544" s="8" t="s">
        <v>766</v>
      </c>
      <c r="D544" s="8"/>
      <c r="E544" s="8"/>
      <c r="F544" s="8"/>
      <c r="G544" s="8"/>
      <c r="H544" s="8"/>
      <c r="I544" s="55"/>
      <c r="J544" s="60" t="s">
        <v>7430</v>
      </c>
      <c r="K544" s="22">
        <v>0.0</v>
      </c>
      <c r="L544" s="22">
        <f>+SUMIF('حركه المخزن الرئيسي اليوميه'!$F:$F,$H:$H,'حركه المخزن الرئيسي اليوميه'!$H:$H)</f>
        <v>0.0</v>
      </c>
      <c r="M544" s="22">
        <f>+SUMIF('حركه المخزن الرئيسي اليوميه'!$F:$F,$H:$H,'حركه المخزن الرئيسي اليوميه'!$I:$I)</f>
        <v>0.0</v>
      </c>
      <c r="N544" s="22">
        <f t="shared" si="31"/>
        <v>0.0</v>
      </c>
      <c r="O544" s="22">
        <f t="shared" si="32"/>
        <v>0.0</v>
      </c>
      <c r="P544" s="22">
        <f t="shared" si="33"/>
        <v>0.0</v>
      </c>
      <c r="Q544" s="57"/>
      <c r="R544" s="58"/>
    </row>
    <row r="545" spans="8:8">
      <c r="B545" s="8">
        <v>536.0</v>
      </c>
      <c r="C545" s="8" t="s">
        <v>766</v>
      </c>
      <c r="D545" s="8"/>
      <c r="E545" s="8"/>
      <c r="F545" s="8"/>
      <c r="G545" s="8"/>
      <c r="H545" s="8"/>
      <c r="I545" s="55"/>
      <c r="J545" s="60" t="s">
        <v>7431</v>
      </c>
      <c r="K545" s="22">
        <v>0.0</v>
      </c>
      <c r="L545" s="22">
        <f>+SUMIF('حركه المخزن الرئيسي اليوميه'!$F:$F,$H:$H,'حركه المخزن الرئيسي اليوميه'!$H:$H)</f>
        <v>0.0</v>
      </c>
      <c r="M545" s="22">
        <f>+SUMIF('حركه المخزن الرئيسي اليوميه'!$F:$F,$H:$H,'حركه المخزن الرئيسي اليوميه'!$I:$I)</f>
        <v>0.0</v>
      </c>
      <c r="N545" s="22">
        <f t="shared" si="31"/>
        <v>0.0</v>
      </c>
      <c r="O545" s="22">
        <f t="shared" si="32"/>
        <v>0.0</v>
      </c>
      <c r="P545" s="22">
        <f t="shared" si="33"/>
        <v>0.0</v>
      </c>
      <c r="Q545" s="57"/>
      <c r="R545" s="58"/>
    </row>
    <row r="546" spans="8:8">
      <c r="B546" s="8">
        <v>537.0</v>
      </c>
      <c r="C546" s="8" t="s">
        <v>766</v>
      </c>
      <c r="D546" s="8"/>
      <c r="E546" s="8"/>
      <c r="F546" s="8"/>
      <c r="G546" s="8"/>
      <c r="H546" s="8"/>
      <c r="I546" s="55"/>
      <c r="J546" s="60" t="s">
        <v>7432</v>
      </c>
      <c r="K546" s="22">
        <v>0.0</v>
      </c>
      <c r="L546" s="22">
        <f>+SUMIF('حركه المخزن الرئيسي اليوميه'!$F:$F,$H:$H,'حركه المخزن الرئيسي اليوميه'!$H:$H)</f>
        <v>0.0</v>
      </c>
      <c r="M546" s="22">
        <f>+SUMIF('حركه المخزن الرئيسي اليوميه'!$F:$F,$H:$H,'حركه المخزن الرئيسي اليوميه'!$I:$I)</f>
        <v>0.0</v>
      </c>
      <c r="N546" s="22">
        <f t="shared" si="31"/>
        <v>0.0</v>
      </c>
      <c r="O546" s="22">
        <f t="shared" si="32"/>
        <v>0.0</v>
      </c>
      <c r="P546" s="22">
        <f t="shared" si="33"/>
        <v>0.0</v>
      </c>
      <c r="Q546" s="57"/>
      <c r="R546" s="58"/>
    </row>
    <row r="547" spans="8:8">
      <c r="B547" s="8">
        <v>538.0</v>
      </c>
      <c r="C547" s="8" t="s">
        <v>766</v>
      </c>
      <c r="D547" s="8"/>
      <c r="E547" s="8"/>
      <c r="F547" s="8"/>
      <c r="G547" s="8"/>
      <c r="H547" s="8"/>
      <c r="I547" s="55"/>
      <c r="J547" s="60" t="s">
        <v>7433</v>
      </c>
      <c r="K547" s="22">
        <v>0.0</v>
      </c>
      <c r="L547" s="22">
        <f>+SUMIF('حركه المخزن الرئيسي اليوميه'!$F:$F,$H:$H,'حركه المخزن الرئيسي اليوميه'!$H:$H)</f>
        <v>0.0</v>
      </c>
      <c r="M547" s="22">
        <f>+SUMIF('حركه المخزن الرئيسي اليوميه'!$F:$F,$H:$H,'حركه المخزن الرئيسي اليوميه'!$I:$I)</f>
        <v>0.0</v>
      </c>
      <c r="N547" s="22">
        <f t="shared" si="31"/>
        <v>0.0</v>
      </c>
      <c r="O547" s="22">
        <f t="shared" si="32"/>
        <v>0.0</v>
      </c>
      <c r="P547" s="22">
        <f t="shared" si="33"/>
        <v>0.0</v>
      </c>
      <c r="Q547" s="57"/>
      <c r="R547" s="58"/>
    </row>
    <row r="548" spans="8:8">
      <c r="B548" s="8">
        <v>539.0</v>
      </c>
      <c r="C548" s="8" t="s">
        <v>766</v>
      </c>
      <c r="D548" s="8"/>
      <c r="E548" s="8"/>
      <c r="F548" s="8"/>
      <c r="G548" s="8"/>
      <c r="H548" s="8"/>
      <c r="I548" s="55"/>
      <c r="J548" s="60" t="s">
        <v>7434</v>
      </c>
      <c r="K548" s="22">
        <v>0.0</v>
      </c>
      <c r="L548" s="22">
        <f>+SUMIF('حركه المخزن الرئيسي اليوميه'!$F:$F,$H:$H,'حركه المخزن الرئيسي اليوميه'!$H:$H)</f>
        <v>0.0</v>
      </c>
      <c r="M548" s="22">
        <f>+SUMIF('حركه المخزن الرئيسي اليوميه'!$F:$F,$H:$H,'حركه المخزن الرئيسي اليوميه'!$I:$I)</f>
        <v>0.0</v>
      </c>
      <c r="N548" s="22">
        <f t="shared" si="31"/>
        <v>0.0</v>
      </c>
      <c r="O548" s="22">
        <f t="shared" si="32"/>
        <v>0.0</v>
      </c>
      <c r="P548" s="22">
        <f t="shared" si="33"/>
        <v>0.0</v>
      </c>
      <c r="Q548" s="57"/>
      <c r="R548" s="58"/>
    </row>
    <row r="549" spans="8:8">
      <c r="B549" s="8">
        <v>540.0</v>
      </c>
      <c r="C549" s="8" t="s">
        <v>766</v>
      </c>
      <c r="D549" s="8"/>
      <c r="E549" s="8"/>
      <c r="F549" s="8"/>
      <c r="G549" s="8"/>
      <c r="H549" s="8"/>
      <c r="I549" s="55"/>
      <c r="J549" s="60" t="s">
        <v>7435</v>
      </c>
      <c r="K549" s="22">
        <v>0.0</v>
      </c>
      <c r="L549" s="22">
        <f>+SUMIF('حركه المخزن الرئيسي اليوميه'!$F:$F,$H:$H,'حركه المخزن الرئيسي اليوميه'!$H:$H)</f>
        <v>0.0</v>
      </c>
      <c r="M549" s="22">
        <f>+SUMIF('حركه المخزن الرئيسي اليوميه'!$F:$F,$H:$H,'حركه المخزن الرئيسي اليوميه'!$I:$I)</f>
        <v>0.0</v>
      </c>
      <c r="N549" s="22">
        <f t="shared" si="31"/>
        <v>0.0</v>
      </c>
      <c r="O549" s="22">
        <f t="shared" si="32"/>
        <v>0.0</v>
      </c>
      <c r="P549" s="22">
        <f t="shared" si="33"/>
        <v>0.0</v>
      </c>
      <c r="Q549" s="57"/>
      <c r="R549" s="58"/>
    </row>
    <row r="550" spans="8:8">
      <c r="B550" s="8">
        <v>541.0</v>
      </c>
      <c r="C550" s="8" t="s">
        <v>766</v>
      </c>
      <c r="D550" s="8"/>
      <c r="E550" s="8"/>
      <c r="F550" s="8"/>
      <c r="G550" s="8"/>
      <c r="H550" s="8"/>
      <c r="I550" s="55"/>
      <c r="J550" s="60" t="s">
        <v>7436</v>
      </c>
      <c r="K550" s="22">
        <v>0.0</v>
      </c>
      <c r="L550" s="22">
        <f>+SUMIF('حركه المخزن الرئيسي اليوميه'!$F:$F,$H:$H,'حركه المخزن الرئيسي اليوميه'!$H:$H)</f>
        <v>0.0</v>
      </c>
      <c r="M550" s="22">
        <f>+SUMIF('حركه المخزن الرئيسي اليوميه'!$F:$F,$H:$H,'حركه المخزن الرئيسي اليوميه'!$I:$I)</f>
        <v>0.0</v>
      </c>
      <c r="N550" s="22">
        <f t="shared" si="31"/>
        <v>0.0</v>
      </c>
      <c r="O550" s="22">
        <f t="shared" si="32"/>
        <v>0.0</v>
      </c>
      <c r="P550" s="22">
        <f t="shared" si="33"/>
        <v>0.0</v>
      </c>
      <c r="Q550" s="57"/>
      <c r="R550" s="58"/>
    </row>
    <row r="551" spans="8:8">
      <c r="B551" s="8">
        <v>542.0</v>
      </c>
      <c r="C551" s="8" t="s">
        <v>766</v>
      </c>
      <c r="D551" s="8"/>
      <c r="E551" s="8"/>
      <c r="F551" s="8"/>
      <c r="G551" s="8"/>
      <c r="H551" s="8"/>
      <c r="I551" s="55"/>
      <c r="J551" s="60" t="s">
        <v>7437</v>
      </c>
      <c r="K551" s="22">
        <v>0.0</v>
      </c>
      <c r="L551" s="22">
        <f>+SUMIF('حركه المخزن الرئيسي اليوميه'!$F:$F,$H:$H,'حركه المخزن الرئيسي اليوميه'!$H:$H)</f>
        <v>0.0</v>
      </c>
      <c r="M551" s="22">
        <f>+SUMIF('حركه المخزن الرئيسي اليوميه'!$F:$F,$H:$H,'حركه المخزن الرئيسي اليوميه'!$I:$I)</f>
        <v>0.0</v>
      </c>
      <c r="N551" s="22">
        <f t="shared" si="31"/>
        <v>0.0</v>
      </c>
      <c r="O551" s="22">
        <f t="shared" si="32"/>
        <v>0.0</v>
      </c>
      <c r="P551" s="22">
        <f t="shared" si="33"/>
        <v>0.0</v>
      </c>
      <c r="Q551" s="57"/>
      <c r="R551" s="58"/>
    </row>
    <row r="552" spans="8:8">
      <c r="B552" s="8">
        <v>543.0</v>
      </c>
      <c r="C552" s="8" t="s">
        <v>766</v>
      </c>
      <c r="D552" s="8"/>
      <c r="E552" s="8"/>
      <c r="F552" s="8"/>
      <c r="G552" s="8"/>
      <c r="H552" s="8"/>
      <c r="I552" s="55"/>
      <c r="J552" s="60" t="s">
        <v>7438</v>
      </c>
      <c r="K552" s="22">
        <v>0.0</v>
      </c>
      <c r="L552" s="22">
        <f>+SUMIF('حركه المخزن الرئيسي اليوميه'!$F:$F,$H:$H,'حركه المخزن الرئيسي اليوميه'!$H:$H)</f>
        <v>0.0</v>
      </c>
      <c r="M552" s="22">
        <f>+SUMIF('حركه المخزن الرئيسي اليوميه'!$F:$F,$H:$H,'حركه المخزن الرئيسي اليوميه'!$I:$I)</f>
        <v>0.0</v>
      </c>
      <c r="N552" s="22">
        <f t="shared" si="31"/>
        <v>0.0</v>
      </c>
      <c r="O552" s="22">
        <f t="shared" si="32"/>
        <v>0.0</v>
      </c>
      <c r="P552" s="22">
        <f t="shared" si="33"/>
        <v>0.0</v>
      </c>
      <c r="Q552" s="57"/>
      <c r="R552" s="58"/>
    </row>
    <row r="553" spans="8:8">
      <c r="B553" s="8">
        <v>544.0</v>
      </c>
      <c r="C553" s="8" t="s">
        <v>766</v>
      </c>
      <c r="D553" s="8"/>
      <c r="E553" s="8"/>
      <c r="F553" s="8"/>
      <c r="G553" s="8"/>
      <c r="H553" s="8"/>
      <c r="I553" s="55"/>
      <c r="J553" s="60" t="s">
        <v>7439</v>
      </c>
      <c r="K553" s="22">
        <v>0.0</v>
      </c>
      <c r="L553" s="22">
        <f>+SUMIF('حركه المخزن الرئيسي اليوميه'!$F:$F,$H:$H,'حركه المخزن الرئيسي اليوميه'!$H:$H)</f>
        <v>0.0</v>
      </c>
      <c r="M553" s="22">
        <f>+SUMIF('حركه المخزن الرئيسي اليوميه'!$F:$F,$H:$H,'حركه المخزن الرئيسي اليوميه'!$I:$I)</f>
        <v>0.0</v>
      </c>
      <c r="N553" s="22">
        <f t="shared" si="31"/>
        <v>0.0</v>
      </c>
      <c r="O553" s="22">
        <f t="shared" si="32"/>
        <v>0.0</v>
      </c>
      <c r="P553" s="22">
        <f t="shared" si="33"/>
        <v>0.0</v>
      </c>
      <c r="Q553" s="57"/>
      <c r="R553" s="58"/>
    </row>
    <row r="554" spans="8:8">
      <c r="B554" s="8">
        <v>545.0</v>
      </c>
      <c r="C554" s="8" t="s">
        <v>766</v>
      </c>
      <c r="D554" s="8"/>
      <c r="E554" s="8"/>
      <c r="F554" s="8"/>
      <c r="G554" s="8"/>
      <c r="H554" s="8"/>
      <c r="I554" s="55"/>
      <c r="J554" s="60" t="s">
        <v>7440</v>
      </c>
      <c r="K554" s="22">
        <v>0.0</v>
      </c>
      <c r="L554" s="22">
        <f>+SUMIF('حركه المخزن الرئيسي اليوميه'!$F:$F,$H:$H,'حركه المخزن الرئيسي اليوميه'!$H:$H)</f>
        <v>0.0</v>
      </c>
      <c r="M554" s="22">
        <f>+SUMIF('حركه المخزن الرئيسي اليوميه'!$F:$F,$H:$H,'حركه المخزن الرئيسي اليوميه'!$I:$I)</f>
        <v>0.0</v>
      </c>
      <c r="N554" s="22">
        <f t="shared" si="31"/>
        <v>0.0</v>
      </c>
      <c r="O554" s="22">
        <f t="shared" si="32"/>
        <v>0.0</v>
      </c>
      <c r="P554" s="22">
        <f t="shared" si="33"/>
        <v>0.0</v>
      </c>
      <c r="Q554" s="57"/>
      <c r="R554" s="58"/>
    </row>
    <row r="555" spans="8:8">
      <c r="B555" s="8">
        <v>546.0</v>
      </c>
      <c r="C555" s="8" t="s">
        <v>766</v>
      </c>
      <c r="D555" s="8"/>
      <c r="E555" s="8"/>
      <c r="F555" s="8"/>
      <c r="G555" s="8"/>
      <c r="H555" s="8"/>
      <c r="I555" s="55"/>
      <c r="J555" s="60" t="s">
        <v>7441</v>
      </c>
      <c r="K555" s="22">
        <v>0.0</v>
      </c>
      <c r="L555" s="22">
        <f>+SUMIF('حركه المخزن الرئيسي اليوميه'!$F:$F,$H:$H,'حركه المخزن الرئيسي اليوميه'!$H:$H)</f>
        <v>0.0</v>
      </c>
      <c r="M555" s="22">
        <f>+SUMIF('حركه المخزن الرئيسي اليوميه'!$F:$F,$H:$H,'حركه المخزن الرئيسي اليوميه'!$I:$I)</f>
        <v>0.0</v>
      </c>
      <c r="N555" s="22">
        <f t="shared" si="31"/>
        <v>0.0</v>
      </c>
      <c r="O555" s="22">
        <f t="shared" si="32"/>
        <v>0.0</v>
      </c>
      <c r="P555" s="22">
        <f t="shared" si="33"/>
        <v>0.0</v>
      </c>
      <c r="Q555" s="57"/>
      <c r="R555" s="58"/>
    </row>
    <row r="556" spans="8:8">
      <c r="B556" s="8">
        <v>547.0</v>
      </c>
      <c r="C556" s="8" t="s">
        <v>766</v>
      </c>
      <c r="D556" s="8"/>
      <c r="E556" s="8"/>
      <c r="F556" s="8"/>
      <c r="G556" s="8"/>
      <c r="H556" s="8"/>
      <c r="I556" s="55"/>
      <c r="J556" s="60" t="s">
        <v>7442</v>
      </c>
      <c r="K556" s="22">
        <v>0.0</v>
      </c>
      <c r="L556" s="22">
        <f>+SUMIF('حركه المخزن الرئيسي اليوميه'!$F:$F,$H:$H,'حركه المخزن الرئيسي اليوميه'!$H:$H)</f>
        <v>0.0</v>
      </c>
      <c r="M556" s="22">
        <f>+SUMIF('حركه المخزن الرئيسي اليوميه'!$F:$F,$H:$H,'حركه المخزن الرئيسي اليوميه'!$I:$I)</f>
        <v>0.0</v>
      </c>
      <c r="N556" s="22">
        <f t="shared" si="31"/>
        <v>0.0</v>
      </c>
      <c r="O556" s="22">
        <f t="shared" si="32"/>
        <v>0.0</v>
      </c>
      <c r="P556" s="22">
        <f t="shared" si="33"/>
        <v>0.0</v>
      </c>
      <c r="Q556" s="57"/>
      <c r="R556" s="58"/>
    </row>
    <row r="557" spans="8:8">
      <c r="B557" s="8">
        <v>548.0</v>
      </c>
      <c r="C557" s="8" t="s">
        <v>766</v>
      </c>
      <c r="D557" s="8"/>
      <c r="E557" s="8"/>
      <c r="F557" s="8"/>
      <c r="G557" s="8"/>
      <c r="H557" s="8"/>
      <c r="I557" s="55"/>
      <c r="J557" s="60" t="s">
        <v>7443</v>
      </c>
      <c r="K557" s="22">
        <v>0.0</v>
      </c>
      <c r="L557" s="22">
        <f>+SUMIF('حركه المخزن الرئيسي اليوميه'!$F:$F,$H:$H,'حركه المخزن الرئيسي اليوميه'!$H:$H)</f>
        <v>0.0</v>
      </c>
      <c r="M557" s="22">
        <f>+SUMIF('حركه المخزن الرئيسي اليوميه'!$F:$F,$H:$H,'حركه المخزن الرئيسي اليوميه'!$I:$I)</f>
        <v>0.0</v>
      </c>
      <c r="N557" s="22">
        <f t="shared" si="31"/>
        <v>0.0</v>
      </c>
      <c r="O557" s="22">
        <f t="shared" si="32"/>
        <v>0.0</v>
      </c>
      <c r="P557" s="22">
        <f t="shared" si="33"/>
        <v>0.0</v>
      </c>
      <c r="Q557" s="57"/>
      <c r="R557" s="58"/>
    </row>
    <row r="558" spans="8:8">
      <c r="B558" s="8">
        <v>549.0</v>
      </c>
      <c r="C558" s="8" t="s">
        <v>766</v>
      </c>
      <c r="D558" s="8"/>
      <c r="E558" s="8"/>
      <c r="F558" s="8"/>
      <c r="G558" s="8"/>
      <c r="H558" s="8"/>
      <c r="I558" s="55"/>
      <c r="J558" s="60" t="s">
        <v>7444</v>
      </c>
      <c r="K558" s="22">
        <v>0.0</v>
      </c>
      <c r="L558" s="22">
        <f>+SUMIF('حركه المخزن الرئيسي اليوميه'!$F:$F,$H:$H,'حركه المخزن الرئيسي اليوميه'!$H:$H)</f>
        <v>0.0</v>
      </c>
      <c r="M558" s="22">
        <f>+SUMIF('حركه المخزن الرئيسي اليوميه'!$F:$F,$H:$H,'حركه المخزن الرئيسي اليوميه'!$I:$I)</f>
        <v>0.0</v>
      </c>
      <c r="N558" s="22">
        <f t="shared" si="31"/>
        <v>0.0</v>
      </c>
      <c r="O558" s="22">
        <f t="shared" si="32"/>
        <v>0.0</v>
      </c>
      <c r="P558" s="22">
        <f t="shared" si="33"/>
        <v>0.0</v>
      </c>
      <c r="Q558" s="57"/>
      <c r="R558" s="58"/>
    </row>
    <row r="559" spans="8:8">
      <c r="B559" s="8">
        <v>550.0</v>
      </c>
      <c r="C559" s="8" t="s">
        <v>766</v>
      </c>
      <c r="D559" s="8"/>
      <c r="E559" s="8"/>
      <c r="F559" s="8"/>
      <c r="G559" s="8"/>
      <c r="H559" s="8"/>
      <c r="I559" s="55"/>
      <c r="J559" s="60" t="s">
        <v>7445</v>
      </c>
      <c r="K559" s="22">
        <v>0.0</v>
      </c>
      <c r="L559" s="22">
        <f>+SUMIF('حركه المخزن الرئيسي اليوميه'!$F:$F,$H:$H,'حركه المخزن الرئيسي اليوميه'!$H:$H)</f>
        <v>0.0</v>
      </c>
      <c r="M559" s="22">
        <f>+SUMIF('حركه المخزن الرئيسي اليوميه'!$F:$F,$H:$H,'حركه المخزن الرئيسي اليوميه'!$I:$I)</f>
        <v>0.0</v>
      </c>
      <c r="N559" s="22">
        <f t="shared" si="31"/>
        <v>0.0</v>
      </c>
      <c r="O559" s="22">
        <f t="shared" si="32"/>
        <v>0.0</v>
      </c>
      <c r="P559" s="22">
        <f t="shared" si="33"/>
        <v>0.0</v>
      </c>
      <c r="Q559" s="57"/>
      <c r="R559" s="58"/>
    </row>
    <row r="560" spans="8:8">
      <c r="B560" s="8">
        <v>551.0</v>
      </c>
      <c r="C560" s="8" t="s">
        <v>766</v>
      </c>
      <c r="D560" s="8"/>
      <c r="E560" s="8"/>
      <c r="F560" s="8"/>
      <c r="G560" s="8"/>
      <c r="H560" s="8"/>
      <c r="I560" s="55"/>
      <c r="J560" s="60" t="s">
        <v>7446</v>
      </c>
      <c r="K560" s="22">
        <v>0.0</v>
      </c>
      <c r="L560" s="22">
        <f>+SUMIF('حركه المخزن الرئيسي اليوميه'!$F:$F,$H:$H,'حركه المخزن الرئيسي اليوميه'!$H:$H)</f>
        <v>0.0</v>
      </c>
      <c r="M560" s="22">
        <f>+SUMIF('حركه المخزن الرئيسي اليوميه'!$F:$F,$H:$H,'حركه المخزن الرئيسي اليوميه'!$I:$I)</f>
        <v>0.0</v>
      </c>
      <c r="N560" s="22">
        <f t="shared" si="31"/>
        <v>0.0</v>
      </c>
      <c r="O560" s="22">
        <f t="shared" si="32"/>
        <v>0.0</v>
      </c>
      <c r="P560" s="22">
        <f t="shared" si="33"/>
        <v>0.0</v>
      </c>
      <c r="Q560" s="57"/>
      <c r="R560" s="58"/>
    </row>
    <row r="561" spans="8:8">
      <c r="B561" s="8">
        <v>552.0</v>
      </c>
      <c r="C561" s="8" t="s">
        <v>766</v>
      </c>
      <c r="D561" s="8"/>
      <c r="E561" s="8"/>
      <c r="F561" s="8"/>
      <c r="G561" s="8"/>
      <c r="H561" s="8"/>
      <c r="I561" s="55"/>
      <c r="J561" s="60" t="s">
        <v>7447</v>
      </c>
      <c r="K561" s="22">
        <v>0.0</v>
      </c>
      <c r="L561" s="22">
        <f>+SUMIF('حركه المخزن الرئيسي اليوميه'!$F:$F,$H:$H,'حركه المخزن الرئيسي اليوميه'!$H:$H)</f>
        <v>0.0</v>
      </c>
      <c r="M561" s="22">
        <f>+SUMIF('حركه المخزن الرئيسي اليوميه'!$F:$F,$H:$H,'حركه المخزن الرئيسي اليوميه'!$I:$I)</f>
        <v>0.0</v>
      </c>
      <c r="N561" s="22">
        <f t="shared" si="31"/>
        <v>0.0</v>
      </c>
      <c r="O561" s="22">
        <f t="shared" si="32"/>
        <v>0.0</v>
      </c>
      <c r="P561" s="22">
        <f t="shared" si="33"/>
        <v>0.0</v>
      </c>
      <c r="Q561" s="57"/>
      <c r="R561" s="58"/>
    </row>
    <row r="562" spans="8:8">
      <c r="B562" s="8">
        <v>553.0</v>
      </c>
      <c r="C562" s="8" t="s">
        <v>766</v>
      </c>
      <c r="D562" s="8"/>
      <c r="E562" s="8"/>
      <c r="F562" s="8"/>
      <c r="G562" s="8"/>
      <c r="H562" s="8"/>
      <c r="I562" s="55"/>
      <c r="J562" s="60" t="s">
        <v>7448</v>
      </c>
      <c r="K562" s="22">
        <v>0.0</v>
      </c>
      <c r="L562" s="22">
        <f>+SUMIF('حركه المخزن الرئيسي اليوميه'!$F:$F,$H:$H,'حركه المخزن الرئيسي اليوميه'!$H:$H)</f>
        <v>0.0</v>
      </c>
      <c r="M562" s="22">
        <f>+SUMIF('حركه المخزن الرئيسي اليوميه'!$F:$F,$H:$H,'حركه المخزن الرئيسي اليوميه'!$I:$I)</f>
        <v>0.0</v>
      </c>
      <c r="N562" s="22">
        <f t="shared" si="31"/>
        <v>0.0</v>
      </c>
      <c r="O562" s="22">
        <f t="shared" si="32"/>
        <v>0.0</v>
      </c>
      <c r="P562" s="22">
        <f t="shared" si="33"/>
        <v>0.0</v>
      </c>
      <c r="Q562" s="57"/>
      <c r="R562" s="58"/>
    </row>
    <row r="563" spans="8:8">
      <c r="B563" s="8">
        <v>554.0</v>
      </c>
      <c r="C563" s="8" t="s">
        <v>766</v>
      </c>
      <c r="D563" s="8"/>
      <c r="E563" s="8"/>
      <c r="F563" s="8"/>
      <c r="G563" s="8"/>
      <c r="H563" s="8"/>
      <c r="I563" s="55"/>
      <c r="J563" s="60" t="s">
        <v>7449</v>
      </c>
      <c r="K563" s="22">
        <v>0.0</v>
      </c>
      <c r="L563" s="22">
        <f>+SUMIF('حركه المخزن الرئيسي اليوميه'!$F:$F,$H:$H,'حركه المخزن الرئيسي اليوميه'!$H:$H)</f>
        <v>0.0</v>
      </c>
      <c r="M563" s="22">
        <f>+SUMIF('حركه المخزن الرئيسي اليوميه'!$F:$F,$H:$H,'حركه المخزن الرئيسي اليوميه'!$I:$I)</f>
        <v>0.0</v>
      </c>
      <c r="N563" s="22">
        <f t="shared" si="31"/>
        <v>0.0</v>
      </c>
      <c r="O563" s="22">
        <f t="shared" si="32"/>
        <v>0.0</v>
      </c>
      <c r="P563" s="22">
        <f t="shared" si="33"/>
        <v>0.0</v>
      </c>
      <c r="Q563" s="57"/>
      <c r="R563" s="58"/>
    </row>
    <row r="564" spans="8:8">
      <c r="B564" s="8">
        <v>555.0</v>
      </c>
      <c r="C564" s="8" t="s">
        <v>766</v>
      </c>
      <c r="D564" s="8"/>
      <c r="E564" s="8"/>
      <c r="F564" s="8"/>
      <c r="G564" s="8"/>
      <c r="H564" s="8"/>
      <c r="I564" s="55"/>
      <c r="J564" s="60" t="s">
        <v>7450</v>
      </c>
      <c r="K564" s="22">
        <v>0.0</v>
      </c>
      <c r="L564" s="22">
        <f>+SUMIF('حركه المخزن الرئيسي اليوميه'!$F:$F,$H:$H,'حركه المخزن الرئيسي اليوميه'!$H:$H)</f>
        <v>0.0</v>
      </c>
      <c r="M564" s="22">
        <f>+SUMIF('حركه المخزن الرئيسي اليوميه'!$F:$F,$H:$H,'حركه المخزن الرئيسي اليوميه'!$I:$I)</f>
        <v>0.0</v>
      </c>
      <c r="N564" s="22">
        <f t="shared" si="31"/>
        <v>0.0</v>
      </c>
      <c r="O564" s="22">
        <f t="shared" si="32"/>
        <v>0.0</v>
      </c>
      <c r="P564" s="22">
        <f t="shared" si="33"/>
        <v>0.0</v>
      </c>
      <c r="Q564" s="57"/>
      <c r="R564" s="58"/>
    </row>
    <row r="565" spans="8:8">
      <c r="B565" s="8">
        <v>556.0</v>
      </c>
      <c r="C565" s="8" t="s">
        <v>766</v>
      </c>
      <c r="D565" s="8"/>
      <c r="E565" s="8"/>
      <c r="F565" s="8"/>
      <c r="G565" s="8"/>
      <c r="H565" s="8"/>
      <c r="I565" s="55"/>
      <c r="J565" s="60" t="s">
        <v>7451</v>
      </c>
      <c r="K565" s="22">
        <v>0.0</v>
      </c>
      <c r="L565" s="22">
        <f>+SUMIF('حركه المخزن الرئيسي اليوميه'!$F:$F,$H:$H,'حركه المخزن الرئيسي اليوميه'!$H:$H)</f>
        <v>0.0</v>
      </c>
      <c r="M565" s="22">
        <f>+SUMIF('حركه المخزن الرئيسي اليوميه'!$F:$F,$H:$H,'حركه المخزن الرئيسي اليوميه'!$I:$I)</f>
        <v>0.0</v>
      </c>
      <c r="N565" s="22">
        <f t="shared" si="31"/>
        <v>0.0</v>
      </c>
      <c r="O565" s="22">
        <f t="shared" si="32"/>
        <v>0.0</v>
      </c>
      <c r="P565" s="22">
        <f t="shared" si="33"/>
        <v>0.0</v>
      </c>
      <c r="Q565" s="57"/>
      <c r="R565" s="58"/>
    </row>
    <row r="566" spans="8:8">
      <c r="B566" s="8">
        <v>557.0</v>
      </c>
      <c r="C566" s="8" t="s">
        <v>766</v>
      </c>
      <c r="D566" s="8"/>
      <c r="E566" s="8"/>
      <c r="F566" s="8"/>
      <c r="G566" s="8"/>
      <c r="H566" s="8"/>
      <c r="I566" s="55"/>
      <c r="J566" s="60" t="s">
        <v>7452</v>
      </c>
      <c r="K566" s="22">
        <v>0.0</v>
      </c>
      <c r="L566" s="22">
        <f>+SUMIF('حركه المخزن الرئيسي اليوميه'!$F:$F,$H:$H,'حركه المخزن الرئيسي اليوميه'!$H:$H)</f>
        <v>0.0</v>
      </c>
      <c r="M566" s="22">
        <f>+SUMIF('حركه المخزن الرئيسي اليوميه'!$F:$F,$H:$H,'حركه المخزن الرئيسي اليوميه'!$I:$I)</f>
        <v>0.0</v>
      </c>
      <c r="N566" s="22">
        <f t="shared" si="31"/>
        <v>0.0</v>
      </c>
      <c r="O566" s="22">
        <f t="shared" si="32"/>
        <v>0.0</v>
      </c>
      <c r="P566" s="22">
        <f t="shared" si="33"/>
        <v>0.0</v>
      </c>
      <c r="Q566" s="57"/>
      <c r="R566" s="58"/>
    </row>
    <row r="567" spans="8:8">
      <c r="B567" s="8">
        <v>558.0</v>
      </c>
      <c r="C567" s="8" t="s">
        <v>766</v>
      </c>
      <c r="D567" s="8"/>
      <c r="E567" s="8"/>
      <c r="F567" s="8"/>
      <c r="G567" s="8"/>
      <c r="H567" s="8"/>
      <c r="I567" s="55"/>
      <c r="J567" s="60" t="s">
        <v>7453</v>
      </c>
      <c r="K567" s="22">
        <v>0.0</v>
      </c>
      <c r="L567" s="22">
        <f>+SUMIF('حركه المخزن الرئيسي اليوميه'!$F:$F,$H:$H,'حركه المخزن الرئيسي اليوميه'!$H:$H)</f>
        <v>0.0</v>
      </c>
      <c r="M567" s="22">
        <f>+SUMIF('حركه المخزن الرئيسي اليوميه'!$F:$F,$H:$H,'حركه المخزن الرئيسي اليوميه'!$I:$I)</f>
        <v>0.0</v>
      </c>
      <c r="N567" s="22">
        <f t="shared" si="31"/>
        <v>0.0</v>
      </c>
      <c r="O567" s="22">
        <f t="shared" si="32"/>
        <v>0.0</v>
      </c>
      <c r="P567" s="22">
        <f t="shared" si="33"/>
        <v>0.0</v>
      </c>
      <c r="Q567" s="57"/>
      <c r="R567" s="58"/>
    </row>
    <row r="568" spans="8:8">
      <c r="B568" s="8">
        <v>559.0</v>
      </c>
      <c r="C568" s="8" t="s">
        <v>766</v>
      </c>
      <c r="D568" s="8"/>
      <c r="E568" s="8"/>
      <c r="F568" s="8"/>
      <c r="G568" s="8"/>
      <c r="H568" s="8"/>
      <c r="I568" s="55"/>
      <c r="J568" s="60" t="s">
        <v>7454</v>
      </c>
      <c r="K568" s="22">
        <v>0.0</v>
      </c>
      <c r="L568" s="22">
        <f>+SUMIF('حركه المخزن الرئيسي اليوميه'!$F:$F,$H:$H,'حركه المخزن الرئيسي اليوميه'!$H:$H)</f>
        <v>0.0</v>
      </c>
      <c r="M568" s="22">
        <f>+SUMIF('حركه المخزن الرئيسي اليوميه'!$F:$F,$H:$H,'حركه المخزن الرئيسي اليوميه'!$I:$I)</f>
        <v>0.0</v>
      </c>
      <c r="N568" s="22">
        <f t="shared" si="31"/>
        <v>0.0</v>
      </c>
      <c r="O568" s="22">
        <f t="shared" si="32"/>
        <v>0.0</v>
      </c>
      <c r="P568" s="22">
        <f t="shared" si="33"/>
        <v>0.0</v>
      </c>
      <c r="Q568" s="57"/>
      <c r="R568" s="58"/>
    </row>
    <row r="569" spans="8:8">
      <c r="B569" s="8">
        <v>560.0</v>
      </c>
      <c r="C569" s="8" t="s">
        <v>766</v>
      </c>
      <c r="D569" s="8"/>
      <c r="E569" s="8"/>
      <c r="F569" s="8"/>
      <c r="G569" s="8"/>
      <c r="H569" s="8"/>
      <c r="I569" s="55"/>
      <c r="J569" s="60" t="s">
        <v>7455</v>
      </c>
      <c r="K569" s="22">
        <v>0.0</v>
      </c>
      <c r="L569" s="22">
        <f>+SUMIF('حركه المخزن الرئيسي اليوميه'!$F:$F,$H:$H,'حركه المخزن الرئيسي اليوميه'!$H:$H)</f>
        <v>0.0</v>
      </c>
      <c r="M569" s="22">
        <f>+SUMIF('حركه المخزن الرئيسي اليوميه'!$F:$F,$H:$H,'حركه المخزن الرئيسي اليوميه'!$I:$I)</f>
        <v>0.0</v>
      </c>
      <c r="N569" s="22">
        <f t="shared" si="31"/>
        <v>0.0</v>
      </c>
      <c r="O569" s="22">
        <f t="shared" si="32"/>
        <v>0.0</v>
      </c>
      <c r="P569" s="22">
        <f t="shared" si="33"/>
        <v>0.0</v>
      </c>
      <c r="Q569" s="57"/>
      <c r="R569" s="58"/>
    </row>
    <row r="570" spans="8:8">
      <c r="B570" s="8">
        <v>561.0</v>
      </c>
      <c r="C570" s="8" t="s">
        <v>766</v>
      </c>
      <c r="D570" s="8"/>
      <c r="E570" s="8"/>
      <c r="F570" s="8"/>
      <c r="G570" s="8"/>
      <c r="H570" s="8"/>
      <c r="I570" s="55"/>
      <c r="J570" s="60" t="s">
        <v>7456</v>
      </c>
      <c r="K570" s="22">
        <v>0.0</v>
      </c>
      <c r="L570" s="22">
        <f>+SUMIF('حركه المخزن الرئيسي اليوميه'!$F:$F,$H:$H,'حركه المخزن الرئيسي اليوميه'!$H:$H)</f>
        <v>0.0</v>
      </c>
      <c r="M570" s="22">
        <f>+SUMIF('حركه المخزن الرئيسي اليوميه'!$F:$F,$H:$H,'حركه المخزن الرئيسي اليوميه'!$I:$I)</f>
        <v>0.0</v>
      </c>
      <c r="N570" s="22">
        <f t="shared" si="31"/>
        <v>0.0</v>
      </c>
      <c r="O570" s="22">
        <f t="shared" si="32"/>
        <v>0.0</v>
      </c>
      <c r="P570" s="22">
        <f t="shared" si="33"/>
        <v>0.0</v>
      </c>
      <c r="Q570" s="57"/>
      <c r="R570" s="58"/>
    </row>
    <row r="571" spans="8:8">
      <c r="B571" s="8">
        <v>562.0</v>
      </c>
      <c r="C571" s="8" t="s">
        <v>766</v>
      </c>
      <c r="D571" s="8"/>
      <c r="E571" s="8"/>
      <c r="F571" s="8"/>
      <c r="G571" s="8"/>
      <c r="H571" s="8"/>
      <c r="I571" s="55"/>
      <c r="J571" s="60" t="s">
        <v>7457</v>
      </c>
      <c r="K571" s="22">
        <v>0.0</v>
      </c>
      <c r="L571" s="22">
        <f>+SUMIF('حركه المخزن الرئيسي اليوميه'!$F:$F,$H:$H,'حركه المخزن الرئيسي اليوميه'!$H:$H)</f>
        <v>0.0</v>
      </c>
      <c r="M571" s="22">
        <f>+SUMIF('حركه المخزن الرئيسي اليوميه'!$F:$F,$H:$H,'حركه المخزن الرئيسي اليوميه'!$I:$I)</f>
        <v>0.0</v>
      </c>
      <c r="N571" s="22">
        <f t="shared" si="31"/>
        <v>0.0</v>
      </c>
      <c r="O571" s="22">
        <f t="shared" si="32"/>
        <v>0.0</v>
      </c>
      <c r="P571" s="22">
        <f t="shared" si="33"/>
        <v>0.0</v>
      </c>
      <c r="Q571" s="57"/>
      <c r="R571" s="58"/>
    </row>
    <row r="572" spans="8:8">
      <c r="B572" s="8">
        <v>563.0</v>
      </c>
      <c r="C572" s="8" t="s">
        <v>766</v>
      </c>
      <c r="D572" s="8"/>
      <c r="E572" s="8"/>
      <c r="F572" s="8"/>
      <c r="G572" s="8"/>
      <c r="H572" s="8"/>
      <c r="I572" s="55"/>
      <c r="J572" s="60" t="s">
        <v>7458</v>
      </c>
      <c r="K572" s="22">
        <v>0.0</v>
      </c>
      <c r="L572" s="22">
        <f>+SUMIF('حركه المخزن الرئيسي اليوميه'!$F:$F,$H:$H,'حركه المخزن الرئيسي اليوميه'!$H:$H)</f>
        <v>0.0</v>
      </c>
      <c r="M572" s="22">
        <f>+SUMIF('حركه المخزن الرئيسي اليوميه'!$F:$F,$H:$H,'حركه المخزن الرئيسي اليوميه'!$I:$I)</f>
        <v>0.0</v>
      </c>
      <c r="N572" s="22">
        <f t="shared" si="31"/>
        <v>0.0</v>
      </c>
      <c r="O572" s="22">
        <f t="shared" si="32"/>
        <v>0.0</v>
      </c>
      <c r="P572" s="22">
        <f t="shared" si="33"/>
        <v>0.0</v>
      </c>
      <c r="Q572" s="57"/>
      <c r="R572" s="58"/>
    </row>
    <row r="573" spans="8:8">
      <c r="B573" s="8">
        <v>564.0</v>
      </c>
      <c r="C573" s="8" t="s">
        <v>766</v>
      </c>
      <c r="D573" s="8"/>
      <c r="E573" s="8"/>
      <c r="F573" s="8"/>
      <c r="G573" s="8"/>
      <c r="H573" s="8"/>
      <c r="I573" s="55"/>
      <c r="J573" s="60" t="s">
        <v>7459</v>
      </c>
      <c r="K573" s="22">
        <v>0.0</v>
      </c>
      <c r="L573" s="22">
        <f>+SUMIF('حركه المخزن الرئيسي اليوميه'!$F:$F,$H:$H,'حركه المخزن الرئيسي اليوميه'!$H:$H)</f>
        <v>0.0</v>
      </c>
      <c r="M573" s="22">
        <f>+SUMIF('حركه المخزن الرئيسي اليوميه'!$F:$F,$H:$H,'حركه المخزن الرئيسي اليوميه'!$I:$I)</f>
        <v>0.0</v>
      </c>
      <c r="N573" s="22">
        <f t="shared" si="31"/>
        <v>0.0</v>
      </c>
      <c r="O573" s="22">
        <f t="shared" si="32"/>
        <v>0.0</v>
      </c>
      <c r="P573" s="22">
        <f t="shared" si="33"/>
        <v>0.0</v>
      </c>
      <c r="Q573" s="57"/>
      <c r="R573" s="58"/>
    </row>
    <row r="574" spans="8:8">
      <c r="B574" s="8">
        <v>565.0</v>
      </c>
      <c r="C574" s="8" t="s">
        <v>766</v>
      </c>
      <c r="D574" s="8"/>
      <c r="E574" s="8"/>
      <c r="F574" s="8"/>
      <c r="G574" s="8"/>
      <c r="H574" s="8"/>
      <c r="I574" s="55"/>
      <c r="J574" s="60" t="s">
        <v>7460</v>
      </c>
      <c r="K574" s="22">
        <v>0.0</v>
      </c>
      <c r="L574" s="22">
        <f>+SUMIF('حركه المخزن الرئيسي اليوميه'!$F:$F,$H:$H,'حركه المخزن الرئيسي اليوميه'!$H:$H)</f>
        <v>0.0</v>
      </c>
      <c r="M574" s="22">
        <f>+SUMIF('حركه المخزن الرئيسي اليوميه'!$F:$F,$H:$H,'حركه المخزن الرئيسي اليوميه'!$I:$I)</f>
        <v>0.0</v>
      </c>
      <c r="N574" s="22">
        <f t="shared" si="31"/>
        <v>0.0</v>
      </c>
      <c r="O574" s="22">
        <f t="shared" si="32"/>
        <v>0.0</v>
      </c>
      <c r="P574" s="22">
        <f t="shared" si="33"/>
        <v>0.0</v>
      </c>
      <c r="Q574" s="57"/>
      <c r="R574" s="58"/>
    </row>
    <row r="575" spans="8:8">
      <c r="B575" s="8">
        <v>566.0</v>
      </c>
      <c r="C575" s="8" t="s">
        <v>766</v>
      </c>
      <c r="D575" s="8"/>
      <c r="E575" s="8"/>
      <c r="F575" s="8"/>
      <c r="G575" s="8"/>
      <c r="H575" s="8"/>
      <c r="I575" s="55"/>
      <c r="J575" s="60" t="s">
        <v>7461</v>
      </c>
      <c r="K575" s="22">
        <v>0.0</v>
      </c>
      <c r="L575" s="22">
        <f>+SUMIF('حركه المخزن الرئيسي اليوميه'!$F:$F,$H:$H,'حركه المخزن الرئيسي اليوميه'!$H:$H)</f>
        <v>0.0</v>
      </c>
      <c r="M575" s="22">
        <f>+SUMIF('حركه المخزن الرئيسي اليوميه'!$F:$F,$H:$H,'حركه المخزن الرئيسي اليوميه'!$I:$I)</f>
        <v>0.0</v>
      </c>
      <c r="N575" s="22">
        <f t="shared" si="31"/>
        <v>0.0</v>
      </c>
      <c r="O575" s="22">
        <f t="shared" si="32"/>
        <v>0.0</v>
      </c>
      <c r="P575" s="22">
        <f t="shared" si="33"/>
        <v>0.0</v>
      </c>
      <c r="Q575" s="57"/>
      <c r="R575" s="58"/>
    </row>
    <row r="576" spans="8:8">
      <c r="B576" s="8">
        <v>567.0</v>
      </c>
      <c r="C576" s="8" t="s">
        <v>766</v>
      </c>
      <c r="D576" s="8"/>
      <c r="E576" s="8"/>
      <c r="F576" s="8"/>
      <c r="G576" s="8"/>
      <c r="H576" s="8"/>
      <c r="I576" s="55"/>
      <c r="J576" s="60" t="s">
        <v>7462</v>
      </c>
      <c r="K576" s="22">
        <v>0.0</v>
      </c>
      <c r="L576" s="22">
        <f>+SUMIF('حركه المخزن الرئيسي اليوميه'!$F:$F,$H:$H,'حركه المخزن الرئيسي اليوميه'!$H:$H)</f>
        <v>0.0</v>
      </c>
      <c r="M576" s="22">
        <f>+SUMIF('حركه المخزن الرئيسي اليوميه'!$F:$F,$H:$H,'حركه المخزن الرئيسي اليوميه'!$I:$I)</f>
        <v>0.0</v>
      </c>
      <c r="N576" s="22">
        <f t="shared" si="31"/>
        <v>0.0</v>
      </c>
      <c r="O576" s="22">
        <f t="shared" si="32"/>
        <v>0.0</v>
      </c>
      <c r="P576" s="22">
        <f t="shared" si="33"/>
        <v>0.0</v>
      </c>
      <c r="Q576" s="57"/>
      <c r="R576" s="58"/>
    </row>
    <row r="577" spans="8:8">
      <c r="B577" s="8">
        <v>568.0</v>
      </c>
      <c r="C577" s="8" t="s">
        <v>766</v>
      </c>
      <c r="D577" s="8"/>
      <c r="E577" s="8"/>
      <c r="F577" s="8"/>
      <c r="G577" s="8"/>
      <c r="H577" s="8"/>
      <c r="I577" s="55"/>
      <c r="J577" s="60" t="s">
        <v>7463</v>
      </c>
      <c r="K577" s="22">
        <v>0.0</v>
      </c>
      <c r="L577" s="22">
        <f>+SUMIF('حركه المخزن الرئيسي اليوميه'!$F:$F,$H:$H,'حركه المخزن الرئيسي اليوميه'!$H:$H)</f>
        <v>0.0</v>
      </c>
      <c r="M577" s="22">
        <f>+SUMIF('حركه المخزن الرئيسي اليوميه'!$F:$F,$H:$H,'حركه المخزن الرئيسي اليوميه'!$I:$I)</f>
        <v>0.0</v>
      </c>
      <c r="N577" s="22">
        <f t="shared" si="31"/>
        <v>0.0</v>
      </c>
      <c r="O577" s="22">
        <f t="shared" si="32"/>
        <v>0.0</v>
      </c>
      <c r="P577" s="22">
        <f t="shared" si="33"/>
        <v>0.0</v>
      </c>
      <c r="Q577" s="57"/>
      <c r="R577" s="58"/>
    </row>
    <row r="578" spans="8:8">
      <c r="B578" s="8">
        <v>569.0</v>
      </c>
      <c r="C578" s="8" t="s">
        <v>766</v>
      </c>
      <c r="D578" s="8"/>
      <c r="E578" s="8"/>
      <c r="F578" s="8"/>
      <c r="G578" s="8"/>
      <c r="H578" s="8"/>
      <c r="I578" s="55"/>
      <c r="J578" s="60" t="s">
        <v>7464</v>
      </c>
      <c r="K578" s="22">
        <v>0.0</v>
      </c>
      <c r="L578" s="22">
        <f>+SUMIF('حركه المخزن الرئيسي اليوميه'!$F:$F,$H:$H,'حركه المخزن الرئيسي اليوميه'!$H:$H)</f>
        <v>0.0</v>
      </c>
      <c r="M578" s="22">
        <f>+SUMIF('حركه المخزن الرئيسي اليوميه'!$F:$F,$H:$H,'حركه المخزن الرئيسي اليوميه'!$I:$I)</f>
        <v>0.0</v>
      </c>
      <c r="N578" s="22">
        <f t="shared" si="31"/>
        <v>0.0</v>
      </c>
      <c r="O578" s="22">
        <f t="shared" si="32"/>
        <v>0.0</v>
      </c>
      <c r="P578" s="22">
        <f t="shared" si="33"/>
        <v>0.0</v>
      </c>
      <c r="Q578" s="57"/>
      <c r="R578" s="58"/>
    </row>
    <row r="579" spans="8:8">
      <c r="B579" s="8">
        <v>570.0</v>
      </c>
      <c r="C579" s="8" t="s">
        <v>766</v>
      </c>
      <c r="D579" s="8"/>
      <c r="E579" s="8"/>
      <c r="F579" s="8"/>
      <c r="G579" s="8"/>
      <c r="H579" s="8"/>
      <c r="I579" s="55"/>
      <c r="J579" s="60" t="s">
        <v>7465</v>
      </c>
      <c r="K579" s="22">
        <v>0.0</v>
      </c>
      <c r="L579" s="22">
        <f>+SUMIF('حركه المخزن الرئيسي اليوميه'!$F:$F,$H:$H,'حركه المخزن الرئيسي اليوميه'!$H:$H)</f>
        <v>0.0</v>
      </c>
      <c r="M579" s="22">
        <f>+SUMIF('حركه المخزن الرئيسي اليوميه'!$F:$F,$H:$H,'حركه المخزن الرئيسي اليوميه'!$I:$I)</f>
        <v>0.0</v>
      </c>
      <c r="N579" s="22">
        <f t="shared" si="31"/>
        <v>0.0</v>
      </c>
      <c r="O579" s="22">
        <f t="shared" si="32"/>
        <v>0.0</v>
      </c>
      <c r="P579" s="22">
        <f t="shared" si="33"/>
        <v>0.0</v>
      </c>
      <c r="Q579" s="57"/>
      <c r="R579" s="58"/>
    </row>
    <row r="580" spans="8:8">
      <c r="B580" s="8">
        <v>571.0</v>
      </c>
      <c r="C580" s="8" t="s">
        <v>766</v>
      </c>
      <c r="D580" s="8"/>
      <c r="E580" s="8"/>
      <c r="F580" s="8"/>
      <c r="G580" s="8"/>
      <c r="H580" s="8"/>
      <c r="I580" s="55"/>
      <c r="J580" s="60" t="s">
        <v>7466</v>
      </c>
      <c r="K580" s="22">
        <v>0.0</v>
      </c>
      <c r="L580" s="22">
        <f>+SUMIF('حركه المخزن الرئيسي اليوميه'!$F:$F,$H:$H,'حركه المخزن الرئيسي اليوميه'!$H:$H)</f>
        <v>0.0</v>
      </c>
      <c r="M580" s="22">
        <f>+SUMIF('حركه المخزن الرئيسي اليوميه'!$F:$F,$H:$H,'حركه المخزن الرئيسي اليوميه'!$I:$I)</f>
        <v>0.0</v>
      </c>
      <c r="N580" s="22">
        <f t="shared" si="31"/>
        <v>0.0</v>
      </c>
      <c r="O580" s="22">
        <f t="shared" si="32"/>
        <v>0.0</v>
      </c>
      <c r="P580" s="22">
        <f t="shared" si="33"/>
        <v>0.0</v>
      </c>
      <c r="Q580" s="57"/>
      <c r="R580" s="58"/>
    </row>
    <row r="581" spans="8:8">
      <c r="B581" s="8">
        <v>572.0</v>
      </c>
      <c r="C581" s="8" t="s">
        <v>766</v>
      </c>
      <c r="D581" s="8"/>
      <c r="E581" s="8"/>
      <c r="F581" s="8"/>
      <c r="G581" s="8"/>
      <c r="H581" s="8"/>
      <c r="I581" s="55"/>
      <c r="J581" s="60" t="s">
        <v>7467</v>
      </c>
      <c r="K581" s="22">
        <v>0.0</v>
      </c>
      <c r="L581" s="22">
        <f>+SUMIF('حركه المخزن الرئيسي اليوميه'!$F:$F,$H:$H,'حركه المخزن الرئيسي اليوميه'!$H:$H)</f>
        <v>0.0</v>
      </c>
      <c r="M581" s="22">
        <f>+SUMIF('حركه المخزن الرئيسي اليوميه'!$F:$F,$H:$H,'حركه المخزن الرئيسي اليوميه'!$I:$I)</f>
        <v>0.0</v>
      </c>
      <c r="N581" s="22">
        <f t="shared" si="31"/>
        <v>0.0</v>
      </c>
      <c r="O581" s="22">
        <f t="shared" si="32"/>
        <v>0.0</v>
      </c>
      <c r="P581" s="22">
        <f t="shared" si="33"/>
        <v>0.0</v>
      </c>
      <c r="Q581" s="57"/>
      <c r="R581" s="58"/>
    </row>
    <row r="582" spans="8:8">
      <c r="B582" s="8">
        <v>573.0</v>
      </c>
      <c r="C582" s="8" t="s">
        <v>766</v>
      </c>
      <c r="D582" s="8"/>
      <c r="E582" s="8"/>
      <c r="F582" s="8"/>
      <c r="G582" s="8"/>
      <c r="H582" s="8"/>
      <c r="I582" s="55"/>
      <c r="J582" s="60" t="s">
        <v>7468</v>
      </c>
      <c r="K582" s="22">
        <v>0.0</v>
      </c>
      <c r="L582" s="22">
        <f>+SUMIF('حركه المخزن الرئيسي اليوميه'!$F:$F,$H:$H,'حركه المخزن الرئيسي اليوميه'!$H:$H)</f>
        <v>0.0</v>
      </c>
      <c r="M582" s="22">
        <f>+SUMIF('حركه المخزن الرئيسي اليوميه'!$F:$F,$H:$H,'حركه المخزن الرئيسي اليوميه'!$I:$I)</f>
        <v>0.0</v>
      </c>
      <c r="N582" s="22">
        <f t="shared" si="31"/>
        <v>0.0</v>
      </c>
      <c r="O582" s="22">
        <f t="shared" si="32"/>
        <v>0.0</v>
      </c>
      <c r="P582" s="22">
        <f t="shared" si="33"/>
        <v>0.0</v>
      </c>
      <c r="Q582" s="57"/>
      <c r="R582" s="58"/>
    </row>
    <row r="583" spans="8:8">
      <c r="B583" s="8">
        <v>574.0</v>
      </c>
      <c r="C583" s="8" t="s">
        <v>766</v>
      </c>
      <c r="D583" s="8"/>
      <c r="E583" s="8"/>
      <c r="F583" s="8"/>
      <c r="G583" s="8"/>
      <c r="H583" s="8"/>
      <c r="I583" s="55"/>
      <c r="J583" s="60" t="s">
        <v>7469</v>
      </c>
      <c r="K583" s="22">
        <v>0.0</v>
      </c>
      <c r="L583" s="22">
        <f>+SUMIF('حركه المخزن الرئيسي اليوميه'!$F:$F,$H:$H,'حركه المخزن الرئيسي اليوميه'!$H:$H)</f>
        <v>0.0</v>
      </c>
      <c r="M583" s="22">
        <f>+SUMIF('حركه المخزن الرئيسي اليوميه'!$F:$F,$H:$H,'حركه المخزن الرئيسي اليوميه'!$I:$I)</f>
        <v>0.0</v>
      </c>
      <c r="N583" s="22">
        <f t="shared" si="31"/>
        <v>0.0</v>
      </c>
      <c r="O583" s="22">
        <f t="shared" si="32"/>
        <v>0.0</v>
      </c>
      <c r="P583" s="22">
        <f t="shared" si="33"/>
        <v>0.0</v>
      </c>
      <c r="Q583" s="57"/>
      <c r="R583" s="58"/>
    </row>
    <row r="584" spans="8:8">
      <c r="B584" s="8">
        <v>575.0</v>
      </c>
      <c r="C584" s="8" t="s">
        <v>766</v>
      </c>
      <c r="D584" s="8"/>
      <c r="E584" s="8"/>
      <c r="F584" s="8"/>
      <c r="G584" s="8"/>
      <c r="H584" s="8"/>
      <c r="I584" s="55"/>
      <c r="J584" s="60" t="s">
        <v>7470</v>
      </c>
      <c r="K584" s="22">
        <v>0.0</v>
      </c>
      <c r="L584" s="22">
        <f>+SUMIF('حركه المخزن الرئيسي اليوميه'!$F:$F,$H:$H,'حركه المخزن الرئيسي اليوميه'!$H:$H)</f>
        <v>0.0</v>
      </c>
      <c r="M584" s="22">
        <f>+SUMIF('حركه المخزن الرئيسي اليوميه'!$F:$F,$H:$H,'حركه المخزن الرئيسي اليوميه'!$I:$I)</f>
        <v>0.0</v>
      </c>
      <c r="N584" s="22">
        <f t="shared" si="31"/>
        <v>0.0</v>
      </c>
      <c r="O584" s="22">
        <f t="shared" si="32"/>
        <v>0.0</v>
      </c>
      <c r="P584" s="22">
        <f t="shared" si="33"/>
        <v>0.0</v>
      </c>
      <c r="Q584" s="57"/>
      <c r="R584" s="58"/>
    </row>
    <row r="585" spans="8:8">
      <c r="B585" s="8">
        <v>576.0</v>
      </c>
      <c r="C585" s="8" t="s">
        <v>766</v>
      </c>
      <c r="D585" s="8"/>
      <c r="E585" s="8"/>
      <c r="F585" s="8"/>
      <c r="G585" s="8"/>
      <c r="H585" s="8"/>
      <c r="I585" s="55"/>
      <c r="J585" s="60" t="s">
        <v>7471</v>
      </c>
      <c r="K585" s="22">
        <v>0.0</v>
      </c>
      <c r="L585" s="22">
        <f>+SUMIF('حركه المخزن الرئيسي اليوميه'!$F:$F,$H:$H,'حركه المخزن الرئيسي اليوميه'!$H:$H)</f>
        <v>0.0</v>
      </c>
      <c r="M585" s="22">
        <f>+SUMIF('حركه المخزن الرئيسي اليوميه'!$F:$F,$H:$H,'حركه المخزن الرئيسي اليوميه'!$I:$I)</f>
        <v>0.0</v>
      </c>
      <c r="N585" s="22">
        <f t="shared" si="31"/>
        <v>0.0</v>
      </c>
      <c r="O585" s="22">
        <f t="shared" si="32"/>
        <v>0.0</v>
      </c>
      <c r="P585" s="22">
        <f t="shared" si="33"/>
        <v>0.0</v>
      </c>
      <c r="Q585" s="57"/>
      <c r="R585" s="58"/>
    </row>
    <row r="586" spans="8:8">
      <c r="B586" s="8">
        <v>577.0</v>
      </c>
      <c r="C586" s="8" t="s">
        <v>766</v>
      </c>
      <c r="D586" s="8"/>
      <c r="E586" s="8"/>
      <c r="F586" s="8"/>
      <c r="G586" s="8"/>
      <c r="H586" s="8"/>
      <c r="I586" s="55"/>
      <c r="J586" s="60" t="s">
        <v>7472</v>
      </c>
      <c r="K586" s="22">
        <v>0.0</v>
      </c>
      <c r="L586" s="22">
        <f>+SUMIF('حركه المخزن الرئيسي اليوميه'!$F:$F,$H:$H,'حركه المخزن الرئيسي اليوميه'!$H:$H)</f>
        <v>0.0</v>
      </c>
      <c r="M586" s="22">
        <f>+SUMIF('حركه المخزن الرئيسي اليوميه'!$F:$F,$H:$H,'حركه المخزن الرئيسي اليوميه'!$I:$I)</f>
        <v>0.0</v>
      </c>
      <c r="N586" s="22">
        <f t="shared" si="31"/>
        <v>0.0</v>
      </c>
      <c r="O586" s="22">
        <f t="shared" si="32"/>
        <v>0.0</v>
      </c>
      <c r="P586" s="22">
        <f t="shared" si="33"/>
        <v>0.0</v>
      </c>
      <c r="Q586" s="57"/>
      <c r="R586" s="58"/>
    </row>
    <row r="587" spans="8:8">
      <c r="B587" s="8">
        <v>578.0</v>
      </c>
      <c r="C587" s="8" t="s">
        <v>766</v>
      </c>
      <c r="D587" s="8"/>
      <c r="E587" s="8"/>
      <c r="F587" s="8"/>
      <c r="G587" s="8"/>
      <c r="H587" s="8"/>
      <c r="I587" s="55"/>
      <c r="J587" s="60" t="s">
        <v>7473</v>
      </c>
      <c r="K587" s="22">
        <v>0.0</v>
      </c>
      <c r="L587" s="22">
        <f>+SUMIF('حركه المخزن الرئيسي اليوميه'!$F:$F,$H:$H,'حركه المخزن الرئيسي اليوميه'!$H:$H)</f>
        <v>0.0</v>
      </c>
      <c r="M587" s="22">
        <f>+SUMIF('حركه المخزن الرئيسي اليوميه'!$F:$F,$H:$H,'حركه المخزن الرئيسي اليوميه'!$I:$I)</f>
        <v>0.0</v>
      </c>
      <c r="N587" s="22">
        <f t="shared" si="31"/>
        <v>0.0</v>
      </c>
      <c r="O587" s="22">
        <f t="shared" si="32"/>
        <v>0.0</v>
      </c>
      <c r="P587" s="22">
        <f t="shared" si="33"/>
        <v>0.0</v>
      </c>
      <c r="Q587" s="57"/>
      <c r="R587" s="58"/>
    </row>
    <row r="588" spans="8:8">
      <c r="B588" s="8">
        <v>579.0</v>
      </c>
      <c r="C588" s="8" t="s">
        <v>766</v>
      </c>
      <c r="D588" s="8"/>
      <c r="E588" s="8"/>
      <c r="F588" s="8"/>
      <c r="G588" s="8"/>
      <c r="H588" s="8"/>
      <c r="I588" s="55"/>
      <c r="J588" s="60" t="s">
        <v>7474</v>
      </c>
      <c r="K588" s="22">
        <v>0.0</v>
      </c>
      <c r="L588" s="22">
        <f>+SUMIF('حركه المخزن الرئيسي اليوميه'!$F:$F,$H:$H,'حركه المخزن الرئيسي اليوميه'!$H:$H)</f>
        <v>0.0</v>
      </c>
      <c r="M588" s="22">
        <f>+SUMIF('حركه المخزن الرئيسي اليوميه'!$F:$F,$H:$H,'حركه المخزن الرئيسي اليوميه'!$I:$I)</f>
        <v>0.0</v>
      </c>
      <c r="N588" s="22">
        <f t="shared" si="31"/>
        <v>0.0</v>
      </c>
      <c r="O588" s="22">
        <f t="shared" si="32"/>
        <v>0.0</v>
      </c>
      <c r="P588" s="22">
        <f t="shared" si="33"/>
        <v>0.0</v>
      </c>
      <c r="Q588" s="57"/>
      <c r="R588" s="58"/>
    </row>
    <row r="589" spans="8:8">
      <c r="B589" s="8">
        <v>580.0</v>
      </c>
      <c r="C589" s="8" t="s">
        <v>766</v>
      </c>
      <c r="D589" s="8"/>
      <c r="E589" s="8"/>
      <c r="F589" s="8"/>
      <c r="G589" s="8"/>
      <c r="H589" s="8"/>
      <c r="I589" s="55"/>
      <c r="J589" s="60" t="s">
        <v>7475</v>
      </c>
      <c r="K589" s="22">
        <v>0.0</v>
      </c>
      <c r="L589" s="22">
        <f>+SUMIF('حركه المخزن الرئيسي اليوميه'!$F:$F,$H:$H,'حركه المخزن الرئيسي اليوميه'!$H:$H)</f>
        <v>0.0</v>
      </c>
      <c r="M589" s="22">
        <f>+SUMIF('حركه المخزن الرئيسي اليوميه'!$F:$F,$H:$H,'حركه المخزن الرئيسي اليوميه'!$I:$I)</f>
        <v>0.0</v>
      </c>
      <c r="N589" s="22">
        <f t="shared" si="31"/>
        <v>0.0</v>
      </c>
      <c r="O589" s="22">
        <f t="shared" si="32"/>
        <v>0.0</v>
      </c>
      <c r="P589" s="22">
        <f t="shared" si="33"/>
        <v>0.0</v>
      </c>
      <c r="Q589" s="57"/>
      <c r="R589" s="58"/>
    </row>
    <row r="590" spans="8:8">
      <c r="B590" s="8">
        <v>581.0</v>
      </c>
      <c r="C590" s="8" t="s">
        <v>766</v>
      </c>
      <c r="D590" s="8"/>
      <c r="E590" s="8"/>
      <c r="F590" s="8"/>
      <c r="G590" s="8"/>
      <c r="H590" s="8"/>
      <c r="I590" s="55"/>
      <c r="J590" s="60" t="s">
        <v>7476</v>
      </c>
      <c r="K590" s="22">
        <v>0.0</v>
      </c>
      <c r="L590" s="22">
        <f>+SUMIF('حركه المخزن الرئيسي اليوميه'!$F:$F,$H:$H,'حركه المخزن الرئيسي اليوميه'!$H:$H)</f>
        <v>0.0</v>
      </c>
      <c r="M590" s="22">
        <f>+SUMIF('حركه المخزن الرئيسي اليوميه'!$F:$F,$H:$H,'حركه المخزن الرئيسي اليوميه'!$I:$I)</f>
        <v>0.0</v>
      </c>
      <c r="N590" s="22">
        <f t="shared" si="31"/>
        <v>0.0</v>
      </c>
      <c r="O590" s="22">
        <f t="shared" si="32"/>
        <v>0.0</v>
      </c>
      <c r="P590" s="22">
        <f t="shared" si="33"/>
        <v>0.0</v>
      </c>
      <c r="Q590" s="57"/>
      <c r="R590" s="58"/>
    </row>
    <row r="591" spans="8:8">
      <c r="B591" s="8">
        <v>582.0</v>
      </c>
      <c r="C591" s="8" t="s">
        <v>766</v>
      </c>
      <c r="D591" s="8"/>
      <c r="E591" s="8"/>
      <c r="F591" s="8"/>
      <c r="G591" s="8"/>
      <c r="H591" s="8"/>
      <c r="I591" s="55"/>
      <c r="J591" s="60" t="s">
        <v>7477</v>
      </c>
      <c r="K591" s="22">
        <v>0.0</v>
      </c>
      <c r="L591" s="22">
        <f>+SUMIF('حركه المخزن الرئيسي اليوميه'!$F:$F,$H:$H,'حركه المخزن الرئيسي اليوميه'!$H:$H)</f>
        <v>0.0</v>
      </c>
      <c r="M591" s="22">
        <f>+SUMIF('حركه المخزن الرئيسي اليوميه'!$F:$F,$H:$H,'حركه المخزن الرئيسي اليوميه'!$I:$I)</f>
        <v>0.0</v>
      </c>
      <c r="N591" s="22">
        <f t="shared" si="31"/>
        <v>0.0</v>
      </c>
      <c r="O591" s="22">
        <f t="shared" si="32"/>
        <v>0.0</v>
      </c>
      <c r="P591" s="22">
        <f t="shared" si="33"/>
        <v>0.0</v>
      </c>
      <c r="Q591" s="57"/>
      <c r="R591" s="58"/>
    </row>
    <row r="592" spans="8:8">
      <c r="B592" s="8">
        <v>583.0</v>
      </c>
      <c r="C592" s="8" t="s">
        <v>766</v>
      </c>
      <c r="D592" s="8"/>
      <c r="E592" s="8"/>
      <c r="F592" s="8"/>
      <c r="G592" s="8"/>
      <c r="H592" s="8"/>
      <c r="I592" s="55"/>
      <c r="J592" s="60" t="s">
        <v>7478</v>
      </c>
      <c r="K592" s="22">
        <v>0.0</v>
      </c>
      <c r="L592" s="22">
        <f>+SUMIF('حركه المخزن الرئيسي اليوميه'!$F:$F,$H:$H,'حركه المخزن الرئيسي اليوميه'!$H:$H)</f>
        <v>0.0</v>
      </c>
      <c r="M592" s="22">
        <f>+SUMIF('حركه المخزن الرئيسي اليوميه'!$F:$F,$H:$H,'حركه المخزن الرئيسي اليوميه'!$I:$I)</f>
        <v>0.0</v>
      </c>
      <c r="N592" s="22">
        <f t="shared" si="34" ref="N592:N633">+K592+L592-M592</f>
        <v>0.0</v>
      </c>
      <c r="O592" s="22">
        <f t="shared" si="35" ref="O592:O633">+N592</f>
        <v>0.0</v>
      </c>
      <c r="P592" s="22">
        <f t="shared" si="36" ref="P592:P633">+N592-O592</f>
        <v>0.0</v>
      </c>
      <c r="Q592" s="57"/>
      <c r="R592" s="58"/>
    </row>
    <row r="593" spans="8:8">
      <c r="B593" s="8">
        <v>584.0</v>
      </c>
      <c r="C593" s="8" t="s">
        <v>766</v>
      </c>
      <c r="D593" s="8"/>
      <c r="E593" s="8"/>
      <c r="F593" s="8"/>
      <c r="G593" s="8"/>
      <c r="H593" s="8"/>
      <c r="I593" s="55"/>
      <c r="J593" s="60" t="s">
        <v>7479</v>
      </c>
      <c r="K593" s="22">
        <v>0.0</v>
      </c>
      <c r="L593" s="22">
        <f>+SUMIF('حركه المخزن الرئيسي اليوميه'!$F:$F,$H:$H,'حركه المخزن الرئيسي اليوميه'!$H:$H)</f>
        <v>0.0</v>
      </c>
      <c r="M593" s="22">
        <f>+SUMIF('حركه المخزن الرئيسي اليوميه'!$F:$F,$H:$H,'حركه المخزن الرئيسي اليوميه'!$I:$I)</f>
        <v>0.0</v>
      </c>
      <c r="N593" s="22">
        <f t="shared" si="34"/>
        <v>0.0</v>
      </c>
      <c r="O593" s="22">
        <f t="shared" si="35"/>
        <v>0.0</v>
      </c>
      <c r="P593" s="22">
        <f t="shared" si="36"/>
        <v>0.0</v>
      </c>
      <c r="Q593" s="57"/>
      <c r="R593" s="58"/>
    </row>
    <row r="594" spans="8:8">
      <c r="B594" s="8">
        <v>585.0</v>
      </c>
      <c r="C594" s="8" t="s">
        <v>766</v>
      </c>
      <c r="D594" s="8"/>
      <c r="E594" s="8"/>
      <c r="F594" s="8"/>
      <c r="G594" s="8"/>
      <c r="H594" s="8"/>
      <c r="I594" s="55"/>
      <c r="J594" s="60" t="s">
        <v>7480</v>
      </c>
      <c r="K594" s="22">
        <v>0.0</v>
      </c>
      <c r="L594" s="22">
        <f>+SUMIF('حركه المخزن الرئيسي اليوميه'!$F:$F,$H:$H,'حركه المخزن الرئيسي اليوميه'!$H:$H)</f>
        <v>0.0</v>
      </c>
      <c r="M594" s="22">
        <f>+SUMIF('حركه المخزن الرئيسي اليوميه'!$F:$F,$H:$H,'حركه المخزن الرئيسي اليوميه'!$I:$I)</f>
        <v>0.0</v>
      </c>
      <c r="N594" s="22">
        <f t="shared" si="34"/>
        <v>0.0</v>
      </c>
      <c r="O594" s="22">
        <f t="shared" si="35"/>
        <v>0.0</v>
      </c>
      <c r="P594" s="22">
        <f t="shared" si="36"/>
        <v>0.0</v>
      </c>
      <c r="Q594" s="57"/>
      <c r="R594" s="58"/>
    </row>
    <row r="595" spans="8:8">
      <c r="B595" s="8">
        <v>586.0</v>
      </c>
      <c r="C595" s="8" t="s">
        <v>766</v>
      </c>
      <c r="D595" s="8"/>
      <c r="E595" s="8"/>
      <c r="F595" s="8"/>
      <c r="G595" s="8"/>
      <c r="H595" s="8"/>
      <c r="I595" s="55"/>
      <c r="J595" s="60" t="s">
        <v>7481</v>
      </c>
      <c r="K595" s="22">
        <v>0.0</v>
      </c>
      <c r="L595" s="22">
        <f>+SUMIF('حركه المخزن الرئيسي اليوميه'!$F:$F,$H:$H,'حركه المخزن الرئيسي اليوميه'!$H:$H)</f>
        <v>0.0</v>
      </c>
      <c r="M595" s="22">
        <f>+SUMIF('حركه المخزن الرئيسي اليوميه'!$F:$F,$H:$H,'حركه المخزن الرئيسي اليوميه'!$I:$I)</f>
        <v>0.0</v>
      </c>
      <c r="N595" s="22">
        <f t="shared" si="34"/>
        <v>0.0</v>
      </c>
      <c r="O595" s="22">
        <f t="shared" si="35"/>
        <v>0.0</v>
      </c>
      <c r="P595" s="22">
        <f t="shared" si="36"/>
        <v>0.0</v>
      </c>
      <c r="Q595" s="57"/>
      <c r="R595" s="58"/>
    </row>
    <row r="596" spans="8:8">
      <c r="B596" s="8">
        <v>587.0</v>
      </c>
      <c r="C596" s="8" t="s">
        <v>766</v>
      </c>
      <c r="D596" s="8"/>
      <c r="E596" s="8"/>
      <c r="F596" s="8"/>
      <c r="G596" s="8"/>
      <c r="H596" s="8"/>
      <c r="I596" s="55"/>
      <c r="J596" s="60" t="s">
        <v>7482</v>
      </c>
      <c r="K596" s="22">
        <v>0.0</v>
      </c>
      <c r="L596" s="22">
        <f>+SUMIF('حركه المخزن الرئيسي اليوميه'!$F:$F,$H:$H,'حركه المخزن الرئيسي اليوميه'!$H:$H)</f>
        <v>0.0</v>
      </c>
      <c r="M596" s="22">
        <f>+SUMIF('حركه المخزن الرئيسي اليوميه'!$F:$F,$H:$H,'حركه المخزن الرئيسي اليوميه'!$I:$I)</f>
        <v>0.0</v>
      </c>
      <c r="N596" s="22">
        <f t="shared" si="34"/>
        <v>0.0</v>
      </c>
      <c r="O596" s="22">
        <f t="shared" si="35"/>
        <v>0.0</v>
      </c>
      <c r="P596" s="22">
        <f t="shared" si="36"/>
        <v>0.0</v>
      </c>
      <c r="Q596" s="57"/>
      <c r="R596" s="58"/>
    </row>
    <row r="597" spans="8:8">
      <c r="B597" s="8">
        <v>588.0</v>
      </c>
      <c r="C597" s="8" t="s">
        <v>766</v>
      </c>
      <c r="D597" s="8"/>
      <c r="E597" s="8"/>
      <c r="F597" s="8"/>
      <c r="G597" s="8"/>
      <c r="H597" s="8"/>
      <c r="I597" s="55"/>
      <c r="J597" s="60" t="s">
        <v>7483</v>
      </c>
      <c r="K597" s="22">
        <v>0.0</v>
      </c>
      <c r="L597" s="22">
        <f>+SUMIF('حركه المخزن الرئيسي اليوميه'!$F:$F,$H:$H,'حركه المخزن الرئيسي اليوميه'!$H:$H)</f>
        <v>0.0</v>
      </c>
      <c r="M597" s="22">
        <f>+SUMIF('حركه المخزن الرئيسي اليوميه'!$F:$F,$H:$H,'حركه المخزن الرئيسي اليوميه'!$I:$I)</f>
        <v>0.0</v>
      </c>
      <c r="N597" s="22">
        <f t="shared" si="34"/>
        <v>0.0</v>
      </c>
      <c r="O597" s="22">
        <f t="shared" si="35"/>
        <v>0.0</v>
      </c>
      <c r="P597" s="22">
        <f t="shared" si="36"/>
        <v>0.0</v>
      </c>
      <c r="Q597" s="57"/>
      <c r="R597" s="58"/>
    </row>
    <row r="598" spans="8:8">
      <c r="B598" s="8">
        <v>589.0</v>
      </c>
      <c r="C598" s="8" t="s">
        <v>766</v>
      </c>
      <c r="D598" s="8"/>
      <c r="E598" s="8"/>
      <c r="F598" s="8"/>
      <c r="G598" s="8"/>
      <c r="H598" s="8"/>
      <c r="I598" s="55"/>
      <c r="J598" s="60" t="s">
        <v>7484</v>
      </c>
      <c r="K598" s="22">
        <v>0.0</v>
      </c>
      <c r="L598" s="22">
        <f>+SUMIF('حركه المخزن الرئيسي اليوميه'!$F:$F,$H:$H,'حركه المخزن الرئيسي اليوميه'!$H:$H)</f>
        <v>0.0</v>
      </c>
      <c r="M598" s="22">
        <f>+SUMIF('حركه المخزن الرئيسي اليوميه'!$F:$F,$H:$H,'حركه المخزن الرئيسي اليوميه'!$I:$I)</f>
        <v>0.0</v>
      </c>
      <c r="N598" s="22">
        <f t="shared" si="34"/>
        <v>0.0</v>
      </c>
      <c r="O598" s="22">
        <f t="shared" si="35"/>
        <v>0.0</v>
      </c>
      <c r="P598" s="22">
        <f t="shared" si="36"/>
        <v>0.0</v>
      </c>
      <c r="Q598" s="57"/>
      <c r="R598" s="58"/>
    </row>
    <row r="599" spans="8:8">
      <c r="B599" s="8">
        <v>590.0</v>
      </c>
      <c r="C599" s="8" t="s">
        <v>766</v>
      </c>
      <c r="D599" s="8"/>
      <c r="E599" s="8"/>
      <c r="F599" s="8"/>
      <c r="G599" s="8"/>
      <c r="H599" s="8"/>
      <c r="I599" s="55"/>
      <c r="J599" s="60" t="s">
        <v>7485</v>
      </c>
      <c r="K599" s="22">
        <v>0.0</v>
      </c>
      <c r="L599" s="22">
        <f>+SUMIF('حركه المخزن الرئيسي اليوميه'!$F:$F,$H:$H,'حركه المخزن الرئيسي اليوميه'!$H:$H)</f>
        <v>0.0</v>
      </c>
      <c r="M599" s="22">
        <f>+SUMIF('حركه المخزن الرئيسي اليوميه'!$F:$F,$H:$H,'حركه المخزن الرئيسي اليوميه'!$I:$I)</f>
        <v>0.0</v>
      </c>
      <c r="N599" s="22">
        <f t="shared" si="34"/>
        <v>0.0</v>
      </c>
      <c r="O599" s="22">
        <f t="shared" si="35"/>
        <v>0.0</v>
      </c>
      <c r="P599" s="22">
        <f t="shared" si="36"/>
        <v>0.0</v>
      </c>
      <c r="Q599" s="57"/>
      <c r="R599" s="58"/>
    </row>
    <row r="600" spans="8:8">
      <c r="B600" s="8">
        <v>591.0</v>
      </c>
      <c r="C600" s="8" t="s">
        <v>766</v>
      </c>
      <c r="D600" s="8"/>
      <c r="E600" s="8"/>
      <c r="F600" s="8"/>
      <c r="G600" s="8"/>
      <c r="H600" s="8"/>
      <c r="I600" s="55"/>
      <c r="J600" s="60" t="s">
        <v>7486</v>
      </c>
      <c r="K600" s="22">
        <v>0.0</v>
      </c>
      <c r="L600" s="22">
        <f>+SUMIF('حركه المخزن الرئيسي اليوميه'!$F:$F,$H:$H,'حركه المخزن الرئيسي اليوميه'!$H:$H)</f>
        <v>0.0</v>
      </c>
      <c r="M600" s="22">
        <f>+SUMIF('حركه المخزن الرئيسي اليوميه'!$F:$F,$H:$H,'حركه المخزن الرئيسي اليوميه'!$I:$I)</f>
        <v>0.0</v>
      </c>
      <c r="N600" s="22">
        <f t="shared" si="34"/>
        <v>0.0</v>
      </c>
      <c r="O600" s="22">
        <f t="shared" si="35"/>
        <v>0.0</v>
      </c>
      <c r="P600" s="22">
        <f t="shared" si="36"/>
        <v>0.0</v>
      </c>
      <c r="Q600" s="57"/>
      <c r="R600" s="58"/>
    </row>
    <row r="601" spans="8:8">
      <c r="B601" s="8">
        <v>592.0</v>
      </c>
      <c r="C601" s="8" t="s">
        <v>766</v>
      </c>
      <c r="D601" s="8"/>
      <c r="E601" s="8"/>
      <c r="F601" s="8"/>
      <c r="G601" s="8"/>
      <c r="H601" s="8"/>
      <c r="I601" s="55"/>
      <c r="J601" s="60" t="s">
        <v>7487</v>
      </c>
      <c r="K601" s="22">
        <v>0.0</v>
      </c>
      <c r="L601" s="22">
        <f>+SUMIF('حركه المخزن الرئيسي اليوميه'!$F:$F,$H:$H,'حركه المخزن الرئيسي اليوميه'!$H:$H)</f>
        <v>0.0</v>
      </c>
      <c r="M601" s="22">
        <f>+SUMIF('حركه المخزن الرئيسي اليوميه'!$F:$F,$H:$H,'حركه المخزن الرئيسي اليوميه'!$I:$I)</f>
        <v>0.0</v>
      </c>
      <c r="N601" s="22">
        <f t="shared" si="34"/>
        <v>0.0</v>
      </c>
      <c r="O601" s="22">
        <f t="shared" si="35"/>
        <v>0.0</v>
      </c>
      <c r="P601" s="22">
        <f t="shared" si="36"/>
        <v>0.0</v>
      </c>
      <c r="Q601" s="57"/>
      <c r="R601" s="58"/>
    </row>
    <row r="602" spans="8:8">
      <c r="B602" s="8">
        <v>593.0</v>
      </c>
      <c r="C602" s="8" t="s">
        <v>766</v>
      </c>
      <c r="D602" s="8"/>
      <c r="E602" s="8"/>
      <c r="F602" s="8"/>
      <c r="G602" s="8"/>
      <c r="H602" s="8"/>
      <c r="I602" s="55"/>
      <c r="J602" s="60" t="s">
        <v>7488</v>
      </c>
      <c r="K602" s="22">
        <v>0.0</v>
      </c>
      <c r="L602" s="22">
        <f>+SUMIF('حركه المخزن الرئيسي اليوميه'!$F:$F,$H:$H,'حركه المخزن الرئيسي اليوميه'!$H:$H)</f>
        <v>0.0</v>
      </c>
      <c r="M602" s="22">
        <f>+SUMIF('حركه المخزن الرئيسي اليوميه'!$F:$F,$H:$H,'حركه المخزن الرئيسي اليوميه'!$I:$I)</f>
        <v>0.0</v>
      </c>
      <c r="N602" s="22">
        <f t="shared" si="34"/>
        <v>0.0</v>
      </c>
      <c r="O602" s="22">
        <f t="shared" si="35"/>
        <v>0.0</v>
      </c>
      <c r="P602" s="22">
        <f t="shared" si="36"/>
        <v>0.0</v>
      </c>
      <c r="Q602" s="57"/>
      <c r="R602" s="58"/>
    </row>
    <row r="603" spans="8:8">
      <c r="B603" s="8">
        <v>594.0</v>
      </c>
      <c r="C603" s="8" t="s">
        <v>766</v>
      </c>
      <c r="D603" s="8"/>
      <c r="E603" s="8"/>
      <c r="F603" s="8"/>
      <c r="G603" s="8"/>
      <c r="H603" s="8"/>
      <c r="I603" s="55"/>
      <c r="J603" s="60" t="s">
        <v>7489</v>
      </c>
      <c r="K603" s="22">
        <v>0.0</v>
      </c>
      <c r="L603" s="22">
        <f>+SUMIF('حركه المخزن الرئيسي اليوميه'!$F:$F,$H:$H,'حركه المخزن الرئيسي اليوميه'!$H:$H)</f>
        <v>0.0</v>
      </c>
      <c r="M603" s="22">
        <f>+SUMIF('حركه المخزن الرئيسي اليوميه'!$F:$F,$H:$H,'حركه المخزن الرئيسي اليوميه'!$I:$I)</f>
        <v>0.0</v>
      </c>
      <c r="N603" s="22">
        <f t="shared" si="34"/>
        <v>0.0</v>
      </c>
      <c r="O603" s="22">
        <f t="shared" si="35"/>
        <v>0.0</v>
      </c>
      <c r="P603" s="22">
        <f t="shared" si="36"/>
        <v>0.0</v>
      </c>
      <c r="Q603" s="57"/>
      <c r="R603" s="58"/>
    </row>
    <row r="604" spans="8:8">
      <c r="B604" s="8">
        <v>595.0</v>
      </c>
      <c r="C604" s="8" t="s">
        <v>766</v>
      </c>
      <c r="D604" s="8"/>
      <c r="E604" s="8"/>
      <c r="F604" s="8"/>
      <c r="G604" s="8"/>
      <c r="H604" s="8"/>
      <c r="I604" s="55"/>
      <c r="J604" s="60" t="s">
        <v>7490</v>
      </c>
      <c r="K604" s="22">
        <v>0.0</v>
      </c>
      <c r="L604" s="22">
        <f>+SUMIF('حركه المخزن الرئيسي اليوميه'!$F:$F,$H:$H,'حركه المخزن الرئيسي اليوميه'!$H:$H)</f>
        <v>0.0</v>
      </c>
      <c r="M604" s="22">
        <f>+SUMIF('حركه المخزن الرئيسي اليوميه'!$F:$F,$H:$H,'حركه المخزن الرئيسي اليوميه'!$I:$I)</f>
        <v>0.0</v>
      </c>
      <c r="N604" s="22">
        <f t="shared" si="34"/>
        <v>0.0</v>
      </c>
      <c r="O604" s="22">
        <f t="shared" si="35"/>
        <v>0.0</v>
      </c>
      <c r="P604" s="22">
        <f t="shared" si="36"/>
        <v>0.0</v>
      </c>
      <c r="Q604" s="57"/>
      <c r="R604" s="58"/>
    </row>
    <row r="605" spans="8:8">
      <c r="B605" s="8">
        <v>596.0</v>
      </c>
      <c r="C605" s="8" t="s">
        <v>766</v>
      </c>
      <c r="D605" s="8"/>
      <c r="E605" s="8"/>
      <c r="F605" s="8"/>
      <c r="G605" s="8"/>
      <c r="H605" s="8"/>
      <c r="I605" s="55"/>
      <c r="J605" s="60" t="s">
        <v>7491</v>
      </c>
      <c r="K605" s="22">
        <v>0.0</v>
      </c>
      <c r="L605" s="22">
        <f>+SUMIF('حركه المخزن الرئيسي اليوميه'!$F:$F,$H:$H,'حركه المخزن الرئيسي اليوميه'!$H:$H)</f>
        <v>0.0</v>
      </c>
      <c r="M605" s="22">
        <f>+SUMIF('حركه المخزن الرئيسي اليوميه'!$F:$F,$H:$H,'حركه المخزن الرئيسي اليوميه'!$I:$I)</f>
        <v>0.0</v>
      </c>
      <c r="N605" s="22">
        <f t="shared" si="34"/>
        <v>0.0</v>
      </c>
      <c r="O605" s="22">
        <f t="shared" si="35"/>
        <v>0.0</v>
      </c>
      <c r="P605" s="22">
        <f t="shared" si="36"/>
        <v>0.0</v>
      </c>
      <c r="Q605" s="57"/>
      <c r="R605" s="58"/>
    </row>
    <row r="606" spans="8:8">
      <c r="B606" s="8">
        <v>597.0</v>
      </c>
      <c r="C606" s="8" t="s">
        <v>766</v>
      </c>
      <c r="D606" s="8"/>
      <c r="E606" s="8"/>
      <c r="F606" s="8"/>
      <c r="G606" s="8"/>
      <c r="H606" s="8"/>
      <c r="I606" s="55"/>
      <c r="J606" s="60" t="s">
        <v>7492</v>
      </c>
      <c r="K606" s="22">
        <v>0.0</v>
      </c>
      <c r="L606" s="22">
        <f>+SUMIF('حركه المخزن الرئيسي اليوميه'!$F:$F,$H:$H,'حركه المخزن الرئيسي اليوميه'!$H:$H)</f>
        <v>0.0</v>
      </c>
      <c r="M606" s="22">
        <f>+SUMIF('حركه المخزن الرئيسي اليوميه'!$F:$F,$H:$H,'حركه المخزن الرئيسي اليوميه'!$I:$I)</f>
        <v>0.0</v>
      </c>
      <c r="N606" s="22">
        <f t="shared" si="34"/>
        <v>0.0</v>
      </c>
      <c r="O606" s="22">
        <f t="shared" si="35"/>
        <v>0.0</v>
      </c>
      <c r="P606" s="22">
        <f t="shared" si="36"/>
        <v>0.0</v>
      </c>
      <c r="Q606" s="57"/>
      <c r="R606" s="58"/>
    </row>
    <row r="607" spans="8:8">
      <c r="B607" s="8">
        <v>598.0</v>
      </c>
      <c r="C607" s="8" t="s">
        <v>766</v>
      </c>
      <c r="D607" s="8"/>
      <c r="E607" s="8"/>
      <c r="F607" s="8"/>
      <c r="G607" s="8"/>
      <c r="H607" s="8"/>
      <c r="I607" s="55"/>
      <c r="J607" s="60" t="s">
        <v>7493</v>
      </c>
      <c r="K607" s="22">
        <v>0.0</v>
      </c>
      <c r="L607" s="22">
        <f>+SUMIF('حركه المخزن الرئيسي اليوميه'!$F:$F,$H:$H,'حركه المخزن الرئيسي اليوميه'!$H:$H)</f>
        <v>0.0</v>
      </c>
      <c r="M607" s="22">
        <f>+SUMIF('حركه المخزن الرئيسي اليوميه'!$F:$F,$H:$H,'حركه المخزن الرئيسي اليوميه'!$I:$I)</f>
        <v>0.0</v>
      </c>
      <c r="N607" s="22">
        <f t="shared" si="34"/>
        <v>0.0</v>
      </c>
      <c r="O607" s="22">
        <f t="shared" si="35"/>
        <v>0.0</v>
      </c>
      <c r="P607" s="22">
        <f t="shared" si="36"/>
        <v>0.0</v>
      </c>
      <c r="Q607" s="57"/>
      <c r="R607" s="58"/>
    </row>
    <row r="608" spans="8:8">
      <c r="B608" s="8">
        <v>599.0</v>
      </c>
      <c r="C608" s="8" t="s">
        <v>766</v>
      </c>
      <c r="D608" s="8"/>
      <c r="E608" s="8"/>
      <c r="F608" s="8"/>
      <c r="G608" s="8"/>
      <c r="H608" s="8"/>
      <c r="I608" s="55"/>
      <c r="J608" s="60" t="s">
        <v>7494</v>
      </c>
      <c r="K608" s="22">
        <v>0.0</v>
      </c>
      <c r="L608" s="22">
        <f>+SUMIF('حركه المخزن الرئيسي اليوميه'!$F:$F,$H:$H,'حركه المخزن الرئيسي اليوميه'!$H:$H)</f>
        <v>0.0</v>
      </c>
      <c r="M608" s="22">
        <f>+SUMIF('حركه المخزن الرئيسي اليوميه'!$F:$F,$H:$H,'حركه المخزن الرئيسي اليوميه'!$I:$I)</f>
        <v>0.0</v>
      </c>
      <c r="N608" s="22">
        <f t="shared" si="34"/>
        <v>0.0</v>
      </c>
      <c r="O608" s="22">
        <f t="shared" si="35"/>
        <v>0.0</v>
      </c>
      <c r="P608" s="22">
        <f t="shared" si="36"/>
        <v>0.0</v>
      </c>
      <c r="Q608" s="57"/>
      <c r="R608" s="58"/>
    </row>
    <row r="609" spans="8:8">
      <c r="B609" s="8">
        <v>600.0</v>
      </c>
      <c r="C609" s="8" t="s">
        <v>766</v>
      </c>
      <c r="D609" s="8"/>
      <c r="E609" s="8"/>
      <c r="F609" s="8"/>
      <c r="G609" s="8"/>
      <c r="H609" s="8"/>
      <c r="I609" s="55"/>
      <c r="J609" s="60" t="s">
        <v>7495</v>
      </c>
      <c r="K609" s="22">
        <v>0.0</v>
      </c>
      <c r="L609" s="22">
        <f>+SUMIF('حركه المخزن الرئيسي اليوميه'!$F:$F,$H:$H,'حركه المخزن الرئيسي اليوميه'!$H:$H)</f>
        <v>0.0</v>
      </c>
      <c r="M609" s="22">
        <f>+SUMIF('حركه المخزن الرئيسي اليوميه'!$F:$F,$H:$H,'حركه المخزن الرئيسي اليوميه'!$I:$I)</f>
        <v>0.0</v>
      </c>
      <c r="N609" s="22">
        <f t="shared" si="34"/>
        <v>0.0</v>
      </c>
      <c r="O609" s="22">
        <f t="shared" si="35"/>
        <v>0.0</v>
      </c>
      <c r="P609" s="22">
        <f t="shared" si="36"/>
        <v>0.0</v>
      </c>
      <c r="Q609" s="57"/>
      <c r="R609" s="58"/>
    </row>
    <row r="610" spans="8:8">
      <c r="B610" s="8">
        <v>601.0</v>
      </c>
      <c r="C610" s="8" t="s">
        <v>766</v>
      </c>
      <c r="D610" s="8"/>
      <c r="E610" s="8"/>
      <c r="F610" s="8"/>
      <c r="G610" s="8"/>
      <c r="H610" s="8"/>
      <c r="I610" s="55"/>
      <c r="J610" s="60" t="s">
        <v>7496</v>
      </c>
      <c r="K610" s="22">
        <v>0.0</v>
      </c>
      <c r="L610" s="22">
        <f>+SUMIF('حركه المخزن الرئيسي اليوميه'!$F:$F,$H:$H,'حركه المخزن الرئيسي اليوميه'!$H:$H)</f>
        <v>0.0</v>
      </c>
      <c r="M610" s="22">
        <f>+SUMIF('حركه المخزن الرئيسي اليوميه'!$F:$F,$H:$H,'حركه المخزن الرئيسي اليوميه'!$I:$I)</f>
        <v>0.0</v>
      </c>
      <c r="N610" s="22">
        <f t="shared" si="34"/>
        <v>0.0</v>
      </c>
      <c r="O610" s="22">
        <f t="shared" si="35"/>
        <v>0.0</v>
      </c>
      <c r="P610" s="22">
        <f t="shared" si="36"/>
        <v>0.0</v>
      </c>
      <c r="Q610" s="57"/>
      <c r="R610" s="58"/>
    </row>
    <row r="611" spans="8:8">
      <c r="B611" s="8">
        <v>602.0</v>
      </c>
      <c r="C611" s="8" t="s">
        <v>766</v>
      </c>
      <c r="D611" s="8"/>
      <c r="E611" s="8"/>
      <c r="F611" s="8"/>
      <c r="G611" s="8"/>
      <c r="H611" s="8"/>
      <c r="I611" s="55"/>
      <c r="J611" s="60" t="s">
        <v>7497</v>
      </c>
      <c r="K611" s="22">
        <v>0.0</v>
      </c>
      <c r="L611" s="22">
        <f>+SUMIF('حركه المخزن الرئيسي اليوميه'!$F:$F,$H:$H,'حركه المخزن الرئيسي اليوميه'!$H:$H)</f>
        <v>0.0</v>
      </c>
      <c r="M611" s="22">
        <f>+SUMIF('حركه المخزن الرئيسي اليوميه'!$F:$F,$H:$H,'حركه المخزن الرئيسي اليوميه'!$I:$I)</f>
        <v>0.0</v>
      </c>
      <c r="N611" s="22">
        <f t="shared" si="34"/>
        <v>0.0</v>
      </c>
      <c r="O611" s="22">
        <f t="shared" si="35"/>
        <v>0.0</v>
      </c>
      <c r="P611" s="22">
        <f t="shared" si="36"/>
        <v>0.0</v>
      </c>
      <c r="Q611" s="57"/>
      <c r="R611" s="58"/>
    </row>
    <row r="612" spans="8:8">
      <c r="B612" s="8">
        <v>603.0</v>
      </c>
      <c r="C612" s="8" t="s">
        <v>766</v>
      </c>
      <c r="D612" s="8"/>
      <c r="E612" s="8"/>
      <c r="F612" s="8"/>
      <c r="G612" s="8"/>
      <c r="H612" s="8"/>
      <c r="I612" s="55"/>
      <c r="J612" s="60" t="s">
        <v>7498</v>
      </c>
      <c r="K612" s="22">
        <v>0.0</v>
      </c>
      <c r="L612" s="22">
        <f>+SUMIF('حركه المخزن الرئيسي اليوميه'!$F:$F,$H:$H,'حركه المخزن الرئيسي اليوميه'!$H:$H)</f>
        <v>0.0</v>
      </c>
      <c r="M612" s="22">
        <f>+SUMIF('حركه المخزن الرئيسي اليوميه'!$F:$F,$H:$H,'حركه المخزن الرئيسي اليوميه'!$I:$I)</f>
        <v>0.0</v>
      </c>
      <c r="N612" s="22">
        <f t="shared" si="34"/>
        <v>0.0</v>
      </c>
      <c r="O612" s="22">
        <f t="shared" si="35"/>
        <v>0.0</v>
      </c>
      <c r="P612" s="22">
        <f t="shared" si="36"/>
        <v>0.0</v>
      </c>
      <c r="Q612" s="57"/>
      <c r="R612" s="58"/>
    </row>
    <row r="613" spans="8:8">
      <c r="B613" s="8">
        <v>604.0</v>
      </c>
      <c r="C613" s="8" t="s">
        <v>766</v>
      </c>
      <c r="D613" s="8"/>
      <c r="E613" s="8"/>
      <c r="F613" s="8"/>
      <c r="G613" s="8"/>
      <c r="H613" s="8"/>
      <c r="I613" s="55"/>
      <c r="J613" s="60" t="s">
        <v>7499</v>
      </c>
      <c r="K613" s="22">
        <v>0.0</v>
      </c>
      <c r="L613" s="22">
        <f>+SUMIF('حركه المخزن الرئيسي اليوميه'!$F:$F,$H:$H,'حركه المخزن الرئيسي اليوميه'!$H:$H)</f>
        <v>0.0</v>
      </c>
      <c r="M613" s="22">
        <f>+SUMIF('حركه المخزن الرئيسي اليوميه'!$F:$F,$H:$H,'حركه المخزن الرئيسي اليوميه'!$I:$I)</f>
        <v>0.0</v>
      </c>
      <c r="N613" s="22">
        <f t="shared" si="34"/>
        <v>0.0</v>
      </c>
      <c r="O613" s="22">
        <f t="shared" si="35"/>
        <v>0.0</v>
      </c>
      <c r="P613" s="22">
        <f t="shared" si="36"/>
        <v>0.0</v>
      </c>
      <c r="Q613" s="57"/>
      <c r="R613" s="58"/>
    </row>
    <row r="614" spans="8:8">
      <c r="B614" s="8">
        <v>605.0</v>
      </c>
      <c r="C614" s="8" t="s">
        <v>766</v>
      </c>
      <c r="D614" s="8"/>
      <c r="E614" s="8"/>
      <c r="F614" s="8"/>
      <c r="G614" s="8"/>
      <c r="H614" s="8"/>
      <c r="I614" s="55"/>
      <c r="J614" s="60" t="s">
        <v>7500</v>
      </c>
      <c r="K614" s="22">
        <v>0.0</v>
      </c>
      <c r="L614" s="22">
        <f>+SUMIF('حركه المخزن الرئيسي اليوميه'!$F:$F,$H:$H,'حركه المخزن الرئيسي اليوميه'!$H:$H)</f>
        <v>0.0</v>
      </c>
      <c r="M614" s="22">
        <f>+SUMIF('حركه المخزن الرئيسي اليوميه'!$F:$F,$H:$H,'حركه المخزن الرئيسي اليوميه'!$I:$I)</f>
        <v>0.0</v>
      </c>
      <c r="N614" s="22">
        <f t="shared" si="34"/>
        <v>0.0</v>
      </c>
      <c r="O614" s="22">
        <f t="shared" si="35"/>
        <v>0.0</v>
      </c>
      <c r="P614" s="22">
        <f t="shared" si="36"/>
        <v>0.0</v>
      </c>
      <c r="Q614" s="57"/>
      <c r="R614" s="58"/>
    </row>
    <row r="615" spans="8:8">
      <c r="B615" s="8">
        <v>606.0</v>
      </c>
      <c r="C615" s="8" t="s">
        <v>766</v>
      </c>
      <c r="D615" s="8"/>
      <c r="E615" s="8"/>
      <c r="F615" s="8"/>
      <c r="G615" s="8"/>
      <c r="H615" s="8"/>
      <c r="I615" s="55"/>
      <c r="J615" s="60" t="s">
        <v>7501</v>
      </c>
      <c r="K615" s="22">
        <v>0.0</v>
      </c>
      <c r="L615" s="22">
        <f>+SUMIF('حركه المخزن الرئيسي اليوميه'!$F:$F,$H:$H,'حركه المخزن الرئيسي اليوميه'!$H:$H)</f>
        <v>0.0</v>
      </c>
      <c r="M615" s="22">
        <f>+SUMIF('حركه المخزن الرئيسي اليوميه'!$F:$F,$H:$H,'حركه المخزن الرئيسي اليوميه'!$I:$I)</f>
        <v>0.0</v>
      </c>
      <c r="N615" s="22">
        <f t="shared" si="34"/>
        <v>0.0</v>
      </c>
      <c r="O615" s="22">
        <f t="shared" si="35"/>
        <v>0.0</v>
      </c>
      <c r="P615" s="22">
        <f t="shared" si="36"/>
        <v>0.0</v>
      </c>
      <c r="Q615" s="57"/>
      <c r="R615" s="58"/>
    </row>
    <row r="616" spans="8:8">
      <c r="B616" s="8">
        <v>607.0</v>
      </c>
      <c r="C616" s="8" t="s">
        <v>766</v>
      </c>
      <c r="D616" s="8"/>
      <c r="E616" s="8"/>
      <c r="F616" s="8"/>
      <c r="G616" s="8"/>
      <c r="H616" s="8"/>
      <c r="I616" s="55"/>
      <c r="J616" s="60" t="s">
        <v>7502</v>
      </c>
      <c r="K616" s="22">
        <v>0.0</v>
      </c>
      <c r="L616" s="22">
        <f>+SUMIF('حركه المخزن الرئيسي اليوميه'!$F:$F,$H:$H,'حركه المخزن الرئيسي اليوميه'!$H:$H)</f>
        <v>0.0</v>
      </c>
      <c r="M616" s="22">
        <f>+SUMIF('حركه المخزن الرئيسي اليوميه'!$F:$F,$H:$H,'حركه المخزن الرئيسي اليوميه'!$I:$I)</f>
        <v>0.0</v>
      </c>
      <c r="N616" s="22">
        <f t="shared" si="34"/>
        <v>0.0</v>
      </c>
      <c r="O616" s="22">
        <f t="shared" si="35"/>
        <v>0.0</v>
      </c>
      <c r="P616" s="22">
        <f t="shared" si="36"/>
        <v>0.0</v>
      </c>
      <c r="Q616" s="57"/>
      <c r="R616" s="58"/>
    </row>
    <row r="617" spans="8:8">
      <c r="B617" s="8">
        <v>608.0</v>
      </c>
      <c r="C617" s="8" t="s">
        <v>766</v>
      </c>
      <c r="D617" s="8"/>
      <c r="E617" s="8"/>
      <c r="F617" s="8"/>
      <c r="G617" s="8"/>
      <c r="H617" s="8"/>
      <c r="I617" s="55"/>
      <c r="J617" s="60" t="s">
        <v>7503</v>
      </c>
      <c r="K617" s="22">
        <v>0.0</v>
      </c>
      <c r="L617" s="22">
        <f>+SUMIF('حركه المخزن الرئيسي اليوميه'!$F:$F,$H:$H,'حركه المخزن الرئيسي اليوميه'!$H:$H)</f>
        <v>0.0</v>
      </c>
      <c r="M617" s="22">
        <f>+SUMIF('حركه المخزن الرئيسي اليوميه'!$F:$F,$H:$H,'حركه المخزن الرئيسي اليوميه'!$I:$I)</f>
        <v>0.0</v>
      </c>
      <c r="N617" s="22">
        <f t="shared" si="34"/>
        <v>0.0</v>
      </c>
      <c r="O617" s="22">
        <f t="shared" si="35"/>
        <v>0.0</v>
      </c>
      <c r="P617" s="22">
        <f t="shared" si="36"/>
        <v>0.0</v>
      </c>
      <c r="Q617" s="57"/>
      <c r="R617" s="58"/>
    </row>
    <row r="618" spans="8:8">
      <c r="B618" s="8">
        <v>609.0</v>
      </c>
      <c r="C618" s="8" t="s">
        <v>766</v>
      </c>
      <c r="D618" s="8"/>
      <c r="E618" s="8"/>
      <c r="F618" s="8"/>
      <c r="G618" s="8"/>
      <c r="H618" s="8"/>
      <c r="I618" s="55"/>
      <c r="J618" s="60" t="s">
        <v>7504</v>
      </c>
      <c r="K618" s="22">
        <v>0.0</v>
      </c>
      <c r="L618" s="22">
        <f>+SUMIF('حركه المخزن الرئيسي اليوميه'!$F:$F,$H:$H,'حركه المخزن الرئيسي اليوميه'!$H:$H)</f>
        <v>0.0</v>
      </c>
      <c r="M618" s="22">
        <f>+SUMIF('حركه المخزن الرئيسي اليوميه'!$F:$F,$H:$H,'حركه المخزن الرئيسي اليوميه'!$I:$I)</f>
        <v>0.0</v>
      </c>
      <c r="N618" s="22">
        <f t="shared" si="34"/>
        <v>0.0</v>
      </c>
      <c r="O618" s="22">
        <f t="shared" si="35"/>
        <v>0.0</v>
      </c>
      <c r="P618" s="22">
        <f t="shared" si="36"/>
        <v>0.0</v>
      </c>
      <c r="Q618" s="57"/>
      <c r="R618" s="58"/>
    </row>
    <row r="619" spans="8:8">
      <c r="B619" s="8">
        <v>610.0</v>
      </c>
      <c r="C619" s="8" t="s">
        <v>766</v>
      </c>
      <c r="D619" s="8"/>
      <c r="E619" s="8"/>
      <c r="F619" s="8"/>
      <c r="G619" s="8"/>
      <c r="H619" s="8"/>
      <c r="I619" s="55"/>
      <c r="J619" s="60" t="s">
        <v>7505</v>
      </c>
      <c r="K619" s="22">
        <v>0.0</v>
      </c>
      <c r="L619" s="22">
        <f>+SUMIF('حركه المخزن الرئيسي اليوميه'!$F:$F,$H:$H,'حركه المخزن الرئيسي اليوميه'!$H:$H)</f>
        <v>0.0</v>
      </c>
      <c r="M619" s="22">
        <f>+SUMIF('حركه المخزن الرئيسي اليوميه'!$F:$F,$H:$H,'حركه المخزن الرئيسي اليوميه'!$I:$I)</f>
        <v>0.0</v>
      </c>
      <c r="N619" s="22">
        <f t="shared" si="34"/>
        <v>0.0</v>
      </c>
      <c r="O619" s="22">
        <f t="shared" si="35"/>
        <v>0.0</v>
      </c>
      <c r="P619" s="22">
        <f t="shared" si="36"/>
        <v>0.0</v>
      </c>
      <c r="Q619" s="57"/>
      <c r="R619" s="58"/>
    </row>
    <row r="620" spans="8:8">
      <c r="B620" s="8">
        <v>611.0</v>
      </c>
      <c r="C620" s="8" t="s">
        <v>766</v>
      </c>
      <c r="D620" s="8"/>
      <c r="E620" s="8"/>
      <c r="F620" s="8"/>
      <c r="G620" s="8"/>
      <c r="H620" s="8"/>
      <c r="I620" s="55"/>
      <c r="J620" s="60" t="s">
        <v>7506</v>
      </c>
      <c r="K620" s="22">
        <v>0.0</v>
      </c>
      <c r="L620" s="22">
        <f>+SUMIF('حركه المخزن الرئيسي اليوميه'!$F:$F,$H:$H,'حركه المخزن الرئيسي اليوميه'!$H:$H)</f>
        <v>0.0</v>
      </c>
      <c r="M620" s="22">
        <f>+SUMIF('حركه المخزن الرئيسي اليوميه'!$F:$F,$H:$H,'حركه المخزن الرئيسي اليوميه'!$I:$I)</f>
        <v>0.0</v>
      </c>
      <c r="N620" s="22">
        <f t="shared" si="34"/>
        <v>0.0</v>
      </c>
      <c r="O620" s="22">
        <f t="shared" si="35"/>
        <v>0.0</v>
      </c>
      <c r="P620" s="22">
        <f t="shared" si="36"/>
        <v>0.0</v>
      </c>
      <c r="Q620" s="57"/>
      <c r="R620" s="58"/>
    </row>
    <row r="621" spans="8:8">
      <c r="B621" s="8">
        <v>612.0</v>
      </c>
      <c r="C621" s="8" t="s">
        <v>766</v>
      </c>
      <c r="D621" s="8"/>
      <c r="E621" s="8"/>
      <c r="F621" s="8"/>
      <c r="G621" s="8"/>
      <c r="H621" s="8"/>
      <c r="I621" s="55"/>
      <c r="J621" s="60" t="s">
        <v>7507</v>
      </c>
      <c r="K621" s="22">
        <v>0.0</v>
      </c>
      <c r="L621" s="22">
        <f>+SUMIF('حركه المخزن الرئيسي اليوميه'!$F:$F,$H:$H,'حركه المخزن الرئيسي اليوميه'!$H:$H)</f>
        <v>0.0</v>
      </c>
      <c r="M621" s="22">
        <f>+SUMIF('حركه المخزن الرئيسي اليوميه'!$F:$F,$H:$H,'حركه المخزن الرئيسي اليوميه'!$I:$I)</f>
        <v>0.0</v>
      </c>
      <c r="N621" s="22">
        <f t="shared" si="34"/>
        <v>0.0</v>
      </c>
      <c r="O621" s="22">
        <f t="shared" si="35"/>
        <v>0.0</v>
      </c>
      <c r="P621" s="22">
        <f t="shared" si="36"/>
        <v>0.0</v>
      </c>
      <c r="Q621" s="57"/>
      <c r="R621" s="58"/>
    </row>
    <row r="622" spans="8:8">
      <c r="B622" s="8">
        <v>613.0</v>
      </c>
      <c r="C622" s="8" t="s">
        <v>766</v>
      </c>
      <c r="D622" s="8"/>
      <c r="E622" s="8"/>
      <c r="F622" s="8"/>
      <c r="G622" s="8"/>
      <c r="H622" s="8"/>
      <c r="I622" s="55"/>
      <c r="J622" s="60" t="s">
        <v>7508</v>
      </c>
      <c r="K622" s="22">
        <v>0.0</v>
      </c>
      <c r="L622" s="22">
        <f>+SUMIF('حركه المخزن الرئيسي اليوميه'!$F:$F,$H:$H,'حركه المخزن الرئيسي اليوميه'!$H:$H)</f>
        <v>0.0</v>
      </c>
      <c r="M622" s="22">
        <f>+SUMIF('حركه المخزن الرئيسي اليوميه'!$F:$F,$H:$H,'حركه المخزن الرئيسي اليوميه'!$I:$I)</f>
        <v>0.0</v>
      </c>
      <c r="N622" s="22">
        <f t="shared" si="34"/>
        <v>0.0</v>
      </c>
      <c r="O622" s="22">
        <f t="shared" si="35"/>
        <v>0.0</v>
      </c>
      <c r="P622" s="22">
        <f t="shared" si="36"/>
        <v>0.0</v>
      </c>
      <c r="Q622" s="57"/>
      <c r="R622" s="58"/>
    </row>
    <row r="623" spans="8:8">
      <c r="B623" s="8">
        <v>614.0</v>
      </c>
      <c r="C623" s="8" t="s">
        <v>766</v>
      </c>
      <c r="D623" s="8"/>
      <c r="E623" s="8"/>
      <c r="F623" s="8"/>
      <c r="G623" s="8"/>
      <c r="H623" s="8"/>
      <c r="I623" s="55"/>
      <c r="J623" s="60" t="s">
        <v>7509</v>
      </c>
      <c r="K623" s="22">
        <v>0.0</v>
      </c>
      <c r="L623" s="22">
        <f>+SUMIF('حركه المخزن الرئيسي اليوميه'!$F:$F,$H:$H,'حركه المخزن الرئيسي اليوميه'!$H:$H)</f>
        <v>0.0</v>
      </c>
      <c r="M623" s="22">
        <f>+SUMIF('حركه المخزن الرئيسي اليوميه'!$F:$F,$H:$H,'حركه المخزن الرئيسي اليوميه'!$I:$I)</f>
        <v>0.0</v>
      </c>
      <c r="N623" s="22">
        <f t="shared" si="34"/>
        <v>0.0</v>
      </c>
      <c r="O623" s="22">
        <f t="shared" si="35"/>
        <v>0.0</v>
      </c>
      <c r="P623" s="22">
        <f t="shared" si="36"/>
        <v>0.0</v>
      </c>
      <c r="Q623" s="57"/>
      <c r="R623" s="58"/>
    </row>
    <row r="624" spans="8:8">
      <c r="B624" s="8">
        <v>615.0</v>
      </c>
      <c r="C624" s="8" t="s">
        <v>766</v>
      </c>
      <c r="D624" s="8"/>
      <c r="E624" s="8"/>
      <c r="F624" s="8"/>
      <c r="G624" s="8"/>
      <c r="H624" s="8"/>
      <c r="I624" s="55"/>
      <c r="J624" s="60" t="s">
        <v>7510</v>
      </c>
      <c r="K624" s="22">
        <v>0.0</v>
      </c>
      <c r="L624" s="22">
        <f>+SUMIF('حركه المخزن الرئيسي اليوميه'!$F:$F,$H:$H,'حركه المخزن الرئيسي اليوميه'!$H:$H)</f>
        <v>0.0</v>
      </c>
      <c r="M624" s="22">
        <f>+SUMIF('حركه المخزن الرئيسي اليوميه'!$F:$F,$H:$H,'حركه المخزن الرئيسي اليوميه'!$I:$I)</f>
        <v>0.0</v>
      </c>
      <c r="N624" s="22">
        <f t="shared" si="34"/>
        <v>0.0</v>
      </c>
      <c r="O624" s="22">
        <f t="shared" si="35"/>
        <v>0.0</v>
      </c>
      <c r="P624" s="22">
        <f t="shared" si="36"/>
        <v>0.0</v>
      </c>
      <c r="Q624" s="57"/>
      <c r="R624" s="58"/>
    </row>
    <row r="625" spans="8:8">
      <c r="B625" s="8">
        <v>616.0</v>
      </c>
      <c r="C625" s="8" t="s">
        <v>766</v>
      </c>
      <c r="D625" s="8"/>
      <c r="E625" s="8"/>
      <c r="F625" s="8"/>
      <c r="G625" s="8"/>
      <c r="H625" s="8"/>
      <c r="I625" s="55"/>
      <c r="J625" s="60" t="s">
        <v>7511</v>
      </c>
      <c r="K625" s="22">
        <v>0.0</v>
      </c>
      <c r="L625" s="22">
        <f>+SUMIF('حركه المخزن الرئيسي اليوميه'!$F:$F,$H:$H,'حركه المخزن الرئيسي اليوميه'!$H:$H)</f>
        <v>0.0</v>
      </c>
      <c r="M625" s="22">
        <f>+SUMIF('حركه المخزن الرئيسي اليوميه'!$F:$F,$H:$H,'حركه المخزن الرئيسي اليوميه'!$I:$I)</f>
        <v>0.0</v>
      </c>
      <c r="N625" s="22">
        <f t="shared" si="34"/>
        <v>0.0</v>
      </c>
      <c r="O625" s="22">
        <f t="shared" si="35"/>
        <v>0.0</v>
      </c>
      <c r="P625" s="22">
        <f t="shared" si="36"/>
        <v>0.0</v>
      </c>
      <c r="Q625" s="57"/>
      <c r="R625" s="58"/>
    </row>
    <row r="626" spans="8:8">
      <c r="B626" s="8">
        <v>617.0</v>
      </c>
      <c r="C626" s="8" t="s">
        <v>766</v>
      </c>
      <c r="D626" s="8"/>
      <c r="E626" s="8"/>
      <c r="F626" s="8"/>
      <c r="G626" s="8"/>
      <c r="H626" s="8"/>
      <c r="I626" s="55"/>
      <c r="J626" s="60" t="s">
        <v>7512</v>
      </c>
      <c r="K626" s="22">
        <v>0.0</v>
      </c>
      <c r="L626" s="22">
        <f>+SUMIF('حركه المخزن الرئيسي اليوميه'!$F:$F,$H:$H,'حركه المخزن الرئيسي اليوميه'!$H:$H)</f>
        <v>0.0</v>
      </c>
      <c r="M626" s="22">
        <f>+SUMIF('حركه المخزن الرئيسي اليوميه'!$F:$F,$H:$H,'حركه المخزن الرئيسي اليوميه'!$I:$I)</f>
        <v>0.0</v>
      </c>
      <c r="N626" s="22">
        <f t="shared" si="34"/>
        <v>0.0</v>
      </c>
      <c r="O626" s="22">
        <f t="shared" si="35"/>
        <v>0.0</v>
      </c>
      <c r="P626" s="22">
        <f t="shared" si="36"/>
        <v>0.0</v>
      </c>
      <c r="Q626" s="57"/>
      <c r="R626" s="58"/>
    </row>
    <row r="627" spans="8:8">
      <c r="B627" s="8">
        <v>618.0</v>
      </c>
      <c r="C627" s="8" t="s">
        <v>766</v>
      </c>
      <c r="D627" s="8"/>
      <c r="E627" s="8"/>
      <c r="F627" s="8"/>
      <c r="G627" s="8"/>
      <c r="H627" s="8"/>
      <c r="I627" s="55"/>
      <c r="J627" s="60" t="s">
        <v>7513</v>
      </c>
      <c r="K627" s="22">
        <v>0.0</v>
      </c>
      <c r="L627" s="22">
        <f>+SUMIF('حركه المخزن الرئيسي اليوميه'!$F:$F,$H:$H,'حركه المخزن الرئيسي اليوميه'!$H:$H)</f>
        <v>0.0</v>
      </c>
      <c r="M627" s="22">
        <f>+SUMIF('حركه المخزن الرئيسي اليوميه'!$F:$F,$H:$H,'حركه المخزن الرئيسي اليوميه'!$I:$I)</f>
        <v>0.0</v>
      </c>
      <c r="N627" s="22">
        <f t="shared" si="34"/>
        <v>0.0</v>
      </c>
      <c r="O627" s="22">
        <f t="shared" si="35"/>
        <v>0.0</v>
      </c>
      <c r="P627" s="22">
        <f t="shared" si="36"/>
        <v>0.0</v>
      </c>
      <c r="Q627" s="57"/>
      <c r="R627" s="58"/>
    </row>
    <row r="628" spans="8:8">
      <c r="B628" s="8">
        <v>619.0</v>
      </c>
      <c r="C628" s="8" t="s">
        <v>766</v>
      </c>
      <c r="D628" s="8"/>
      <c r="E628" s="8"/>
      <c r="F628" s="8"/>
      <c r="G628" s="8"/>
      <c r="H628" s="8"/>
      <c r="I628" s="55"/>
      <c r="J628" s="60" t="s">
        <v>7514</v>
      </c>
      <c r="K628" s="22">
        <v>0.0</v>
      </c>
      <c r="L628" s="22">
        <f>+SUMIF('حركه المخزن الرئيسي اليوميه'!$F:$F,$H:$H,'حركه المخزن الرئيسي اليوميه'!$H:$H)</f>
        <v>0.0</v>
      </c>
      <c r="M628" s="22">
        <f>+SUMIF('حركه المخزن الرئيسي اليوميه'!$F:$F,$H:$H,'حركه المخزن الرئيسي اليوميه'!$I:$I)</f>
        <v>0.0</v>
      </c>
      <c r="N628" s="22">
        <f t="shared" si="34"/>
        <v>0.0</v>
      </c>
      <c r="O628" s="22">
        <f t="shared" si="35"/>
        <v>0.0</v>
      </c>
      <c r="P628" s="22">
        <f t="shared" si="36"/>
        <v>0.0</v>
      </c>
      <c r="Q628" s="57"/>
      <c r="R628" s="58"/>
    </row>
    <row r="629" spans="8:8">
      <c r="B629" s="8">
        <v>620.0</v>
      </c>
      <c r="C629" s="8" t="s">
        <v>766</v>
      </c>
      <c r="D629" s="8"/>
      <c r="E629" s="8"/>
      <c r="F629" s="8"/>
      <c r="G629" s="8"/>
      <c r="H629" s="8"/>
      <c r="I629" s="55"/>
      <c r="J629" s="60" t="s">
        <v>7515</v>
      </c>
      <c r="K629" s="22">
        <v>0.0</v>
      </c>
      <c r="L629" s="22">
        <f>+SUMIF('حركه المخزن الرئيسي اليوميه'!$F:$F,$H:$H,'حركه المخزن الرئيسي اليوميه'!$H:$H)</f>
        <v>0.0</v>
      </c>
      <c r="M629" s="22">
        <f>+SUMIF('حركه المخزن الرئيسي اليوميه'!$F:$F,$H:$H,'حركه المخزن الرئيسي اليوميه'!$I:$I)</f>
        <v>0.0</v>
      </c>
      <c r="N629" s="22">
        <f t="shared" si="34"/>
        <v>0.0</v>
      </c>
      <c r="O629" s="22">
        <f t="shared" si="35"/>
        <v>0.0</v>
      </c>
      <c r="P629" s="22">
        <f t="shared" si="36"/>
        <v>0.0</v>
      </c>
      <c r="Q629" s="57"/>
      <c r="R629" s="58"/>
    </row>
    <row r="630" spans="8:8">
      <c r="B630" s="8">
        <v>621.0</v>
      </c>
      <c r="C630" s="8" t="s">
        <v>766</v>
      </c>
      <c r="D630" s="8"/>
      <c r="E630" s="8"/>
      <c r="F630" s="8"/>
      <c r="G630" s="8"/>
      <c r="H630" s="8"/>
      <c r="I630" s="55"/>
      <c r="J630" s="60" t="s">
        <v>7516</v>
      </c>
      <c r="K630" s="22">
        <v>0.0</v>
      </c>
      <c r="L630" s="22">
        <f>+SUMIF('حركه المخزن الرئيسي اليوميه'!$F:$F,$H:$H,'حركه المخزن الرئيسي اليوميه'!$H:$H)</f>
        <v>0.0</v>
      </c>
      <c r="M630" s="22">
        <f>+SUMIF('حركه المخزن الرئيسي اليوميه'!$F:$F,$H:$H,'حركه المخزن الرئيسي اليوميه'!$I:$I)</f>
        <v>0.0</v>
      </c>
      <c r="N630" s="22">
        <f t="shared" si="34"/>
        <v>0.0</v>
      </c>
      <c r="O630" s="22">
        <f t="shared" si="35"/>
        <v>0.0</v>
      </c>
      <c r="P630" s="22">
        <f t="shared" si="36"/>
        <v>0.0</v>
      </c>
      <c r="Q630" s="57"/>
      <c r="R630" s="58"/>
    </row>
    <row r="631" spans="8:8">
      <c r="B631" s="8">
        <v>622.0</v>
      </c>
      <c r="C631" s="8" t="s">
        <v>766</v>
      </c>
      <c r="D631" s="8"/>
      <c r="E631" s="8"/>
      <c r="F631" s="8"/>
      <c r="G631" s="8"/>
      <c r="H631" s="8"/>
      <c r="I631" s="55"/>
      <c r="J631" s="60" t="s">
        <v>7517</v>
      </c>
      <c r="K631" s="22">
        <v>0.0</v>
      </c>
      <c r="L631" s="22">
        <f>+SUMIF('حركه المخزن الرئيسي اليوميه'!$F:$F,$H:$H,'حركه المخزن الرئيسي اليوميه'!$H:$H)</f>
        <v>0.0</v>
      </c>
      <c r="M631" s="22">
        <f>+SUMIF('حركه المخزن الرئيسي اليوميه'!$F:$F,$H:$H,'حركه المخزن الرئيسي اليوميه'!$I:$I)</f>
        <v>0.0</v>
      </c>
      <c r="N631" s="22">
        <f t="shared" si="34"/>
        <v>0.0</v>
      </c>
      <c r="O631" s="22">
        <f t="shared" si="35"/>
        <v>0.0</v>
      </c>
      <c r="P631" s="22">
        <f t="shared" si="36"/>
        <v>0.0</v>
      </c>
      <c r="Q631" s="57"/>
      <c r="R631" s="58"/>
    </row>
    <row r="632" spans="8:8">
      <c r="B632" s="8">
        <v>623.0</v>
      </c>
      <c r="C632" s="8" t="s">
        <v>766</v>
      </c>
      <c r="D632" s="8"/>
      <c r="E632" s="8"/>
      <c r="F632" s="8"/>
      <c r="G632" s="8"/>
      <c r="H632" s="8"/>
      <c r="I632" s="55"/>
      <c r="J632" s="60" t="s">
        <v>7518</v>
      </c>
      <c r="K632" s="22">
        <v>0.0</v>
      </c>
      <c r="L632" s="22">
        <f>+SUMIF('حركه المخزن الرئيسي اليوميه'!$F:$F,$H:$H,'حركه المخزن الرئيسي اليوميه'!$H:$H)</f>
        <v>0.0</v>
      </c>
      <c r="M632" s="22">
        <f>+SUMIF('حركه المخزن الرئيسي اليوميه'!$F:$F,$H:$H,'حركه المخزن الرئيسي اليوميه'!$I:$I)</f>
        <v>0.0</v>
      </c>
      <c r="N632" s="22">
        <f t="shared" si="34"/>
        <v>0.0</v>
      </c>
      <c r="O632" s="22">
        <f t="shared" si="35"/>
        <v>0.0</v>
      </c>
      <c r="P632" s="22">
        <f t="shared" si="36"/>
        <v>0.0</v>
      </c>
      <c r="Q632" s="57"/>
      <c r="R632" s="58"/>
    </row>
    <row r="633" spans="8:8">
      <c r="B633" s="8">
        <v>624.0</v>
      </c>
      <c r="C633" s="8" t="s">
        <v>766</v>
      </c>
      <c r="D633" s="8"/>
      <c r="E633" s="8"/>
      <c r="F633" s="8"/>
      <c r="G633" s="8"/>
      <c r="H633" s="8"/>
      <c r="I633" s="55"/>
      <c r="J633" s="60" t="s">
        <v>7519</v>
      </c>
      <c r="K633" s="22">
        <v>0.0</v>
      </c>
      <c r="L633" s="22">
        <f>+SUMIF('حركه المخزن الرئيسي اليوميه'!$F:$F,$H:$H,'حركه المخزن الرئيسي اليوميه'!$H:$H)</f>
        <v>0.0</v>
      </c>
      <c r="M633" s="22">
        <f>+SUMIF('حركه المخزن الرئيسي اليوميه'!$F:$F,$H:$H,'حركه المخزن الرئيسي اليوميه'!$I:$I)</f>
        <v>0.0</v>
      </c>
      <c r="N633" s="22">
        <f t="shared" si="34"/>
        <v>0.0</v>
      </c>
      <c r="O633" s="22">
        <f t="shared" si="35"/>
        <v>0.0</v>
      </c>
      <c r="P633" s="22">
        <f t="shared" si="36"/>
        <v>0.0</v>
      </c>
      <c r="Q633" s="57"/>
      <c r="R633" s="58"/>
    </row>
  </sheetData>
  <autoFilter ref="A9:R633">
    <filterColumn colId="0" showButton="1"/>
  </autoFilter>
  <mergeCells count="3">
    <mergeCell ref="M2:N3"/>
    <mergeCell ref="K8:O8"/>
    <mergeCell ref="R8:R9"/>
  </mergeCells>
  <printOptions horizontalCentered="1"/>
  <pageMargins left="0.25" right="0.25" top="0.75" bottom="0.75" header="0.3" footer="0.3"/>
  <pageSetup paperSize="9" scale="73" orientation="landscape"/>
  <headerFooter>
    <oddFooter>&amp;C&amp;P</oddFooter>
  </headerFooter>
  <drawing r:id="rId1"/>
  <legacyDrawing r:id="rId2"/>
</worksheet>
</file>

<file path=xl/worksheets/sheet4.xml><?xml version="1.0" encoding="utf-8"?>
<worksheet xmlns:r="http://schemas.openxmlformats.org/officeDocument/2006/relationships" xmlns="http://schemas.openxmlformats.org/spreadsheetml/2006/main">
  <sheetPr>
    <tabColor rgb="FFFF0000"/>
    <pageSetUpPr fitToPage="1"/>
  </sheetPr>
  <dimension ref="A1:S2994"/>
  <sheetViews>
    <sheetView tabSelected="1" workbookViewId="0" rightToLeft="1" topLeftCell="C1" zoomScale="62">
      <pane xSplit="2" ySplit="9" topLeftCell="E10" state="frozen" activePane="bottomRight"/>
      <selection pane="bottomRight" activeCell="C10" sqref="C1:C1048576"/>
    </sheetView>
  </sheetViews>
  <sheetFormatPr defaultRowHeight="15.0" defaultColWidth="9"/>
  <cols>
    <col min="1" max="1" customWidth="1" width="1.375" style="1"/>
    <col min="2" max="2" customWidth="1" bestFit="1" width="10.25" style="2"/>
    <col min="3" max="3" customWidth="1" width="10.0" style="2"/>
    <col min="4" max="4" customWidth="1" bestFit="1" width="11.0" style="2"/>
    <col min="5" max="5" customWidth="1" width="40.875" style="2"/>
    <col min="6" max="6" customWidth="1" width="8.125" style="2"/>
    <col min="7" max="7" customWidth="1" width="41.625" style="2"/>
    <col min="8" max="8" customWidth="1" width="48.75" style="1"/>
    <col min="9" max="9" customWidth="1" bestFit="1" width="19.25" style="2"/>
    <col min="10" max="10" customWidth="1" width="13.0" style="3"/>
    <col min="11" max="11" customWidth="1" width="10.625" style="4"/>
    <col min="12" max="12" customWidth="1" width="9.25" style="4"/>
    <col min="13" max="13" customWidth="1" width="9.375" style="4"/>
    <col min="14" max="14" customWidth="1" bestFit="1" width="10.875" style="4"/>
    <col min="15" max="16" customWidth="1" width="9.25" style="4"/>
    <col min="17" max="17" customWidth="1" width="11.75" style="5"/>
    <col min="18" max="18" customWidth="1" bestFit="1" width="28.0" style="6"/>
    <col min="19" max="16384" customWidth="0" width="9.125" style="1"/>
  </cols>
  <sheetData>
    <row r="1" spans="8:8" ht="16.5">
      <c r="A1" s="7"/>
      <c r="B1" s="8"/>
      <c r="C1" s="8"/>
      <c r="D1" s="8"/>
      <c r="E1" s="8"/>
      <c r="F1" s="8"/>
      <c r="G1" s="8"/>
      <c r="H1" s="9"/>
      <c r="I1" s="8"/>
      <c r="J1" s="10"/>
      <c r="K1" s="11"/>
      <c r="L1" s="11"/>
      <c r="M1" s="12"/>
      <c r="N1" s="12"/>
      <c r="O1" s="11"/>
      <c r="P1" s="11"/>
      <c r="Q1" s="13"/>
      <c r="R1" s="14"/>
    </row>
    <row r="2" spans="8:8" ht="15.75">
      <c r="A2" s="7"/>
      <c r="B2" s="8"/>
      <c r="H2" s="9"/>
      <c r="I2" s="8"/>
      <c r="J2" s="10"/>
      <c r="K2" s="11"/>
      <c r="L2" s="15"/>
      <c r="M2" s="65" t="s">
        <v>8201</v>
      </c>
      <c r="N2" s="66"/>
      <c r="O2" s="18"/>
      <c r="P2" s="11"/>
      <c r="Q2" s="13"/>
      <c r="R2" s="14"/>
    </row>
    <row r="3" spans="8:8" ht="16.5">
      <c r="A3" s="7"/>
      <c r="B3" s="8"/>
      <c r="C3" s="8"/>
      <c r="D3" s="8"/>
      <c r="E3" s="55"/>
      <c r="F3" s="55"/>
      <c r="G3" s="8"/>
      <c r="H3" s="9"/>
      <c r="I3" s="55"/>
      <c r="J3" s="10"/>
      <c r="K3" s="11"/>
      <c r="L3" s="15"/>
      <c r="M3" s="67"/>
      <c r="N3" s="68"/>
      <c r="O3" s="18"/>
      <c r="P3" s="11"/>
      <c r="Q3" s="13"/>
      <c r="R3" s="14"/>
    </row>
    <row r="4" spans="8:8" ht="15.75">
      <c r="A4" s="7"/>
      <c r="B4" s="54">
        <v>337.0</v>
      </c>
      <c r="C4" s="8"/>
      <c r="D4" s="8"/>
      <c r="E4" s="8"/>
      <c r="F4" s="8"/>
      <c r="G4" s="8"/>
      <c r="H4" s="9"/>
      <c r="I4" s="8"/>
      <c r="J4" s="10"/>
      <c r="K4" s="11"/>
      <c r="L4" s="11"/>
      <c r="M4" s="22"/>
      <c r="N4" s="22"/>
      <c r="O4" s="11"/>
      <c r="P4" s="11"/>
      <c r="Q4" s="11"/>
      <c r="R4" s="14"/>
    </row>
    <row r="5" spans="8:8">
      <c r="A5" s="7"/>
      <c r="B5" s="7"/>
      <c r="C5" s="7"/>
      <c r="D5" s="7"/>
      <c r="E5" s="7"/>
      <c r="F5" s="7" t="s">
        <v>1436</v>
      </c>
      <c r="G5" s="7"/>
      <c r="H5" s="8"/>
      <c r="I5" s="55"/>
      <c r="J5" s="10"/>
      <c r="K5" s="11"/>
      <c r="L5" s="11"/>
      <c r="M5" s="11"/>
      <c r="N5" s="11"/>
      <c r="O5" s="11"/>
      <c r="P5" s="11"/>
      <c r="Q5" s="13"/>
      <c r="R5" s="14"/>
    </row>
    <row r="6" spans="8:8" ht="19.5">
      <c r="A6" s="7"/>
      <c r="B6" s="24"/>
      <c r="C6" s="8"/>
      <c r="D6" s="8"/>
      <c r="E6" s="75" t="s">
        <v>1542</v>
      </c>
      <c r="F6" s="28"/>
      <c r="G6" s="28"/>
      <c r="H6" s="9"/>
      <c r="I6" s="8"/>
      <c r="J6" s="76"/>
      <c r="K6" s="30"/>
      <c r="L6" s="31"/>
      <c r="M6" s="31"/>
      <c r="N6" s="31"/>
      <c r="O6" s="31"/>
      <c r="P6" s="31"/>
      <c r="Q6" s="24"/>
      <c r="R6" s="14"/>
    </row>
    <row r="7" spans="8:8" ht="19.5">
      <c r="A7" s="7"/>
      <c r="B7" s="24"/>
      <c r="C7" s="24"/>
      <c r="D7" s="32"/>
      <c r="E7" s="26" t="s">
        <v>3645</v>
      </c>
      <c r="F7" s="27"/>
      <c r="G7" s="28"/>
      <c r="H7" s="9"/>
      <c r="I7" s="24"/>
      <c r="J7" s="76"/>
      <c r="K7" s="33"/>
      <c r="L7" s="34"/>
      <c r="M7" s="34"/>
      <c r="N7" s="34"/>
      <c r="O7" s="34"/>
      <c r="P7" s="31"/>
      <c r="Q7" s="24"/>
      <c r="R7" s="35"/>
    </row>
    <row r="8" spans="8:8" ht="16.5">
      <c r="E8" s="36"/>
      <c r="H8" s="37"/>
      <c r="K8" s="38" t="s">
        <v>1</v>
      </c>
      <c r="L8" s="39"/>
      <c r="M8" s="39"/>
      <c r="N8" s="39"/>
      <c r="O8" s="40"/>
      <c r="P8" s="41"/>
      <c r="Q8" s="42"/>
      <c r="R8" s="43" t="s">
        <v>3914</v>
      </c>
    </row>
    <row r="9" spans="8:8" ht="65.25" customHeight="1">
      <c r="A9" s="44"/>
      <c r="B9" s="45" t="s">
        <v>8</v>
      </c>
      <c r="C9" s="45" t="s">
        <v>18</v>
      </c>
      <c r="D9" s="45" t="s">
        <v>653</v>
      </c>
      <c r="E9" s="46" t="s">
        <v>1678</v>
      </c>
      <c r="F9" s="46" t="s">
        <v>3214</v>
      </c>
      <c r="G9" s="46" t="s">
        <v>1679</v>
      </c>
      <c r="H9" s="47" t="s">
        <v>1872</v>
      </c>
      <c r="I9" s="48" t="s">
        <v>4</v>
      </c>
      <c r="J9" s="77" t="s">
        <v>3625</v>
      </c>
      <c r="K9" s="50" t="s">
        <v>10</v>
      </c>
      <c r="L9" s="50" t="s">
        <v>1441</v>
      </c>
      <c r="M9" s="50" t="s">
        <v>7</v>
      </c>
      <c r="N9" s="50" t="s">
        <v>1015</v>
      </c>
      <c r="O9" s="52" t="s">
        <v>3915</v>
      </c>
      <c r="P9" s="51" t="s">
        <v>3</v>
      </c>
      <c r="Q9" s="52" t="s">
        <v>3915</v>
      </c>
      <c r="R9" s="53"/>
    </row>
    <row r="10" spans="8:8" ht="15.0" customHeight="1">
      <c r="B10" s="54">
        <v>1.0</v>
      </c>
      <c r="C10" s="8" t="s">
        <v>8351</v>
      </c>
      <c r="D10" s="8" t="s">
        <v>1013</v>
      </c>
      <c r="E10" s="8" t="s">
        <v>218</v>
      </c>
      <c r="F10" s="8" t="s">
        <v>68</v>
      </c>
      <c r="G10" s="8" t="s">
        <v>1800</v>
      </c>
      <c r="H10" s="8" t="s">
        <v>1344</v>
      </c>
      <c r="I10" s="55" t="s">
        <v>219</v>
      </c>
      <c r="J10" s="78" t="s">
        <v>3925</v>
      </c>
      <c r="K10" s="22">
        <v>0.0</v>
      </c>
      <c r="L10" s="22">
        <f>+SUMIF('حركه المخزن الرئيسي اليوميه'!$F:$F,$H:$H,'حركه المخزن الرئيسي اليوميه'!$H:$H)</f>
        <v>0.0</v>
      </c>
      <c r="M10" s="22">
        <f>+SUMIF('حركه المخزن الرئيسي اليوميه'!$F:$F,$H:$H,'حركه المخزن الرئيسي اليوميه'!$I:$I)</f>
        <v>0.0</v>
      </c>
      <c r="N10" s="22">
        <f>+K10+L10-M10</f>
        <v>0.0</v>
      </c>
      <c r="O10" s="22">
        <f>+N10</f>
        <v>0.0</v>
      </c>
      <c r="P10" s="22">
        <f>+N10-O10</f>
        <v>0.0</v>
      </c>
      <c r="Q10" s="57"/>
      <c r="R10" s="79"/>
    </row>
    <row r="11" spans="8:8" ht="15.0" customHeight="1">
      <c r="B11" s="54">
        <v>2.0</v>
      </c>
      <c r="C11" s="8" t="s">
        <v>8351</v>
      </c>
      <c r="D11" s="8" t="s">
        <v>1013</v>
      </c>
      <c r="E11" s="8" t="s">
        <v>215</v>
      </c>
      <c r="F11" s="8" t="s">
        <v>68</v>
      </c>
      <c r="G11" s="8" t="s">
        <v>1807</v>
      </c>
      <c r="H11" s="8" t="s">
        <v>577</v>
      </c>
      <c r="I11" s="55" t="s">
        <v>216</v>
      </c>
      <c r="J11" s="78" t="s">
        <v>3926</v>
      </c>
      <c r="K11" s="22">
        <v>10.0</v>
      </c>
      <c r="L11" s="22">
        <f>+SUMIF('حركه المخزن الرئيسي اليوميه'!$F:$F,$H:$H,'حركه المخزن الرئيسي اليوميه'!$H:$H)</f>
        <v>0.0</v>
      </c>
      <c r="M11" s="22">
        <f>+SUMIF('حركه المخزن الرئيسي اليوميه'!$F:$F,$H:$H,'حركه المخزن الرئيسي اليوميه'!$I:$I)</f>
        <v>0.0</v>
      </c>
      <c r="N11" s="22">
        <f>+K11+L11-M11</f>
        <v>10.0</v>
      </c>
      <c r="O11" s="22">
        <f>+N11</f>
        <v>10.0</v>
      </c>
      <c r="P11" s="22">
        <f>+N11-O11</f>
        <v>0.0</v>
      </c>
      <c r="Q11" s="57"/>
      <c r="R11" s="69"/>
    </row>
    <row r="12" spans="8:8" ht="15.0" customHeight="1">
      <c r="B12" s="54">
        <v>3.0</v>
      </c>
      <c r="C12" s="8" t="s">
        <v>8351</v>
      </c>
      <c r="D12" s="8" t="s">
        <v>1013</v>
      </c>
      <c r="E12" s="8" t="s">
        <v>217</v>
      </c>
      <c r="F12" s="8" t="s">
        <v>68</v>
      </c>
      <c r="G12" s="8" t="s">
        <v>1580</v>
      </c>
      <c r="H12" s="8" t="s">
        <v>1115</v>
      </c>
      <c r="I12" s="55" t="s">
        <v>3910</v>
      </c>
      <c r="J12" s="78" t="s">
        <v>3927</v>
      </c>
      <c r="K12" s="22">
        <v>91.0</v>
      </c>
      <c r="L12" s="22">
        <f>+SUMIF('حركه المخزن الرئيسي اليوميه'!$F:$F,$H:$H,'حركه المخزن الرئيسي اليوميه'!$H:$H)</f>
        <v>0.0</v>
      </c>
      <c r="M12" s="22">
        <f>+SUMIF('حركه المخزن الرئيسي اليوميه'!$F:$F,$H:$H,'حركه المخزن الرئيسي اليوميه'!$I:$I)</f>
        <v>0.0</v>
      </c>
      <c r="N12" s="22">
        <f>+K12+L12-M12</f>
        <v>91.0</v>
      </c>
      <c r="O12" s="22">
        <f>+N12</f>
        <v>91.0</v>
      </c>
      <c r="P12" s="22">
        <f>+N12-O12</f>
        <v>0.0</v>
      </c>
      <c r="Q12" s="57"/>
      <c r="R12" s="69"/>
    </row>
    <row r="13" spans="8:8" ht="15.0" customHeight="1">
      <c r="B13" s="54">
        <v>4.0</v>
      </c>
      <c r="C13" s="8" t="s">
        <v>8351</v>
      </c>
      <c r="D13" s="8" t="s">
        <v>1013</v>
      </c>
      <c r="E13" s="8" t="s">
        <v>1871</v>
      </c>
      <c r="F13" s="8" t="s">
        <v>68</v>
      </c>
      <c r="G13" s="8" t="s">
        <v>2118</v>
      </c>
      <c r="H13" s="8" t="s">
        <v>1871</v>
      </c>
      <c r="I13" s="55" t="s">
        <v>221</v>
      </c>
      <c r="J13" s="78" t="s">
        <v>3928</v>
      </c>
      <c r="K13" s="22">
        <v>0.0</v>
      </c>
      <c r="L13" s="22">
        <f>+SUMIF('حركه المخزن الرئيسي اليوميه'!$F:$F,$H:$H,'حركه المخزن الرئيسي اليوميه'!$H:$H)</f>
        <v>0.0</v>
      </c>
      <c r="M13" s="22">
        <f>+SUMIF('حركه المخزن الرئيسي اليوميه'!$F:$F,$H:$H,'حركه المخزن الرئيسي اليوميه'!$I:$I)</f>
        <v>0.0</v>
      </c>
      <c r="N13" s="22">
        <f>+K13+L13-M13</f>
        <v>0.0</v>
      </c>
      <c r="O13" s="22">
        <f>+N13</f>
        <v>0.0</v>
      </c>
      <c r="P13" s="22">
        <f>+N13-O13</f>
        <v>0.0</v>
      </c>
      <c r="Q13" s="57"/>
      <c r="R13" s="69"/>
    </row>
    <row r="14" spans="8:8" ht="15.0" customHeight="1">
      <c r="B14" s="54">
        <v>5.0</v>
      </c>
      <c r="C14" s="8" t="s">
        <v>8351</v>
      </c>
      <c r="D14" s="8" t="s">
        <v>1013</v>
      </c>
      <c r="E14" s="8" t="s">
        <v>220</v>
      </c>
      <c r="F14" s="8" t="s">
        <v>68</v>
      </c>
      <c r="G14" s="8" t="s">
        <v>1808</v>
      </c>
      <c r="H14" s="8" t="s">
        <v>1343</v>
      </c>
      <c r="I14" s="55" t="s">
        <v>3911</v>
      </c>
      <c r="J14" s="78" t="s">
        <v>3929</v>
      </c>
      <c r="K14" s="22">
        <v>12.0</v>
      </c>
      <c r="L14" s="22">
        <f>+SUMIF('حركه المخزن الرئيسي اليوميه'!$F:$F,$H:$H,'حركه المخزن الرئيسي اليوميه'!$H:$H)</f>
        <v>0.0</v>
      </c>
      <c r="M14" s="22">
        <f>+SUMIF('حركه المخزن الرئيسي اليوميه'!$F:$F,$H:$H,'حركه المخزن الرئيسي اليوميه'!$I:$I)</f>
        <v>0.0</v>
      </c>
      <c r="N14" s="22">
        <f>+K14+L14-M14</f>
        <v>12.0</v>
      </c>
      <c r="O14" s="22">
        <f>+N14</f>
        <v>12.0</v>
      </c>
      <c r="P14" s="22">
        <f>+N14-O14</f>
        <v>0.0</v>
      </c>
      <c r="Q14" s="57"/>
      <c r="R14" s="69"/>
    </row>
    <row r="15" spans="8:8" ht="15.0" customHeight="1">
      <c r="B15" s="54">
        <v>6.0</v>
      </c>
      <c r="C15" s="8" t="s">
        <v>8351</v>
      </c>
      <c r="D15" s="8" t="s">
        <v>1016</v>
      </c>
      <c r="E15" s="8" t="s">
        <v>22</v>
      </c>
      <c r="F15" s="8" t="s">
        <v>68</v>
      </c>
      <c r="G15" s="8" t="s">
        <v>1849</v>
      </c>
      <c r="H15" s="8" t="s">
        <v>22</v>
      </c>
      <c r="I15" s="55" t="s">
        <v>8097</v>
      </c>
      <c r="J15" s="78" t="s">
        <v>3930</v>
      </c>
      <c r="K15" s="22">
        <v>59.0</v>
      </c>
      <c r="L15" s="22">
        <f>+SUMIF('حركه المخزن الرئيسي اليوميه'!$F:$F,$H:$H,'حركه المخزن الرئيسي اليوميه'!$H:$H)</f>
        <v>0.0</v>
      </c>
      <c r="M15" s="22">
        <f>+SUMIF('حركه المخزن الرئيسي اليوميه'!$F:$F,$H:$H,'حركه المخزن الرئيسي اليوميه'!$I:$I)</f>
        <v>0.0</v>
      </c>
      <c r="N15" s="22">
        <f>+K15+L15-M15</f>
        <v>59.0</v>
      </c>
      <c r="O15" s="22">
        <f>+N15</f>
        <v>59.0</v>
      </c>
      <c r="P15" s="22">
        <f>+N15-O15</f>
        <v>0.0</v>
      </c>
      <c r="Q15" s="57"/>
      <c r="R15" s="69"/>
    </row>
    <row r="16" spans="8:8" ht="15.0" customHeight="1">
      <c r="B16" s="54">
        <v>7.0</v>
      </c>
      <c r="C16" s="8" t="s">
        <v>8351</v>
      </c>
      <c r="D16" s="8" t="s">
        <v>1016</v>
      </c>
      <c r="E16" s="8" t="s">
        <v>21</v>
      </c>
      <c r="F16" s="8" t="s">
        <v>68</v>
      </c>
      <c r="G16" s="8" t="s">
        <v>1848</v>
      </c>
      <c r="H16" s="8" t="s">
        <v>21</v>
      </c>
      <c r="I16" s="55" t="s">
        <v>8098</v>
      </c>
      <c r="J16" s="78" t="s">
        <v>3931</v>
      </c>
      <c r="K16" s="22">
        <v>42.0</v>
      </c>
      <c r="L16" s="22">
        <f>+SUMIF('حركه المخزن الرئيسي اليوميه'!$F:$F,$H:$H,'حركه المخزن الرئيسي اليوميه'!$H:$H)</f>
        <v>0.0</v>
      </c>
      <c r="M16" s="22">
        <f>+SUMIF('حركه المخزن الرئيسي اليوميه'!$F:$F,$H:$H,'حركه المخزن الرئيسي اليوميه'!$I:$I)</f>
        <v>0.0</v>
      </c>
      <c r="N16" s="22">
        <f>+K16+L16-M16</f>
        <v>42.0</v>
      </c>
      <c r="O16" s="22">
        <f>+N16</f>
        <v>42.0</v>
      </c>
      <c r="P16" s="22">
        <f>+N16-O16</f>
        <v>0.0</v>
      </c>
      <c r="Q16" s="57"/>
      <c r="R16" s="69"/>
    </row>
    <row r="17" spans="8:8" ht="15.0" customHeight="1">
      <c r="B17" s="54">
        <v>8.0</v>
      </c>
      <c r="C17" s="8" t="s">
        <v>8351</v>
      </c>
      <c r="D17" s="8" t="s">
        <v>820</v>
      </c>
      <c r="E17" s="8" t="s">
        <v>2659</v>
      </c>
      <c r="F17" s="8" t="s">
        <v>68</v>
      </c>
      <c r="G17" s="8" t="s">
        <v>1029</v>
      </c>
      <c r="H17" s="8" t="s">
        <v>2659</v>
      </c>
      <c r="I17" s="55" t="s">
        <v>20</v>
      </c>
      <c r="J17" s="78" t="s">
        <v>3932</v>
      </c>
      <c r="K17" s="22">
        <v>2.0</v>
      </c>
      <c r="L17" s="22">
        <f>+SUMIF('حركه المخزن الرئيسي اليوميه'!$F:$F,$H:$H,'حركه المخزن الرئيسي اليوميه'!$H:$H)</f>
        <v>0.0</v>
      </c>
      <c r="M17" s="22">
        <f>+SUMIF('حركه المخزن الرئيسي اليوميه'!$F:$F,$H:$H,'حركه المخزن الرئيسي اليوميه'!$I:$I)</f>
        <v>0.0</v>
      </c>
      <c r="N17" s="22">
        <f>+K17+L17-M17</f>
        <v>2.0</v>
      </c>
      <c r="O17" s="22">
        <f>+N17</f>
        <v>2.0</v>
      </c>
      <c r="P17" s="22">
        <f>+N17-O17</f>
        <v>0.0</v>
      </c>
      <c r="Q17" s="57"/>
      <c r="R17" s="69"/>
    </row>
    <row r="18" spans="8:8" ht="15.0" customHeight="1">
      <c r="B18" s="54">
        <v>9.0</v>
      </c>
      <c r="C18" s="8" t="s">
        <v>8351</v>
      </c>
      <c r="D18" s="8" t="s">
        <v>1016</v>
      </c>
      <c r="E18" s="8" t="s">
        <v>19</v>
      </c>
      <c r="F18" s="8" t="s">
        <v>68</v>
      </c>
      <c r="G18" s="8" t="s">
        <v>1847</v>
      </c>
      <c r="H18" s="8" t="s">
        <v>19</v>
      </c>
      <c r="I18" s="55" t="s">
        <v>20</v>
      </c>
      <c r="J18" s="78" t="s">
        <v>3933</v>
      </c>
      <c r="K18" s="22">
        <v>6.0</v>
      </c>
      <c r="L18" s="22">
        <f>+SUMIF('حركه المخزن الرئيسي اليوميه'!$F:$F,$H:$H,'حركه المخزن الرئيسي اليوميه'!$H:$H)</f>
        <v>0.0</v>
      </c>
      <c r="M18" s="22">
        <f>+SUMIF('حركه المخزن الرئيسي اليوميه'!$F:$F,$H:$H,'حركه المخزن الرئيسي اليوميه'!$I:$I)</f>
        <v>0.0</v>
      </c>
      <c r="N18" s="22">
        <f>+K18+L18-M18</f>
        <v>6.0</v>
      </c>
      <c r="O18" s="22">
        <f>+N18</f>
        <v>6.0</v>
      </c>
      <c r="P18" s="22">
        <f>+N18-O18</f>
        <v>0.0</v>
      </c>
      <c r="Q18" s="57"/>
      <c r="R18" s="69"/>
    </row>
    <row r="19" spans="8:8" ht="15.0" customHeight="1">
      <c r="B19" s="54">
        <v>10.0</v>
      </c>
      <c r="C19" s="8" t="s">
        <v>8351</v>
      </c>
      <c r="D19" s="8" t="s">
        <v>1013</v>
      </c>
      <c r="E19" s="8" t="s">
        <v>23</v>
      </c>
      <c r="F19" s="8" t="s">
        <v>68</v>
      </c>
      <c r="G19" s="8" t="s">
        <v>2047</v>
      </c>
      <c r="H19" s="8">
        <v>6309.0</v>
      </c>
      <c r="I19" s="55" t="s">
        <v>254</v>
      </c>
      <c r="J19" s="78" t="s">
        <v>3934</v>
      </c>
      <c r="K19" s="22">
        <v>3.0</v>
      </c>
      <c r="L19" s="22">
        <f>+SUMIF('حركه المخزن الرئيسي اليوميه'!$F:$F,$H:$H,'حركه المخزن الرئيسي اليوميه'!$H:$H)</f>
        <v>0.0</v>
      </c>
      <c r="M19" s="22">
        <f>+SUMIF('حركه المخزن الرئيسي اليوميه'!$F:$F,$H:$H,'حركه المخزن الرئيسي اليوميه'!$I:$I)</f>
        <v>0.0</v>
      </c>
      <c r="N19" s="22">
        <f>+K19+L19-M19</f>
        <v>3.0</v>
      </c>
      <c r="O19" s="22">
        <f>+N19</f>
        <v>3.0</v>
      </c>
      <c r="P19" s="22">
        <f>+N19-O19</f>
        <v>0.0</v>
      </c>
      <c r="Q19" s="57"/>
      <c r="R19" s="69"/>
    </row>
    <row r="20" spans="8:8" ht="15.0" customHeight="1">
      <c r="B20" s="54">
        <v>11.0</v>
      </c>
      <c r="C20" s="8" t="s">
        <v>8351</v>
      </c>
      <c r="D20" s="8" t="s">
        <v>1013</v>
      </c>
      <c r="E20" s="8" t="s">
        <v>23</v>
      </c>
      <c r="F20" s="8" t="s">
        <v>68</v>
      </c>
      <c r="G20" s="8" t="s">
        <v>2047</v>
      </c>
      <c r="H20" s="8">
        <v>30211.0</v>
      </c>
      <c r="I20" s="55" t="s">
        <v>24</v>
      </c>
      <c r="J20" s="78" t="s">
        <v>3935</v>
      </c>
      <c r="K20" s="22">
        <v>47.0</v>
      </c>
      <c r="L20" s="22">
        <f>+SUMIF('حركه المخزن الرئيسي اليوميه'!$F:$F,$H:$H,'حركه المخزن الرئيسي اليوميه'!$H:$H)</f>
        <v>0.0</v>
      </c>
      <c r="M20" s="22">
        <f>+SUMIF('حركه المخزن الرئيسي اليوميه'!$F:$F,$H:$H,'حركه المخزن الرئيسي اليوميه'!$I:$I)</f>
        <v>0.0</v>
      </c>
      <c r="N20" s="22">
        <f>+K20+L20-M20</f>
        <v>47.0</v>
      </c>
      <c r="O20" s="22">
        <f>+N20</f>
        <v>47.0</v>
      </c>
      <c r="P20" s="22">
        <f>+N20-O20</f>
        <v>0.0</v>
      </c>
      <c r="Q20" s="57"/>
      <c r="R20" s="69"/>
    </row>
    <row r="21" spans="8:8" ht="15.0" customHeight="1">
      <c r="B21" s="54">
        <v>12.0</v>
      </c>
      <c r="C21" s="8" t="s">
        <v>8351</v>
      </c>
      <c r="D21" s="8" t="s">
        <v>1013</v>
      </c>
      <c r="E21" s="8" t="s">
        <v>23</v>
      </c>
      <c r="F21" s="8" t="s">
        <v>68</v>
      </c>
      <c r="G21" s="8" t="s">
        <v>2047</v>
      </c>
      <c r="H21" s="8">
        <v>30310.0</v>
      </c>
      <c r="I21" s="55" t="s">
        <v>24</v>
      </c>
      <c r="J21" s="78" t="s">
        <v>3936</v>
      </c>
      <c r="K21" s="22">
        <v>27.0</v>
      </c>
      <c r="L21" s="22">
        <f>+SUMIF('حركه المخزن الرئيسي اليوميه'!$F:$F,$H:$H,'حركه المخزن الرئيسي اليوميه'!$H:$H)</f>
        <v>0.0</v>
      </c>
      <c r="M21" s="22">
        <f>+SUMIF('حركه المخزن الرئيسي اليوميه'!$F:$F,$H:$H,'حركه المخزن الرئيسي اليوميه'!$I:$I)</f>
        <v>0.0</v>
      </c>
      <c r="N21" s="22">
        <f>+K21+L21-M21</f>
        <v>27.0</v>
      </c>
      <c r="O21" s="22">
        <f>+N21</f>
        <v>27.0</v>
      </c>
      <c r="P21" s="22">
        <f>+N21-O21</f>
        <v>0.0</v>
      </c>
      <c r="Q21" s="57"/>
      <c r="R21" s="69"/>
    </row>
    <row r="22" spans="8:8" ht="15.0" customHeight="1">
      <c r="B22" s="54">
        <v>13.0</v>
      </c>
      <c r="C22" s="8" t="s">
        <v>8351</v>
      </c>
      <c r="D22" s="8" t="s">
        <v>1013</v>
      </c>
      <c r="E22" s="8" t="s">
        <v>23</v>
      </c>
      <c r="F22" s="8" t="s">
        <v>68</v>
      </c>
      <c r="G22" s="8" t="s">
        <v>2047</v>
      </c>
      <c r="H22" s="8" t="s">
        <v>27</v>
      </c>
      <c r="I22" s="55" t="s">
        <v>24</v>
      </c>
      <c r="J22" s="78" t="s">
        <v>3937</v>
      </c>
      <c r="K22" s="22">
        <v>0.0</v>
      </c>
      <c r="L22" s="22">
        <f>+SUMIF('حركه المخزن الرئيسي اليوميه'!$F:$F,$H:$H,'حركه المخزن الرئيسي اليوميه'!$H:$H)</f>
        <v>0.0</v>
      </c>
      <c r="M22" s="22">
        <f>+SUMIF('حركه المخزن الرئيسي اليوميه'!$F:$F,$H:$H,'حركه المخزن الرئيسي اليوميه'!$I:$I)</f>
        <v>0.0</v>
      </c>
      <c r="N22" s="22">
        <f>+K22+L22-M22</f>
        <v>0.0</v>
      </c>
      <c r="O22" s="22">
        <f>+N22</f>
        <v>0.0</v>
      </c>
      <c r="P22" s="22">
        <f>+N22-O22</f>
        <v>0.0</v>
      </c>
      <c r="Q22" s="57"/>
      <c r="R22" s="69"/>
    </row>
    <row r="23" spans="8:8" ht="15.0" customHeight="1">
      <c r="B23" s="54">
        <v>14.0</v>
      </c>
      <c r="C23" s="8" t="s">
        <v>8351</v>
      </c>
      <c r="D23" s="8" t="s">
        <v>1013</v>
      </c>
      <c r="E23" s="8" t="s">
        <v>23</v>
      </c>
      <c r="F23" s="8" t="s">
        <v>68</v>
      </c>
      <c r="G23" s="8" t="s">
        <v>2047</v>
      </c>
      <c r="H23" s="8" t="s">
        <v>1944</v>
      </c>
      <c r="I23" s="55" t="s">
        <v>28</v>
      </c>
      <c r="J23" s="78" t="s">
        <v>3938</v>
      </c>
      <c r="K23" s="22">
        <v>31.0</v>
      </c>
      <c r="L23" s="22">
        <f>+SUMIF('حركه المخزن الرئيسي اليوميه'!$F:$F,$H:$H,'حركه المخزن الرئيسي اليوميه'!$H:$H)</f>
        <v>0.0</v>
      </c>
      <c r="M23" s="22">
        <f>+SUMIF('حركه المخزن الرئيسي اليوميه'!$F:$F,$H:$H,'حركه المخزن الرئيسي اليوميه'!$I:$I)</f>
        <v>2.0</v>
      </c>
      <c r="N23" s="22">
        <f>+K23+L23-M23</f>
        <v>29.0</v>
      </c>
      <c r="O23" s="22">
        <f>+N23</f>
        <v>29.0</v>
      </c>
      <c r="P23" s="22">
        <f>+N23-O23</f>
        <v>0.0</v>
      </c>
      <c r="Q23" s="57"/>
      <c r="R23" s="69"/>
    </row>
    <row r="24" spans="8:8" ht="15.0" customHeight="1">
      <c r="B24" s="54">
        <v>15.0</v>
      </c>
      <c r="C24" s="8" t="s">
        <v>8351</v>
      </c>
      <c r="D24" s="8" t="s">
        <v>1013</v>
      </c>
      <c r="E24" s="8" t="s">
        <v>23</v>
      </c>
      <c r="F24" s="8" t="s">
        <v>68</v>
      </c>
      <c r="G24" s="8" t="s">
        <v>2047</v>
      </c>
      <c r="H24" s="8" t="s">
        <v>1237</v>
      </c>
      <c r="I24" s="55" t="s">
        <v>197</v>
      </c>
      <c r="J24" s="78" t="s">
        <v>3939</v>
      </c>
      <c r="K24" s="22">
        <v>20.0</v>
      </c>
      <c r="L24" s="22">
        <f>+SUMIF('حركه المخزن الرئيسي اليوميه'!$F:$F,$H:$H,'حركه المخزن الرئيسي اليوميه'!$H:$H)</f>
        <v>0.0</v>
      </c>
      <c r="M24" s="22">
        <f>+SUMIF('حركه المخزن الرئيسي اليوميه'!$F:$F,$H:$H,'حركه المخزن الرئيسي اليوميه'!$I:$I)</f>
        <v>0.0</v>
      </c>
      <c r="N24" s="22">
        <f>+K24+L24-M24</f>
        <v>20.0</v>
      </c>
      <c r="O24" s="22">
        <f>+N24</f>
        <v>20.0</v>
      </c>
      <c r="P24" s="22">
        <f>+N24-O24</f>
        <v>0.0</v>
      </c>
      <c r="Q24" s="57"/>
      <c r="R24" s="69"/>
    </row>
    <row r="25" spans="8:8" ht="15.0" customHeight="1">
      <c r="B25" s="54">
        <v>16.0</v>
      </c>
      <c r="C25" s="8" t="s">
        <v>8351</v>
      </c>
      <c r="D25" s="8" t="s">
        <v>1013</v>
      </c>
      <c r="E25" s="8" t="s">
        <v>23</v>
      </c>
      <c r="F25" s="8" t="s">
        <v>68</v>
      </c>
      <c r="G25" s="8" t="s">
        <v>2047</v>
      </c>
      <c r="H25" s="8" t="s">
        <v>26</v>
      </c>
      <c r="I25" s="8" t="s">
        <v>24</v>
      </c>
      <c r="J25" s="78" t="s">
        <v>3940</v>
      </c>
      <c r="K25" s="22">
        <v>7.0</v>
      </c>
      <c r="L25" s="22">
        <f>+SUMIF('حركه المخزن الرئيسي اليوميه'!$F:$F,$H:$H,'حركه المخزن الرئيسي اليوميه'!$H:$H)</f>
        <v>0.0</v>
      </c>
      <c r="M25" s="22">
        <f>+SUMIF('حركه المخزن الرئيسي اليوميه'!$F:$F,$H:$H,'حركه المخزن الرئيسي اليوميه'!$I:$I)</f>
        <v>0.0</v>
      </c>
      <c r="N25" s="22">
        <f>+K25+L25-M25</f>
        <v>7.0</v>
      </c>
      <c r="O25" s="22">
        <f>+N25</f>
        <v>7.0</v>
      </c>
      <c r="P25" s="22">
        <f>+N25-O25</f>
        <v>0.0</v>
      </c>
      <c r="Q25" s="57"/>
      <c r="R25" s="69"/>
    </row>
    <row r="26" spans="8:8" ht="15.0" customHeight="1">
      <c r="B26" s="54">
        <v>17.0</v>
      </c>
      <c r="C26" s="8" t="s">
        <v>8351</v>
      </c>
      <c r="D26" s="8" t="s">
        <v>713</v>
      </c>
      <c r="E26" s="8" t="s">
        <v>795</v>
      </c>
      <c r="F26" s="8" t="s">
        <v>68</v>
      </c>
      <c r="G26" s="8" t="s">
        <v>1766</v>
      </c>
      <c r="H26" s="8" t="s">
        <v>724</v>
      </c>
      <c r="I26" s="55" t="s">
        <v>24</v>
      </c>
      <c r="J26" s="78" t="s">
        <v>3941</v>
      </c>
      <c r="K26" s="22">
        <v>0.0</v>
      </c>
      <c r="L26" s="22">
        <f>+SUMIF('حركه المخزن الرئيسي اليوميه'!$F:$F,$H:$H,'حركه المخزن الرئيسي اليوميه'!$H:$H)</f>
        <v>0.0</v>
      </c>
      <c r="M26" s="22">
        <f>+SUMIF('حركه المخزن الرئيسي اليوميه'!$F:$F,$H:$H,'حركه المخزن الرئيسي اليوميه'!$I:$I)</f>
        <v>0.0</v>
      </c>
      <c r="N26" s="22">
        <f>+K26+L26-M26</f>
        <v>0.0</v>
      </c>
      <c r="O26" s="22">
        <f>+N26</f>
        <v>0.0</v>
      </c>
      <c r="P26" s="22">
        <f>+N26-O26</f>
        <v>0.0</v>
      </c>
      <c r="Q26" s="57"/>
      <c r="R26" s="69"/>
    </row>
    <row r="27" spans="8:8" ht="15.0" customHeight="1">
      <c r="B27" s="54">
        <v>18.0</v>
      </c>
      <c r="C27" s="8" t="s">
        <v>8351</v>
      </c>
      <c r="D27" s="8" t="s">
        <v>1013</v>
      </c>
      <c r="E27" s="8" t="s">
        <v>23</v>
      </c>
      <c r="F27" s="8" t="s">
        <v>68</v>
      </c>
      <c r="G27" s="8" t="s">
        <v>2047</v>
      </c>
      <c r="H27" s="8">
        <v>6208.0</v>
      </c>
      <c r="I27" s="55" t="s">
        <v>197</v>
      </c>
      <c r="J27" s="78" t="s">
        <v>3942</v>
      </c>
      <c r="K27" s="22">
        <v>2.0</v>
      </c>
      <c r="L27" s="22">
        <f>+SUMIF('حركه المخزن الرئيسي اليوميه'!$F:$F,$H:$H,'حركه المخزن الرئيسي اليوميه'!$H:$H)</f>
        <v>0.0</v>
      </c>
      <c r="M27" s="22">
        <f>+SUMIF('حركه المخزن الرئيسي اليوميه'!$F:$F,$H:$H,'حركه المخزن الرئيسي اليوميه'!$I:$I)</f>
        <v>0.0</v>
      </c>
      <c r="N27" s="22">
        <f>+K27+L27-M27</f>
        <v>2.0</v>
      </c>
      <c r="O27" s="22">
        <f>+N27</f>
        <v>2.0</v>
      </c>
      <c r="P27" s="22">
        <f>+N27-O27</f>
        <v>0.0</v>
      </c>
      <c r="Q27" s="57"/>
      <c r="R27" s="69"/>
    </row>
    <row r="28" spans="8:8" ht="15.0" customHeight="1">
      <c r="B28" s="54">
        <v>19.0</v>
      </c>
      <c r="C28" s="8" t="s">
        <v>8351</v>
      </c>
      <c r="D28" s="8" t="s">
        <v>1013</v>
      </c>
      <c r="E28" s="8" t="s">
        <v>23</v>
      </c>
      <c r="F28" s="8" t="s">
        <v>68</v>
      </c>
      <c r="G28" s="8" t="s">
        <v>2047</v>
      </c>
      <c r="H28" s="8">
        <v>6410.0</v>
      </c>
      <c r="I28" s="55" t="s">
        <v>24</v>
      </c>
      <c r="J28" s="78" t="s">
        <v>3943</v>
      </c>
      <c r="K28" s="22">
        <v>8.0</v>
      </c>
      <c r="L28" s="22">
        <f>+SUMIF('حركه المخزن الرئيسي اليوميه'!$F:$F,$H:$H,'حركه المخزن الرئيسي اليوميه'!$H:$H)</f>
        <v>0.0</v>
      </c>
      <c r="M28" s="22">
        <f>+SUMIF('حركه المخزن الرئيسي اليوميه'!$F:$F,$H:$H,'حركه المخزن الرئيسي اليوميه'!$I:$I)</f>
        <v>0.0</v>
      </c>
      <c r="N28" s="22">
        <f>+K28+L28-M28</f>
        <v>8.0</v>
      </c>
      <c r="O28" s="22">
        <f>+N28</f>
        <v>8.0</v>
      </c>
      <c r="P28" s="22">
        <f>+N28-O28</f>
        <v>0.0</v>
      </c>
      <c r="Q28" s="57"/>
      <c r="R28" s="69"/>
    </row>
    <row r="29" spans="8:8" ht="15.0" customHeight="1">
      <c r="B29" s="54">
        <v>20.0</v>
      </c>
      <c r="C29" s="8" t="s">
        <v>8351</v>
      </c>
      <c r="D29" s="8" t="s">
        <v>1013</v>
      </c>
      <c r="E29" s="8" t="s">
        <v>23</v>
      </c>
      <c r="F29" s="8" t="s">
        <v>68</v>
      </c>
      <c r="G29" s="8" t="s">
        <v>2047</v>
      </c>
      <c r="H29" s="8">
        <v>7215.0</v>
      </c>
      <c r="I29" s="55" t="s">
        <v>24</v>
      </c>
      <c r="J29" s="78" t="s">
        <v>3944</v>
      </c>
      <c r="K29" s="22">
        <v>2.0</v>
      </c>
      <c r="L29" s="22">
        <f>+SUMIF('حركه المخزن الرئيسي اليوميه'!$F:$F,$H:$H,'حركه المخزن الرئيسي اليوميه'!$H:$H)</f>
        <v>0.0</v>
      </c>
      <c r="M29" s="22">
        <f>+SUMIF('حركه المخزن الرئيسي اليوميه'!$F:$F,$H:$H,'حركه المخزن الرئيسي اليوميه'!$I:$I)</f>
        <v>0.0</v>
      </c>
      <c r="N29" s="22">
        <f>+K29+L29-M29</f>
        <v>2.0</v>
      </c>
      <c r="O29" s="22">
        <f>+N29</f>
        <v>2.0</v>
      </c>
      <c r="P29" s="22">
        <f>+N29-O29</f>
        <v>0.0</v>
      </c>
      <c r="Q29" s="57"/>
      <c r="R29" s="69"/>
    </row>
    <row r="30" spans="8:8" ht="15.0" customHeight="1">
      <c r="B30" s="54">
        <v>21.0</v>
      </c>
      <c r="C30" s="8" t="s">
        <v>8351</v>
      </c>
      <c r="D30" s="8" t="s">
        <v>1013</v>
      </c>
      <c r="E30" s="8" t="s">
        <v>23</v>
      </c>
      <c r="F30" s="8" t="s">
        <v>68</v>
      </c>
      <c r="G30" s="8" t="s">
        <v>2047</v>
      </c>
      <c r="H30" s="8">
        <v>30309.0</v>
      </c>
      <c r="I30" s="55" t="s">
        <v>197</v>
      </c>
      <c r="J30" s="78" t="s">
        <v>3945</v>
      </c>
      <c r="K30" s="22">
        <v>5.0</v>
      </c>
      <c r="L30" s="22">
        <f>+SUMIF('حركه المخزن الرئيسي اليوميه'!$F:$F,$H:$H,'حركه المخزن الرئيسي اليوميه'!$H:$H)</f>
        <v>0.0</v>
      </c>
      <c r="M30" s="22">
        <f>+SUMIF('حركه المخزن الرئيسي اليوميه'!$F:$F,$H:$H,'حركه المخزن الرئيسي اليوميه'!$I:$I)</f>
        <v>0.0</v>
      </c>
      <c r="N30" s="22">
        <f>+K30+L30-M30</f>
        <v>5.0</v>
      </c>
      <c r="O30" s="22">
        <f>+N30</f>
        <v>5.0</v>
      </c>
      <c r="P30" s="22">
        <f>+N30-O30</f>
        <v>0.0</v>
      </c>
      <c r="Q30" s="57"/>
      <c r="R30" s="69"/>
    </row>
    <row r="31" spans="8:8" ht="15.0" customHeight="1">
      <c r="B31" s="54">
        <v>22.0</v>
      </c>
      <c r="C31" s="8" t="s">
        <v>8351</v>
      </c>
      <c r="D31" s="8" t="s">
        <v>1013</v>
      </c>
      <c r="E31" s="8" t="s">
        <v>23</v>
      </c>
      <c r="F31" s="8" t="s">
        <v>68</v>
      </c>
      <c r="G31" s="8" t="s">
        <v>2047</v>
      </c>
      <c r="H31" s="8">
        <v>32213.0</v>
      </c>
      <c r="I31" s="55" t="s">
        <v>204</v>
      </c>
      <c r="J31" s="78" t="s">
        <v>3946</v>
      </c>
      <c r="K31" s="22">
        <v>22.0</v>
      </c>
      <c r="L31" s="22">
        <f>+SUMIF('حركه المخزن الرئيسي اليوميه'!$F:$F,$H:$H,'حركه المخزن الرئيسي اليوميه'!$H:$H)</f>
        <v>0.0</v>
      </c>
      <c r="M31" s="22">
        <f>+SUMIF('حركه المخزن الرئيسي اليوميه'!$F:$F,$H:$H,'حركه المخزن الرئيسي اليوميه'!$I:$I)</f>
        <v>0.0</v>
      </c>
      <c r="N31" s="22">
        <f>+K31+L31-M31</f>
        <v>22.0</v>
      </c>
      <c r="O31" s="22">
        <f>+N31</f>
        <v>22.0</v>
      </c>
      <c r="P31" s="22">
        <f>+N31-O31</f>
        <v>0.0</v>
      </c>
      <c r="Q31" s="57"/>
      <c r="R31" s="69"/>
    </row>
    <row r="32" spans="8:8" ht="15.0" customHeight="1">
      <c r="B32" s="54">
        <v>23.0</v>
      </c>
      <c r="C32" s="8" t="s">
        <v>8351</v>
      </c>
      <c r="D32" s="8" t="s">
        <v>1013</v>
      </c>
      <c r="E32" s="8" t="s">
        <v>23</v>
      </c>
      <c r="F32" s="8" t="s">
        <v>68</v>
      </c>
      <c r="G32" s="8" t="s">
        <v>2047</v>
      </c>
      <c r="H32" s="8">
        <v>51320.0</v>
      </c>
      <c r="I32" s="55" t="s">
        <v>24</v>
      </c>
      <c r="J32" s="78" t="s">
        <v>3947</v>
      </c>
      <c r="K32" s="22">
        <v>1.0</v>
      </c>
      <c r="L32" s="22">
        <f>+SUMIF('حركه المخزن الرئيسي اليوميه'!$F:$F,$H:$H,'حركه المخزن الرئيسي اليوميه'!$H:$H)</f>
        <v>0.0</v>
      </c>
      <c r="M32" s="22">
        <f>+SUMIF('حركه المخزن الرئيسي اليوميه'!$F:$F,$H:$H,'حركه المخزن الرئيسي اليوميه'!$I:$I)</f>
        <v>0.0</v>
      </c>
      <c r="N32" s="22">
        <f>+K32+L32-M32</f>
        <v>1.0</v>
      </c>
      <c r="O32" s="22">
        <f>+N32</f>
        <v>1.0</v>
      </c>
      <c r="P32" s="22">
        <f>+N32-O32</f>
        <v>0.0</v>
      </c>
      <c r="Q32" s="57"/>
      <c r="R32" s="69"/>
    </row>
    <row r="33" spans="8:8" ht="15.0" customHeight="1">
      <c r="B33" s="54">
        <v>24.0</v>
      </c>
      <c r="C33" s="8" t="s">
        <v>8351</v>
      </c>
      <c r="D33" s="8" t="s">
        <v>1013</v>
      </c>
      <c r="E33" s="8" t="s">
        <v>23</v>
      </c>
      <c r="F33" s="8" t="s">
        <v>68</v>
      </c>
      <c r="G33" s="8" t="s">
        <v>2047</v>
      </c>
      <c r="H33" s="8" t="s">
        <v>25</v>
      </c>
      <c r="I33" s="55" t="s">
        <v>206</v>
      </c>
      <c r="J33" s="78" t="s">
        <v>3948</v>
      </c>
      <c r="K33" s="22">
        <v>68.0</v>
      </c>
      <c r="L33" s="22">
        <f>+SUMIF('حركه المخزن الرئيسي اليوميه'!$F:$F,$H:$H,'حركه المخزن الرئيسي اليوميه'!$H:$H)</f>
        <v>0.0</v>
      </c>
      <c r="M33" s="22">
        <f>+SUMIF('حركه المخزن الرئيسي اليوميه'!$F:$F,$H:$H,'حركه المخزن الرئيسي اليوميه'!$I:$I)</f>
        <v>0.0</v>
      </c>
      <c r="N33" s="22">
        <f>+K33+L33-M33</f>
        <v>68.0</v>
      </c>
      <c r="O33" s="22">
        <f>+N33</f>
        <v>68.0</v>
      </c>
      <c r="P33" s="22">
        <f>+N33-O33</f>
        <v>0.0</v>
      </c>
      <c r="Q33" s="57"/>
      <c r="R33" s="69"/>
    </row>
    <row r="34" spans="8:8" ht="15.0" customHeight="1">
      <c r="B34" s="54">
        <v>25.0</v>
      </c>
      <c r="C34" s="8" t="s">
        <v>8351</v>
      </c>
      <c r="D34" s="8" t="s">
        <v>1013</v>
      </c>
      <c r="E34" s="8" t="s">
        <v>23</v>
      </c>
      <c r="F34" s="8" t="s">
        <v>68</v>
      </c>
      <c r="G34" s="8" t="s">
        <v>2047</v>
      </c>
      <c r="H34" s="8">
        <v>305.0</v>
      </c>
      <c r="I34" s="55" t="s">
        <v>28</v>
      </c>
      <c r="J34" s="78" t="s">
        <v>3949</v>
      </c>
      <c r="K34" s="22">
        <v>0.0</v>
      </c>
      <c r="L34" s="22">
        <f>+SUMIF('حركه المخزن الرئيسي اليوميه'!$F:$F,$H:$H,'حركه المخزن الرئيسي اليوميه'!$H:$H)</f>
        <v>0.0</v>
      </c>
      <c r="M34" s="22">
        <f>+SUMIF('حركه المخزن الرئيسي اليوميه'!$F:$F,$H:$H,'حركه المخزن الرئيسي اليوميه'!$I:$I)</f>
        <v>0.0</v>
      </c>
      <c r="N34" s="22">
        <f>+K34+L34-M34</f>
        <v>0.0</v>
      </c>
      <c r="O34" s="22">
        <f>+N34</f>
        <v>0.0</v>
      </c>
      <c r="P34" s="22">
        <f>+N34-O34</f>
        <v>0.0</v>
      </c>
      <c r="Q34" s="57"/>
      <c r="R34" s="69"/>
    </row>
    <row r="35" spans="8:8" ht="15.0" customHeight="1">
      <c r="B35" s="54">
        <v>26.0</v>
      </c>
      <c r="C35" s="8" t="s">
        <v>8351</v>
      </c>
      <c r="D35" s="8" t="s">
        <v>1013</v>
      </c>
      <c r="E35" s="8" t="s">
        <v>23</v>
      </c>
      <c r="F35" s="8" t="s">
        <v>68</v>
      </c>
      <c r="G35" s="8" t="s">
        <v>2047</v>
      </c>
      <c r="H35" s="8">
        <v>1316.0</v>
      </c>
      <c r="I35" s="55" t="s">
        <v>28</v>
      </c>
      <c r="J35" s="78" t="s">
        <v>3950</v>
      </c>
      <c r="K35" s="22">
        <v>9.0</v>
      </c>
      <c r="L35" s="22">
        <f>+SUMIF('حركه المخزن الرئيسي اليوميه'!$F:$F,$H:$H,'حركه المخزن الرئيسي اليوميه'!$H:$H)</f>
        <v>0.0</v>
      </c>
      <c r="M35" s="22">
        <f>+SUMIF('حركه المخزن الرئيسي اليوميه'!$F:$F,$H:$H,'حركه المخزن الرئيسي اليوميه'!$I:$I)</f>
        <v>0.0</v>
      </c>
      <c r="N35" s="22">
        <f>+K35+L35-M35</f>
        <v>9.0</v>
      </c>
      <c r="O35" s="22">
        <f>+N35</f>
        <v>9.0</v>
      </c>
      <c r="P35" s="22">
        <f>+N35-O35</f>
        <v>0.0</v>
      </c>
      <c r="Q35" s="57"/>
      <c r="R35" s="58"/>
    </row>
    <row r="36" spans="8:8" ht="15.0" customHeight="1">
      <c r="B36" s="54">
        <v>27.0</v>
      </c>
      <c r="C36" s="8" t="s">
        <v>8351</v>
      </c>
      <c r="D36" s="8" t="s">
        <v>1013</v>
      </c>
      <c r="E36" s="8" t="s">
        <v>23</v>
      </c>
      <c r="F36" s="8" t="s">
        <v>68</v>
      </c>
      <c r="G36" s="8" t="s">
        <v>2047</v>
      </c>
      <c r="H36" s="8" t="s">
        <v>3521</v>
      </c>
      <c r="I36" s="55" t="s">
        <v>448</v>
      </c>
      <c r="J36" s="78" t="s">
        <v>3951</v>
      </c>
      <c r="K36" s="22">
        <v>204.0</v>
      </c>
      <c r="L36" s="22">
        <f>+SUMIF('حركه المخزن الرئيسي اليوميه'!$F:$F,$H:$H,'حركه المخزن الرئيسي اليوميه'!$H:$H)</f>
        <v>0.0</v>
      </c>
      <c r="M36" s="22">
        <f>+SUMIF('حركه المخزن الرئيسي اليوميه'!$F:$F,$H:$H,'حركه المخزن الرئيسي اليوميه'!$I:$I)</f>
        <v>8.0</v>
      </c>
      <c r="N36" s="22">
        <f>+K36+L36-M36</f>
        <v>196.0</v>
      </c>
      <c r="O36" s="22">
        <f>+N36</f>
        <v>196.0</v>
      </c>
      <c r="P36" s="22">
        <f>+N36-O36</f>
        <v>0.0</v>
      </c>
      <c r="Q36" s="57"/>
      <c r="R36" s="58"/>
    </row>
    <row r="37" spans="8:8" ht="15.0" customHeight="1">
      <c r="B37" s="54">
        <v>28.0</v>
      </c>
      <c r="C37" s="8" t="s">
        <v>8351</v>
      </c>
      <c r="D37" s="8" t="s">
        <v>1013</v>
      </c>
      <c r="E37" s="8" t="s">
        <v>23</v>
      </c>
      <c r="F37" s="8" t="s">
        <v>68</v>
      </c>
      <c r="G37" s="8" t="s">
        <v>2047</v>
      </c>
      <c r="H37" s="8">
        <v>6303.0</v>
      </c>
      <c r="I37" s="55" t="s">
        <v>28</v>
      </c>
      <c r="J37" s="78" t="s">
        <v>3952</v>
      </c>
      <c r="K37" s="22">
        <v>0.0</v>
      </c>
      <c r="L37" s="22">
        <f>+SUMIF('حركه المخزن الرئيسي اليوميه'!$F:$F,$H:$H,'حركه المخزن الرئيسي اليوميه'!$H:$H)</f>
        <v>0.0</v>
      </c>
      <c r="M37" s="22">
        <f>+SUMIF('حركه المخزن الرئيسي اليوميه'!$F:$F,$H:$H,'حركه المخزن الرئيسي اليوميه'!$I:$I)</f>
        <v>0.0</v>
      </c>
      <c r="N37" s="22">
        <f>+K37+L37-M37</f>
        <v>0.0</v>
      </c>
      <c r="O37" s="22">
        <f>+N37</f>
        <v>0.0</v>
      </c>
      <c r="P37" s="22">
        <f>+N37-O37</f>
        <v>0.0</v>
      </c>
      <c r="Q37" s="57"/>
      <c r="R37" s="58"/>
    </row>
    <row r="38" spans="8:8" ht="15.0" customHeight="1">
      <c r="B38" s="54">
        <v>29.0</v>
      </c>
      <c r="C38" s="8" t="s">
        <v>8351</v>
      </c>
      <c r="D38" s="8" t="s">
        <v>820</v>
      </c>
      <c r="E38" s="8" t="s">
        <v>1488</v>
      </c>
      <c r="F38" s="8" t="s">
        <v>68</v>
      </c>
      <c r="G38" s="8" t="s">
        <v>2047</v>
      </c>
      <c r="H38" s="8">
        <v>6305.0</v>
      </c>
      <c r="I38" s="55" t="s">
        <v>448</v>
      </c>
      <c r="J38" s="78" t="s">
        <v>3953</v>
      </c>
      <c r="K38" s="22">
        <v>63.0</v>
      </c>
      <c r="L38" s="22">
        <f>+SUMIF('حركه المخزن الرئيسي اليوميه'!$F:$F,$H:$H,'حركه المخزن الرئيسي اليوميه'!$H:$H)</f>
        <v>0.0</v>
      </c>
      <c r="M38" s="22">
        <f>+SUMIF('حركه المخزن الرئيسي اليوميه'!$F:$F,$H:$H,'حركه المخزن الرئيسي اليوميه'!$I:$I)</f>
        <v>0.0</v>
      </c>
      <c r="N38" s="22">
        <f>+K38+L38-M38</f>
        <v>63.0</v>
      </c>
      <c r="O38" s="22">
        <f>+N38</f>
        <v>63.0</v>
      </c>
      <c r="P38" s="22">
        <f>+N38-O38</f>
        <v>0.0</v>
      </c>
      <c r="Q38" s="57"/>
      <c r="R38" s="58"/>
    </row>
    <row r="39" spans="8:8" ht="15.0" customHeight="1">
      <c r="B39" s="54">
        <v>30.0</v>
      </c>
      <c r="C39" s="8" t="s">
        <v>8351</v>
      </c>
      <c r="D39" s="8" t="s">
        <v>1013</v>
      </c>
      <c r="E39" s="8" t="s">
        <v>23</v>
      </c>
      <c r="F39" s="8" t="s">
        <v>68</v>
      </c>
      <c r="G39" s="8" t="s">
        <v>2047</v>
      </c>
      <c r="H39" s="8">
        <v>6307.0</v>
      </c>
      <c r="I39" s="55" t="s">
        <v>197</v>
      </c>
      <c r="J39" s="78" t="s">
        <v>3954</v>
      </c>
      <c r="K39" s="22">
        <v>18.0</v>
      </c>
      <c r="L39" s="22">
        <f>+SUMIF('حركه المخزن الرئيسي اليوميه'!$F:$F,$H:$H,'حركه المخزن الرئيسي اليوميه'!$H:$H)</f>
        <v>0.0</v>
      </c>
      <c r="M39" s="22">
        <f>+SUMIF('حركه المخزن الرئيسي اليوميه'!$F:$F,$H:$H,'حركه المخزن الرئيسي اليوميه'!$I:$I)</f>
        <v>4.0</v>
      </c>
      <c r="N39" s="22">
        <f>+K39+L39-M39</f>
        <v>14.0</v>
      </c>
      <c r="O39" s="22">
        <f>+N39</f>
        <v>14.0</v>
      </c>
      <c r="P39" s="22">
        <f>+N39-O39</f>
        <v>0.0</v>
      </c>
      <c r="Q39" s="57"/>
      <c r="R39" s="58"/>
    </row>
    <row r="40" spans="8:8" ht="15.0" customHeight="1">
      <c r="B40" s="54">
        <v>31.0</v>
      </c>
      <c r="C40" s="8" t="s">
        <v>8351</v>
      </c>
      <c r="D40" s="8" t="s">
        <v>1013</v>
      </c>
      <c r="E40" s="8" t="s">
        <v>30</v>
      </c>
      <c r="F40" s="8" t="s">
        <v>68</v>
      </c>
      <c r="G40" s="8" t="s">
        <v>2047</v>
      </c>
      <c r="H40" s="8">
        <v>30208.0</v>
      </c>
      <c r="I40" s="55" t="s">
        <v>197</v>
      </c>
      <c r="J40" s="78" t="s">
        <v>3955</v>
      </c>
      <c r="K40" s="22">
        <v>7.0</v>
      </c>
      <c r="L40" s="22">
        <f>+SUMIF('حركه المخزن الرئيسي اليوميه'!$F:$F,$H:$H,'حركه المخزن الرئيسي اليوميه'!$H:$H)</f>
        <v>0.0</v>
      </c>
      <c r="M40" s="22">
        <f>+SUMIF('حركه المخزن الرئيسي اليوميه'!$F:$F,$H:$H,'حركه المخزن الرئيسي اليوميه'!$I:$I)</f>
        <v>0.0</v>
      </c>
      <c r="N40" s="22">
        <f>+K40+L40-M40</f>
        <v>7.0</v>
      </c>
      <c r="O40" s="22">
        <f>+N40</f>
        <v>7.0</v>
      </c>
      <c r="P40" s="22">
        <f>+N40-O40</f>
        <v>0.0</v>
      </c>
      <c r="Q40" s="57"/>
      <c r="R40" s="58"/>
    </row>
    <row r="41" spans="8:8" ht="15.0" customHeight="1">
      <c r="B41" s="54">
        <v>32.0</v>
      </c>
      <c r="C41" s="8" t="s">
        <v>8351</v>
      </c>
      <c r="D41" s="8" t="s">
        <v>1013</v>
      </c>
      <c r="E41" s="8" t="s">
        <v>23</v>
      </c>
      <c r="F41" s="8" t="s">
        <v>68</v>
      </c>
      <c r="G41" s="8" t="s">
        <v>2047</v>
      </c>
      <c r="H41" s="8">
        <v>55206.0</v>
      </c>
      <c r="I41" s="55" t="s">
        <v>28</v>
      </c>
      <c r="J41" s="78" t="s">
        <v>3956</v>
      </c>
      <c r="K41" s="22">
        <v>39.0</v>
      </c>
      <c r="L41" s="22">
        <f>+SUMIF('حركه المخزن الرئيسي اليوميه'!$F:$F,$H:$H,'حركه المخزن الرئيسي اليوميه'!$H:$H)</f>
        <v>0.0</v>
      </c>
      <c r="M41" s="22">
        <f>+SUMIF('حركه المخزن الرئيسي اليوميه'!$F:$F,$H:$H,'حركه المخزن الرئيسي اليوميه'!$I:$I)</f>
        <v>0.0</v>
      </c>
      <c r="N41" s="22">
        <f>+K41+L41-M41</f>
        <v>39.0</v>
      </c>
      <c r="O41" s="22">
        <f>+N41</f>
        <v>39.0</v>
      </c>
      <c r="P41" s="22">
        <f>+N41-O41</f>
        <v>0.0</v>
      </c>
      <c r="Q41" s="57"/>
      <c r="R41" s="58"/>
    </row>
    <row r="42" spans="8:8" ht="15.0" customHeight="1">
      <c r="B42" s="54">
        <v>33.0</v>
      </c>
      <c r="C42" s="8" t="s">
        <v>8351</v>
      </c>
      <c r="D42" s="8" t="s">
        <v>1013</v>
      </c>
      <c r="E42" s="8" t="s">
        <v>23</v>
      </c>
      <c r="F42" s="8" t="s">
        <v>68</v>
      </c>
      <c r="G42" s="8" t="s">
        <v>2047</v>
      </c>
      <c r="H42" s="8" t="s">
        <v>29</v>
      </c>
      <c r="I42" s="55" t="s">
        <v>197</v>
      </c>
      <c r="J42" s="78" t="s">
        <v>3957</v>
      </c>
      <c r="K42" s="22">
        <v>2.0</v>
      </c>
      <c r="L42" s="22">
        <f>+SUMIF('حركه المخزن الرئيسي اليوميه'!$F:$F,$H:$H,'حركه المخزن الرئيسي اليوميه'!$H:$H)</f>
        <v>0.0</v>
      </c>
      <c r="M42" s="22">
        <f>+SUMIF('حركه المخزن الرئيسي اليوميه'!$F:$F,$H:$H,'حركه المخزن الرئيسي اليوميه'!$I:$I)</f>
        <v>0.0</v>
      </c>
      <c r="N42" s="22">
        <f>+K42+L42-M42</f>
        <v>2.0</v>
      </c>
      <c r="O42" s="22">
        <f>+N42</f>
        <v>2.0</v>
      </c>
      <c r="P42" s="22">
        <f>+N42-O42</f>
        <v>0.0</v>
      </c>
      <c r="Q42" s="57"/>
      <c r="R42" s="58"/>
    </row>
    <row r="43" spans="8:8" ht="15.0" customHeight="1">
      <c r="B43" s="54">
        <v>34.0</v>
      </c>
      <c r="C43" s="8" t="s">
        <v>8351</v>
      </c>
      <c r="D43" s="8" t="s">
        <v>1013</v>
      </c>
      <c r="E43" s="8" t="s">
        <v>23</v>
      </c>
      <c r="F43" s="8" t="s">
        <v>68</v>
      </c>
      <c r="G43" s="8"/>
      <c r="H43" s="8" t="s">
        <v>2041</v>
      </c>
      <c r="I43" s="71" t="s">
        <v>197</v>
      </c>
      <c r="J43" s="78" t="s">
        <v>3958</v>
      </c>
      <c r="K43" s="22">
        <v>8.0</v>
      </c>
      <c r="L43" s="22">
        <f>+SUMIF('حركه المخزن الرئيسي اليوميه'!$F:$F,$H:$H,'حركه المخزن الرئيسي اليوميه'!$H:$H)</f>
        <v>0.0</v>
      </c>
      <c r="M43" s="22">
        <f>+SUMIF('حركه المخزن الرئيسي اليوميه'!$F:$F,$H:$H,'حركه المخزن الرئيسي اليوميه'!$I:$I)</f>
        <v>0.0</v>
      </c>
      <c r="N43" s="22">
        <f>+K43+L43-M43</f>
        <v>8.0</v>
      </c>
      <c r="O43" s="22">
        <f>+N43</f>
        <v>8.0</v>
      </c>
      <c r="P43" s="22">
        <f>+N43-O43</f>
        <v>0.0</v>
      </c>
      <c r="Q43" s="57"/>
      <c r="R43" s="58"/>
    </row>
    <row r="44" spans="8:8" ht="15.0" customHeight="1">
      <c r="B44" s="54">
        <v>35.0</v>
      </c>
      <c r="C44" s="8" t="s">
        <v>8351</v>
      </c>
      <c r="D44" s="8" t="s">
        <v>1013</v>
      </c>
      <c r="E44" s="8" t="s">
        <v>23</v>
      </c>
      <c r="F44" s="8" t="s">
        <v>68</v>
      </c>
      <c r="G44" s="8" t="s">
        <v>2047</v>
      </c>
      <c r="H44" s="8">
        <v>1312.0</v>
      </c>
      <c r="I44" s="71" t="s">
        <v>197</v>
      </c>
      <c r="J44" s="78" t="s">
        <v>3959</v>
      </c>
      <c r="K44" s="22">
        <v>2.0</v>
      </c>
      <c r="L44" s="22">
        <f>+SUMIF('حركه المخزن الرئيسي اليوميه'!$F:$F,$H:$H,'حركه المخزن الرئيسي اليوميه'!$H:$H)</f>
        <v>0.0</v>
      </c>
      <c r="M44" s="22">
        <f>+SUMIF('حركه المخزن الرئيسي اليوميه'!$F:$F,$H:$H,'حركه المخزن الرئيسي اليوميه'!$I:$I)</f>
        <v>0.0</v>
      </c>
      <c r="N44" s="22">
        <f>+K44+L44-M44</f>
        <v>2.0</v>
      </c>
      <c r="O44" s="22">
        <f>+N44</f>
        <v>2.0</v>
      </c>
      <c r="P44" s="22">
        <f>+N44-O44</f>
        <v>0.0</v>
      </c>
      <c r="Q44" s="57"/>
      <c r="R44" s="58"/>
    </row>
    <row r="45" spans="8:8" ht="15.0" customHeight="1">
      <c r="B45" s="54">
        <v>36.0</v>
      </c>
      <c r="C45" s="8" t="s">
        <v>8351</v>
      </c>
      <c r="D45" s="8" t="s">
        <v>1013</v>
      </c>
      <c r="E45" s="8" t="s">
        <v>23</v>
      </c>
      <c r="F45" s="8" t="s">
        <v>68</v>
      </c>
      <c r="G45" s="8" t="s">
        <v>2047</v>
      </c>
      <c r="H45" s="8">
        <v>6312.0</v>
      </c>
      <c r="I45" s="71" t="s">
        <v>28</v>
      </c>
      <c r="J45" s="78" t="s">
        <v>3960</v>
      </c>
      <c r="K45" s="22">
        <v>15.0</v>
      </c>
      <c r="L45" s="22">
        <f>+SUMIF('حركه المخزن الرئيسي اليوميه'!$F:$F,$H:$H,'حركه المخزن الرئيسي اليوميه'!$H:$H)</f>
        <v>0.0</v>
      </c>
      <c r="M45" s="22">
        <f>+SUMIF('حركه المخزن الرئيسي اليوميه'!$F:$F,$H:$H,'حركه المخزن الرئيسي اليوميه'!$I:$I)</f>
        <v>0.0</v>
      </c>
      <c r="N45" s="22">
        <f>+K45+L45-M45</f>
        <v>15.0</v>
      </c>
      <c r="O45" s="22">
        <f>+N45</f>
        <v>15.0</v>
      </c>
      <c r="P45" s="22">
        <f>+N45-O45</f>
        <v>0.0</v>
      </c>
      <c r="Q45" s="57"/>
      <c r="R45" s="58"/>
    </row>
    <row r="46" spans="8:8" ht="15.0" customHeight="1">
      <c r="B46" s="54">
        <v>37.0</v>
      </c>
      <c r="C46" s="8" t="s">
        <v>8351</v>
      </c>
      <c r="D46" s="8" t="s">
        <v>1013</v>
      </c>
      <c r="E46" s="8" t="s">
        <v>23</v>
      </c>
      <c r="F46" s="8" t="s">
        <v>68</v>
      </c>
      <c r="G46" s="8"/>
      <c r="H46" s="8" t="s">
        <v>2043</v>
      </c>
      <c r="I46" s="71" t="s">
        <v>254</v>
      </c>
      <c r="J46" s="78" t="s">
        <v>3961</v>
      </c>
      <c r="K46" s="22">
        <v>2.0</v>
      </c>
      <c r="L46" s="22">
        <f>+SUMIF('حركه المخزن الرئيسي اليوميه'!$F:$F,$H:$H,'حركه المخزن الرئيسي اليوميه'!$H:$H)</f>
        <v>0.0</v>
      </c>
      <c r="M46" s="22">
        <f>+SUMIF('حركه المخزن الرئيسي اليوميه'!$F:$F,$H:$H,'حركه المخزن الرئيسي اليوميه'!$I:$I)</f>
        <v>0.0</v>
      </c>
      <c r="N46" s="22">
        <f>+K46+L46-M46</f>
        <v>2.0</v>
      </c>
      <c r="O46" s="22">
        <f>+N46</f>
        <v>2.0</v>
      </c>
      <c r="P46" s="22"/>
      <c r="Q46" s="57"/>
      <c r="R46" s="58"/>
    </row>
    <row r="47" spans="8:8" ht="15.0" customHeight="1">
      <c r="B47" s="54">
        <v>38.0</v>
      </c>
      <c r="C47" s="8" t="s">
        <v>8351</v>
      </c>
      <c r="D47" s="8" t="s">
        <v>1013</v>
      </c>
      <c r="E47" s="8" t="s">
        <v>23</v>
      </c>
      <c r="F47" s="8" t="s">
        <v>68</v>
      </c>
      <c r="G47" s="8" t="s">
        <v>2194</v>
      </c>
      <c r="H47" s="8" t="s">
        <v>2637</v>
      </c>
      <c r="I47" s="71" t="s">
        <v>204</v>
      </c>
      <c r="J47" s="78" t="s">
        <v>3962</v>
      </c>
      <c r="K47" s="22">
        <v>0.0</v>
      </c>
      <c r="L47" s="22">
        <f>+SUMIF('حركه المخزن الرئيسي اليوميه'!$F:$F,$H:$H,'حركه المخزن الرئيسي اليوميه'!$H:$H)</f>
        <v>0.0</v>
      </c>
      <c r="M47" s="22">
        <f>+SUMIF('حركه المخزن الرئيسي اليوميه'!$F:$F,$H:$H,'حركه المخزن الرئيسي اليوميه'!$I:$I)</f>
        <v>0.0</v>
      </c>
      <c r="N47" s="22">
        <f>+K47+L47-M47</f>
        <v>0.0</v>
      </c>
      <c r="O47" s="22">
        <f>+N47</f>
        <v>0.0</v>
      </c>
      <c r="P47" s="22">
        <f>+N47-O47</f>
        <v>0.0</v>
      </c>
      <c r="Q47" s="57"/>
      <c r="R47" s="58"/>
    </row>
    <row r="48" spans="8:8" ht="15.0" customHeight="1">
      <c r="B48" s="54">
        <v>39.0</v>
      </c>
      <c r="C48" s="8" t="s">
        <v>8351</v>
      </c>
      <c r="D48" s="8" t="s">
        <v>1013</v>
      </c>
      <c r="E48" s="8" t="s">
        <v>23</v>
      </c>
      <c r="F48" s="8" t="s">
        <v>68</v>
      </c>
      <c r="G48" s="8" t="s">
        <v>2047</v>
      </c>
      <c r="H48" s="8" t="s">
        <v>2527</v>
      </c>
      <c r="I48" s="80" t="s">
        <v>205</v>
      </c>
      <c r="J48" s="78" t="s">
        <v>3963</v>
      </c>
      <c r="K48" s="22">
        <v>17.0</v>
      </c>
      <c r="L48" s="22">
        <f>+SUMIF('حركه المخزن الرئيسي اليوميه'!$F:$F,$H:$H,'حركه المخزن الرئيسي اليوميه'!$H:$H)</f>
        <v>0.0</v>
      </c>
      <c r="M48" s="22">
        <f>+SUMIF('حركه المخزن الرئيسي اليوميه'!$F:$F,$H:$H,'حركه المخزن الرئيسي اليوميه'!$I:$I)</f>
        <v>0.0</v>
      </c>
      <c r="N48" s="22">
        <f>+K48+L48-M48</f>
        <v>17.0</v>
      </c>
      <c r="O48" s="22">
        <f>+N48</f>
        <v>17.0</v>
      </c>
      <c r="P48" s="22">
        <f>+N48-O48</f>
        <v>0.0</v>
      </c>
      <c r="Q48" s="57"/>
      <c r="R48" s="58"/>
    </row>
    <row r="49" spans="8:8" ht="15.0" customHeight="1">
      <c r="B49" s="54">
        <v>40.0</v>
      </c>
      <c r="C49" s="8" t="s">
        <v>8351</v>
      </c>
      <c r="D49" s="8" t="s">
        <v>1013</v>
      </c>
      <c r="E49" s="8" t="s">
        <v>23</v>
      </c>
      <c r="F49" s="8" t="s">
        <v>68</v>
      </c>
      <c r="G49" s="8" t="s">
        <v>2047</v>
      </c>
      <c r="H49" s="8">
        <v>6302.0</v>
      </c>
      <c r="I49" s="55" t="s">
        <v>254</v>
      </c>
      <c r="J49" s="78" t="s">
        <v>3964</v>
      </c>
      <c r="K49" s="22">
        <v>2.0</v>
      </c>
      <c r="L49" s="22">
        <f>+SUMIF('حركه المخزن الرئيسي اليوميه'!$F:$F,$H:$H,'حركه المخزن الرئيسي اليوميه'!$H:$H)</f>
        <v>0.0</v>
      </c>
      <c r="M49" s="22">
        <f>+SUMIF('حركه المخزن الرئيسي اليوميه'!$F:$F,$H:$H,'حركه المخزن الرئيسي اليوميه'!$I:$I)</f>
        <v>0.0</v>
      </c>
      <c r="N49" s="22">
        <f>+K49+L49-M49</f>
        <v>2.0</v>
      </c>
      <c r="O49" s="22">
        <f>+N49</f>
        <v>2.0</v>
      </c>
      <c r="P49" s="22">
        <f>+N49-O49</f>
        <v>0.0</v>
      </c>
      <c r="Q49" s="57"/>
      <c r="R49" s="58"/>
    </row>
    <row r="50" spans="8:8" ht="15.0" customHeight="1">
      <c r="B50" s="54">
        <v>41.0</v>
      </c>
      <c r="C50" s="8" t="s">
        <v>8351</v>
      </c>
      <c r="D50" s="8" t="s">
        <v>1013</v>
      </c>
      <c r="E50" s="8" t="s">
        <v>23</v>
      </c>
      <c r="F50" s="8" t="s">
        <v>68</v>
      </c>
      <c r="G50" s="8" t="s">
        <v>2047</v>
      </c>
      <c r="H50" s="8">
        <v>2314.0</v>
      </c>
      <c r="I50" s="81" t="s">
        <v>205</v>
      </c>
      <c r="J50" s="78" t="s">
        <v>3965</v>
      </c>
      <c r="K50" s="22">
        <v>14.0</v>
      </c>
      <c r="L50" s="22">
        <f>+SUMIF('حركه المخزن الرئيسي اليوميه'!$F:$F,$H:$H,'حركه المخزن الرئيسي اليوميه'!$H:$H)</f>
        <v>0.0</v>
      </c>
      <c r="M50" s="22">
        <f>+SUMIF('حركه المخزن الرئيسي اليوميه'!$F:$F,$H:$H,'حركه المخزن الرئيسي اليوميه'!$I:$I)</f>
        <v>0.0</v>
      </c>
      <c r="N50" s="22">
        <f>+K50+L50-M50</f>
        <v>14.0</v>
      </c>
      <c r="O50" s="22">
        <f>+N50</f>
        <v>14.0</v>
      </c>
      <c r="P50" s="22">
        <f>+N50-O50</f>
        <v>0.0</v>
      </c>
      <c r="Q50" s="57"/>
      <c r="R50" s="58"/>
    </row>
    <row r="51" spans="8:8" ht="15.0" customHeight="1">
      <c r="B51" s="54">
        <v>42.0</v>
      </c>
      <c r="C51" s="8" t="s">
        <v>8351</v>
      </c>
      <c r="D51" s="8" t="s">
        <v>1013</v>
      </c>
      <c r="E51" s="8" t="s">
        <v>23</v>
      </c>
      <c r="F51" s="8" t="s">
        <v>68</v>
      </c>
      <c r="G51" s="8" t="s">
        <v>2047</v>
      </c>
      <c r="H51" s="8" t="s">
        <v>2901</v>
      </c>
      <c r="I51" s="55" t="s">
        <v>448</v>
      </c>
      <c r="J51" s="78" t="s">
        <v>3966</v>
      </c>
      <c r="K51" s="22">
        <v>26.0</v>
      </c>
      <c r="L51" s="22">
        <f>+SUMIF('حركه المخزن الرئيسي اليوميه'!$F:$F,$H:$H,'حركه المخزن الرئيسي اليوميه'!$H:$H)</f>
        <v>0.0</v>
      </c>
      <c r="M51" s="22">
        <f>+SUMIF('حركه المخزن الرئيسي اليوميه'!$F:$F,$H:$H,'حركه المخزن الرئيسي اليوميه'!$I:$I)</f>
        <v>0.0</v>
      </c>
      <c r="N51" s="22">
        <f>+K51+L51-M51</f>
        <v>26.0</v>
      </c>
      <c r="O51" s="22">
        <f>+N51</f>
        <v>26.0</v>
      </c>
      <c r="P51" s="22">
        <f>+N51-O51</f>
        <v>0.0</v>
      </c>
      <c r="Q51" s="57"/>
      <c r="R51" s="58"/>
    </row>
    <row r="52" spans="8:8" ht="15.0" customHeight="1">
      <c r="B52" s="54">
        <v>43.0</v>
      </c>
      <c r="C52" s="8" t="s">
        <v>8351</v>
      </c>
      <c r="D52" s="8" t="s">
        <v>1013</v>
      </c>
      <c r="E52" s="8" t="s">
        <v>23</v>
      </c>
      <c r="F52" s="8" t="s">
        <v>68</v>
      </c>
      <c r="G52" s="8" t="s">
        <v>2047</v>
      </c>
      <c r="H52" s="8" t="s">
        <v>8135</v>
      </c>
      <c r="I52" s="55" t="s">
        <v>31</v>
      </c>
      <c r="J52" s="78" t="s">
        <v>3967</v>
      </c>
      <c r="K52" s="22">
        <v>18.0</v>
      </c>
      <c r="L52" s="22">
        <f>+SUMIF('حركه المخزن الرئيسي اليوميه'!$F:$F,$H:$H,'حركه المخزن الرئيسي اليوميه'!$H:$H)</f>
        <v>0.0</v>
      </c>
      <c r="M52" s="22">
        <f>+SUMIF('حركه المخزن الرئيسي اليوميه'!$F:$F,$H:$H,'حركه المخزن الرئيسي اليوميه'!$I:$I)</f>
        <v>0.0</v>
      </c>
      <c r="N52" s="22">
        <f>+K52+L52-M52</f>
        <v>18.0</v>
      </c>
      <c r="O52" s="22">
        <f>+N52</f>
        <v>18.0</v>
      </c>
      <c r="P52" s="22">
        <f>+N52-O52</f>
        <v>0.0</v>
      </c>
      <c r="Q52" s="57"/>
      <c r="R52" s="58"/>
    </row>
    <row r="53" spans="8:8" ht="15.0" customHeight="1">
      <c r="B53" s="54">
        <v>44.0</v>
      </c>
      <c r="C53" s="8" t="s">
        <v>8351</v>
      </c>
      <c r="D53" s="8" t="s">
        <v>1013</v>
      </c>
      <c r="E53" s="8" t="s">
        <v>23</v>
      </c>
      <c r="F53" s="8" t="s">
        <v>68</v>
      </c>
      <c r="G53" s="8" t="s">
        <v>2047</v>
      </c>
      <c r="H53" s="8" t="s">
        <v>32</v>
      </c>
      <c r="I53" s="55" t="s">
        <v>204</v>
      </c>
      <c r="J53" s="78" t="s">
        <v>3968</v>
      </c>
      <c r="K53" s="22">
        <v>14.0</v>
      </c>
      <c r="L53" s="22">
        <f>+SUMIF('حركه المخزن الرئيسي اليوميه'!$F:$F,$H:$H,'حركه المخزن الرئيسي اليوميه'!$H:$H)</f>
        <v>0.0</v>
      </c>
      <c r="M53" s="22">
        <f>+SUMIF('حركه المخزن الرئيسي اليوميه'!$F:$F,$H:$H,'حركه المخزن الرئيسي اليوميه'!$I:$I)</f>
        <v>0.0</v>
      </c>
      <c r="N53" s="22">
        <f>+K53+L53-M53</f>
        <v>14.0</v>
      </c>
      <c r="O53" s="22">
        <f>+N53</f>
        <v>14.0</v>
      </c>
      <c r="P53" s="22">
        <f>+N53-O53</f>
        <v>0.0</v>
      </c>
      <c r="Q53" s="57"/>
      <c r="R53" s="11"/>
    </row>
    <row r="54" spans="8:8" ht="15.0" customHeight="1">
      <c r="B54" s="54">
        <v>45.0</v>
      </c>
      <c r="C54" s="8" t="s">
        <v>8351</v>
      </c>
      <c r="D54" s="8" t="s">
        <v>1013</v>
      </c>
      <c r="E54" s="8" t="s">
        <v>23</v>
      </c>
      <c r="F54" s="8"/>
      <c r="G54" s="8" t="s">
        <v>2416</v>
      </c>
      <c r="H54" s="8" t="s">
        <v>2804</v>
      </c>
      <c r="I54" s="55" t="s">
        <v>31</v>
      </c>
      <c r="J54" s="78" t="s">
        <v>3969</v>
      </c>
      <c r="K54" s="22">
        <v>31.0</v>
      </c>
      <c r="L54" s="22">
        <f>+SUMIF('حركه المخزن الرئيسي اليوميه'!$F:$F,$H:$H,'حركه المخزن الرئيسي اليوميه'!$H:$H)</f>
        <v>0.0</v>
      </c>
      <c r="M54" s="22">
        <f>+SUMIF('حركه المخزن الرئيسي اليوميه'!$F:$F,$H:$H,'حركه المخزن الرئيسي اليوميه'!$I:$I)</f>
        <v>0.0</v>
      </c>
      <c r="N54" s="22">
        <f>+K54+L54-M54</f>
        <v>31.0</v>
      </c>
      <c r="O54" s="22">
        <f>+N54</f>
        <v>31.0</v>
      </c>
      <c r="P54" s="22">
        <f>+N54-O54</f>
        <v>0.0</v>
      </c>
      <c r="Q54" s="57"/>
      <c r="R54" s="58"/>
    </row>
    <row r="55" spans="8:8" ht="15.0" customHeight="1">
      <c r="B55" s="54">
        <v>46.0</v>
      </c>
      <c r="C55" s="8" t="s">
        <v>8351</v>
      </c>
      <c r="D55" s="8" t="s">
        <v>1013</v>
      </c>
      <c r="E55" s="8" t="s">
        <v>23</v>
      </c>
      <c r="F55" s="8" t="s">
        <v>68</v>
      </c>
      <c r="G55" s="8" t="s">
        <v>2047</v>
      </c>
      <c r="H55" s="8" t="s">
        <v>33</v>
      </c>
      <c r="I55" s="81" t="s">
        <v>31</v>
      </c>
      <c r="J55" s="78" t="s">
        <v>3970</v>
      </c>
      <c r="K55" s="22">
        <v>0.0</v>
      </c>
      <c r="L55" s="22">
        <f>+SUMIF('حركه المخزن الرئيسي اليوميه'!$F:$F,$H:$H,'حركه المخزن الرئيسي اليوميه'!$H:$H)</f>
        <v>0.0</v>
      </c>
      <c r="M55" s="22">
        <f>+SUMIF('حركه المخزن الرئيسي اليوميه'!$F:$F,$H:$H,'حركه المخزن الرئيسي اليوميه'!$I:$I)</f>
        <v>0.0</v>
      </c>
      <c r="N55" s="22">
        <f>+K55+L55-M55</f>
        <v>0.0</v>
      </c>
      <c r="O55" s="22">
        <f>+N55</f>
        <v>0.0</v>
      </c>
      <c r="P55" s="22">
        <f>+N55-O55</f>
        <v>0.0</v>
      </c>
      <c r="Q55" s="57"/>
      <c r="R55" s="58"/>
    </row>
    <row r="56" spans="8:8" ht="15.0" customHeight="1">
      <c r="B56" s="54">
        <v>47.0</v>
      </c>
      <c r="C56" s="8" t="s">
        <v>8351</v>
      </c>
      <c r="D56" s="8" t="s">
        <v>1013</v>
      </c>
      <c r="E56" s="8" t="s">
        <v>1939</v>
      </c>
      <c r="F56" s="8" t="s">
        <v>1501</v>
      </c>
      <c r="G56" s="8" t="s">
        <v>1940</v>
      </c>
      <c r="H56" s="8" t="s">
        <v>1943</v>
      </c>
      <c r="I56" s="55" t="s">
        <v>31</v>
      </c>
      <c r="J56" s="78" t="s">
        <v>3971</v>
      </c>
      <c r="K56" s="22">
        <v>12.0</v>
      </c>
      <c r="L56" s="22">
        <f>+SUMIF('حركه المخزن الرئيسي اليوميه'!$F:$F,$H:$H,'حركه المخزن الرئيسي اليوميه'!$H:$H)</f>
        <v>0.0</v>
      </c>
      <c r="M56" s="22">
        <f>+SUMIF('حركه المخزن الرئيسي اليوميه'!$F:$F,$H:$H,'حركه المخزن الرئيسي اليوميه'!$I:$I)</f>
        <v>0.0</v>
      </c>
      <c r="N56" s="22">
        <f>+K56+L56-M56</f>
        <v>12.0</v>
      </c>
      <c r="O56" s="22">
        <f>+N56</f>
        <v>12.0</v>
      </c>
      <c r="P56" s="22">
        <f>+N56-O56</f>
        <v>0.0</v>
      </c>
      <c r="Q56" s="57"/>
      <c r="R56" s="58"/>
    </row>
    <row r="57" spans="8:8" ht="15.0" customHeight="1">
      <c r="B57" s="54">
        <v>48.0</v>
      </c>
      <c r="C57" s="8" t="s">
        <v>8351</v>
      </c>
      <c r="D57" s="8" t="s">
        <v>1013</v>
      </c>
      <c r="E57" s="8" t="s">
        <v>23</v>
      </c>
      <c r="F57" s="8" t="s">
        <v>68</v>
      </c>
      <c r="G57" s="8" t="s">
        <v>2047</v>
      </c>
      <c r="H57" s="8">
        <v>6032.0</v>
      </c>
      <c r="I57" s="81" t="s">
        <v>204</v>
      </c>
      <c r="J57" s="78" t="s">
        <v>3972</v>
      </c>
      <c r="K57" s="22">
        <v>2.0</v>
      </c>
      <c r="L57" s="22">
        <f>+SUMIF('حركه المخزن الرئيسي اليوميه'!$F:$F,$H:$H,'حركه المخزن الرئيسي اليوميه'!$H:$H)</f>
        <v>0.0</v>
      </c>
      <c r="M57" s="22">
        <f>+SUMIF('حركه المخزن الرئيسي اليوميه'!$F:$F,$H:$H,'حركه المخزن الرئيسي اليوميه'!$I:$I)</f>
        <v>0.0</v>
      </c>
      <c r="N57" s="22">
        <f>+K57+L57-M57</f>
        <v>2.0</v>
      </c>
      <c r="O57" s="22">
        <f>+N57</f>
        <v>2.0</v>
      </c>
      <c r="P57" s="22">
        <f>+N57-O57</f>
        <v>0.0</v>
      </c>
      <c r="Q57" s="57"/>
      <c r="R57" s="58"/>
    </row>
    <row r="58" spans="8:8" ht="15.0" customHeight="1">
      <c r="B58" s="54">
        <v>49.0</v>
      </c>
      <c r="C58" s="8" t="s">
        <v>8351</v>
      </c>
      <c r="D58" s="8" t="s">
        <v>1013</v>
      </c>
      <c r="E58" s="8" t="s">
        <v>23</v>
      </c>
      <c r="F58" s="8" t="s">
        <v>68</v>
      </c>
      <c r="G58" s="8" t="s">
        <v>2047</v>
      </c>
      <c r="H58" s="8">
        <v>6314.0</v>
      </c>
      <c r="I58" s="81" t="s">
        <v>205</v>
      </c>
      <c r="J58" s="78" t="s">
        <v>3973</v>
      </c>
      <c r="K58" s="22">
        <v>9.0</v>
      </c>
      <c r="L58" s="22">
        <f>+SUMIF('حركه المخزن الرئيسي اليوميه'!$F:$F,$H:$H,'حركه المخزن الرئيسي اليوميه'!$H:$H)</f>
        <v>0.0</v>
      </c>
      <c r="M58" s="22">
        <f>+SUMIF('حركه المخزن الرئيسي اليوميه'!$F:$F,$H:$H,'حركه المخزن الرئيسي اليوميه'!$I:$I)</f>
        <v>2.0</v>
      </c>
      <c r="N58" s="22">
        <f>+K58+L58-M58</f>
        <v>7.0</v>
      </c>
      <c r="O58" s="22">
        <f>+N58</f>
        <v>7.0</v>
      </c>
      <c r="P58" s="22">
        <f>+N58-O58</f>
        <v>0.0</v>
      </c>
      <c r="Q58" s="57"/>
      <c r="R58" s="58"/>
    </row>
    <row r="59" spans="8:8" ht="15.0" customHeight="1">
      <c r="B59" s="54">
        <v>50.0</v>
      </c>
      <c r="C59" s="8" t="s">
        <v>8351</v>
      </c>
      <c r="D59" s="8" t="s">
        <v>1013</v>
      </c>
      <c r="E59" s="8" t="s">
        <v>1488</v>
      </c>
      <c r="F59" s="8" t="s">
        <v>68</v>
      </c>
      <c r="G59" s="8" t="s">
        <v>2193</v>
      </c>
      <c r="H59" s="8" t="s">
        <v>2638</v>
      </c>
      <c r="I59" s="55" t="s">
        <v>204</v>
      </c>
      <c r="J59" s="78" t="s">
        <v>3974</v>
      </c>
      <c r="K59" s="22">
        <v>2.0</v>
      </c>
      <c r="L59" s="22">
        <f>+SUMIF('حركه المخزن الرئيسي اليوميه'!$F:$F,$H:$H,'حركه المخزن الرئيسي اليوميه'!$H:$H)</f>
        <v>0.0</v>
      </c>
      <c r="M59" s="22">
        <f>+SUMIF('حركه المخزن الرئيسي اليوميه'!$F:$F,$H:$H,'حركه المخزن الرئيسي اليوميه'!$I:$I)</f>
        <v>0.0</v>
      </c>
      <c r="N59" s="22">
        <f>+K59+L59-M59</f>
        <v>2.0</v>
      </c>
      <c r="O59" s="22">
        <f>+N59</f>
        <v>2.0</v>
      </c>
      <c r="P59" s="22">
        <f>+N59-O59</f>
        <v>0.0</v>
      </c>
      <c r="Q59" s="57"/>
      <c r="R59" s="58"/>
    </row>
    <row r="60" spans="8:8" ht="15.0" customHeight="1">
      <c r="B60" s="54">
        <v>51.0</v>
      </c>
      <c r="C60" s="8" t="s">
        <v>8351</v>
      </c>
      <c r="D60" s="8" t="s">
        <v>1013</v>
      </c>
      <c r="E60" s="8" t="s">
        <v>23</v>
      </c>
      <c r="F60" s="8" t="s">
        <v>68</v>
      </c>
      <c r="G60" s="8" t="s">
        <v>2047</v>
      </c>
      <c r="H60" s="82" t="s">
        <v>2529</v>
      </c>
      <c r="I60" s="81" t="s">
        <v>204</v>
      </c>
      <c r="J60" s="78" t="s">
        <v>3975</v>
      </c>
      <c r="K60" s="22">
        <v>1.0</v>
      </c>
      <c r="L60" s="22">
        <f>+SUMIF('حركه المخزن الرئيسي اليوميه'!$F:$F,$H:$H,'حركه المخزن الرئيسي اليوميه'!$H:$H)</f>
        <v>0.0</v>
      </c>
      <c r="M60" s="22">
        <f>+SUMIF('حركه المخزن الرئيسي اليوميه'!$F:$F,$H:$H,'حركه المخزن الرئيسي اليوميه'!$I:$I)</f>
        <v>0.0</v>
      </c>
      <c r="N60" s="22">
        <f>+K60+L60-M60</f>
        <v>1.0</v>
      </c>
      <c r="O60" s="22">
        <f>+N60</f>
        <v>1.0</v>
      </c>
      <c r="P60" s="22">
        <f>+N60-O60</f>
        <v>0.0</v>
      </c>
      <c r="Q60" s="57"/>
      <c r="R60" s="58"/>
    </row>
    <row r="61" spans="8:8" ht="15.0" customHeight="1">
      <c r="B61" s="54">
        <v>52.0</v>
      </c>
      <c r="C61" s="8" t="s">
        <v>8351</v>
      </c>
      <c r="D61" s="8" t="s">
        <v>1013</v>
      </c>
      <c r="E61" s="8" t="s">
        <v>1488</v>
      </c>
      <c r="F61" s="8" t="s">
        <v>68</v>
      </c>
      <c r="G61" s="8" t="s">
        <v>2195</v>
      </c>
      <c r="H61" s="8" t="s">
        <v>2640</v>
      </c>
      <c r="I61" s="55" t="s">
        <v>204</v>
      </c>
      <c r="J61" s="78" t="s">
        <v>3976</v>
      </c>
      <c r="K61" s="22">
        <v>2.0</v>
      </c>
      <c r="L61" s="22">
        <f>+SUMIF('حركه المخزن الرئيسي اليوميه'!$F:$F,$H:$H,'حركه المخزن الرئيسي اليوميه'!$H:$H)</f>
        <v>0.0</v>
      </c>
      <c r="M61" s="22">
        <f>+SUMIF('حركه المخزن الرئيسي اليوميه'!$F:$F,$H:$H,'حركه المخزن الرئيسي اليوميه'!$I:$I)</f>
        <v>0.0</v>
      </c>
      <c r="N61" s="22">
        <f>+K61+L61-M61</f>
        <v>2.0</v>
      </c>
      <c r="O61" s="22">
        <f>+N61</f>
        <v>2.0</v>
      </c>
      <c r="P61" s="22">
        <f>+N61-O61</f>
        <v>0.0</v>
      </c>
      <c r="Q61" s="57"/>
      <c r="R61" s="58"/>
    </row>
    <row r="62" spans="8:8" ht="15.0" customHeight="1">
      <c r="B62" s="54">
        <v>53.0</v>
      </c>
      <c r="C62" s="8" t="s">
        <v>8351</v>
      </c>
      <c r="D62" s="8" t="s">
        <v>820</v>
      </c>
      <c r="E62" s="8" t="s">
        <v>23</v>
      </c>
      <c r="F62" s="8" t="s">
        <v>68</v>
      </c>
      <c r="G62" s="8" t="s">
        <v>2428</v>
      </c>
      <c r="H62" s="8" t="s">
        <v>2641</v>
      </c>
      <c r="I62" s="55" t="s">
        <v>204</v>
      </c>
      <c r="J62" s="78" t="s">
        <v>3977</v>
      </c>
      <c r="K62" s="22">
        <v>2.0</v>
      </c>
      <c r="L62" s="22">
        <f>+SUMIF('حركه المخزن الرئيسي اليوميه'!$F:$F,$H:$H,'حركه المخزن الرئيسي اليوميه'!$H:$H)</f>
        <v>0.0</v>
      </c>
      <c r="M62" s="22">
        <f>+SUMIF('حركه المخزن الرئيسي اليوميه'!$F:$F,$H:$H,'حركه المخزن الرئيسي اليوميه'!$I:$I)</f>
        <v>0.0</v>
      </c>
      <c r="N62" s="22">
        <f>+K62+L62-M62</f>
        <v>2.0</v>
      </c>
      <c r="O62" s="22">
        <f>+N62</f>
        <v>2.0</v>
      </c>
      <c r="P62" s="22">
        <f>+N62-O62</f>
        <v>0.0</v>
      </c>
      <c r="Q62" s="57"/>
      <c r="R62" s="58"/>
    </row>
    <row r="63" spans="8:8" ht="15.0" customHeight="1">
      <c r="B63" s="54">
        <v>54.0</v>
      </c>
      <c r="C63" s="8" t="s">
        <v>8351</v>
      </c>
      <c r="D63" s="8" t="s">
        <v>1013</v>
      </c>
      <c r="E63" s="8" t="s">
        <v>23</v>
      </c>
      <c r="F63" s="8" t="s">
        <v>68</v>
      </c>
      <c r="G63" s="8" t="s">
        <v>2047</v>
      </c>
      <c r="H63" s="8" t="s">
        <v>1942</v>
      </c>
      <c r="I63" s="55" t="s">
        <v>31</v>
      </c>
      <c r="J63" s="78" t="s">
        <v>3978</v>
      </c>
      <c r="K63" s="22">
        <v>27.0</v>
      </c>
      <c r="L63" s="22">
        <f>+SUMIF('حركه المخزن الرئيسي اليوميه'!$F:$F,$H:$H,'حركه المخزن الرئيسي اليوميه'!$H:$H)</f>
        <v>0.0</v>
      </c>
      <c r="M63" s="22">
        <f>+SUMIF('حركه المخزن الرئيسي اليوميه'!$F:$F,$H:$H,'حركه المخزن الرئيسي اليوميه'!$I:$I)</f>
        <v>0.0</v>
      </c>
      <c r="N63" s="22">
        <f>+K63+L63-M63</f>
        <v>27.0</v>
      </c>
      <c r="O63" s="22">
        <f>+N63</f>
        <v>27.0</v>
      </c>
      <c r="P63" s="22">
        <f>+N63-O63</f>
        <v>0.0</v>
      </c>
      <c r="Q63" s="57"/>
      <c r="R63" s="58"/>
    </row>
    <row r="64" spans="8:8" ht="15.0" customHeight="1">
      <c r="B64" s="54">
        <v>55.0</v>
      </c>
      <c r="C64" s="8" t="s">
        <v>8351</v>
      </c>
      <c r="D64" s="8" t="s">
        <v>1013</v>
      </c>
      <c r="E64" s="8" t="s">
        <v>23</v>
      </c>
      <c r="F64" s="8" t="s">
        <v>68</v>
      </c>
      <c r="G64" s="8" t="s">
        <v>2047</v>
      </c>
      <c r="H64" s="8">
        <v>2311.0</v>
      </c>
      <c r="I64" s="55" t="s">
        <v>205</v>
      </c>
      <c r="J64" s="78" t="s">
        <v>3979</v>
      </c>
      <c r="K64" s="22">
        <v>17.0</v>
      </c>
      <c r="L64" s="22">
        <f>+SUMIF('حركه المخزن الرئيسي اليوميه'!$F:$F,$H:$H,'حركه المخزن الرئيسي اليوميه'!$H:$H)</f>
        <v>0.0</v>
      </c>
      <c r="M64" s="22">
        <f>+SUMIF('حركه المخزن الرئيسي اليوميه'!$F:$F,$H:$H,'حركه المخزن الرئيسي اليوميه'!$I:$I)</f>
        <v>0.0</v>
      </c>
      <c r="N64" s="22">
        <f>+K64+L64-M64</f>
        <v>17.0</v>
      </c>
      <c r="O64" s="22">
        <f>+N64</f>
        <v>17.0</v>
      </c>
      <c r="P64" s="22">
        <f>+N64-O64</f>
        <v>0.0</v>
      </c>
      <c r="Q64" s="57"/>
      <c r="R64" s="58"/>
    </row>
    <row r="65" spans="8:8" ht="15.0" customHeight="1">
      <c r="B65" s="54">
        <v>56.0</v>
      </c>
      <c r="C65" s="8" t="s">
        <v>8351</v>
      </c>
      <c r="D65" s="8" t="s">
        <v>1013</v>
      </c>
      <c r="E65" s="8" t="s">
        <v>23</v>
      </c>
      <c r="F65" s="8" t="s">
        <v>68</v>
      </c>
      <c r="G65" s="8" t="s">
        <v>2047</v>
      </c>
      <c r="H65" s="8">
        <v>6317.0</v>
      </c>
      <c r="I65" s="55" t="s">
        <v>247</v>
      </c>
      <c r="J65" s="78" t="s">
        <v>3980</v>
      </c>
      <c r="K65" s="22">
        <v>10.0</v>
      </c>
      <c r="L65" s="22">
        <f>+SUMIF('حركه المخزن الرئيسي اليوميه'!$F:$F,$H:$H,'حركه المخزن الرئيسي اليوميه'!$H:$H)</f>
        <v>0.0</v>
      </c>
      <c r="M65" s="22">
        <f>+SUMIF('حركه المخزن الرئيسي اليوميه'!$F:$F,$H:$H,'حركه المخزن الرئيسي اليوميه'!$I:$I)</f>
        <v>0.0</v>
      </c>
      <c r="N65" s="22">
        <f>+K65+L65-M65</f>
        <v>10.0</v>
      </c>
      <c r="O65" s="22">
        <f>+N65</f>
        <v>10.0</v>
      </c>
      <c r="P65" s="22">
        <f>+N65-O65</f>
        <v>0.0</v>
      </c>
      <c r="Q65" s="57"/>
      <c r="R65" s="58"/>
    </row>
    <row r="66" spans="8:8" ht="15.0" customHeight="1">
      <c r="B66" s="54">
        <v>57.0</v>
      </c>
      <c r="C66" s="8" t="s">
        <v>8351</v>
      </c>
      <c r="D66" s="8" t="s">
        <v>1013</v>
      </c>
      <c r="E66" s="8" t="s">
        <v>23</v>
      </c>
      <c r="F66" s="8" t="s">
        <v>68</v>
      </c>
      <c r="G66" s="8" t="s">
        <v>2047</v>
      </c>
      <c r="H66" s="8">
        <v>6412.0</v>
      </c>
      <c r="I66" s="55" t="s">
        <v>247</v>
      </c>
      <c r="J66" s="78" t="s">
        <v>3981</v>
      </c>
      <c r="K66" s="22">
        <v>12.0</v>
      </c>
      <c r="L66" s="22">
        <f>+SUMIF('حركه المخزن الرئيسي اليوميه'!$F:$F,$H:$H,'حركه المخزن الرئيسي اليوميه'!$H:$H)</f>
        <v>0.0</v>
      </c>
      <c r="M66" s="22">
        <f>+SUMIF('حركه المخزن الرئيسي اليوميه'!$F:$F,$H:$H,'حركه المخزن الرئيسي اليوميه'!$I:$I)</f>
        <v>0.0</v>
      </c>
      <c r="N66" s="22">
        <f>+K66+L66-M66</f>
        <v>12.0</v>
      </c>
      <c r="O66" s="22">
        <f>+N66</f>
        <v>12.0</v>
      </c>
      <c r="P66" s="22">
        <f>+N66-O66</f>
        <v>0.0</v>
      </c>
      <c r="Q66" s="57"/>
      <c r="R66" s="58"/>
    </row>
    <row r="67" spans="8:8" ht="15.0" customHeight="1">
      <c r="B67" s="54">
        <v>58.0</v>
      </c>
      <c r="C67" s="8" t="s">
        <v>8351</v>
      </c>
      <c r="D67" s="8" t="s">
        <v>1013</v>
      </c>
      <c r="E67" s="8" t="s">
        <v>23</v>
      </c>
      <c r="F67" s="8" t="s">
        <v>68</v>
      </c>
      <c r="G67" s="8" t="s">
        <v>2047</v>
      </c>
      <c r="H67" s="8">
        <v>30319.0</v>
      </c>
      <c r="I67" s="55" t="s">
        <v>247</v>
      </c>
      <c r="J67" s="78" t="s">
        <v>3982</v>
      </c>
      <c r="K67" s="22">
        <v>11.0</v>
      </c>
      <c r="L67" s="22">
        <f>+SUMIF('حركه المخزن الرئيسي اليوميه'!$F:$F,$H:$H,'حركه المخزن الرئيسي اليوميه'!$H:$H)</f>
        <v>0.0</v>
      </c>
      <c r="M67" s="22">
        <f>+SUMIF('حركه المخزن الرئيسي اليوميه'!$F:$F,$H:$H,'حركه المخزن الرئيسي اليوميه'!$I:$I)</f>
        <v>0.0</v>
      </c>
      <c r="N67" s="22">
        <f>+K67+L67-M67</f>
        <v>11.0</v>
      </c>
      <c r="O67" s="22">
        <f>+N67</f>
        <v>11.0</v>
      </c>
      <c r="P67" s="22">
        <f>+N67-O67</f>
        <v>0.0</v>
      </c>
      <c r="Q67" s="57"/>
      <c r="R67" s="58"/>
    </row>
    <row r="68" spans="8:8" ht="15.0" customHeight="1">
      <c r="B68" s="54">
        <v>59.0</v>
      </c>
      <c r="C68" s="8" t="s">
        <v>8351</v>
      </c>
      <c r="D68" s="8" t="s">
        <v>1013</v>
      </c>
      <c r="E68" s="8" t="s">
        <v>23</v>
      </c>
      <c r="F68" s="8" t="s">
        <v>68</v>
      </c>
      <c r="G68" s="8" t="s">
        <v>1665</v>
      </c>
      <c r="H68" s="8" t="s">
        <v>2634</v>
      </c>
      <c r="I68" s="55" t="s">
        <v>448</v>
      </c>
      <c r="J68" s="78" t="s">
        <v>3983</v>
      </c>
      <c r="K68" s="22">
        <v>33.0</v>
      </c>
      <c r="L68" s="22">
        <f>+SUMIF('حركه المخزن الرئيسي اليوميه'!$F:$F,$H:$H,'حركه المخزن الرئيسي اليوميه'!$H:$H)</f>
        <v>0.0</v>
      </c>
      <c r="M68" s="22">
        <f>+SUMIF('حركه المخزن الرئيسي اليوميه'!$F:$F,$H:$H,'حركه المخزن الرئيسي اليوميه'!$I:$I)</f>
        <v>0.0</v>
      </c>
      <c r="N68" s="22">
        <f>+K68+L68-M68</f>
        <v>33.0</v>
      </c>
      <c r="O68" s="22">
        <f>+N68</f>
        <v>33.0</v>
      </c>
      <c r="P68" s="22">
        <f>+N68-O68</f>
        <v>0.0</v>
      </c>
      <c r="Q68" s="57"/>
      <c r="R68" s="58"/>
    </row>
    <row r="69" spans="8:8" ht="15.0" customHeight="1">
      <c r="B69" s="54">
        <v>60.0</v>
      </c>
      <c r="C69" s="8" t="s">
        <v>8351</v>
      </c>
      <c r="D69" s="8" t="s">
        <v>1013</v>
      </c>
      <c r="E69" s="8" t="s">
        <v>23</v>
      </c>
      <c r="F69" s="8" t="s">
        <v>68</v>
      </c>
      <c r="G69" s="8" t="s">
        <v>2047</v>
      </c>
      <c r="H69" s="8">
        <v>30209.0</v>
      </c>
      <c r="I69" s="55" t="s">
        <v>197</v>
      </c>
      <c r="J69" s="78" t="s">
        <v>3984</v>
      </c>
      <c r="K69" s="22">
        <v>1.0</v>
      </c>
      <c r="L69" s="22">
        <f>+SUMIF('حركه المخزن الرئيسي اليوميه'!$F:$F,$H:$H,'حركه المخزن الرئيسي اليوميه'!$H:$H)</f>
        <v>0.0</v>
      </c>
      <c r="M69" s="22">
        <f>+SUMIF('حركه المخزن الرئيسي اليوميه'!$F:$F,$H:$H,'حركه المخزن الرئيسي اليوميه'!$I:$I)</f>
        <v>0.0</v>
      </c>
      <c r="N69" s="22">
        <f>+K69+L69-M69</f>
        <v>1.0</v>
      </c>
      <c r="O69" s="22">
        <f>+N69</f>
        <v>1.0</v>
      </c>
      <c r="P69" s="22">
        <f>+N69-O69</f>
        <v>0.0</v>
      </c>
      <c r="Q69" s="57"/>
      <c r="R69" s="58"/>
    </row>
    <row r="70" spans="8:8" ht="15.0" customHeight="1">
      <c r="B70" s="54">
        <v>61.0</v>
      </c>
      <c r="C70" s="8" t="s">
        <v>8351</v>
      </c>
      <c r="D70" s="8" t="s">
        <v>1013</v>
      </c>
      <c r="E70" s="8" t="s">
        <v>23</v>
      </c>
      <c r="F70" s="8" t="s">
        <v>68</v>
      </c>
      <c r="G70" s="8" t="s">
        <v>2047</v>
      </c>
      <c r="H70" s="8" t="s">
        <v>246</v>
      </c>
      <c r="I70" s="55" t="s">
        <v>197</v>
      </c>
      <c r="J70" s="78" t="s">
        <v>3985</v>
      </c>
      <c r="K70" s="22">
        <v>1.0</v>
      </c>
      <c r="L70" s="22">
        <f>+SUMIF('حركه المخزن الرئيسي اليوميه'!$F:$F,$H:$H,'حركه المخزن الرئيسي اليوميه'!$H:$H)</f>
        <v>0.0</v>
      </c>
      <c r="M70" s="22">
        <f>+SUMIF('حركه المخزن الرئيسي اليوميه'!$F:$F,$H:$H,'حركه المخزن الرئيسي اليوميه'!$I:$I)</f>
        <v>0.0</v>
      </c>
      <c r="N70" s="22">
        <f>+K70+L70-M70</f>
        <v>1.0</v>
      </c>
      <c r="O70" s="22">
        <f>+N70</f>
        <v>1.0</v>
      </c>
      <c r="P70" s="22">
        <f>+N70-O70</f>
        <v>0.0</v>
      </c>
      <c r="Q70" s="57"/>
      <c r="R70" s="58"/>
    </row>
    <row r="71" spans="8:8" ht="15.0" customHeight="1">
      <c r="B71" s="54">
        <v>62.0</v>
      </c>
      <c r="C71" s="8" t="s">
        <v>8351</v>
      </c>
      <c r="D71" s="8" t="s">
        <v>1013</v>
      </c>
      <c r="E71" s="8" t="s">
        <v>1488</v>
      </c>
      <c r="F71" s="8" t="s">
        <v>68</v>
      </c>
      <c r="G71" s="8" t="s">
        <v>2192</v>
      </c>
      <c r="H71" s="8" t="s">
        <v>2639</v>
      </c>
      <c r="I71" s="55" t="s">
        <v>254</v>
      </c>
      <c r="J71" s="78" t="s">
        <v>3986</v>
      </c>
      <c r="K71" s="22">
        <v>2.0</v>
      </c>
      <c r="L71" s="22">
        <f>+SUMIF('حركه المخزن الرئيسي اليوميه'!$F:$F,$H:$H,'حركه المخزن الرئيسي اليوميه'!$H:$H)</f>
        <v>0.0</v>
      </c>
      <c r="M71" s="22">
        <f>+SUMIF('حركه المخزن الرئيسي اليوميه'!$F:$F,$H:$H,'حركه المخزن الرئيسي اليوميه'!$I:$I)</f>
        <v>0.0</v>
      </c>
      <c r="N71" s="22">
        <f>+K71+L71-M71</f>
        <v>2.0</v>
      </c>
      <c r="O71" s="22">
        <f>+N71</f>
        <v>2.0</v>
      </c>
      <c r="P71" s="22">
        <f>+N71-O71</f>
        <v>0.0</v>
      </c>
      <c r="Q71" s="57"/>
      <c r="R71" s="58"/>
    </row>
    <row r="72" spans="8:8" ht="15.0" customHeight="1">
      <c r="B72" s="54">
        <v>63.0</v>
      </c>
      <c r="C72" s="8" t="s">
        <v>8351</v>
      </c>
      <c r="D72" s="8" t="s">
        <v>1013</v>
      </c>
      <c r="E72" s="8" t="s">
        <v>23</v>
      </c>
      <c r="F72" s="8" t="s">
        <v>68</v>
      </c>
      <c r="G72" s="8" t="s">
        <v>2047</v>
      </c>
      <c r="H72" s="8" t="s">
        <v>248</v>
      </c>
      <c r="I72" s="55" t="s">
        <v>254</v>
      </c>
      <c r="J72" s="78" t="s">
        <v>3987</v>
      </c>
      <c r="K72" s="22">
        <v>10.0</v>
      </c>
      <c r="L72" s="22">
        <f>+SUMIF('حركه المخزن الرئيسي اليوميه'!$F:$F,$H:$H,'حركه المخزن الرئيسي اليوميه'!$H:$H)</f>
        <v>0.0</v>
      </c>
      <c r="M72" s="22">
        <f>+SUMIF('حركه المخزن الرئيسي اليوميه'!$F:$F,$H:$H,'حركه المخزن الرئيسي اليوميه'!$I:$I)</f>
        <v>0.0</v>
      </c>
      <c r="N72" s="22">
        <f>+K72+L72-M72</f>
        <v>10.0</v>
      </c>
      <c r="O72" s="22">
        <f>+N72</f>
        <v>10.0</v>
      </c>
      <c r="P72" s="22">
        <f>+N72-O72</f>
        <v>0.0</v>
      </c>
      <c r="Q72" s="57"/>
      <c r="R72" s="58"/>
    </row>
    <row r="73" spans="8:8" ht="15.0" customHeight="1">
      <c r="B73" s="54">
        <v>64.0</v>
      </c>
      <c r="C73" s="8" t="s">
        <v>8351</v>
      </c>
      <c r="D73" s="8" t="s">
        <v>1013</v>
      </c>
      <c r="E73" s="8" t="s">
        <v>23</v>
      </c>
      <c r="F73" s="8" t="s">
        <v>68</v>
      </c>
      <c r="G73" s="8" t="s">
        <v>2047</v>
      </c>
      <c r="H73" s="8" t="s">
        <v>244</v>
      </c>
      <c r="I73" s="55" t="s">
        <v>204</v>
      </c>
      <c r="J73" s="78" t="s">
        <v>3988</v>
      </c>
      <c r="K73" s="22">
        <v>26.0</v>
      </c>
      <c r="L73" s="22">
        <f>+SUMIF('حركه المخزن الرئيسي اليوميه'!$F:$F,$H:$H,'حركه المخزن الرئيسي اليوميه'!$H:$H)</f>
        <v>0.0</v>
      </c>
      <c r="M73" s="22">
        <f>+SUMIF('حركه المخزن الرئيسي اليوميه'!$F:$F,$H:$H,'حركه المخزن الرئيسي اليوميه'!$I:$I)</f>
        <v>0.0</v>
      </c>
      <c r="N73" s="22">
        <f>+K73+L73-M73</f>
        <v>26.0</v>
      </c>
      <c r="O73" s="22">
        <f>+N73</f>
        <v>26.0</v>
      </c>
      <c r="P73" s="22">
        <f>+N73-O73</f>
        <v>0.0</v>
      </c>
      <c r="Q73" s="57"/>
      <c r="R73" s="58"/>
    </row>
    <row r="74" spans="8:8" ht="15.0" customHeight="1">
      <c r="B74" s="54">
        <v>65.0</v>
      </c>
      <c r="C74" s="8" t="s">
        <v>8351</v>
      </c>
      <c r="D74" s="8" t="s">
        <v>1013</v>
      </c>
      <c r="E74" s="8" t="s">
        <v>23</v>
      </c>
      <c r="F74" s="8" t="s">
        <v>68</v>
      </c>
      <c r="G74" s="8" t="s">
        <v>2047</v>
      </c>
      <c r="H74" s="8" t="s">
        <v>249</v>
      </c>
      <c r="I74" s="55" t="s">
        <v>247</v>
      </c>
      <c r="J74" s="78" t="s">
        <v>3989</v>
      </c>
      <c r="K74" s="22">
        <v>0.0</v>
      </c>
      <c r="L74" s="22">
        <f>+SUMIF('حركه المخزن الرئيسي اليوميه'!$F:$F,$H:$H,'حركه المخزن الرئيسي اليوميه'!$H:$H)</f>
        <v>0.0</v>
      </c>
      <c r="M74" s="22">
        <f>+SUMIF('حركه المخزن الرئيسي اليوميه'!$F:$F,$H:$H,'حركه المخزن الرئيسي اليوميه'!$I:$I)</f>
        <v>0.0</v>
      </c>
      <c r="N74" s="22">
        <f>+K74+L74-M74</f>
        <v>0.0</v>
      </c>
      <c r="O74" s="22">
        <f>+N74</f>
        <v>0.0</v>
      </c>
      <c r="P74" s="22">
        <f>+N74-O74</f>
        <v>0.0</v>
      </c>
      <c r="Q74" s="57"/>
      <c r="R74" s="58"/>
    </row>
    <row r="75" spans="8:8" ht="15.0" customHeight="1">
      <c r="B75" s="54">
        <v>66.0</v>
      </c>
      <c r="C75" s="8" t="s">
        <v>8351</v>
      </c>
      <c r="D75" s="8" t="s">
        <v>820</v>
      </c>
      <c r="E75" s="8" t="s">
        <v>23</v>
      </c>
      <c r="F75" s="8" t="s">
        <v>68</v>
      </c>
      <c r="G75" s="8" t="s">
        <v>2210</v>
      </c>
      <c r="H75" s="8" t="s">
        <v>2636</v>
      </c>
      <c r="I75" s="55" t="s">
        <v>205</v>
      </c>
      <c r="J75" s="78" t="s">
        <v>3990</v>
      </c>
      <c r="K75" s="22">
        <v>5.0</v>
      </c>
      <c r="L75" s="22">
        <f>+SUMIF('حركه المخزن الرئيسي اليوميه'!$F:$F,$H:$H,'حركه المخزن الرئيسي اليوميه'!$H:$H)</f>
        <v>0.0</v>
      </c>
      <c r="M75" s="22">
        <f>+SUMIF('حركه المخزن الرئيسي اليوميه'!$F:$F,$H:$H,'حركه المخزن الرئيسي اليوميه'!$I:$I)</f>
        <v>0.0</v>
      </c>
      <c r="N75" s="22">
        <f>+K75+L75-M75</f>
        <v>5.0</v>
      </c>
      <c r="O75" s="22">
        <f>+N75</f>
        <v>5.0</v>
      </c>
      <c r="P75" s="22">
        <f>+N75-O75</f>
        <v>0.0</v>
      </c>
      <c r="Q75" s="57"/>
      <c r="R75" s="58"/>
    </row>
    <row r="76" spans="8:8" ht="15.0" customHeight="1">
      <c r="B76" s="54">
        <v>67.0</v>
      </c>
      <c r="C76" s="8" t="s">
        <v>8351</v>
      </c>
      <c r="D76" s="8" t="s">
        <v>1013</v>
      </c>
      <c r="E76" s="8" t="s">
        <v>23</v>
      </c>
      <c r="F76" s="8" t="s">
        <v>68</v>
      </c>
      <c r="G76" s="8" t="s">
        <v>2047</v>
      </c>
      <c r="H76" s="8">
        <v>3538.0</v>
      </c>
      <c r="I76" s="55" t="s">
        <v>250</v>
      </c>
      <c r="J76" s="78" t="s">
        <v>3991</v>
      </c>
      <c r="K76" s="22">
        <v>0.0</v>
      </c>
      <c r="L76" s="22">
        <f>+SUMIF('حركه المخزن الرئيسي اليوميه'!$F:$F,$H:$H,'حركه المخزن الرئيسي اليوميه'!$H:$H)</f>
        <v>0.0</v>
      </c>
      <c r="M76" s="22">
        <f>+SUMIF('حركه المخزن الرئيسي اليوميه'!$F:$F,$H:$H,'حركه المخزن الرئيسي اليوميه'!$I:$I)</f>
        <v>0.0</v>
      </c>
      <c r="N76" s="22">
        <f>+K76+L76-M76</f>
        <v>0.0</v>
      </c>
      <c r="O76" s="22">
        <f>+N76</f>
        <v>0.0</v>
      </c>
      <c r="P76" s="22">
        <f>+N76-O76</f>
        <v>0.0</v>
      </c>
      <c r="Q76" s="57"/>
      <c r="R76" s="58"/>
    </row>
    <row r="77" spans="8:8" ht="15.0" customHeight="1">
      <c r="B77" s="54">
        <v>68.0</v>
      </c>
      <c r="C77" s="8" t="s">
        <v>8351</v>
      </c>
      <c r="D77" s="8" t="s">
        <v>820</v>
      </c>
      <c r="E77" s="8" t="s">
        <v>1488</v>
      </c>
      <c r="F77" s="8" t="s">
        <v>68</v>
      </c>
      <c r="G77" s="8" t="s">
        <v>2047</v>
      </c>
      <c r="H77" s="8" t="s">
        <v>1238</v>
      </c>
      <c r="I77" s="55" t="s">
        <v>250</v>
      </c>
      <c r="J77" s="78" t="s">
        <v>3992</v>
      </c>
      <c r="K77" s="22">
        <v>10.0</v>
      </c>
      <c r="L77" s="22">
        <f>+SUMIF('حركه المخزن الرئيسي اليوميه'!$F:$F,$H:$H,'حركه المخزن الرئيسي اليوميه'!$H:$H)</f>
        <v>0.0</v>
      </c>
      <c r="M77" s="22">
        <f>+SUMIF('حركه المخزن الرئيسي اليوميه'!$F:$F,$H:$H,'حركه المخزن الرئيسي اليوميه'!$I:$I)</f>
        <v>0.0</v>
      </c>
      <c r="N77" s="22">
        <f>+K77+L77-M77</f>
        <v>10.0</v>
      </c>
      <c r="O77" s="22">
        <f>+N77</f>
        <v>10.0</v>
      </c>
      <c r="P77" s="22">
        <f>+N77-O77</f>
        <v>0.0</v>
      </c>
      <c r="Q77" s="57"/>
      <c r="R77" s="58"/>
    </row>
    <row r="78" spans="8:8" ht="15.0" customHeight="1">
      <c r="B78" s="54">
        <v>69.0</v>
      </c>
      <c r="C78" s="8" t="s">
        <v>8351</v>
      </c>
      <c r="D78" s="8" t="s">
        <v>1013</v>
      </c>
      <c r="E78" s="8" t="s">
        <v>23</v>
      </c>
      <c r="F78" s="8" t="s">
        <v>68</v>
      </c>
      <c r="G78" s="8" t="s">
        <v>2047</v>
      </c>
      <c r="H78" s="8">
        <v>6038.0</v>
      </c>
      <c r="I78" s="55" t="s">
        <v>250</v>
      </c>
      <c r="J78" s="78" t="s">
        <v>3993</v>
      </c>
      <c r="K78" s="22">
        <v>2.0</v>
      </c>
      <c r="L78" s="22">
        <f>+SUMIF('حركه المخزن الرئيسي اليوميه'!$F:$F,$H:$H,'حركه المخزن الرئيسي اليوميه'!$H:$H)</f>
        <v>0.0</v>
      </c>
      <c r="M78" s="22">
        <f>+SUMIF('حركه المخزن الرئيسي اليوميه'!$F:$F,$H:$H,'حركه المخزن الرئيسي اليوميه'!$I:$I)</f>
        <v>0.0</v>
      </c>
      <c r="N78" s="22">
        <f>+K78+L78-M78</f>
        <v>2.0</v>
      </c>
      <c r="O78" s="22">
        <f>+N78</f>
        <v>2.0</v>
      </c>
      <c r="P78" s="22">
        <f>+N78-O78</f>
        <v>0.0</v>
      </c>
      <c r="Q78" s="57"/>
      <c r="R78" s="58"/>
    </row>
    <row r="79" spans="8:8" ht="15.0" customHeight="1">
      <c r="B79" s="54">
        <v>70.0</v>
      </c>
      <c r="C79" s="8" t="s">
        <v>8351</v>
      </c>
      <c r="D79" s="8" t="s">
        <v>1013</v>
      </c>
      <c r="E79" s="8" t="s">
        <v>23</v>
      </c>
      <c r="F79" s="8" t="s">
        <v>68</v>
      </c>
      <c r="G79" s="8" t="s">
        <v>2047</v>
      </c>
      <c r="H79" s="8">
        <v>6044.0</v>
      </c>
      <c r="I79" s="55" t="s">
        <v>250</v>
      </c>
      <c r="J79" s="78" t="s">
        <v>3994</v>
      </c>
      <c r="K79" s="22">
        <v>2.0</v>
      </c>
      <c r="L79" s="22">
        <f>+SUMIF('حركه المخزن الرئيسي اليوميه'!$F:$F,$H:$H,'حركه المخزن الرئيسي اليوميه'!$H:$H)</f>
        <v>0.0</v>
      </c>
      <c r="M79" s="22">
        <f>+SUMIF('حركه المخزن الرئيسي اليوميه'!$F:$F,$H:$H,'حركه المخزن الرئيسي اليوميه'!$I:$I)</f>
        <v>0.0</v>
      </c>
      <c r="N79" s="22">
        <f>+K79+L79-M79</f>
        <v>2.0</v>
      </c>
      <c r="O79" s="22">
        <f>+N79</f>
        <v>2.0</v>
      </c>
      <c r="P79" s="22">
        <f>+N79-O79</f>
        <v>0.0</v>
      </c>
      <c r="Q79" s="57"/>
      <c r="R79" s="58"/>
    </row>
    <row r="80" spans="8:8" ht="15.0" customHeight="1">
      <c r="B80" s="54">
        <v>71.0</v>
      </c>
      <c r="C80" s="8" t="s">
        <v>8351</v>
      </c>
      <c r="D80" s="8" t="s">
        <v>1013</v>
      </c>
      <c r="E80" s="8" t="s">
        <v>23</v>
      </c>
      <c r="F80" s="8" t="s">
        <v>68</v>
      </c>
      <c r="G80" s="8" t="s">
        <v>2047</v>
      </c>
      <c r="H80" s="8">
        <v>8268.0</v>
      </c>
      <c r="I80" s="55" t="s">
        <v>250</v>
      </c>
      <c r="J80" s="78" t="s">
        <v>3995</v>
      </c>
      <c r="K80" s="22">
        <v>2.0</v>
      </c>
      <c r="L80" s="22">
        <f>+SUMIF('حركه المخزن الرئيسي اليوميه'!$F:$F,$H:$H,'حركه المخزن الرئيسي اليوميه'!$H:$H)</f>
        <v>0.0</v>
      </c>
      <c r="M80" s="22">
        <f>+SUMIF('حركه المخزن الرئيسي اليوميه'!$F:$F,$H:$H,'حركه المخزن الرئيسي اليوميه'!$I:$I)</f>
        <v>0.0</v>
      </c>
      <c r="N80" s="22">
        <f>+K80+L80-M80</f>
        <v>2.0</v>
      </c>
      <c r="O80" s="22">
        <f>+N80</f>
        <v>2.0</v>
      </c>
      <c r="P80" s="22">
        <f>+N80-O80</f>
        <v>0.0</v>
      </c>
      <c r="Q80" s="57"/>
      <c r="R80" s="58"/>
    </row>
    <row r="81" spans="8:8" ht="15.0" customHeight="1">
      <c r="B81" s="54">
        <v>72.0</v>
      </c>
      <c r="C81" s="8" t="s">
        <v>8351</v>
      </c>
      <c r="D81" s="8" t="s">
        <v>1013</v>
      </c>
      <c r="E81" s="8" t="s">
        <v>23</v>
      </c>
      <c r="F81" s="8" t="s">
        <v>68</v>
      </c>
      <c r="G81" s="8" t="s">
        <v>2047</v>
      </c>
      <c r="H81" s="8">
        <v>32236.0</v>
      </c>
      <c r="I81" s="55" t="s">
        <v>250</v>
      </c>
      <c r="J81" s="78" t="s">
        <v>3996</v>
      </c>
      <c r="K81" s="22">
        <v>2.0</v>
      </c>
      <c r="L81" s="22">
        <f>+SUMIF('حركه المخزن الرئيسي اليوميه'!$F:$F,$H:$H,'حركه المخزن الرئيسي اليوميه'!$H:$H)</f>
        <v>0.0</v>
      </c>
      <c r="M81" s="22">
        <f>+SUMIF('حركه المخزن الرئيسي اليوميه'!$F:$F,$H:$H,'حركه المخزن الرئيسي اليوميه'!$I:$I)</f>
        <v>0.0</v>
      </c>
      <c r="N81" s="22">
        <f>+K81+L81-M81</f>
        <v>2.0</v>
      </c>
      <c r="O81" s="22">
        <f>+N81</f>
        <v>2.0</v>
      </c>
      <c r="P81" s="22">
        <f>+N81-O81</f>
        <v>0.0</v>
      </c>
      <c r="Q81" s="57"/>
      <c r="R81" s="58"/>
    </row>
    <row r="82" spans="8:8" ht="15.0" customHeight="1">
      <c r="B82" s="54">
        <v>73.0</v>
      </c>
      <c r="C82" s="8" t="s">
        <v>1132</v>
      </c>
      <c r="D82" s="8" t="s">
        <v>765</v>
      </c>
      <c r="E82" s="8" t="s">
        <v>1055</v>
      </c>
      <c r="F82" s="8" t="s">
        <v>1501</v>
      </c>
      <c r="G82" s="8" t="s">
        <v>1859</v>
      </c>
      <c r="H82" s="8" t="s">
        <v>2903</v>
      </c>
      <c r="I82" s="55" t="s">
        <v>2909</v>
      </c>
      <c r="J82" s="78" t="s">
        <v>3997</v>
      </c>
      <c r="K82" s="22">
        <v>8.0</v>
      </c>
      <c r="L82" s="22">
        <f>+SUMIF('حركه المخزن الرئيسي اليوميه'!$F:$F,$H:$H,'حركه المخزن الرئيسي اليوميه'!$H:$H)</f>
        <v>0.0</v>
      </c>
      <c r="M82" s="22">
        <f>+SUMIF('حركه المخزن الرئيسي اليوميه'!$F:$F,$H:$H,'حركه المخزن الرئيسي اليوميه'!$I:$I)</f>
        <v>0.0</v>
      </c>
      <c r="N82" s="22">
        <f>+K82+L82-M82</f>
        <v>8.0</v>
      </c>
      <c r="O82" s="22">
        <f>+N82</f>
        <v>8.0</v>
      </c>
      <c r="P82" s="22">
        <f>+N82-O82</f>
        <v>0.0</v>
      </c>
      <c r="Q82" s="57"/>
      <c r="R82" s="58"/>
    </row>
    <row r="83" spans="8:8" ht="15.0" customHeight="1">
      <c r="B83" s="54">
        <v>74.0</v>
      </c>
      <c r="C83" s="8" t="s">
        <v>8351</v>
      </c>
      <c r="D83" s="8" t="s">
        <v>765</v>
      </c>
      <c r="E83" s="8" t="s">
        <v>1055</v>
      </c>
      <c r="F83" s="8" t="s">
        <v>1501</v>
      </c>
      <c r="G83" s="8" t="s">
        <v>1859</v>
      </c>
      <c r="H83" s="8" t="s">
        <v>2904</v>
      </c>
      <c r="I83" s="55" t="s">
        <v>2909</v>
      </c>
      <c r="J83" s="78" t="s">
        <v>3998</v>
      </c>
      <c r="K83" s="22">
        <v>7.0</v>
      </c>
      <c r="L83" s="22">
        <f>+SUMIF('حركه المخزن الرئيسي اليوميه'!$F:$F,$H:$H,'حركه المخزن الرئيسي اليوميه'!$H:$H)</f>
        <v>0.0</v>
      </c>
      <c r="M83" s="22">
        <f>+SUMIF('حركه المخزن الرئيسي اليوميه'!$F:$F,$H:$H,'حركه المخزن الرئيسي اليوميه'!$I:$I)</f>
        <v>0.0</v>
      </c>
      <c r="N83" s="22">
        <f>+K83+L83-M83</f>
        <v>7.0</v>
      </c>
      <c r="O83" s="22">
        <f>+N83</f>
        <v>7.0</v>
      </c>
      <c r="P83" s="22">
        <f>+N83-O83</f>
        <v>0.0</v>
      </c>
      <c r="Q83" s="57"/>
      <c r="R83" s="58"/>
    </row>
    <row r="84" spans="8:8" ht="15.0" customHeight="1">
      <c r="B84" s="54">
        <v>75.0</v>
      </c>
      <c r="C84" s="8" t="s">
        <v>8351</v>
      </c>
      <c r="D84" s="8" t="s">
        <v>765</v>
      </c>
      <c r="E84" s="8" t="s">
        <v>1055</v>
      </c>
      <c r="F84" s="8" t="s">
        <v>1501</v>
      </c>
      <c r="G84" s="8" t="s">
        <v>1859</v>
      </c>
      <c r="H84" s="8" t="s">
        <v>3522</v>
      </c>
      <c r="I84" s="55" t="s">
        <v>8102</v>
      </c>
      <c r="J84" s="78" t="s">
        <v>3999</v>
      </c>
      <c r="K84" s="22">
        <v>19.0</v>
      </c>
      <c r="L84" s="22">
        <f>+SUMIF('حركه المخزن الرئيسي اليوميه'!$F:$F,$H:$H,'حركه المخزن الرئيسي اليوميه'!$H:$H)</f>
        <v>0.0</v>
      </c>
      <c r="M84" s="22">
        <f>+SUMIF('حركه المخزن الرئيسي اليوميه'!$F:$F,$H:$H,'حركه المخزن الرئيسي اليوميه'!$I:$I)</f>
        <v>0.0</v>
      </c>
      <c r="N84" s="22">
        <f>+K84+L84-M84</f>
        <v>19.0</v>
      </c>
      <c r="O84" s="22">
        <f>+N84</f>
        <v>19.0</v>
      </c>
      <c r="P84" s="22">
        <f>+N84-O84</f>
        <v>0.0</v>
      </c>
      <c r="Q84" s="57"/>
      <c r="R84" s="58"/>
    </row>
    <row r="85" spans="8:8" ht="15.0" customHeight="1">
      <c r="B85" s="54">
        <v>76.0</v>
      </c>
      <c r="C85" s="8" t="s">
        <v>8351</v>
      </c>
      <c r="D85" s="8" t="s">
        <v>1013</v>
      </c>
      <c r="E85" s="8" t="s">
        <v>252</v>
      </c>
      <c r="F85" s="8" t="s">
        <v>68</v>
      </c>
      <c r="G85" s="8" t="s">
        <v>1859</v>
      </c>
      <c r="H85" s="8" t="s">
        <v>259</v>
      </c>
      <c r="I85" s="55" t="s">
        <v>2909</v>
      </c>
      <c r="J85" s="78" t="s">
        <v>4000</v>
      </c>
      <c r="K85" s="22">
        <v>14.0</v>
      </c>
      <c r="L85" s="22">
        <f>+SUMIF('حركه المخزن الرئيسي اليوميه'!$F:$F,$H:$H,'حركه المخزن الرئيسي اليوميه'!$H:$H)</f>
        <v>0.0</v>
      </c>
      <c r="M85" s="22">
        <f>+SUMIF('حركه المخزن الرئيسي اليوميه'!$F:$F,$H:$H,'حركه المخزن الرئيسي اليوميه'!$I:$I)</f>
        <v>0.0</v>
      </c>
      <c r="N85" s="22">
        <f>+K85+L85-M85</f>
        <v>14.0</v>
      </c>
      <c r="O85" s="22">
        <f>+N85</f>
        <v>14.0</v>
      </c>
      <c r="P85" s="22">
        <f>+N85-O85</f>
        <v>0.0</v>
      </c>
      <c r="Q85" s="57"/>
      <c r="R85" s="58"/>
    </row>
    <row r="86" spans="8:8" ht="15.0" customHeight="1">
      <c r="B86" s="54">
        <v>77.0</v>
      </c>
      <c r="C86" s="8" t="s">
        <v>8351</v>
      </c>
      <c r="D86" s="8" t="s">
        <v>1013</v>
      </c>
      <c r="E86" s="8" t="s">
        <v>252</v>
      </c>
      <c r="F86" s="8" t="s">
        <v>68</v>
      </c>
      <c r="G86" s="8" t="s">
        <v>1859</v>
      </c>
      <c r="H86" s="8" t="s">
        <v>263</v>
      </c>
      <c r="I86" s="55" t="s">
        <v>2908</v>
      </c>
      <c r="J86" s="78" t="s">
        <v>4001</v>
      </c>
      <c r="K86" s="22">
        <v>31.0</v>
      </c>
      <c r="L86" s="22">
        <f>+SUMIF('حركه المخزن الرئيسي اليوميه'!$F:$F,$H:$H,'حركه المخزن الرئيسي اليوميه'!$H:$H)</f>
        <v>0.0</v>
      </c>
      <c r="M86" s="22">
        <f>+SUMIF('حركه المخزن الرئيسي اليوميه'!$F:$F,$H:$H,'حركه المخزن الرئيسي اليوميه'!$I:$I)</f>
        <v>0.0</v>
      </c>
      <c r="N86" s="22">
        <f>+K86+L86-M86</f>
        <v>31.0</v>
      </c>
      <c r="O86" s="22">
        <f>+N86</f>
        <v>31.0</v>
      </c>
      <c r="P86" s="22">
        <f>+N86-O86</f>
        <v>0.0</v>
      </c>
      <c r="Q86" s="57"/>
      <c r="R86" s="58"/>
    </row>
    <row r="87" spans="8:8" ht="15.0" customHeight="1">
      <c r="B87" s="54">
        <v>78.0</v>
      </c>
      <c r="C87" s="8" t="s">
        <v>8351</v>
      </c>
      <c r="D87" s="8" t="s">
        <v>1013</v>
      </c>
      <c r="E87" s="8" t="s">
        <v>252</v>
      </c>
      <c r="F87" s="8" t="s">
        <v>68</v>
      </c>
      <c r="G87" s="8" t="s">
        <v>1859</v>
      </c>
      <c r="H87" s="8" t="s">
        <v>255</v>
      </c>
      <c r="I87" s="55" t="s">
        <v>8103</v>
      </c>
      <c r="J87" s="78" t="s">
        <v>4002</v>
      </c>
      <c r="K87" s="22">
        <v>21.0</v>
      </c>
      <c r="L87" s="22">
        <f>+SUMIF('حركه المخزن الرئيسي اليوميه'!$F:$F,$H:$H,'حركه المخزن الرئيسي اليوميه'!$H:$H)</f>
        <v>0.0</v>
      </c>
      <c r="M87" s="22">
        <f>+SUMIF('حركه المخزن الرئيسي اليوميه'!$F:$F,$H:$H,'حركه المخزن الرئيسي اليوميه'!$I:$I)</f>
        <v>0.0</v>
      </c>
      <c r="N87" s="22">
        <f>+K87+L87-M87</f>
        <v>21.0</v>
      </c>
      <c r="O87" s="22">
        <f>+N87</f>
        <v>21.0</v>
      </c>
      <c r="P87" s="22">
        <f>+N87-O87</f>
        <v>0.0</v>
      </c>
      <c r="Q87" s="57"/>
      <c r="R87" s="58"/>
    </row>
    <row r="88" spans="8:8" ht="15.0" customHeight="1">
      <c r="B88" s="54">
        <v>79.0</v>
      </c>
      <c r="C88" s="8" t="s">
        <v>8351</v>
      </c>
      <c r="D88" s="8" t="s">
        <v>1013</v>
      </c>
      <c r="E88" s="8" t="s">
        <v>252</v>
      </c>
      <c r="F88" s="8" t="s">
        <v>68</v>
      </c>
      <c r="G88" s="8" t="s">
        <v>1859</v>
      </c>
      <c r="H88" s="8" t="s">
        <v>256</v>
      </c>
      <c r="I88" s="55" t="s">
        <v>8103</v>
      </c>
      <c r="J88" s="78" t="s">
        <v>4003</v>
      </c>
      <c r="K88" s="22">
        <v>29.0</v>
      </c>
      <c r="L88" s="22">
        <f>+SUMIF('حركه المخزن الرئيسي اليوميه'!$F:$F,$H:$H,'حركه المخزن الرئيسي اليوميه'!$H:$H)</f>
        <v>0.0</v>
      </c>
      <c r="M88" s="22">
        <f>+SUMIF('حركه المخزن الرئيسي اليوميه'!$F:$F,$H:$H,'حركه المخزن الرئيسي اليوميه'!$I:$I)</f>
        <v>3.0</v>
      </c>
      <c r="N88" s="22">
        <f>+K88+L88-M88</f>
        <v>26.0</v>
      </c>
      <c r="O88" s="22">
        <f>+N88</f>
        <v>26.0</v>
      </c>
      <c r="P88" s="22">
        <f>+N88-O88</f>
        <v>0.0</v>
      </c>
      <c r="Q88" s="57"/>
      <c r="R88" s="58"/>
    </row>
    <row r="89" spans="8:8" ht="15.0" customHeight="1">
      <c r="B89" s="54">
        <v>80.0</v>
      </c>
      <c r="C89" s="8" t="s">
        <v>8351</v>
      </c>
      <c r="D89" s="8" t="s">
        <v>1013</v>
      </c>
      <c r="E89" s="8" t="s">
        <v>252</v>
      </c>
      <c r="F89" s="8" t="s">
        <v>68</v>
      </c>
      <c r="G89" s="8" t="s">
        <v>1859</v>
      </c>
      <c r="H89" s="8" t="s">
        <v>253</v>
      </c>
      <c r="I89" s="55" t="s">
        <v>254</v>
      </c>
      <c r="J89" s="78" t="s">
        <v>4004</v>
      </c>
      <c r="K89" s="22">
        <v>0.0</v>
      </c>
      <c r="L89" s="22">
        <f>+SUMIF('حركه المخزن الرئيسي اليوميه'!$F:$F,$H:$H,'حركه المخزن الرئيسي اليوميه'!$H:$H)</f>
        <v>0.0</v>
      </c>
      <c r="M89" s="22">
        <f>+SUMIF('حركه المخزن الرئيسي اليوميه'!$F:$F,$H:$H,'حركه المخزن الرئيسي اليوميه'!$I:$I)</f>
        <v>0.0</v>
      </c>
      <c r="N89" s="22">
        <f>+K89+L89-M89</f>
        <v>0.0</v>
      </c>
      <c r="O89" s="22">
        <f>+N89</f>
        <v>0.0</v>
      </c>
      <c r="P89" s="22">
        <f>+N89-O89</f>
        <v>0.0</v>
      </c>
      <c r="Q89" s="57"/>
      <c r="R89" s="58"/>
    </row>
    <row r="90" spans="8:8" ht="15.0" customHeight="1">
      <c r="B90" s="54">
        <v>81.0</v>
      </c>
      <c r="C90" s="8" t="s">
        <v>8351</v>
      </c>
      <c r="D90" s="8" t="s">
        <v>1013</v>
      </c>
      <c r="E90" s="8" t="s">
        <v>252</v>
      </c>
      <c r="F90" s="8" t="s">
        <v>1501</v>
      </c>
      <c r="G90" s="8" t="s">
        <v>112</v>
      </c>
      <c r="H90" s="8" t="s">
        <v>1617</v>
      </c>
      <c r="I90" s="55" t="s">
        <v>8103</v>
      </c>
      <c r="J90" s="78" t="s">
        <v>4005</v>
      </c>
      <c r="K90" s="22">
        <v>11.0</v>
      </c>
      <c r="L90" s="22">
        <f>+SUMIF('حركه المخزن الرئيسي اليوميه'!$F:$F,$H:$H,'حركه المخزن الرئيسي اليوميه'!$H:$H)</f>
        <v>0.0</v>
      </c>
      <c r="M90" s="22">
        <f>+SUMIF('حركه المخزن الرئيسي اليوميه'!$F:$F,$H:$H,'حركه المخزن الرئيسي اليوميه'!$I:$I)</f>
        <v>3.0</v>
      </c>
      <c r="N90" s="22">
        <f>+K90+L90-M90</f>
        <v>8.0</v>
      </c>
      <c r="O90" s="22">
        <f>+N90</f>
        <v>8.0</v>
      </c>
      <c r="P90" s="22">
        <f>+N90-O90</f>
        <v>0.0</v>
      </c>
      <c r="Q90" s="57"/>
      <c r="R90" s="58"/>
    </row>
    <row r="91" spans="8:8" ht="15.0" customHeight="1">
      <c r="B91" s="54">
        <v>82.0</v>
      </c>
      <c r="C91" s="8" t="s">
        <v>8351</v>
      </c>
      <c r="D91" s="83" t="s">
        <v>820</v>
      </c>
      <c r="E91" s="8" t="s">
        <v>1230</v>
      </c>
      <c r="F91" s="8" t="s">
        <v>68</v>
      </c>
      <c r="G91" s="8" t="s">
        <v>112</v>
      </c>
      <c r="H91" s="8" t="s">
        <v>1231</v>
      </c>
      <c r="I91" s="55" t="s">
        <v>254</v>
      </c>
      <c r="J91" s="78" t="s">
        <v>4006</v>
      </c>
      <c r="K91" s="22">
        <v>0.0</v>
      </c>
      <c r="L91" s="22">
        <f>+SUMIF('حركه المخزن الرئيسي اليوميه'!$F:$F,$H:$H,'حركه المخزن الرئيسي اليوميه'!$H:$H)</f>
        <v>0.0</v>
      </c>
      <c r="M91" s="22">
        <f>+SUMIF('حركه المخزن الرئيسي اليوميه'!$F:$F,$H:$H,'حركه المخزن الرئيسي اليوميه'!$I:$I)</f>
        <v>0.0</v>
      </c>
      <c r="N91" s="22">
        <f>+K91+L91-M91</f>
        <v>0.0</v>
      </c>
      <c r="O91" s="22">
        <f>+N91</f>
        <v>0.0</v>
      </c>
      <c r="P91" s="22">
        <f>+N91-O91</f>
        <v>0.0</v>
      </c>
      <c r="Q91" s="57"/>
      <c r="R91" s="58"/>
    </row>
    <row r="92" spans="8:8" ht="15.0" customHeight="1">
      <c r="B92" s="54">
        <v>83.0</v>
      </c>
      <c r="C92" s="8" t="s">
        <v>8351</v>
      </c>
      <c r="D92" s="83" t="s">
        <v>1013</v>
      </c>
      <c r="E92" s="8" t="s">
        <v>252</v>
      </c>
      <c r="F92" s="8" t="s">
        <v>68</v>
      </c>
      <c r="G92" s="8" t="s">
        <v>1859</v>
      </c>
      <c r="H92" s="8" t="s">
        <v>262</v>
      </c>
      <c r="I92" s="55" t="s">
        <v>8103</v>
      </c>
      <c r="J92" s="78" t="s">
        <v>4007</v>
      </c>
      <c r="K92" s="22">
        <v>42.0</v>
      </c>
      <c r="L92" s="22">
        <f>+SUMIF('حركه المخزن الرئيسي اليوميه'!$F:$F,$H:$H,'حركه المخزن الرئيسي اليوميه'!$H:$H)</f>
        <v>0.0</v>
      </c>
      <c r="M92" s="22">
        <f>+SUMIF('حركه المخزن الرئيسي اليوميه'!$F:$F,$H:$H,'حركه المخزن الرئيسي اليوميه'!$I:$I)</f>
        <v>0.0</v>
      </c>
      <c r="N92" s="22">
        <f>+K92+L92-M92</f>
        <v>42.0</v>
      </c>
      <c r="O92" s="22">
        <f>+N92</f>
        <v>42.0</v>
      </c>
      <c r="P92" s="22">
        <f>+N92-O92</f>
        <v>0.0</v>
      </c>
      <c r="Q92" s="57"/>
      <c r="R92" s="58"/>
    </row>
    <row r="93" spans="8:8" ht="15.0" customHeight="1">
      <c r="B93" s="54">
        <v>84.0</v>
      </c>
      <c r="C93" s="8" t="s">
        <v>8351</v>
      </c>
      <c r="D93" s="8" t="s">
        <v>1013</v>
      </c>
      <c r="E93" s="8" t="s">
        <v>252</v>
      </c>
      <c r="F93" s="8" t="s">
        <v>68</v>
      </c>
      <c r="G93" s="8" t="s">
        <v>1859</v>
      </c>
      <c r="H93" s="8" t="s">
        <v>2802</v>
      </c>
      <c r="I93" s="55" t="s">
        <v>8102</v>
      </c>
      <c r="J93" s="78" t="s">
        <v>4008</v>
      </c>
      <c r="K93" s="22">
        <v>45.0</v>
      </c>
      <c r="L93" s="22">
        <f>+SUMIF('حركه المخزن الرئيسي اليوميه'!$F:$F,$H:$H,'حركه المخزن الرئيسي اليوميه'!$H:$H)</f>
        <v>0.0</v>
      </c>
      <c r="M93" s="22">
        <f>+SUMIF('حركه المخزن الرئيسي اليوميه'!$F:$F,$H:$H,'حركه المخزن الرئيسي اليوميه'!$I:$I)</f>
        <v>0.0</v>
      </c>
      <c r="N93" s="22">
        <f>+K93+L93-M93</f>
        <v>45.0</v>
      </c>
      <c r="O93" s="22">
        <f>+N93</f>
        <v>45.0</v>
      </c>
      <c r="P93" s="22">
        <f>+N93-O93</f>
        <v>0.0</v>
      </c>
      <c r="Q93" s="57"/>
      <c r="R93" s="58"/>
    </row>
    <row r="94" spans="8:8" ht="15.0" customHeight="1">
      <c r="B94" s="54">
        <v>85.0</v>
      </c>
      <c r="C94" s="8" t="s">
        <v>8351</v>
      </c>
      <c r="D94" s="8" t="s">
        <v>1013</v>
      </c>
      <c r="E94" s="8" t="s">
        <v>252</v>
      </c>
      <c r="F94" s="8" t="s">
        <v>68</v>
      </c>
      <c r="G94" s="8" t="s">
        <v>1859</v>
      </c>
      <c r="H94" s="8" t="s">
        <v>260</v>
      </c>
      <c r="I94" s="55" t="s">
        <v>8104</v>
      </c>
      <c r="J94" s="78" t="s">
        <v>4009</v>
      </c>
      <c r="K94" s="22">
        <v>34.0</v>
      </c>
      <c r="L94" s="22">
        <f>+SUMIF('حركه المخزن الرئيسي اليوميه'!$F:$F,$H:$H,'حركه المخزن الرئيسي اليوميه'!$H:$H)</f>
        <v>0.0</v>
      </c>
      <c r="M94" s="22">
        <f>+SUMIF('حركه المخزن الرئيسي اليوميه'!$F:$F,$H:$H,'حركه المخزن الرئيسي اليوميه'!$I:$I)</f>
        <v>0.0</v>
      </c>
      <c r="N94" s="22">
        <f>+K94+L94-M94</f>
        <v>34.0</v>
      </c>
      <c r="O94" s="22">
        <f>+N94</f>
        <v>34.0</v>
      </c>
      <c r="P94" s="22">
        <f>+N94-O94</f>
        <v>0.0</v>
      </c>
      <c r="Q94" s="57"/>
      <c r="R94" s="58"/>
    </row>
    <row r="95" spans="8:8" ht="15.0" customHeight="1">
      <c r="B95" s="54">
        <v>86.0</v>
      </c>
      <c r="C95" s="8" t="s">
        <v>8351</v>
      </c>
      <c r="D95" s="8" t="s">
        <v>1013</v>
      </c>
      <c r="E95" s="8" t="s">
        <v>252</v>
      </c>
      <c r="F95" s="8" t="s">
        <v>68</v>
      </c>
      <c r="G95" s="8" t="s">
        <v>1859</v>
      </c>
      <c r="H95" s="8" t="s">
        <v>261</v>
      </c>
      <c r="I95" s="55" t="s">
        <v>2909</v>
      </c>
      <c r="J95" s="78" t="s">
        <v>4010</v>
      </c>
      <c r="K95" s="22">
        <v>15.0</v>
      </c>
      <c r="L95" s="22">
        <f>+SUMIF('حركه المخزن الرئيسي اليوميه'!$F:$F,$H:$H,'حركه المخزن الرئيسي اليوميه'!$H:$H)</f>
        <v>0.0</v>
      </c>
      <c r="M95" s="22">
        <f>+SUMIF('حركه المخزن الرئيسي اليوميه'!$F:$F,$H:$H,'حركه المخزن الرئيسي اليوميه'!$I:$I)</f>
        <v>0.0</v>
      </c>
      <c r="N95" s="22">
        <f>+K95+L95-M95</f>
        <v>15.0</v>
      </c>
      <c r="O95" s="22">
        <f>+N95</f>
        <v>15.0</v>
      </c>
      <c r="P95" s="22">
        <f>+N95-O95</f>
        <v>0.0</v>
      </c>
      <c r="Q95" s="57"/>
      <c r="R95" s="58"/>
    </row>
    <row r="96" spans="8:8" ht="15.0" customHeight="1">
      <c r="B96" s="54">
        <v>87.0</v>
      </c>
      <c r="C96" s="8" t="s">
        <v>8351</v>
      </c>
      <c r="D96" s="8" t="s">
        <v>1013</v>
      </c>
      <c r="E96" s="8" t="s">
        <v>252</v>
      </c>
      <c r="F96" s="8" t="s">
        <v>68</v>
      </c>
      <c r="G96" s="8" t="s">
        <v>1859</v>
      </c>
      <c r="H96" s="8" t="s">
        <v>267</v>
      </c>
      <c r="I96" s="55" t="s">
        <v>2909</v>
      </c>
      <c r="J96" s="78" t="s">
        <v>4011</v>
      </c>
      <c r="K96" s="22">
        <v>7.0</v>
      </c>
      <c r="L96" s="22">
        <f>+SUMIF('حركه المخزن الرئيسي اليوميه'!$F:$F,$H:$H,'حركه المخزن الرئيسي اليوميه'!$H:$H)</f>
        <v>0.0</v>
      </c>
      <c r="M96" s="22">
        <f>+SUMIF('حركه المخزن الرئيسي اليوميه'!$F:$F,$H:$H,'حركه المخزن الرئيسي اليوميه'!$I:$I)</f>
        <v>0.0</v>
      </c>
      <c r="N96" s="22">
        <f>+K96+L96-M96</f>
        <v>7.0</v>
      </c>
      <c r="O96" s="22">
        <f>+N96</f>
        <v>7.0</v>
      </c>
      <c r="P96" s="22">
        <f>+N96-O96</f>
        <v>0.0</v>
      </c>
      <c r="Q96" s="57"/>
      <c r="R96" s="58"/>
    </row>
    <row r="97" spans="8:8" ht="15.0" customHeight="1">
      <c r="B97" s="54">
        <v>88.0</v>
      </c>
      <c r="C97" s="8" t="s">
        <v>8351</v>
      </c>
      <c r="D97" s="8" t="s">
        <v>820</v>
      </c>
      <c r="E97" s="8" t="s">
        <v>1055</v>
      </c>
      <c r="F97" s="8" t="s">
        <v>1046</v>
      </c>
      <c r="G97" s="8" t="s">
        <v>1910</v>
      </c>
      <c r="H97" s="8" t="s">
        <v>1056</v>
      </c>
      <c r="I97" s="55" t="s">
        <v>2909</v>
      </c>
      <c r="J97" s="78" t="s">
        <v>4012</v>
      </c>
      <c r="K97" s="22">
        <v>5.0</v>
      </c>
      <c r="L97" s="22">
        <f>+SUMIF('حركه المخزن الرئيسي اليوميه'!$F:$F,$H:$H,'حركه المخزن الرئيسي اليوميه'!$H:$H)</f>
        <v>0.0</v>
      </c>
      <c r="M97" s="22">
        <f>+SUMIF('حركه المخزن الرئيسي اليوميه'!$F:$F,$H:$H,'حركه المخزن الرئيسي اليوميه'!$I:$I)</f>
        <v>2.0</v>
      </c>
      <c r="N97" s="22">
        <f>+K97+L97-M97</f>
        <v>3.0</v>
      </c>
      <c r="O97" s="22">
        <f>+N97</f>
        <v>3.0</v>
      </c>
      <c r="P97" s="22">
        <f>+N97-O97</f>
        <v>0.0</v>
      </c>
      <c r="Q97" s="57"/>
      <c r="R97" s="58"/>
    </row>
    <row r="98" spans="8:8" ht="15.0" customHeight="1">
      <c r="B98" s="54">
        <v>89.0</v>
      </c>
      <c r="C98" s="8" t="s">
        <v>8351</v>
      </c>
      <c r="D98" s="8" t="s">
        <v>1013</v>
      </c>
      <c r="E98" s="8" t="s">
        <v>252</v>
      </c>
      <c r="F98" s="8" t="s">
        <v>68</v>
      </c>
      <c r="G98" s="8" t="s">
        <v>1859</v>
      </c>
      <c r="H98" s="8" t="s">
        <v>257</v>
      </c>
      <c r="I98" s="55" t="s">
        <v>8103</v>
      </c>
      <c r="J98" s="78" t="s">
        <v>4013</v>
      </c>
      <c r="K98" s="22">
        <v>49.0</v>
      </c>
      <c r="L98" s="22">
        <f>+SUMIF('حركه المخزن الرئيسي اليوميه'!$F:$F,$H:$H,'حركه المخزن الرئيسي اليوميه'!$H:$H)</f>
        <v>0.0</v>
      </c>
      <c r="M98" s="22">
        <f>+SUMIF('حركه المخزن الرئيسي اليوميه'!$F:$F,$H:$H,'حركه المخزن الرئيسي اليوميه'!$I:$I)</f>
        <v>1.0</v>
      </c>
      <c r="N98" s="22">
        <f>+K98+L98-M98</f>
        <v>48.0</v>
      </c>
      <c r="O98" s="22">
        <f>+N98</f>
        <v>48.0</v>
      </c>
      <c r="P98" s="22">
        <f>+N98-O98</f>
        <v>0.0</v>
      </c>
      <c r="Q98" s="57"/>
      <c r="R98" s="58"/>
    </row>
    <row r="99" spans="8:8" ht="15.0" customHeight="1">
      <c r="B99" s="54">
        <v>90.0</v>
      </c>
      <c r="C99" s="8" t="s">
        <v>8351</v>
      </c>
      <c r="D99" s="8" t="s">
        <v>1013</v>
      </c>
      <c r="E99" s="8" t="s">
        <v>252</v>
      </c>
      <c r="F99" s="8" t="s">
        <v>1501</v>
      </c>
      <c r="G99" s="8" t="s">
        <v>112</v>
      </c>
      <c r="H99" s="8" t="s">
        <v>1601</v>
      </c>
      <c r="I99" s="55" t="s">
        <v>8103</v>
      </c>
      <c r="J99" s="78" t="s">
        <v>4014</v>
      </c>
      <c r="K99" s="22">
        <v>6.0</v>
      </c>
      <c r="L99" s="22">
        <f>+SUMIF('حركه المخزن الرئيسي اليوميه'!$F:$F,$H:$H,'حركه المخزن الرئيسي اليوميه'!$H:$H)</f>
        <v>0.0</v>
      </c>
      <c r="M99" s="22">
        <f>+SUMIF('حركه المخزن الرئيسي اليوميه'!$F:$F,$H:$H,'حركه المخزن الرئيسي اليوميه'!$I:$I)</f>
        <v>0.0</v>
      </c>
      <c r="N99" s="22">
        <f>+K99+L99-M99</f>
        <v>6.0</v>
      </c>
      <c r="O99" s="22">
        <f>+N99</f>
        <v>6.0</v>
      </c>
      <c r="P99" s="22">
        <f>+N99-O99</f>
        <v>0.0</v>
      </c>
      <c r="Q99" s="57"/>
      <c r="R99" s="58"/>
    </row>
    <row r="100" spans="8:8" ht="15.0" customHeight="1">
      <c r="B100" s="54">
        <v>91.0</v>
      </c>
      <c r="C100" s="8" t="s">
        <v>8351</v>
      </c>
      <c r="D100" s="8" t="s">
        <v>1013</v>
      </c>
      <c r="E100" s="8" t="s">
        <v>252</v>
      </c>
      <c r="F100" s="8" t="s">
        <v>68</v>
      </c>
      <c r="G100" s="8" t="s">
        <v>1859</v>
      </c>
      <c r="H100" s="8" t="s">
        <v>258</v>
      </c>
      <c r="I100" s="55" t="s">
        <v>8103</v>
      </c>
      <c r="J100" s="78" t="s">
        <v>4015</v>
      </c>
      <c r="K100" s="22">
        <v>2.0</v>
      </c>
      <c r="L100" s="22">
        <f>+SUMIF('حركه المخزن الرئيسي اليوميه'!$F:$F,$H:$H,'حركه المخزن الرئيسي اليوميه'!$H:$H)</f>
        <v>0.0</v>
      </c>
      <c r="M100" s="22">
        <f>+SUMIF('حركه المخزن الرئيسي اليوميه'!$F:$F,$H:$H,'حركه المخزن الرئيسي اليوميه'!$I:$I)</f>
        <v>0.0</v>
      </c>
      <c r="N100" s="22">
        <f>+K100+L100-M100</f>
        <v>2.0</v>
      </c>
      <c r="O100" s="22">
        <f>+N100</f>
        <v>2.0</v>
      </c>
      <c r="P100" s="22">
        <f>+N100-O100</f>
        <v>0.0</v>
      </c>
      <c r="Q100" s="57"/>
      <c r="R100" s="58"/>
    </row>
    <row r="101" spans="8:8" ht="15.0" customHeight="1">
      <c r="B101" s="54">
        <v>92.0</v>
      </c>
      <c r="C101" s="8" t="s">
        <v>8351</v>
      </c>
      <c r="D101" s="8" t="s">
        <v>1013</v>
      </c>
      <c r="E101" s="8" t="s">
        <v>252</v>
      </c>
      <c r="F101" s="8" t="s">
        <v>68</v>
      </c>
      <c r="G101" s="8" t="s">
        <v>1859</v>
      </c>
      <c r="H101" s="8" t="s">
        <v>2886</v>
      </c>
      <c r="I101" s="55" t="s">
        <v>8103</v>
      </c>
      <c r="J101" s="78" t="s">
        <v>4016</v>
      </c>
      <c r="K101" s="22">
        <v>6.0</v>
      </c>
      <c r="L101" s="22">
        <f>+SUMIF('حركه المخزن الرئيسي اليوميه'!$F:$F,$H:$H,'حركه المخزن الرئيسي اليوميه'!$H:$H)</f>
        <v>0.0</v>
      </c>
      <c r="M101" s="22">
        <f>+SUMIF('حركه المخزن الرئيسي اليوميه'!$F:$F,$H:$H,'حركه المخزن الرئيسي اليوميه'!$I:$I)</f>
        <v>0.0</v>
      </c>
      <c r="N101" s="22">
        <f>+K101+L101-M101</f>
        <v>6.0</v>
      </c>
      <c r="O101" s="22">
        <f>+N101</f>
        <v>6.0</v>
      </c>
      <c r="P101" s="22">
        <v>0.0</v>
      </c>
      <c r="Q101" s="57"/>
      <c r="R101" s="58"/>
    </row>
    <row r="102" spans="8:8" ht="15.0" customHeight="1">
      <c r="B102" s="54">
        <v>93.0</v>
      </c>
      <c r="C102" s="8" t="s">
        <v>8351</v>
      </c>
      <c r="D102" s="8" t="s">
        <v>1013</v>
      </c>
      <c r="E102" s="8" t="s">
        <v>252</v>
      </c>
      <c r="F102" s="8" t="s">
        <v>68</v>
      </c>
      <c r="G102" s="8" t="s">
        <v>1859</v>
      </c>
      <c r="H102" s="8" t="s">
        <v>264</v>
      </c>
      <c r="I102" s="55" t="s">
        <v>8103</v>
      </c>
      <c r="J102" s="78" t="s">
        <v>4017</v>
      </c>
      <c r="K102" s="22">
        <v>0.0</v>
      </c>
      <c r="L102" s="22">
        <f>+SUMIF('حركه المخزن الرئيسي اليوميه'!$F:$F,$H:$H,'حركه المخزن الرئيسي اليوميه'!$H:$H)</f>
        <v>0.0</v>
      </c>
      <c r="M102" s="22">
        <f>+SUMIF('حركه المخزن الرئيسي اليوميه'!$F:$F,$H:$H,'حركه المخزن الرئيسي اليوميه'!$I:$I)</f>
        <v>0.0</v>
      </c>
      <c r="N102" s="22">
        <f>+K102+L102-M102</f>
        <v>0.0</v>
      </c>
      <c r="O102" s="22">
        <f>+N102</f>
        <v>0.0</v>
      </c>
      <c r="P102" s="22">
        <f>+N102-O102</f>
        <v>0.0</v>
      </c>
      <c r="Q102" s="57"/>
      <c r="R102" s="58"/>
    </row>
    <row r="103" spans="8:8" ht="15.0" customHeight="1">
      <c r="B103" s="54">
        <v>94.0</v>
      </c>
      <c r="C103" s="8" t="s">
        <v>8351</v>
      </c>
      <c r="D103" s="8" t="s">
        <v>1013</v>
      </c>
      <c r="E103" s="8" t="s">
        <v>252</v>
      </c>
      <c r="F103" s="8" t="s">
        <v>68</v>
      </c>
      <c r="G103" s="8" t="s">
        <v>1859</v>
      </c>
      <c r="H103" s="8" t="s">
        <v>1227</v>
      </c>
      <c r="I103" s="55" t="s">
        <v>8103</v>
      </c>
      <c r="J103" s="78" t="s">
        <v>4018</v>
      </c>
      <c r="K103" s="22">
        <v>4.0</v>
      </c>
      <c r="L103" s="22">
        <f>+SUMIF('حركه المخزن الرئيسي اليوميه'!$F:$F,$H:$H,'حركه المخزن الرئيسي اليوميه'!$H:$H)</f>
        <v>0.0</v>
      </c>
      <c r="M103" s="22">
        <f>+SUMIF('حركه المخزن الرئيسي اليوميه'!$F:$F,$H:$H,'حركه المخزن الرئيسي اليوميه'!$I:$I)</f>
        <v>0.0</v>
      </c>
      <c r="N103" s="22">
        <f>+K103+L103-M103</f>
        <v>4.0</v>
      </c>
      <c r="O103" s="22">
        <f>+N103</f>
        <v>4.0</v>
      </c>
      <c r="P103" s="22">
        <f>+N103-O103</f>
        <v>0.0</v>
      </c>
      <c r="Q103" s="57"/>
      <c r="R103" s="58"/>
    </row>
    <row r="104" spans="8:8" ht="15.0" customHeight="1">
      <c r="B104" s="54">
        <v>95.0</v>
      </c>
      <c r="C104" s="8" t="s">
        <v>8351</v>
      </c>
      <c r="D104" s="8" t="s">
        <v>820</v>
      </c>
      <c r="E104" s="8" t="s">
        <v>1230</v>
      </c>
      <c r="F104" s="8" t="s">
        <v>68</v>
      </c>
      <c r="G104" s="8" t="s">
        <v>1859</v>
      </c>
      <c r="H104" s="8" t="s">
        <v>2648</v>
      </c>
      <c r="I104" s="55" t="s">
        <v>2910</v>
      </c>
      <c r="J104" s="78" t="s">
        <v>4019</v>
      </c>
      <c r="K104" s="22">
        <v>6.0</v>
      </c>
      <c r="L104" s="22">
        <f>+SUMIF('حركه المخزن الرئيسي اليوميه'!$F:$F,$H:$H,'حركه المخزن الرئيسي اليوميه'!$H:$H)</f>
        <v>0.0</v>
      </c>
      <c r="M104" s="22">
        <f>+SUMIF('حركه المخزن الرئيسي اليوميه'!$F:$F,$H:$H,'حركه المخزن الرئيسي اليوميه'!$I:$I)</f>
        <v>0.0</v>
      </c>
      <c r="N104" s="22">
        <f>+K104+L104-M104</f>
        <v>6.0</v>
      </c>
      <c r="O104" s="22">
        <f>+N104</f>
        <v>6.0</v>
      </c>
      <c r="P104" s="22">
        <f>+N104-O104</f>
        <v>0.0</v>
      </c>
      <c r="Q104" s="57"/>
      <c r="R104" s="58"/>
    </row>
    <row r="105" spans="8:8" ht="15.0" customHeight="1">
      <c r="B105" s="54">
        <v>96.0</v>
      </c>
      <c r="C105" s="8" t="s">
        <v>8351</v>
      </c>
      <c r="D105" s="8" t="s">
        <v>820</v>
      </c>
      <c r="E105" s="8" t="s">
        <v>1230</v>
      </c>
      <c r="F105" s="8" t="s">
        <v>68</v>
      </c>
      <c r="G105" s="8" t="s">
        <v>112</v>
      </c>
      <c r="H105" s="8" t="s">
        <v>2795</v>
      </c>
      <c r="I105" s="55" t="s">
        <v>8104</v>
      </c>
      <c r="J105" s="78" t="s">
        <v>4020</v>
      </c>
      <c r="K105" s="22">
        <v>42.0</v>
      </c>
      <c r="L105" s="22">
        <f>+SUMIF('حركه المخزن الرئيسي اليوميه'!$F:$F,$H:$H,'حركه المخزن الرئيسي اليوميه'!$H:$H)</f>
        <v>0.0</v>
      </c>
      <c r="M105" s="22">
        <f>+SUMIF('حركه المخزن الرئيسي اليوميه'!$F:$F,$H:$H,'حركه المخزن الرئيسي اليوميه'!$I:$I)</f>
        <v>0.0</v>
      </c>
      <c r="N105" s="22">
        <f>+K105+L105-M105</f>
        <v>42.0</v>
      </c>
      <c r="O105" s="22">
        <f>+N105</f>
        <v>42.0</v>
      </c>
      <c r="P105" s="22">
        <f>+N105-O105</f>
        <v>0.0</v>
      </c>
      <c r="Q105" s="57"/>
      <c r="R105" s="58"/>
    </row>
    <row r="106" spans="8:8" ht="15.0" customHeight="1">
      <c r="B106" s="54">
        <v>97.0</v>
      </c>
      <c r="C106" s="8" t="s">
        <v>8351</v>
      </c>
      <c r="D106" s="8" t="s">
        <v>820</v>
      </c>
      <c r="E106" s="8" t="s">
        <v>1230</v>
      </c>
      <c r="F106" s="8" t="s">
        <v>68</v>
      </c>
      <c r="G106" s="8" t="s">
        <v>112</v>
      </c>
      <c r="H106" s="8" t="s">
        <v>2647</v>
      </c>
      <c r="I106" s="55" t="s">
        <v>8102</v>
      </c>
      <c r="J106" s="78" t="s">
        <v>4021</v>
      </c>
      <c r="K106" s="22">
        <v>2.0</v>
      </c>
      <c r="L106" s="22">
        <f>+SUMIF('حركه المخزن الرئيسي اليوميه'!$F:$F,$H:$H,'حركه المخزن الرئيسي اليوميه'!$H:$H)</f>
        <v>0.0</v>
      </c>
      <c r="M106" s="22">
        <f>+SUMIF('حركه المخزن الرئيسي اليوميه'!$F:$F,$H:$H,'حركه المخزن الرئيسي اليوميه'!$I:$I)</f>
        <v>0.0</v>
      </c>
      <c r="N106" s="22">
        <f>+K106+L106-M106</f>
        <v>2.0</v>
      </c>
      <c r="O106" s="22">
        <f>+N106</f>
        <v>2.0</v>
      </c>
      <c r="P106" s="22">
        <f>+N106-O106</f>
        <v>0.0</v>
      </c>
      <c r="Q106" s="57"/>
      <c r="R106" s="58"/>
    </row>
    <row r="107" spans="8:8" ht="15.0" customHeight="1">
      <c r="B107" s="54">
        <v>98.0</v>
      </c>
      <c r="C107" s="8" t="s">
        <v>8351</v>
      </c>
      <c r="D107" s="8" t="s">
        <v>820</v>
      </c>
      <c r="E107" s="8" t="s">
        <v>1230</v>
      </c>
      <c r="F107" s="8" t="s">
        <v>68</v>
      </c>
      <c r="G107" s="8" t="s">
        <v>112</v>
      </c>
      <c r="H107" s="8" t="s">
        <v>1407</v>
      </c>
      <c r="I107" s="55" t="s">
        <v>2908</v>
      </c>
      <c r="J107" s="78" t="s">
        <v>4022</v>
      </c>
      <c r="K107" s="22">
        <v>2.0</v>
      </c>
      <c r="L107" s="22">
        <f>+SUMIF('حركه المخزن الرئيسي اليوميه'!$F:$F,$H:$H,'حركه المخزن الرئيسي اليوميه'!$H:$H)</f>
        <v>0.0</v>
      </c>
      <c r="M107" s="22">
        <f>+SUMIF('حركه المخزن الرئيسي اليوميه'!$F:$F,$H:$H,'حركه المخزن الرئيسي اليوميه'!$I:$I)</f>
        <v>0.0</v>
      </c>
      <c r="N107" s="22">
        <f>+K107+L107-M107</f>
        <v>2.0</v>
      </c>
      <c r="O107" s="22">
        <f>+N107</f>
        <v>2.0</v>
      </c>
      <c r="P107" s="22">
        <f>+N107-O107</f>
        <v>0.0</v>
      </c>
      <c r="Q107" s="57"/>
      <c r="R107" s="58"/>
    </row>
    <row r="108" spans="8:8" ht="15.0" customHeight="1">
      <c r="B108" s="54">
        <v>99.0</v>
      </c>
      <c r="C108" s="8" t="s">
        <v>8351</v>
      </c>
      <c r="D108" s="8" t="s">
        <v>1013</v>
      </c>
      <c r="E108" s="8" t="s">
        <v>252</v>
      </c>
      <c r="F108" s="8" t="s">
        <v>68</v>
      </c>
      <c r="G108" s="8" t="s">
        <v>1859</v>
      </c>
      <c r="H108" s="8" t="s">
        <v>265</v>
      </c>
      <c r="I108" s="55" t="s">
        <v>2908</v>
      </c>
      <c r="J108" s="78" t="s">
        <v>4023</v>
      </c>
      <c r="K108" s="22">
        <v>25.0</v>
      </c>
      <c r="L108" s="22">
        <f>+SUMIF('حركه المخزن الرئيسي اليوميه'!$F:$F,$H:$H,'حركه المخزن الرئيسي اليوميه'!$H:$H)</f>
        <v>0.0</v>
      </c>
      <c r="M108" s="22">
        <f>+SUMIF('حركه المخزن الرئيسي اليوميه'!$F:$F,$H:$H,'حركه المخزن الرئيسي اليوميه'!$I:$I)</f>
        <v>0.0</v>
      </c>
      <c r="N108" s="22">
        <f>+K108+L108-M108</f>
        <v>25.0</v>
      </c>
      <c r="O108" s="22">
        <f>+N108</f>
        <v>25.0</v>
      </c>
      <c r="P108" s="22">
        <f>+N108-O108</f>
        <v>0.0</v>
      </c>
      <c r="Q108" s="57"/>
      <c r="R108" s="58"/>
    </row>
    <row r="109" spans="8:8" ht="15.0" customHeight="1">
      <c r="B109" s="54">
        <v>100.0</v>
      </c>
      <c r="C109" s="8" t="s">
        <v>8351</v>
      </c>
      <c r="D109" s="8" t="s">
        <v>1013</v>
      </c>
      <c r="E109" s="8" t="s">
        <v>252</v>
      </c>
      <c r="F109" s="8" t="s">
        <v>68</v>
      </c>
      <c r="G109" s="8" t="s">
        <v>1859</v>
      </c>
      <c r="H109" s="8" t="s">
        <v>271</v>
      </c>
      <c r="I109" s="55" t="s">
        <v>2909</v>
      </c>
      <c r="J109" s="78" t="s">
        <v>4024</v>
      </c>
      <c r="K109" s="22">
        <v>86.0</v>
      </c>
      <c r="L109" s="22">
        <f>+SUMIF('حركه المخزن الرئيسي اليوميه'!$F:$F,$H:$H,'حركه المخزن الرئيسي اليوميه'!$H:$H)</f>
        <v>0.0</v>
      </c>
      <c r="M109" s="22">
        <f>+SUMIF('حركه المخزن الرئيسي اليوميه'!$F:$F,$H:$H,'حركه المخزن الرئيسي اليوميه'!$I:$I)</f>
        <v>0.0</v>
      </c>
      <c r="N109" s="22">
        <f>+K109+L109-M109</f>
        <v>86.0</v>
      </c>
      <c r="O109" s="22">
        <f>+N109</f>
        <v>86.0</v>
      </c>
      <c r="P109" s="22">
        <f>+N109-O109</f>
        <v>0.0</v>
      </c>
      <c r="Q109" s="57"/>
      <c r="R109" s="58"/>
    </row>
    <row r="110" spans="8:8" ht="15.0" customHeight="1">
      <c r="B110" s="54">
        <v>101.0</v>
      </c>
      <c r="C110" s="8" t="s">
        <v>8351</v>
      </c>
      <c r="D110" s="8" t="s">
        <v>1013</v>
      </c>
      <c r="E110" s="8" t="s">
        <v>252</v>
      </c>
      <c r="F110" s="8" t="s">
        <v>68</v>
      </c>
      <c r="G110" s="8" t="s">
        <v>1859</v>
      </c>
      <c r="H110" s="8" t="s">
        <v>273</v>
      </c>
      <c r="I110" s="55" t="s">
        <v>2908</v>
      </c>
      <c r="J110" s="78" t="s">
        <v>4025</v>
      </c>
      <c r="K110" s="22">
        <v>0.0</v>
      </c>
      <c r="L110" s="22">
        <f>+SUMIF('حركه المخزن الرئيسي اليوميه'!$F:$F,$H:$H,'حركه المخزن الرئيسي اليوميه'!$H:$H)</f>
        <v>0.0</v>
      </c>
      <c r="M110" s="22">
        <f>+SUMIF('حركه المخزن الرئيسي اليوميه'!$F:$F,$H:$H,'حركه المخزن الرئيسي اليوميه'!$I:$I)</f>
        <v>0.0</v>
      </c>
      <c r="N110" s="22">
        <f>+K110+L110-M110</f>
        <v>0.0</v>
      </c>
      <c r="O110" s="22">
        <f>+N110</f>
        <v>0.0</v>
      </c>
      <c r="P110" s="22">
        <f>+N110-O110</f>
        <v>0.0</v>
      </c>
      <c r="Q110" s="57"/>
      <c r="R110" s="58"/>
    </row>
    <row r="111" spans="8:8" ht="15.0" customHeight="1">
      <c r="B111" s="54">
        <v>102.0</v>
      </c>
      <c r="C111" s="8" t="s">
        <v>8351</v>
      </c>
      <c r="D111" s="8" t="s">
        <v>820</v>
      </c>
      <c r="E111" s="8" t="s">
        <v>1230</v>
      </c>
      <c r="F111" s="8" t="s">
        <v>68</v>
      </c>
      <c r="G111" s="8" t="s">
        <v>1859</v>
      </c>
      <c r="H111" s="8" t="s">
        <v>2646</v>
      </c>
      <c r="I111" s="55" t="s">
        <v>8105</v>
      </c>
      <c r="J111" s="78" t="s">
        <v>4026</v>
      </c>
      <c r="K111" s="22">
        <v>46.0</v>
      </c>
      <c r="L111" s="22">
        <f>+SUMIF('حركه المخزن الرئيسي اليوميه'!$F:$F,$H:$H,'حركه المخزن الرئيسي اليوميه'!$H:$H)</f>
        <v>0.0</v>
      </c>
      <c r="M111" s="22">
        <f>+SUMIF('حركه المخزن الرئيسي اليوميه'!$F:$F,$H:$H,'حركه المخزن الرئيسي اليوميه'!$I:$I)</f>
        <v>0.0</v>
      </c>
      <c r="N111" s="22">
        <f>+K111+L111-M111</f>
        <v>46.0</v>
      </c>
      <c r="O111" s="22">
        <f>+N111</f>
        <v>46.0</v>
      </c>
      <c r="P111" s="22">
        <f>+N111-O111</f>
        <v>0.0</v>
      </c>
      <c r="Q111" s="57"/>
      <c r="R111" s="58"/>
    </row>
    <row r="112" spans="8:8" ht="15.0" customHeight="1">
      <c r="B112" s="54">
        <v>103.0</v>
      </c>
      <c r="C112" s="8" t="s">
        <v>8351</v>
      </c>
      <c r="D112" s="8" t="s">
        <v>1013</v>
      </c>
      <c r="E112" s="8" t="s">
        <v>252</v>
      </c>
      <c r="F112" s="8" t="s">
        <v>68</v>
      </c>
      <c r="G112" s="8" t="s">
        <v>1859</v>
      </c>
      <c r="H112" s="8" t="s">
        <v>274</v>
      </c>
      <c r="I112" s="55" t="s">
        <v>8105</v>
      </c>
      <c r="J112" s="78" t="s">
        <v>4027</v>
      </c>
      <c r="K112" s="22">
        <v>41.0</v>
      </c>
      <c r="L112" s="22">
        <f>+SUMIF('حركه المخزن الرئيسي اليوميه'!$F:$F,$H:$H,'حركه المخزن الرئيسي اليوميه'!$H:$H)</f>
        <v>0.0</v>
      </c>
      <c r="M112" s="22">
        <f>+SUMIF('حركه المخزن الرئيسي اليوميه'!$F:$F,$H:$H,'حركه المخزن الرئيسي اليوميه'!$I:$I)</f>
        <v>0.0</v>
      </c>
      <c r="N112" s="22">
        <f>+K112+L112-M112</f>
        <v>41.0</v>
      </c>
      <c r="O112" s="22">
        <f>+N112</f>
        <v>41.0</v>
      </c>
      <c r="P112" s="22">
        <f>+N112-O112</f>
        <v>0.0</v>
      </c>
      <c r="Q112" s="57"/>
      <c r="R112" s="58"/>
    </row>
    <row r="113" spans="8:8" ht="15.0" customHeight="1">
      <c r="B113" s="54">
        <v>104.0</v>
      </c>
      <c r="C113" s="8" t="s">
        <v>8351</v>
      </c>
      <c r="D113" s="8" t="s">
        <v>1013</v>
      </c>
      <c r="E113" s="8" t="s">
        <v>252</v>
      </c>
      <c r="F113" s="8" t="s">
        <v>68</v>
      </c>
      <c r="G113" s="8" t="s">
        <v>1859</v>
      </c>
      <c r="H113" s="8" t="s">
        <v>275</v>
      </c>
      <c r="I113" s="55" t="s">
        <v>8104</v>
      </c>
      <c r="J113" s="78" t="s">
        <v>4028</v>
      </c>
      <c r="K113" s="22">
        <v>42.0</v>
      </c>
      <c r="L113" s="22">
        <f>+SUMIF('حركه المخزن الرئيسي اليوميه'!$F:$F,$H:$H,'حركه المخزن الرئيسي اليوميه'!$H:$H)</f>
        <v>0.0</v>
      </c>
      <c r="M113" s="22">
        <f>+SUMIF('حركه المخزن الرئيسي اليوميه'!$F:$F,$H:$H,'حركه المخزن الرئيسي اليوميه'!$I:$I)</f>
        <v>0.0</v>
      </c>
      <c r="N113" s="22">
        <f>+K113+L113-M113</f>
        <v>42.0</v>
      </c>
      <c r="O113" s="22">
        <f>+N113</f>
        <v>42.0</v>
      </c>
      <c r="P113" s="22">
        <f>+N113-O113</f>
        <v>0.0</v>
      </c>
      <c r="Q113" s="57"/>
      <c r="R113" s="58"/>
    </row>
    <row r="114" spans="8:8" ht="15.0" customHeight="1">
      <c r="B114" s="54">
        <v>105.0</v>
      </c>
      <c r="C114" s="8" t="s">
        <v>8351</v>
      </c>
      <c r="D114" s="8" t="s">
        <v>1013</v>
      </c>
      <c r="E114" s="8" t="s">
        <v>252</v>
      </c>
      <c r="F114" s="8" t="s">
        <v>68</v>
      </c>
      <c r="G114" s="8" t="s">
        <v>1859</v>
      </c>
      <c r="H114" s="8" t="s">
        <v>266</v>
      </c>
      <c r="I114" s="55" t="s">
        <v>2910</v>
      </c>
      <c r="J114" s="78" t="s">
        <v>4029</v>
      </c>
      <c r="K114" s="22">
        <v>3.0</v>
      </c>
      <c r="L114" s="22">
        <f>+SUMIF('حركه المخزن الرئيسي اليوميه'!$F:$F,$H:$H,'حركه المخزن الرئيسي اليوميه'!$H:$H)</f>
        <v>0.0</v>
      </c>
      <c r="M114" s="22">
        <f>+SUMIF('حركه المخزن الرئيسي اليوميه'!$F:$F,$H:$H,'حركه المخزن الرئيسي اليوميه'!$I:$I)</f>
        <v>0.0</v>
      </c>
      <c r="N114" s="22">
        <f>+K114+L114-M114</f>
        <v>3.0</v>
      </c>
      <c r="O114" s="22">
        <f>+N114</f>
        <v>3.0</v>
      </c>
      <c r="P114" s="22">
        <f>+N114-O114</f>
        <v>0.0</v>
      </c>
      <c r="Q114" s="57"/>
      <c r="R114" s="58"/>
    </row>
    <row r="115" spans="8:8" ht="15.0" customHeight="1">
      <c r="B115" s="54">
        <v>106.0</v>
      </c>
      <c r="C115" s="8" t="s">
        <v>8351</v>
      </c>
      <c r="D115" s="8" t="s">
        <v>1013</v>
      </c>
      <c r="E115" s="8" t="s">
        <v>252</v>
      </c>
      <c r="F115" s="8" t="s">
        <v>68</v>
      </c>
      <c r="G115" s="8" t="s">
        <v>1859</v>
      </c>
      <c r="H115" s="8" t="s">
        <v>269</v>
      </c>
      <c r="I115" s="55" t="s">
        <v>2910</v>
      </c>
      <c r="J115" s="78" t="s">
        <v>4030</v>
      </c>
      <c r="K115" s="22">
        <v>3.0</v>
      </c>
      <c r="L115" s="22">
        <f>+SUMIF('حركه المخزن الرئيسي اليوميه'!$F:$F,$H:$H,'حركه المخزن الرئيسي اليوميه'!$H:$H)</f>
        <v>0.0</v>
      </c>
      <c r="M115" s="22">
        <f>+SUMIF('حركه المخزن الرئيسي اليوميه'!$F:$F,$H:$H,'حركه المخزن الرئيسي اليوميه'!$I:$I)</f>
        <v>0.0</v>
      </c>
      <c r="N115" s="22">
        <f>+K115+L115-M115</f>
        <v>3.0</v>
      </c>
      <c r="O115" s="22">
        <f>+N115</f>
        <v>3.0</v>
      </c>
      <c r="P115" s="22">
        <f>+N115-O115</f>
        <v>0.0</v>
      </c>
      <c r="Q115" s="57"/>
      <c r="R115" s="58"/>
    </row>
    <row r="116" spans="8:8" ht="15.0" customHeight="1">
      <c r="B116" s="54">
        <v>107.0</v>
      </c>
      <c r="C116" s="8" t="s">
        <v>8351</v>
      </c>
      <c r="D116" s="8" t="s">
        <v>1013</v>
      </c>
      <c r="E116" s="8" t="s">
        <v>252</v>
      </c>
      <c r="F116" s="8" t="s">
        <v>68</v>
      </c>
      <c r="G116" s="8" t="s">
        <v>1859</v>
      </c>
      <c r="H116" s="8" t="s">
        <v>268</v>
      </c>
      <c r="I116" s="55" t="s">
        <v>2910</v>
      </c>
      <c r="J116" s="78" t="s">
        <v>4031</v>
      </c>
      <c r="K116" s="22">
        <v>4.0</v>
      </c>
      <c r="L116" s="22">
        <f>+SUMIF('حركه المخزن الرئيسي اليوميه'!$F:$F,$H:$H,'حركه المخزن الرئيسي اليوميه'!$H:$H)</f>
        <v>0.0</v>
      </c>
      <c r="M116" s="22">
        <f>+SUMIF('حركه المخزن الرئيسي اليوميه'!$F:$F,$H:$H,'حركه المخزن الرئيسي اليوميه'!$I:$I)</f>
        <v>0.0</v>
      </c>
      <c r="N116" s="22">
        <f>+K116+L116-M116</f>
        <v>4.0</v>
      </c>
      <c r="O116" s="22">
        <f>+N116</f>
        <v>4.0</v>
      </c>
      <c r="P116" s="22">
        <f>+N116-O116</f>
        <v>0.0</v>
      </c>
      <c r="Q116" s="57"/>
      <c r="R116" s="58"/>
    </row>
    <row r="117" spans="8:8" ht="15.0" customHeight="1">
      <c r="B117" s="54">
        <v>108.0</v>
      </c>
      <c r="C117" s="8" t="s">
        <v>8351</v>
      </c>
      <c r="D117" s="8" t="s">
        <v>1013</v>
      </c>
      <c r="E117" s="8" t="s">
        <v>252</v>
      </c>
      <c r="F117" s="8" t="s">
        <v>68</v>
      </c>
      <c r="G117" s="8" t="s">
        <v>1859</v>
      </c>
      <c r="H117" s="8" t="s">
        <v>270</v>
      </c>
      <c r="I117" s="55" t="s">
        <v>2910</v>
      </c>
      <c r="J117" s="78" t="s">
        <v>4032</v>
      </c>
      <c r="K117" s="22">
        <v>4.0</v>
      </c>
      <c r="L117" s="22">
        <f>+SUMIF('حركه المخزن الرئيسي اليوميه'!$F:$F,$H:$H,'حركه المخزن الرئيسي اليوميه'!$H:$H)</f>
        <v>0.0</v>
      </c>
      <c r="M117" s="22">
        <f>+SUMIF('حركه المخزن الرئيسي اليوميه'!$F:$F,$H:$H,'حركه المخزن الرئيسي اليوميه'!$I:$I)</f>
        <v>0.0</v>
      </c>
      <c r="N117" s="22">
        <f>+K117+L117-M117</f>
        <v>4.0</v>
      </c>
      <c r="O117" s="22">
        <f>+N117</f>
        <v>4.0</v>
      </c>
      <c r="P117" s="22">
        <f>+N117-O117</f>
        <v>0.0</v>
      </c>
      <c r="Q117" s="57"/>
      <c r="R117" s="58"/>
    </row>
    <row r="118" spans="8:8" ht="15.0" customHeight="1">
      <c r="B118" s="54">
        <v>109.0</v>
      </c>
      <c r="C118" s="8" t="s">
        <v>8351</v>
      </c>
      <c r="D118" s="8" t="s">
        <v>1013</v>
      </c>
      <c r="E118" s="8" t="s">
        <v>252</v>
      </c>
      <c r="F118" s="8" t="s">
        <v>68</v>
      </c>
      <c r="G118" s="8" t="s">
        <v>1859</v>
      </c>
      <c r="H118" s="8" t="s">
        <v>8196</v>
      </c>
      <c r="I118" s="55" t="s">
        <v>8102</v>
      </c>
      <c r="J118" s="78" t="s">
        <v>4033</v>
      </c>
      <c r="K118" s="22">
        <v>5.0</v>
      </c>
      <c r="L118" s="22">
        <f>+SUMIF('حركه المخزن الرئيسي اليوميه'!$F:$F,$H:$H,'حركه المخزن الرئيسي اليوميه'!$H:$H)</f>
        <v>0.0</v>
      </c>
      <c r="M118" s="22">
        <f>+SUMIF('حركه المخزن الرئيسي اليوميه'!$F:$F,$H:$H,'حركه المخزن الرئيسي اليوميه'!$I:$I)</f>
        <v>0.0</v>
      </c>
      <c r="N118" s="22">
        <f>+K118+L118-M118</f>
        <v>5.0</v>
      </c>
      <c r="O118" s="22">
        <f>+N118</f>
        <v>5.0</v>
      </c>
      <c r="P118" s="22">
        <f>+N118-O118</f>
        <v>0.0</v>
      </c>
      <c r="Q118" s="57"/>
      <c r="R118" s="58"/>
    </row>
    <row r="119" spans="8:8" ht="15.0" customHeight="1">
      <c r="B119" s="54">
        <v>110.0</v>
      </c>
      <c r="C119" s="8" t="s">
        <v>8351</v>
      </c>
      <c r="D119" s="8" t="s">
        <v>1013</v>
      </c>
      <c r="E119" s="8" t="s">
        <v>252</v>
      </c>
      <c r="F119" s="8" t="s">
        <v>68</v>
      </c>
      <c r="G119" s="8" t="s">
        <v>1859</v>
      </c>
      <c r="H119" s="8" t="s">
        <v>272</v>
      </c>
      <c r="I119" s="55" t="s">
        <v>8102</v>
      </c>
      <c r="J119" s="78" t="s">
        <v>4034</v>
      </c>
      <c r="K119" s="22">
        <v>30.0</v>
      </c>
      <c r="L119" s="22">
        <f>+SUMIF('حركه المخزن الرئيسي اليوميه'!$F:$F,$H:$H,'حركه المخزن الرئيسي اليوميه'!$H:$H)</f>
        <v>0.0</v>
      </c>
      <c r="M119" s="22">
        <f>+SUMIF('حركه المخزن الرئيسي اليوميه'!$F:$F,$H:$H,'حركه المخزن الرئيسي اليوميه'!$I:$I)</f>
        <v>0.0</v>
      </c>
      <c r="N119" s="22">
        <f>+K119+L119-M119</f>
        <v>30.0</v>
      </c>
      <c r="O119" s="22">
        <f>+N119</f>
        <v>30.0</v>
      </c>
      <c r="P119" s="22">
        <f>+N119-O119</f>
        <v>0.0</v>
      </c>
      <c r="Q119" s="57"/>
      <c r="R119" s="58"/>
    </row>
    <row r="120" spans="8:8" ht="15.0" customHeight="1">
      <c r="B120" s="54">
        <v>111.0</v>
      </c>
      <c r="C120" s="8" t="s">
        <v>8351</v>
      </c>
      <c r="D120" s="8" t="s">
        <v>1013</v>
      </c>
      <c r="E120" s="8" t="s">
        <v>1230</v>
      </c>
      <c r="F120" s="8" t="s">
        <v>1501</v>
      </c>
      <c r="G120" s="8" t="s">
        <v>1859</v>
      </c>
      <c r="H120" s="8" t="s">
        <v>1946</v>
      </c>
      <c r="I120" s="55" t="s">
        <v>8102</v>
      </c>
      <c r="J120" s="78" t="s">
        <v>4035</v>
      </c>
      <c r="K120" s="22">
        <v>0.0</v>
      </c>
      <c r="L120" s="22">
        <f>+SUMIF('حركه المخزن الرئيسي اليوميه'!$F:$F,$H:$H,'حركه المخزن الرئيسي اليوميه'!$H:$H)</f>
        <v>0.0</v>
      </c>
      <c r="M120" s="22">
        <f>+SUMIF('حركه المخزن الرئيسي اليوميه'!$F:$F,$H:$H,'حركه المخزن الرئيسي اليوميه'!$I:$I)</f>
        <v>0.0</v>
      </c>
      <c r="N120" s="22">
        <f>+K120+L120-M120</f>
        <v>0.0</v>
      </c>
      <c r="O120" s="22">
        <f>+N120</f>
        <v>0.0</v>
      </c>
      <c r="P120" s="22">
        <f>+N120-O120</f>
        <v>0.0</v>
      </c>
      <c r="Q120" s="57"/>
      <c r="R120" s="58"/>
    </row>
    <row r="121" spans="8:8" ht="15.0" customHeight="1">
      <c r="B121" s="54">
        <v>112.0</v>
      </c>
      <c r="C121" s="8" t="s">
        <v>8351</v>
      </c>
      <c r="D121" s="8" t="s">
        <v>1013</v>
      </c>
      <c r="E121" s="8" t="s">
        <v>1230</v>
      </c>
      <c r="F121" s="8" t="s">
        <v>1501</v>
      </c>
      <c r="G121" s="8" t="s">
        <v>112</v>
      </c>
      <c r="H121" s="8" t="s">
        <v>1558</v>
      </c>
      <c r="I121" s="55" t="s">
        <v>8102</v>
      </c>
      <c r="J121" s="78" t="s">
        <v>4036</v>
      </c>
      <c r="K121" s="22">
        <v>4.0</v>
      </c>
      <c r="L121" s="22">
        <f>+SUMIF('حركه المخزن الرئيسي اليوميه'!$F:$F,$H:$H,'حركه المخزن الرئيسي اليوميه'!$H:$H)</f>
        <v>0.0</v>
      </c>
      <c r="M121" s="22">
        <f>+SUMIF('حركه المخزن الرئيسي اليوميه'!$F:$F,$H:$H,'حركه المخزن الرئيسي اليوميه'!$I:$I)</f>
        <v>0.0</v>
      </c>
      <c r="N121" s="22">
        <f>+K121+L121-M121</f>
        <v>4.0</v>
      </c>
      <c r="O121" s="22">
        <f>+N121</f>
        <v>4.0</v>
      </c>
      <c r="P121" s="22">
        <f>+N121-O121</f>
        <v>0.0</v>
      </c>
      <c r="Q121" s="57"/>
      <c r="R121" s="58"/>
    </row>
    <row r="122" spans="8:8" ht="15.0" customHeight="1">
      <c r="B122" s="54">
        <v>113.0</v>
      </c>
      <c r="C122" s="8" t="s">
        <v>8351</v>
      </c>
      <c r="D122" s="8" t="s">
        <v>820</v>
      </c>
      <c r="E122" s="8" t="s">
        <v>1230</v>
      </c>
      <c r="F122" s="8" t="s">
        <v>68</v>
      </c>
      <c r="G122" s="8" t="s">
        <v>112</v>
      </c>
      <c r="H122" s="8" t="s">
        <v>1272</v>
      </c>
      <c r="I122" s="55" t="s">
        <v>8103</v>
      </c>
      <c r="J122" s="78" t="s">
        <v>4037</v>
      </c>
      <c r="K122" s="22">
        <v>16.0</v>
      </c>
      <c r="L122" s="22">
        <f>+SUMIF('حركه المخزن الرئيسي اليوميه'!$F:$F,$H:$H,'حركه المخزن الرئيسي اليوميه'!$H:$H)</f>
        <v>0.0</v>
      </c>
      <c r="M122" s="22">
        <f>+SUMIF('حركه المخزن الرئيسي اليوميه'!$F:$F,$H:$H,'حركه المخزن الرئيسي اليوميه'!$I:$I)</f>
        <v>0.0</v>
      </c>
      <c r="N122" s="22">
        <f>+K122+L122-M122</f>
        <v>16.0</v>
      </c>
      <c r="O122" s="22">
        <f>+N122</f>
        <v>16.0</v>
      </c>
      <c r="P122" s="22">
        <f>+N122-O122</f>
        <v>0.0</v>
      </c>
      <c r="Q122" s="57"/>
      <c r="R122" s="58"/>
    </row>
    <row r="123" spans="8:8" ht="15.0" customHeight="1">
      <c r="B123" s="54">
        <v>114.0</v>
      </c>
      <c r="C123" s="8" t="s">
        <v>8351</v>
      </c>
      <c r="D123" s="8" t="s">
        <v>820</v>
      </c>
      <c r="E123" s="8" t="s">
        <v>1230</v>
      </c>
      <c r="F123" s="8" t="s">
        <v>68</v>
      </c>
      <c r="G123" s="8" t="s">
        <v>1859</v>
      </c>
      <c r="H123" s="8" t="s">
        <v>2650</v>
      </c>
      <c r="I123" s="55" t="s">
        <v>2908</v>
      </c>
      <c r="J123" s="78" t="s">
        <v>4038</v>
      </c>
      <c r="K123" s="22">
        <v>1.0</v>
      </c>
      <c r="L123" s="22">
        <f>+SUMIF('حركه المخزن الرئيسي اليوميه'!$F:$F,$H:$H,'حركه المخزن الرئيسي اليوميه'!$H:$H)</f>
        <v>0.0</v>
      </c>
      <c r="M123" s="22">
        <f>+SUMIF('حركه المخزن الرئيسي اليوميه'!$F:$F,$H:$H,'حركه المخزن الرئيسي اليوميه'!$I:$I)</f>
        <v>1.0</v>
      </c>
      <c r="N123" s="22">
        <f>+K123+L123-M123</f>
        <v>0.0</v>
      </c>
      <c r="O123" s="22">
        <f>+N123</f>
        <v>0.0</v>
      </c>
      <c r="P123" s="22">
        <f>+N123-O123</f>
        <v>0.0</v>
      </c>
      <c r="Q123" s="57"/>
      <c r="R123" s="58"/>
    </row>
    <row r="124" spans="8:8" ht="15.0" customHeight="1">
      <c r="B124" s="54">
        <v>115.0</v>
      </c>
      <c r="C124" s="8" t="s">
        <v>8351</v>
      </c>
      <c r="D124" s="8" t="s">
        <v>820</v>
      </c>
      <c r="E124" s="8" t="s">
        <v>1230</v>
      </c>
      <c r="F124" s="8" t="s">
        <v>68</v>
      </c>
      <c r="G124" s="8" t="s">
        <v>1859</v>
      </c>
      <c r="H124" s="8" t="s">
        <v>2649</v>
      </c>
      <c r="I124" s="55" t="s">
        <v>8102</v>
      </c>
      <c r="J124" s="78" t="s">
        <v>4039</v>
      </c>
      <c r="K124" s="22">
        <v>6.0</v>
      </c>
      <c r="L124" s="22">
        <f>+SUMIF('حركه المخزن الرئيسي اليوميه'!$F:$F,$H:$H,'حركه المخزن الرئيسي اليوميه'!$H:$H)</f>
        <v>0.0</v>
      </c>
      <c r="M124" s="22">
        <f>+SUMIF('حركه المخزن الرئيسي اليوميه'!$F:$F,$H:$H,'حركه المخزن الرئيسي اليوميه'!$I:$I)</f>
        <v>0.0</v>
      </c>
      <c r="N124" s="22">
        <f>+K124+L124-M124</f>
        <v>6.0</v>
      </c>
      <c r="O124" s="22">
        <f>+N124</f>
        <v>6.0</v>
      </c>
      <c r="P124" s="22">
        <f>+N124-O124</f>
        <v>0.0</v>
      </c>
      <c r="Q124" s="57"/>
      <c r="R124" s="58"/>
    </row>
    <row r="125" spans="8:8" ht="15.0" customHeight="1">
      <c r="B125" s="54">
        <v>116.0</v>
      </c>
      <c r="C125" s="8" t="s">
        <v>8351</v>
      </c>
      <c r="D125" s="8" t="s">
        <v>820</v>
      </c>
      <c r="E125" s="8" t="s">
        <v>1488</v>
      </c>
      <c r="F125" s="8" t="s">
        <v>68</v>
      </c>
      <c r="G125" s="8" t="s">
        <v>2144</v>
      </c>
      <c r="H125" s="8" t="s">
        <v>2642</v>
      </c>
      <c r="I125" s="55" t="s">
        <v>236</v>
      </c>
      <c r="J125" s="78" t="s">
        <v>4040</v>
      </c>
      <c r="K125" s="22">
        <v>2.0</v>
      </c>
      <c r="L125" s="22">
        <f>+SUMIF('حركه المخزن الرئيسي اليوميه'!$F:$F,$H:$H,'حركه المخزن الرئيسي اليوميه'!$H:$H)</f>
        <v>0.0</v>
      </c>
      <c r="M125" s="22">
        <f>+SUMIF('حركه المخزن الرئيسي اليوميه'!$F:$F,$H:$H,'حركه المخزن الرئيسي اليوميه'!$I:$I)</f>
        <v>0.0</v>
      </c>
      <c r="N125" s="22">
        <f>+K125+L125-M125</f>
        <v>2.0</v>
      </c>
      <c r="O125" s="22">
        <f>+N125</f>
        <v>2.0</v>
      </c>
      <c r="P125" s="22">
        <f>+N125-O125</f>
        <v>0.0</v>
      </c>
      <c r="Q125" s="57"/>
      <c r="R125" s="58"/>
    </row>
    <row r="126" spans="8:8" ht="15.0" customHeight="1">
      <c r="B126" s="54">
        <v>117.0</v>
      </c>
      <c r="C126" s="8" t="s">
        <v>8351</v>
      </c>
      <c r="D126" s="8" t="s">
        <v>1013</v>
      </c>
      <c r="E126" s="8" t="s">
        <v>1955</v>
      </c>
      <c r="F126" s="8" t="s">
        <v>92</v>
      </c>
      <c r="G126" s="8" t="s">
        <v>1909</v>
      </c>
      <c r="H126" s="8" t="s">
        <v>2671</v>
      </c>
      <c r="I126" s="55" t="s">
        <v>236</v>
      </c>
      <c r="J126" s="78" t="s">
        <v>4041</v>
      </c>
      <c r="K126" s="22">
        <v>5.0</v>
      </c>
      <c r="L126" s="22">
        <f>+SUMIF('حركه المخزن الرئيسي اليوميه'!$F:$F,$H:$H,'حركه المخزن الرئيسي اليوميه'!$H:$H)</f>
        <v>0.0</v>
      </c>
      <c r="M126" s="22">
        <f>+SUMIF('حركه المخزن الرئيسي اليوميه'!$F:$F,$H:$H,'حركه المخزن الرئيسي اليوميه'!$I:$I)</f>
        <v>0.0</v>
      </c>
      <c r="N126" s="22">
        <f>+K126+L126-M126</f>
        <v>5.0</v>
      </c>
      <c r="O126" s="22">
        <f>+N126</f>
        <v>5.0</v>
      </c>
      <c r="P126" s="22">
        <f>+N126-O126</f>
        <v>0.0</v>
      </c>
      <c r="Q126" s="57"/>
      <c r="R126" s="58"/>
    </row>
    <row r="127" spans="8:8" ht="15.0" customHeight="1">
      <c r="B127" s="54">
        <v>118.0</v>
      </c>
      <c r="C127" s="8" t="s">
        <v>8351</v>
      </c>
      <c r="D127" s="8" t="s">
        <v>1013</v>
      </c>
      <c r="E127" s="8" t="s">
        <v>23</v>
      </c>
      <c r="F127" s="8" t="s">
        <v>68</v>
      </c>
      <c r="G127" s="8" t="s">
        <v>2047</v>
      </c>
      <c r="H127" s="8">
        <v>6026.0</v>
      </c>
      <c r="I127" s="55" t="s">
        <v>236</v>
      </c>
      <c r="J127" s="78" t="s">
        <v>4042</v>
      </c>
      <c r="K127" s="22">
        <v>2.0</v>
      </c>
      <c r="L127" s="22">
        <f>+SUMIF('حركه المخزن الرئيسي اليوميه'!$F:$F,$H:$H,'حركه المخزن الرئيسي اليوميه'!$H:$H)</f>
        <v>0.0</v>
      </c>
      <c r="M127" s="22">
        <f>+SUMIF('حركه المخزن الرئيسي اليوميه'!$F:$F,$H:$H,'حركه المخزن الرئيسي اليوميه'!$I:$I)</f>
        <v>0.0</v>
      </c>
      <c r="N127" s="22">
        <f>+K127+L127-M127</f>
        <v>2.0</v>
      </c>
      <c r="O127" s="22">
        <f>+N127</f>
        <v>2.0</v>
      </c>
      <c r="P127" s="22">
        <f>+N127-O127</f>
        <v>0.0</v>
      </c>
      <c r="Q127" s="57"/>
      <c r="R127" s="58"/>
    </row>
    <row r="128" spans="8:8" ht="15.0" customHeight="1">
      <c r="B128" s="54">
        <v>119.0</v>
      </c>
      <c r="C128" s="8" t="s">
        <v>8351</v>
      </c>
      <c r="D128" s="8" t="s">
        <v>1013</v>
      </c>
      <c r="E128" s="8" t="s">
        <v>23</v>
      </c>
      <c r="F128" s="8" t="s">
        <v>68</v>
      </c>
      <c r="G128" s="8" t="s">
        <v>2047</v>
      </c>
      <c r="H128" s="8">
        <v>51128.0</v>
      </c>
      <c r="I128" s="55" t="s">
        <v>204</v>
      </c>
      <c r="J128" s="78" t="s">
        <v>4043</v>
      </c>
      <c r="K128" s="22">
        <v>1.0</v>
      </c>
      <c r="L128" s="22">
        <f>+SUMIF('حركه المخزن الرئيسي اليوميه'!$F:$F,$H:$H,'حركه المخزن الرئيسي اليوميه'!$H:$H)</f>
        <v>0.0</v>
      </c>
      <c r="M128" s="22">
        <f>+SUMIF('حركه المخزن الرئيسي اليوميه'!$F:$F,$H:$H,'حركه المخزن الرئيسي اليوميه'!$I:$I)</f>
        <v>0.0</v>
      </c>
      <c r="N128" s="22">
        <f>+K128+L128-M128</f>
        <v>1.0</v>
      </c>
      <c r="O128" s="22">
        <f>+N128</f>
        <v>1.0</v>
      </c>
      <c r="P128" s="22">
        <f>+N128-O128</f>
        <v>0.0</v>
      </c>
      <c r="Q128" s="57"/>
      <c r="R128" s="58"/>
    </row>
    <row r="129" spans="8:8" ht="15.0" customHeight="1">
      <c r="B129" s="54">
        <v>120.0</v>
      </c>
      <c r="C129" s="8" t="s">
        <v>8351</v>
      </c>
      <c r="D129" s="8" t="s">
        <v>1013</v>
      </c>
      <c r="E129" s="8" t="s">
        <v>1539</v>
      </c>
      <c r="F129" s="8" t="s">
        <v>68</v>
      </c>
      <c r="G129" s="8" t="s">
        <v>2101</v>
      </c>
      <c r="H129" s="8" t="s">
        <v>1540</v>
      </c>
      <c r="I129" s="8" t="s">
        <v>236</v>
      </c>
      <c r="J129" s="78" t="s">
        <v>4044</v>
      </c>
      <c r="K129" s="22">
        <v>8.0</v>
      </c>
      <c r="L129" s="22">
        <f>+SUMIF('حركه المخزن الرئيسي اليوميه'!$F:$F,$H:$H,'حركه المخزن الرئيسي اليوميه'!$H:$H)</f>
        <v>0.0</v>
      </c>
      <c r="M129" s="22">
        <f>+SUMIF('حركه المخزن الرئيسي اليوميه'!$F:$F,$H:$H,'حركه المخزن الرئيسي اليوميه'!$I:$I)</f>
        <v>0.0</v>
      </c>
      <c r="N129" s="22">
        <f>+K129+L129-M129</f>
        <v>8.0</v>
      </c>
      <c r="O129" s="22">
        <f>+N129</f>
        <v>8.0</v>
      </c>
      <c r="P129" s="22">
        <f>+N129-O129</f>
        <v>0.0</v>
      </c>
      <c r="Q129" s="57"/>
      <c r="R129" s="58"/>
    </row>
    <row r="130" spans="8:8" ht="15.0" customHeight="1">
      <c r="B130" s="54">
        <v>121.0</v>
      </c>
      <c r="C130" s="8" t="s">
        <v>8351</v>
      </c>
      <c r="D130" s="8" t="s">
        <v>1013</v>
      </c>
      <c r="E130" s="8" t="s">
        <v>237</v>
      </c>
      <c r="F130" s="8" t="s">
        <v>68</v>
      </c>
      <c r="G130" s="8" t="s">
        <v>2100</v>
      </c>
      <c r="H130" s="8" t="s">
        <v>238</v>
      </c>
      <c r="I130" s="55" t="s">
        <v>236</v>
      </c>
      <c r="J130" s="78" t="s">
        <v>4045</v>
      </c>
      <c r="K130" s="22">
        <v>2.0</v>
      </c>
      <c r="L130" s="22">
        <f>+SUMIF('حركه المخزن الرئيسي اليوميه'!$F:$F,$H:$H,'حركه المخزن الرئيسي اليوميه'!$H:$H)</f>
        <v>0.0</v>
      </c>
      <c r="M130" s="22">
        <f>+SUMIF('حركه المخزن الرئيسي اليوميه'!$F:$F,$H:$H,'حركه المخزن الرئيسي اليوميه'!$I:$I)</f>
        <v>0.0</v>
      </c>
      <c r="N130" s="22">
        <f>+K130+L130-M130</f>
        <v>2.0</v>
      </c>
      <c r="O130" s="22">
        <f>+N130</f>
        <v>2.0</v>
      </c>
      <c r="P130" s="22">
        <f>+N130-O130</f>
        <v>0.0</v>
      </c>
      <c r="Q130" s="57"/>
      <c r="R130" s="58"/>
    </row>
    <row r="131" spans="8:8" ht="15.0" customHeight="1">
      <c r="B131" s="54">
        <v>122.0</v>
      </c>
      <c r="C131" s="8" t="s">
        <v>8351</v>
      </c>
      <c r="D131" s="8" t="s">
        <v>1013</v>
      </c>
      <c r="E131" s="8" t="s">
        <v>23</v>
      </c>
      <c r="F131" s="8" t="s">
        <v>68</v>
      </c>
      <c r="G131" s="8" t="s">
        <v>2047</v>
      </c>
      <c r="H131" s="8" t="s">
        <v>239</v>
      </c>
      <c r="I131" s="55" t="s">
        <v>236</v>
      </c>
      <c r="J131" s="78" t="s">
        <v>4046</v>
      </c>
      <c r="K131" s="22">
        <v>5.0</v>
      </c>
      <c r="L131" s="22">
        <f>+SUMIF('حركه المخزن الرئيسي اليوميه'!$F:$F,$H:$H,'حركه المخزن الرئيسي اليوميه'!$H:$H)</f>
        <v>0.0</v>
      </c>
      <c r="M131" s="22">
        <f>+SUMIF('حركه المخزن الرئيسي اليوميه'!$F:$F,$H:$H,'حركه المخزن الرئيسي اليوميه'!$I:$I)</f>
        <v>0.0</v>
      </c>
      <c r="N131" s="22">
        <f>+K131+L131-M131</f>
        <v>5.0</v>
      </c>
      <c r="O131" s="22">
        <f>+N131</f>
        <v>5.0</v>
      </c>
      <c r="P131" s="22">
        <f>+N131-O131</f>
        <v>0.0</v>
      </c>
      <c r="Q131" s="57"/>
      <c r="R131" s="58"/>
    </row>
    <row r="132" spans="8:8" ht="15.0" customHeight="1">
      <c r="B132" s="54">
        <v>123.0</v>
      </c>
      <c r="C132" s="8" t="s">
        <v>8351</v>
      </c>
      <c r="D132" s="8" t="s">
        <v>1013</v>
      </c>
      <c r="E132" s="8" t="s">
        <v>1574</v>
      </c>
      <c r="F132" s="8" t="s">
        <v>1501</v>
      </c>
      <c r="G132" s="8" t="s">
        <v>2047</v>
      </c>
      <c r="H132" s="8" t="s">
        <v>3277</v>
      </c>
      <c r="I132" s="55" t="s">
        <v>206</v>
      </c>
      <c r="J132" s="78" t="s">
        <v>4047</v>
      </c>
      <c r="K132" s="22">
        <v>20.0</v>
      </c>
      <c r="L132" s="22">
        <f>+SUMIF('حركه المخزن الرئيسي اليوميه'!$F:$F,$H:$H,'حركه المخزن الرئيسي اليوميه'!$H:$H)</f>
        <v>0.0</v>
      </c>
      <c r="M132" s="22">
        <f>+SUMIF('حركه المخزن الرئيسي اليوميه'!$F:$F,$H:$H,'حركه المخزن الرئيسي اليوميه'!$I:$I)</f>
        <v>0.0</v>
      </c>
      <c r="N132" s="22">
        <f>+K132+L132-M132</f>
        <v>20.0</v>
      </c>
      <c r="O132" s="22">
        <f>+N132</f>
        <v>20.0</v>
      </c>
      <c r="P132" s="22">
        <f>+N132-O132</f>
        <v>0.0</v>
      </c>
      <c r="Q132" s="57"/>
      <c r="R132" s="58"/>
    </row>
    <row r="133" spans="8:8" ht="15.0" customHeight="1">
      <c r="B133" s="54">
        <v>124.0</v>
      </c>
      <c r="C133" s="8" t="s">
        <v>8351</v>
      </c>
      <c r="D133" s="8" t="s">
        <v>765</v>
      </c>
      <c r="E133" s="8" t="s">
        <v>1939</v>
      </c>
      <c r="F133" s="8" t="s">
        <v>1501</v>
      </c>
      <c r="G133" s="8" t="s">
        <v>2047</v>
      </c>
      <c r="H133" s="8" t="s">
        <v>2902</v>
      </c>
      <c r="I133" s="55" t="s">
        <v>236</v>
      </c>
      <c r="J133" s="78" t="s">
        <v>4048</v>
      </c>
      <c r="K133" s="22">
        <v>5.0</v>
      </c>
      <c r="L133" s="22">
        <f>+SUMIF('حركه المخزن الرئيسي اليوميه'!$F:$F,$H:$H,'حركه المخزن الرئيسي اليوميه'!$H:$H)</f>
        <v>0.0</v>
      </c>
      <c r="M133" s="22">
        <f>+SUMIF('حركه المخزن الرئيسي اليوميه'!$F:$F,$H:$H,'حركه المخزن الرئيسي اليوميه'!$I:$I)</f>
        <v>0.0</v>
      </c>
      <c r="N133" s="22">
        <f>+K133+L133-M133</f>
        <v>5.0</v>
      </c>
      <c r="O133" s="22">
        <f>+N133</f>
        <v>5.0</v>
      </c>
      <c r="P133" s="22">
        <f>+N133-O133</f>
        <v>0.0</v>
      </c>
      <c r="Q133" s="57"/>
      <c r="R133" s="58"/>
    </row>
    <row r="134" spans="8:8" ht="15.0" customHeight="1">
      <c r="B134" s="54">
        <v>125.0</v>
      </c>
      <c r="C134" s="8" t="s">
        <v>8351</v>
      </c>
      <c r="D134" s="8" t="s">
        <v>1013</v>
      </c>
      <c r="E134" s="8" t="s">
        <v>23</v>
      </c>
      <c r="F134" s="8" t="s">
        <v>68</v>
      </c>
      <c r="G134" s="8" t="s">
        <v>2047</v>
      </c>
      <c r="H134" s="8" t="s">
        <v>1239</v>
      </c>
      <c r="I134" s="55" t="s">
        <v>236</v>
      </c>
      <c r="J134" s="78" t="s">
        <v>4049</v>
      </c>
      <c r="K134" s="22">
        <v>18.0</v>
      </c>
      <c r="L134" s="22">
        <f>+SUMIF('حركه المخزن الرئيسي اليوميه'!$F:$F,$H:$H,'حركه المخزن الرئيسي اليوميه'!$H:$H)</f>
        <v>0.0</v>
      </c>
      <c r="M134" s="22">
        <f>+SUMIF('حركه المخزن الرئيسي اليوميه'!$F:$F,$H:$H,'حركه المخزن الرئيسي اليوميه'!$I:$I)</f>
        <v>0.0</v>
      </c>
      <c r="N134" s="22">
        <f>+K134+L134-M134</f>
        <v>18.0</v>
      </c>
      <c r="O134" s="22">
        <f>+N134</f>
        <v>18.0</v>
      </c>
      <c r="P134" s="22">
        <f>+N134-O134</f>
        <v>0.0</v>
      </c>
      <c r="Q134" s="57"/>
      <c r="R134" s="58"/>
    </row>
    <row r="135" spans="8:8" ht="15.0" customHeight="1">
      <c r="B135" s="54">
        <v>126.0</v>
      </c>
      <c r="C135" s="8" t="s">
        <v>8351</v>
      </c>
      <c r="D135" s="8" t="s">
        <v>820</v>
      </c>
      <c r="E135" s="8" t="s">
        <v>1489</v>
      </c>
      <c r="F135" s="8" t="s">
        <v>68</v>
      </c>
      <c r="G135" s="8" t="s">
        <v>2047</v>
      </c>
      <c r="H135" s="8" t="s">
        <v>1276</v>
      </c>
      <c r="I135" s="55" t="s">
        <v>236</v>
      </c>
      <c r="J135" s="78" t="s">
        <v>4050</v>
      </c>
      <c r="K135" s="22">
        <v>0.0</v>
      </c>
      <c r="L135" s="22">
        <f>+SUMIF('حركه المخزن الرئيسي اليوميه'!$F:$F,$H:$H,'حركه المخزن الرئيسي اليوميه'!$H:$H)</f>
        <v>0.0</v>
      </c>
      <c r="M135" s="22">
        <f>+SUMIF('حركه المخزن الرئيسي اليوميه'!$F:$F,$H:$H,'حركه المخزن الرئيسي اليوميه'!$I:$I)</f>
        <v>0.0</v>
      </c>
      <c r="N135" s="22">
        <f>+K135+L135-M135</f>
        <v>0.0</v>
      </c>
      <c r="O135" s="22">
        <f>+N135</f>
        <v>0.0</v>
      </c>
      <c r="P135" s="22">
        <f>+N135-O135</f>
        <v>0.0</v>
      </c>
      <c r="Q135" s="57"/>
      <c r="R135" s="58"/>
    </row>
    <row r="136" spans="8:8" ht="15.0" customHeight="1">
      <c r="B136" s="54">
        <v>127.0</v>
      </c>
      <c r="C136" s="8" t="s">
        <v>8351</v>
      </c>
      <c r="D136" s="8" t="s">
        <v>1013</v>
      </c>
      <c r="E136" s="8" t="s">
        <v>23</v>
      </c>
      <c r="F136" s="8" t="s">
        <v>68</v>
      </c>
      <c r="G136" s="8" t="s">
        <v>2047</v>
      </c>
      <c r="H136" s="8" t="s">
        <v>2523</v>
      </c>
      <c r="I136" s="55" t="s">
        <v>236</v>
      </c>
      <c r="J136" s="78" t="s">
        <v>4051</v>
      </c>
      <c r="K136" s="22">
        <v>0.0</v>
      </c>
      <c r="L136" s="22">
        <f>+SUMIF('حركه المخزن الرئيسي اليوميه'!$F:$F,$H:$H,'حركه المخزن الرئيسي اليوميه'!$H:$H)</f>
        <v>0.0</v>
      </c>
      <c r="M136" s="22">
        <f>+SUMIF('حركه المخزن الرئيسي اليوميه'!$F:$F,$H:$H,'حركه المخزن الرئيسي اليوميه'!$I:$I)</f>
        <v>0.0</v>
      </c>
      <c r="N136" s="22">
        <f>+K136+L136-M136</f>
        <v>0.0</v>
      </c>
      <c r="O136" s="22">
        <f>+N136</f>
        <v>0.0</v>
      </c>
      <c r="P136" s="22">
        <f>+N136-O136</f>
        <v>0.0</v>
      </c>
      <c r="Q136" s="57"/>
      <c r="R136" s="58"/>
    </row>
    <row r="137" spans="8:8" ht="15.0" customHeight="1">
      <c r="B137" s="54">
        <v>128.0</v>
      </c>
      <c r="C137" s="8" t="s">
        <v>8351</v>
      </c>
      <c r="D137" s="8" t="s">
        <v>1013</v>
      </c>
      <c r="E137" s="8" t="s">
        <v>1488</v>
      </c>
      <c r="F137" s="8"/>
      <c r="G137" s="8" t="s">
        <v>2309</v>
      </c>
      <c r="H137" s="8" t="s">
        <v>2517</v>
      </c>
      <c r="I137" s="55" t="s">
        <v>197</v>
      </c>
      <c r="J137" s="78" t="s">
        <v>4052</v>
      </c>
      <c r="K137" s="22">
        <v>2.0</v>
      </c>
      <c r="L137" s="22">
        <f>+SUMIF('حركه المخزن الرئيسي اليوميه'!$F:$F,$H:$H,'حركه المخزن الرئيسي اليوميه'!$H:$H)</f>
        <v>0.0</v>
      </c>
      <c r="M137" s="22">
        <f>+SUMIF('حركه المخزن الرئيسي اليوميه'!$F:$F,$H:$H,'حركه المخزن الرئيسي اليوميه'!$I:$I)</f>
        <v>0.0</v>
      </c>
      <c r="N137" s="22">
        <f>+K137+L137-M137</f>
        <v>2.0</v>
      </c>
      <c r="O137" s="22">
        <f>+N137</f>
        <v>2.0</v>
      </c>
      <c r="P137" s="22">
        <f>+N137-O137</f>
        <v>0.0</v>
      </c>
      <c r="Q137" s="57"/>
      <c r="R137" s="58"/>
    </row>
    <row r="138" spans="8:8" ht="15.0" customHeight="1">
      <c r="B138" s="54">
        <v>129.0</v>
      </c>
      <c r="C138" s="8" t="s">
        <v>8351</v>
      </c>
      <c r="D138" s="8" t="s">
        <v>1013</v>
      </c>
      <c r="E138" s="8" t="s">
        <v>23</v>
      </c>
      <c r="F138" s="8" t="s">
        <v>68</v>
      </c>
      <c r="G138" s="8" t="s">
        <v>2047</v>
      </c>
      <c r="H138" s="8">
        <v>6212.0</v>
      </c>
      <c r="I138" s="55" t="s">
        <v>204</v>
      </c>
      <c r="J138" s="78" t="s">
        <v>4053</v>
      </c>
      <c r="K138" s="22">
        <v>2.0</v>
      </c>
      <c r="L138" s="22">
        <f>+SUMIF('حركه المخزن الرئيسي اليوميه'!$F:$F,$H:$H,'حركه المخزن الرئيسي اليوميه'!$H:$H)</f>
        <v>0.0</v>
      </c>
      <c r="M138" s="22">
        <f>+SUMIF('حركه المخزن الرئيسي اليوميه'!$F:$F,$H:$H,'حركه المخزن الرئيسي اليوميه'!$I:$I)</f>
        <v>0.0</v>
      </c>
      <c r="N138" s="22">
        <f>+K138+L138-M138</f>
        <v>2.0</v>
      </c>
      <c r="O138" s="22">
        <f>+N138</f>
        <v>2.0</v>
      </c>
      <c r="P138" s="22">
        <f>+N138-O138</f>
        <v>0.0</v>
      </c>
      <c r="Q138" s="57"/>
      <c r="R138" s="58"/>
    </row>
    <row r="139" spans="8:8" ht="15.0" customHeight="1">
      <c r="B139" s="54">
        <v>130.0</v>
      </c>
      <c r="C139" s="8" t="s">
        <v>8351</v>
      </c>
      <c r="D139" s="8" t="s">
        <v>1013</v>
      </c>
      <c r="E139" s="8" t="s">
        <v>23</v>
      </c>
      <c r="F139" s="8" t="s">
        <v>68</v>
      </c>
      <c r="G139" s="8" t="s">
        <v>2047</v>
      </c>
      <c r="H139" s="8">
        <v>6319.0</v>
      </c>
      <c r="I139" s="55" t="s">
        <v>227</v>
      </c>
      <c r="J139" s="78" t="s">
        <v>4054</v>
      </c>
      <c r="K139" s="22">
        <v>31.0</v>
      </c>
      <c r="L139" s="22">
        <f>+SUMIF('حركه المخزن الرئيسي اليوميه'!$F:$F,$H:$H,'حركه المخزن الرئيسي اليوميه'!$H:$H)</f>
        <v>0.0</v>
      </c>
      <c r="M139" s="22">
        <f>+SUMIF('حركه المخزن الرئيسي اليوميه'!$F:$F,$H:$H,'حركه المخزن الرئيسي اليوميه'!$I:$I)</f>
        <v>0.0</v>
      </c>
      <c r="N139" s="22">
        <f>+K139+L139-M139</f>
        <v>31.0</v>
      </c>
      <c r="O139" s="22">
        <f>+N139</f>
        <v>31.0</v>
      </c>
      <c r="P139" s="22">
        <f>+N139-O139</f>
        <v>0.0</v>
      </c>
      <c r="Q139" s="57"/>
      <c r="R139" s="58"/>
    </row>
    <row r="140" spans="8:8" ht="15.0" customHeight="1">
      <c r="B140" s="54">
        <v>131.0</v>
      </c>
      <c r="C140" s="8" t="s">
        <v>8351</v>
      </c>
      <c r="D140" s="8" t="s">
        <v>1013</v>
      </c>
      <c r="E140" s="8" t="s">
        <v>23</v>
      </c>
      <c r="F140" s="8" t="s">
        <v>68</v>
      </c>
      <c r="G140" s="8" t="s">
        <v>2047</v>
      </c>
      <c r="H140" s="8">
        <v>30308.0</v>
      </c>
      <c r="I140" s="55" t="s">
        <v>254</v>
      </c>
      <c r="J140" s="78" t="s">
        <v>4055</v>
      </c>
      <c r="K140" s="22">
        <v>4.0</v>
      </c>
      <c r="L140" s="22">
        <f>+SUMIF('حركه المخزن الرئيسي اليوميه'!$F:$F,$H:$H,'حركه المخزن الرئيسي اليوميه'!$H:$H)</f>
        <v>0.0</v>
      </c>
      <c r="M140" s="22">
        <f>+SUMIF('حركه المخزن الرئيسي اليوميه'!$F:$F,$H:$H,'حركه المخزن الرئيسي اليوميه'!$I:$I)</f>
        <v>0.0</v>
      </c>
      <c r="N140" s="22">
        <f>+K140+L140-M140</f>
        <v>4.0</v>
      </c>
      <c r="O140" s="22">
        <f>+N140</f>
        <v>4.0</v>
      </c>
      <c r="P140" s="22">
        <f>+N140-O140</f>
        <v>0.0</v>
      </c>
      <c r="Q140" s="57"/>
      <c r="R140" s="58"/>
    </row>
    <row r="141" spans="8:8" ht="15.0" customHeight="1">
      <c r="B141" s="54">
        <v>132.0</v>
      </c>
      <c r="C141" s="8" t="s">
        <v>8351</v>
      </c>
      <c r="D141" s="8" t="s">
        <v>1013</v>
      </c>
      <c r="E141" s="8" t="s">
        <v>23</v>
      </c>
      <c r="F141" s="8" t="s">
        <v>68</v>
      </c>
      <c r="G141" s="8" t="s">
        <v>2047</v>
      </c>
      <c r="H141" s="8">
        <v>32206.0</v>
      </c>
      <c r="I141" s="55" t="s">
        <v>197</v>
      </c>
      <c r="J141" s="78" t="s">
        <v>4056</v>
      </c>
      <c r="K141" s="22">
        <v>12.0</v>
      </c>
      <c r="L141" s="22">
        <f>+SUMIF('حركه المخزن الرئيسي اليوميه'!$F:$F,$H:$H,'حركه المخزن الرئيسي اليوميه'!$H:$H)</f>
        <v>0.0</v>
      </c>
      <c r="M141" s="22">
        <f>+SUMIF('حركه المخزن الرئيسي اليوميه'!$F:$F,$H:$H,'حركه المخزن الرئيسي اليوميه'!$I:$I)</f>
        <v>0.0</v>
      </c>
      <c r="N141" s="22">
        <f>+K141+L141-M141</f>
        <v>12.0</v>
      </c>
      <c r="O141" s="22">
        <f>+N141</f>
        <v>12.0</v>
      </c>
      <c r="P141" s="22">
        <f>+N141-O141</f>
        <v>0.0</v>
      </c>
      <c r="Q141" s="57"/>
      <c r="R141" s="58"/>
    </row>
    <row r="142" spans="8:8" ht="15.0" customHeight="1">
      <c r="B142" s="54">
        <v>133.0</v>
      </c>
      <c r="C142" s="8" t="s">
        <v>8351</v>
      </c>
      <c r="D142" s="8" t="s">
        <v>568</v>
      </c>
      <c r="E142" s="8" t="s">
        <v>207</v>
      </c>
      <c r="F142" s="8" t="s">
        <v>68</v>
      </c>
      <c r="G142" s="8" t="s">
        <v>1858</v>
      </c>
      <c r="H142" s="8" t="s">
        <v>2920</v>
      </c>
      <c r="I142" s="55" t="s">
        <v>3278</v>
      </c>
      <c r="J142" s="78" t="s">
        <v>4057</v>
      </c>
      <c r="K142" s="22">
        <v>5.0</v>
      </c>
      <c r="L142" s="22">
        <f>+SUMIF('حركه المخزن الرئيسي اليوميه'!$F:$F,$H:$H,'حركه المخزن الرئيسي اليوميه'!$H:$H)</f>
        <v>0.0</v>
      </c>
      <c r="M142" s="22">
        <f>+SUMIF('حركه المخزن الرئيسي اليوميه'!$F:$F,$H:$H,'حركه المخزن الرئيسي اليوميه'!$I:$I)</f>
        <v>0.0</v>
      </c>
      <c r="N142" s="22">
        <f>+K142+L142-M142</f>
        <v>5.0</v>
      </c>
      <c r="O142" s="22">
        <f>+N142</f>
        <v>5.0</v>
      </c>
      <c r="P142" s="22">
        <f>+N142-O142</f>
        <v>0.0</v>
      </c>
      <c r="Q142" s="57"/>
      <c r="R142" s="58"/>
    </row>
    <row r="143" spans="8:8" ht="15.0" customHeight="1">
      <c r="B143" s="54">
        <v>134.0</v>
      </c>
      <c r="C143" s="8" t="s">
        <v>8351</v>
      </c>
      <c r="D143" s="8" t="s">
        <v>1013</v>
      </c>
      <c r="E143" s="8" t="s">
        <v>23</v>
      </c>
      <c r="F143" s="8" t="s">
        <v>68</v>
      </c>
      <c r="G143" s="8" t="s">
        <v>2047</v>
      </c>
      <c r="H143" s="8" t="s">
        <v>2531</v>
      </c>
      <c r="I143" s="55" t="s">
        <v>227</v>
      </c>
      <c r="J143" s="78" t="s">
        <v>4058</v>
      </c>
      <c r="K143" s="22">
        <v>1.0</v>
      </c>
      <c r="L143" s="22">
        <f>+SUMIF('حركه المخزن الرئيسي اليوميه'!$F:$F,$H:$H,'حركه المخزن الرئيسي اليوميه'!$H:$H)</f>
        <v>0.0</v>
      </c>
      <c r="M143" s="22">
        <f>+SUMIF('حركه المخزن الرئيسي اليوميه'!$F:$F,$H:$H,'حركه المخزن الرئيسي اليوميه'!$I:$I)</f>
        <v>0.0</v>
      </c>
      <c r="N143" s="22">
        <f>+K143+L143-M143</f>
        <v>1.0</v>
      </c>
      <c r="O143" s="22">
        <f>+N143</f>
        <v>1.0</v>
      </c>
      <c r="P143" s="22">
        <f>+N143-O143</f>
        <v>0.0</v>
      </c>
      <c r="Q143" s="57"/>
      <c r="R143" s="58"/>
    </row>
    <row r="144" spans="8:8" ht="15.0" customHeight="1">
      <c r="B144" s="54">
        <v>135.0</v>
      </c>
      <c r="C144" s="8" t="s">
        <v>8351</v>
      </c>
      <c r="D144" s="8" t="s">
        <v>820</v>
      </c>
      <c r="E144" s="8" t="s">
        <v>1488</v>
      </c>
      <c r="F144" s="8" t="s">
        <v>68</v>
      </c>
      <c r="G144" s="8" t="s">
        <v>2047</v>
      </c>
      <c r="H144" s="8" t="s">
        <v>2516</v>
      </c>
      <c r="I144" s="55" t="s">
        <v>197</v>
      </c>
      <c r="J144" s="78" t="s">
        <v>4059</v>
      </c>
      <c r="K144" s="22">
        <v>5.0</v>
      </c>
      <c r="L144" s="22">
        <f>+SUMIF('حركه المخزن الرئيسي اليوميه'!$F:$F,$H:$H,'حركه المخزن الرئيسي اليوميه'!$H:$H)</f>
        <v>0.0</v>
      </c>
      <c r="M144" s="22">
        <f>+SUMIF('حركه المخزن الرئيسي اليوميه'!$F:$F,$H:$H,'حركه المخزن الرئيسي اليوميه'!$I:$I)</f>
        <v>0.0</v>
      </c>
      <c r="N144" s="22">
        <f>+K144+L144-M144</f>
        <v>5.0</v>
      </c>
      <c r="O144" s="22">
        <f>+N144</f>
        <v>5.0</v>
      </c>
      <c r="P144" s="22">
        <f>+N144-O144</f>
        <v>0.0</v>
      </c>
      <c r="Q144" s="57"/>
      <c r="R144" s="58"/>
    </row>
    <row r="145" spans="8:8" ht="15.0" customHeight="1">
      <c r="B145" s="54">
        <v>136.0</v>
      </c>
      <c r="C145" s="8" t="s">
        <v>8351</v>
      </c>
      <c r="D145" s="8" t="s">
        <v>820</v>
      </c>
      <c r="E145" s="8" t="s">
        <v>1488</v>
      </c>
      <c r="F145" s="8" t="s">
        <v>68</v>
      </c>
      <c r="G145" s="8" t="s">
        <v>2432</v>
      </c>
      <c r="H145" s="8" t="s">
        <v>2645</v>
      </c>
      <c r="I145" s="55" t="s">
        <v>197</v>
      </c>
      <c r="J145" s="78" t="s">
        <v>4060</v>
      </c>
      <c r="K145" s="22">
        <v>2.0</v>
      </c>
      <c r="L145" s="22">
        <f>+SUMIF('حركه المخزن الرئيسي اليوميه'!$F:$F,$H:$H,'حركه المخزن الرئيسي اليوميه'!$H:$H)</f>
        <v>0.0</v>
      </c>
      <c r="M145" s="22">
        <f>+SUMIF('حركه المخزن الرئيسي اليوميه'!$F:$F,$H:$H,'حركه المخزن الرئيسي اليوميه'!$I:$I)</f>
        <v>0.0</v>
      </c>
      <c r="N145" s="22">
        <f>+K145+L145-M145</f>
        <v>2.0</v>
      </c>
      <c r="O145" s="22">
        <f>+N145</f>
        <v>2.0</v>
      </c>
      <c r="P145" s="22">
        <f>+N145-O145</f>
        <v>0.0</v>
      </c>
      <c r="Q145" s="57"/>
      <c r="R145" s="58"/>
    </row>
    <row r="146" spans="8:8" ht="15.0" customHeight="1">
      <c r="B146" s="54">
        <v>137.0</v>
      </c>
      <c r="C146" s="8" t="s">
        <v>8351</v>
      </c>
      <c r="D146" s="8" t="s">
        <v>1013</v>
      </c>
      <c r="E146" s="8" t="s">
        <v>1484</v>
      </c>
      <c r="F146" s="8" t="s">
        <v>68</v>
      </c>
      <c r="G146" s="61" t="s">
        <v>2281</v>
      </c>
      <c r="H146" s="8" t="s">
        <v>1484</v>
      </c>
      <c r="I146" s="55" t="s">
        <v>3204</v>
      </c>
      <c r="J146" s="78" t="s">
        <v>4061</v>
      </c>
      <c r="K146" s="22">
        <v>0.0</v>
      </c>
      <c r="L146" s="22">
        <f>+SUMIF('حركه المخزن الرئيسي اليوميه'!$F:$F,$H:$H,'حركه المخزن الرئيسي اليوميه'!$H:$H)</f>
        <v>0.0</v>
      </c>
      <c r="M146" s="22">
        <f>+SUMIF('حركه المخزن الرئيسي اليوميه'!$F:$F,$H:$H,'حركه المخزن الرئيسي اليوميه'!$I:$I)</f>
        <v>0.0</v>
      </c>
      <c r="N146" s="22">
        <f>+K146+L146-M146</f>
        <v>0.0</v>
      </c>
      <c r="O146" s="22">
        <f>+N146</f>
        <v>0.0</v>
      </c>
      <c r="P146" s="22">
        <f>+N146-O146</f>
        <v>0.0</v>
      </c>
      <c r="Q146" s="57"/>
      <c r="R146" s="58"/>
    </row>
    <row r="147" spans="8:8" ht="15.0" customHeight="1">
      <c r="B147" s="54">
        <v>138.0</v>
      </c>
      <c r="C147" s="8" t="s">
        <v>8351</v>
      </c>
      <c r="D147" s="8" t="s">
        <v>1013</v>
      </c>
      <c r="E147" s="8" t="s">
        <v>23</v>
      </c>
      <c r="F147" s="8" t="s">
        <v>68</v>
      </c>
      <c r="G147" s="8" t="s">
        <v>2047</v>
      </c>
      <c r="H147" s="8">
        <v>31311.0</v>
      </c>
      <c r="I147" s="8" t="s">
        <v>254</v>
      </c>
      <c r="J147" s="78" t="s">
        <v>4062</v>
      </c>
      <c r="K147" s="22">
        <v>3.0</v>
      </c>
      <c r="L147" s="22">
        <f>+SUMIF('حركه المخزن الرئيسي اليوميه'!$F:$F,$H:$H,'حركه المخزن الرئيسي اليوميه'!$H:$H)</f>
        <v>0.0</v>
      </c>
      <c r="M147" s="22">
        <f>+SUMIF('حركه المخزن الرئيسي اليوميه'!$F:$F,$H:$H,'حركه المخزن الرئيسي اليوميه'!$I:$I)</f>
        <v>0.0</v>
      </c>
      <c r="N147" s="22">
        <f>+K147+L147-M147</f>
        <v>3.0</v>
      </c>
      <c r="O147" s="22">
        <f>+N147</f>
        <v>3.0</v>
      </c>
      <c r="P147" s="22">
        <f>+N147-O147</f>
        <v>0.0</v>
      </c>
      <c r="Q147" s="57"/>
      <c r="R147" s="58"/>
    </row>
    <row r="148" spans="8:8" ht="15.0" customHeight="1">
      <c r="B148" s="54">
        <v>139.0</v>
      </c>
      <c r="C148" s="8" t="s">
        <v>8351</v>
      </c>
      <c r="D148" s="8" t="s">
        <v>820</v>
      </c>
      <c r="E148" s="8" t="s">
        <v>1488</v>
      </c>
      <c r="F148" s="8" t="s">
        <v>68</v>
      </c>
      <c r="G148" s="8" t="s">
        <v>2431</v>
      </c>
      <c r="H148" s="8" t="s">
        <v>2644</v>
      </c>
      <c r="I148" s="55" t="s">
        <v>227</v>
      </c>
      <c r="J148" s="78" t="s">
        <v>4063</v>
      </c>
      <c r="K148" s="22">
        <v>4.0</v>
      </c>
      <c r="L148" s="22">
        <f>+SUMIF('حركه المخزن الرئيسي اليوميه'!$F:$F,$H:$H,'حركه المخزن الرئيسي اليوميه'!$H:$H)</f>
        <v>0.0</v>
      </c>
      <c r="M148" s="22">
        <f>+SUMIF('حركه المخزن الرئيسي اليوميه'!$F:$F,$H:$H,'حركه المخزن الرئيسي اليوميه'!$I:$I)</f>
        <v>0.0</v>
      </c>
      <c r="N148" s="22">
        <f>+K148+L148-M148</f>
        <v>4.0</v>
      </c>
      <c r="O148" s="22">
        <f>+N148</f>
        <v>4.0</v>
      </c>
      <c r="P148" s="22">
        <f>+N148-O148</f>
        <v>0.0</v>
      </c>
      <c r="Q148" s="57"/>
      <c r="R148" s="58"/>
    </row>
    <row r="149" spans="8:8" ht="15.0" customHeight="1">
      <c r="B149" s="54">
        <v>140.0</v>
      </c>
      <c r="C149" s="8" t="s">
        <v>8351</v>
      </c>
      <c r="D149" s="8" t="s">
        <v>820</v>
      </c>
      <c r="E149" s="8" t="s">
        <v>1488</v>
      </c>
      <c r="F149" s="8" t="s">
        <v>68</v>
      </c>
      <c r="G149" s="8" t="s">
        <v>2429</v>
      </c>
      <c r="H149" s="8" t="s">
        <v>2643</v>
      </c>
      <c r="I149" s="55" t="s">
        <v>204</v>
      </c>
      <c r="J149" s="78" t="s">
        <v>4064</v>
      </c>
      <c r="K149" s="22">
        <v>4.0</v>
      </c>
      <c r="L149" s="22">
        <f>+SUMIF('حركه المخزن الرئيسي اليوميه'!$F:$F,$H:$H,'حركه المخزن الرئيسي اليوميه'!$H:$H)</f>
        <v>0.0</v>
      </c>
      <c r="M149" s="22">
        <f>+SUMIF('حركه المخزن الرئيسي اليوميه'!$F:$F,$H:$H,'حركه المخزن الرئيسي اليوميه'!$I:$I)</f>
        <v>0.0</v>
      </c>
      <c r="N149" s="22">
        <f>+K149+L149-M149</f>
        <v>4.0</v>
      </c>
      <c r="O149" s="22">
        <f>+N149</f>
        <v>4.0</v>
      </c>
      <c r="P149" s="22">
        <f>+N149-O149</f>
        <v>0.0</v>
      </c>
      <c r="Q149" s="57"/>
      <c r="R149" s="58"/>
    </row>
    <row r="150" spans="8:8" ht="15.0" customHeight="1">
      <c r="B150" s="54">
        <v>141.0</v>
      </c>
      <c r="C150" s="8" t="s">
        <v>8351</v>
      </c>
      <c r="D150" s="8" t="s">
        <v>1013</v>
      </c>
      <c r="E150" s="8" t="s">
        <v>23</v>
      </c>
      <c r="F150" s="8" t="s">
        <v>68</v>
      </c>
      <c r="G150" s="8" t="s">
        <v>2047</v>
      </c>
      <c r="H150" s="8" t="s">
        <v>243</v>
      </c>
      <c r="I150" s="55" t="s">
        <v>254</v>
      </c>
      <c r="J150" s="78" t="s">
        <v>4065</v>
      </c>
      <c r="K150" s="22">
        <v>0.0</v>
      </c>
      <c r="L150" s="22">
        <f>+SUMIF('حركه المخزن الرئيسي اليوميه'!$F:$F,$H:$H,'حركه المخزن الرئيسي اليوميه'!$H:$H)</f>
        <v>0.0</v>
      </c>
      <c r="M150" s="22">
        <f>+SUMIF('حركه المخزن الرئيسي اليوميه'!$F:$F,$H:$H,'حركه المخزن الرئيسي اليوميه'!$I:$I)</f>
        <v>0.0</v>
      </c>
      <c r="N150" s="22">
        <f>+K150+L150-M150</f>
        <v>0.0</v>
      </c>
      <c r="O150" s="22">
        <f>+N150</f>
        <v>0.0</v>
      </c>
      <c r="P150" s="22">
        <f>+N150-O150</f>
        <v>0.0</v>
      </c>
      <c r="Q150" s="57"/>
      <c r="R150" s="58"/>
    </row>
    <row r="151" spans="8:8" ht="15.0" customHeight="1">
      <c r="B151" s="54">
        <v>142.0</v>
      </c>
      <c r="C151" s="8" t="s">
        <v>8351</v>
      </c>
      <c r="D151" s="8" t="s">
        <v>1013</v>
      </c>
      <c r="E151" s="8" t="s">
        <v>23</v>
      </c>
      <c r="F151" s="8" t="s">
        <v>68</v>
      </c>
      <c r="G151" s="8" t="s">
        <v>2047</v>
      </c>
      <c r="H151" s="8" t="s">
        <v>242</v>
      </c>
      <c r="I151" s="55" t="s">
        <v>227</v>
      </c>
      <c r="J151" s="78" t="s">
        <v>4066</v>
      </c>
      <c r="K151" s="22">
        <v>0.0</v>
      </c>
      <c r="L151" s="22">
        <f>+SUMIF('حركه المخزن الرئيسي اليوميه'!$F:$F,$H:$H,'حركه المخزن الرئيسي اليوميه'!$H:$H)</f>
        <v>0.0</v>
      </c>
      <c r="M151" s="22">
        <f>+SUMIF('حركه المخزن الرئيسي اليوميه'!$F:$F,$H:$H,'حركه المخزن الرئيسي اليوميه'!$I:$I)</f>
        <v>0.0</v>
      </c>
      <c r="N151" s="22">
        <f>+K151+L151-M151</f>
        <v>0.0</v>
      </c>
      <c r="O151" s="22">
        <f>+N151</f>
        <v>0.0</v>
      </c>
      <c r="P151" s="22">
        <f>+N151-O151</f>
        <v>0.0</v>
      </c>
      <c r="Q151" s="57"/>
      <c r="R151" s="58"/>
    </row>
    <row r="152" spans="8:8" ht="15.0" customHeight="1">
      <c r="B152" s="54">
        <v>143.0</v>
      </c>
      <c r="C152" s="8" t="s">
        <v>8351</v>
      </c>
      <c r="D152" s="8" t="s">
        <v>1013</v>
      </c>
      <c r="E152" s="8" t="s">
        <v>23</v>
      </c>
      <c r="F152" s="8" t="s">
        <v>68</v>
      </c>
      <c r="G152" s="8" t="s">
        <v>2047</v>
      </c>
      <c r="H152" s="8" t="s">
        <v>245</v>
      </c>
      <c r="I152" s="55" t="s">
        <v>227</v>
      </c>
      <c r="J152" s="78" t="s">
        <v>4067</v>
      </c>
      <c r="K152" s="22">
        <v>0.0</v>
      </c>
      <c r="L152" s="22">
        <f>+SUMIF('حركه المخزن الرئيسي اليوميه'!$F:$F,$H:$H,'حركه المخزن الرئيسي اليوميه'!$H:$H)</f>
        <v>0.0</v>
      </c>
      <c r="M152" s="22">
        <f>+SUMIF('حركه المخزن الرئيسي اليوميه'!$F:$F,$H:$H,'حركه المخزن الرئيسي اليوميه'!$I:$I)</f>
        <v>0.0</v>
      </c>
      <c r="N152" s="22">
        <f>+K152+L152-M152</f>
        <v>0.0</v>
      </c>
      <c r="O152" s="22">
        <f>+N152</f>
        <v>0.0</v>
      </c>
      <c r="P152" s="22">
        <f>+N152-O152</f>
        <v>0.0</v>
      </c>
      <c r="Q152" s="57"/>
      <c r="R152" s="58"/>
    </row>
    <row r="153" spans="8:8" ht="15.0" customHeight="1">
      <c r="B153" s="54">
        <v>144.0</v>
      </c>
      <c r="C153" s="8" t="s">
        <v>8351</v>
      </c>
      <c r="D153" s="8" t="s">
        <v>1013</v>
      </c>
      <c r="E153" s="8" t="s">
        <v>23</v>
      </c>
      <c r="F153" s="8" t="s">
        <v>68</v>
      </c>
      <c r="G153" s="8" t="s">
        <v>2047</v>
      </c>
      <c r="H153" s="8" t="s">
        <v>240</v>
      </c>
      <c r="I153" s="55" t="s">
        <v>197</v>
      </c>
      <c r="J153" s="78" t="s">
        <v>4068</v>
      </c>
      <c r="K153" s="22">
        <v>4.0</v>
      </c>
      <c r="L153" s="22">
        <f>+SUMIF('حركه المخزن الرئيسي اليوميه'!$F:$F,$H:$H,'حركه المخزن الرئيسي اليوميه'!$H:$H)</f>
        <v>0.0</v>
      </c>
      <c r="M153" s="22">
        <f>+SUMIF('حركه المخزن الرئيسي اليوميه'!$F:$F,$H:$H,'حركه المخزن الرئيسي اليوميه'!$I:$I)</f>
        <v>0.0</v>
      </c>
      <c r="N153" s="22">
        <f>+K153+L153-M153</f>
        <v>4.0</v>
      </c>
      <c r="O153" s="22">
        <f>+N153</f>
        <v>4.0</v>
      </c>
      <c r="P153" s="22">
        <f>+N153-O153</f>
        <v>0.0</v>
      </c>
      <c r="Q153" s="57"/>
      <c r="R153" s="58"/>
    </row>
    <row r="154" spans="8:8" ht="15.0" customHeight="1">
      <c r="B154" s="54">
        <v>145.0</v>
      </c>
      <c r="C154" s="8" t="s">
        <v>8351</v>
      </c>
      <c r="D154" s="8" t="s">
        <v>1013</v>
      </c>
      <c r="E154" s="8" t="s">
        <v>23</v>
      </c>
      <c r="F154" s="8" t="s">
        <v>68</v>
      </c>
      <c r="G154" s="8" t="s">
        <v>2047</v>
      </c>
      <c r="H154" s="8" t="s">
        <v>241</v>
      </c>
      <c r="I154" s="55" t="s">
        <v>247</v>
      </c>
      <c r="J154" s="78" t="s">
        <v>4069</v>
      </c>
      <c r="K154" s="22">
        <v>42.0</v>
      </c>
      <c r="L154" s="22">
        <f>+SUMIF('حركه المخزن الرئيسي اليوميه'!$F:$F,$H:$H,'حركه المخزن الرئيسي اليوميه'!$H:$H)</f>
        <v>0.0</v>
      </c>
      <c r="M154" s="22">
        <f>+SUMIF('حركه المخزن الرئيسي اليوميه'!$F:$F,$H:$H,'حركه المخزن الرئيسي اليوميه'!$I:$I)</f>
        <v>0.0</v>
      </c>
      <c r="N154" s="22">
        <f>+K154+L154-M154</f>
        <v>42.0</v>
      </c>
      <c r="O154" s="22">
        <f>+N154</f>
        <v>42.0</v>
      </c>
      <c r="P154" s="22">
        <f>+N154-O154</f>
        <v>0.0</v>
      </c>
      <c r="Q154" s="57"/>
      <c r="R154" s="58"/>
    </row>
    <row r="155" spans="8:8" ht="15.0" customHeight="1">
      <c r="B155" s="54">
        <v>146.0</v>
      </c>
      <c r="C155" s="8" t="s">
        <v>8351</v>
      </c>
      <c r="D155" s="8" t="s">
        <v>1013</v>
      </c>
      <c r="E155" s="8" t="s">
        <v>23</v>
      </c>
      <c r="F155" s="8" t="s">
        <v>68</v>
      </c>
      <c r="G155" s="8" t="s">
        <v>2047</v>
      </c>
      <c r="H155" s="8">
        <v>32224.0</v>
      </c>
      <c r="I155" s="55" t="s">
        <v>227</v>
      </c>
      <c r="J155" s="78" t="s">
        <v>4070</v>
      </c>
      <c r="K155" s="22">
        <v>9.0</v>
      </c>
      <c r="L155" s="22">
        <f>+SUMIF('حركه المخزن الرئيسي اليوميه'!$F:$F,$H:$H,'حركه المخزن الرئيسي اليوميه'!$H:$H)</f>
        <v>0.0</v>
      </c>
      <c r="M155" s="22">
        <f>+SUMIF('حركه المخزن الرئيسي اليوميه'!$F:$F,$H:$H,'حركه المخزن الرئيسي اليوميه'!$I:$I)</f>
        <v>0.0</v>
      </c>
      <c r="N155" s="22">
        <f>+K155+L155-M155</f>
        <v>9.0</v>
      </c>
      <c r="O155" s="22">
        <f>+N155</f>
        <v>9.0</v>
      </c>
      <c r="P155" s="22">
        <f>+N155-O155</f>
        <v>0.0</v>
      </c>
      <c r="Q155" s="57"/>
      <c r="R155" s="58"/>
    </row>
    <row r="156" spans="8:8" ht="15.0" customHeight="1">
      <c r="B156" s="54">
        <v>147.0</v>
      </c>
      <c r="C156" s="8" t="s">
        <v>8351</v>
      </c>
      <c r="D156" s="8" t="s">
        <v>828</v>
      </c>
      <c r="E156" s="8" t="s">
        <v>2512</v>
      </c>
      <c r="F156" s="8" t="s">
        <v>68</v>
      </c>
      <c r="G156" s="8" t="s">
        <v>2515</v>
      </c>
      <c r="H156" s="8" t="s">
        <v>2512</v>
      </c>
      <c r="I156" s="55" t="s">
        <v>228</v>
      </c>
      <c r="J156" s="78" t="s">
        <v>4071</v>
      </c>
      <c r="K156" s="22">
        <v>0.0</v>
      </c>
      <c r="L156" s="22">
        <f>+SUMIF('حركه المخزن الرئيسي اليوميه'!$F:$F,$H:$H,'حركه المخزن الرئيسي اليوميه'!$H:$H)</f>
        <v>0.0</v>
      </c>
      <c r="M156" s="22">
        <f>+SUMIF('حركه المخزن الرئيسي اليوميه'!$F:$F,$H:$H,'حركه المخزن الرئيسي اليوميه'!$I:$I)</f>
        <v>0.0</v>
      </c>
      <c r="N156" s="22">
        <f>+K156+L156-M156</f>
        <v>0.0</v>
      </c>
      <c r="O156" s="22">
        <f>+N156</f>
        <v>0.0</v>
      </c>
      <c r="P156" s="22">
        <f>+N156-O156</f>
        <v>0.0</v>
      </c>
      <c r="Q156" s="57"/>
      <c r="R156" s="58"/>
    </row>
    <row r="157" spans="8:8" ht="15.0" customHeight="1">
      <c r="B157" s="54">
        <v>148.0</v>
      </c>
      <c r="C157" s="8" t="s">
        <v>8351</v>
      </c>
      <c r="D157" s="8" t="s">
        <v>1013</v>
      </c>
      <c r="E157" s="8" t="s">
        <v>23</v>
      </c>
      <c r="F157" s="8" t="s">
        <v>68</v>
      </c>
      <c r="G157" s="8" t="s">
        <v>2047</v>
      </c>
      <c r="H157" s="8">
        <v>7526.0</v>
      </c>
      <c r="I157" s="55" t="s">
        <v>228</v>
      </c>
      <c r="J157" s="78" t="s">
        <v>4072</v>
      </c>
      <c r="K157" s="22">
        <v>0.0</v>
      </c>
      <c r="L157" s="22">
        <f>+SUMIF('حركه المخزن الرئيسي اليوميه'!$F:$F,$H:$H,'حركه المخزن الرئيسي اليوميه'!$H:$H)</f>
        <v>0.0</v>
      </c>
      <c r="M157" s="22">
        <f>+SUMIF('حركه المخزن الرئيسي اليوميه'!$F:$F,$H:$H,'حركه المخزن الرئيسي اليوميه'!$I:$I)</f>
        <v>0.0</v>
      </c>
      <c r="N157" s="22">
        <f>+K157+L157-M157</f>
        <v>0.0</v>
      </c>
      <c r="O157" s="22">
        <f>+N157</f>
        <v>0.0</v>
      </c>
      <c r="P157" s="22">
        <f>+N157-O157</f>
        <v>0.0</v>
      </c>
      <c r="Q157" s="57"/>
      <c r="R157" s="58"/>
    </row>
    <row r="158" spans="8:8" ht="15.0" customHeight="1">
      <c r="B158" s="54">
        <v>149.0</v>
      </c>
      <c r="C158" s="8" t="s">
        <v>8351</v>
      </c>
      <c r="D158" s="8" t="s">
        <v>1013</v>
      </c>
      <c r="E158" s="8" t="s">
        <v>23</v>
      </c>
      <c r="F158" s="8" t="s">
        <v>68</v>
      </c>
      <c r="G158" s="8" t="s">
        <v>2047</v>
      </c>
      <c r="H158" s="8">
        <v>32232.0</v>
      </c>
      <c r="I158" s="55" t="s">
        <v>228</v>
      </c>
      <c r="J158" s="78" t="s">
        <v>4073</v>
      </c>
      <c r="K158" s="22">
        <v>22.0</v>
      </c>
      <c r="L158" s="22">
        <f>+SUMIF('حركه المخزن الرئيسي اليوميه'!$F:$F,$H:$H,'حركه المخزن الرئيسي اليوميه'!$H:$H)</f>
        <v>0.0</v>
      </c>
      <c r="M158" s="22">
        <f>+SUMIF('حركه المخزن الرئيسي اليوميه'!$F:$F,$H:$H,'حركه المخزن الرئيسي اليوميه'!$I:$I)</f>
        <v>0.0</v>
      </c>
      <c r="N158" s="22">
        <f>+K158+L158-M158</f>
        <v>22.0</v>
      </c>
      <c r="O158" s="22">
        <f>+N158</f>
        <v>22.0</v>
      </c>
      <c r="P158" s="22">
        <f>+N158-O158</f>
        <v>0.0</v>
      </c>
      <c r="Q158" s="57"/>
      <c r="R158" s="58"/>
    </row>
    <row r="159" spans="8:8" ht="15.0" customHeight="1">
      <c r="B159" s="54">
        <v>150.0</v>
      </c>
      <c r="C159" s="8" t="s">
        <v>8351</v>
      </c>
      <c r="D159" s="8" t="s">
        <v>1013</v>
      </c>
      <c r="E159" s="8" t="s">
        <v>23</v>
      </c>
      <c r="F159" s="8" t="s">
        <v>68</v>
      </c>
      <c r="G159" s="8" t="s">
        <v>2047</v>
      </c>
      <c r="H159" s="8" t="s">
        <v>3452</v>
      </c>
      <c r="I159" s="55" t="s">
        <v>228</v>
      </c>
      <c r="J159" s="78" t="s">
        <v>4074</v>
      </c>
      <c r="K159" s="22">
        <v>18.0</v>
      </c>
      <c r="L159" s="22">
        <f>+SUMIF('حركه المخزن الرئيسي اليوميه'!$F:$F,$H:$H,'حركه المخزن الرئيسي اليوميه'!$H:$H)</f>
        <v>0.0</v>
      </c>
      <c r="M159" s="22">
        <f>+SUMIF('حركه المخزن الرئيسي اليوميه'!$F:$F,$H:$H,'حركه المخزن الرئيسي اليوميه'!$I:$I)</f>
        <v>2.0</v>
      </c>
      <c r="N159" s="22">
        <f>+K159+L159-M159</f>
        <v>16.0</v>
      </c>
      <c r="O159" s="22">
        <f>+N159</f>
        <v>16.0</v>
      </c>
      <c r="P159" s="22">
        <f>+N159-O159</f>
        <v>0.0</v>
      </c>
      <c r="Q159" s="57"/>
      <c r="R159" s="58"/>
    </row>
    <row r="160" spans="8:8" ht="15.0" customHeight="1">
      <c r="B160" s="54">
        <v>151.0</v>
      </c>
      <c r="C160" s="8" t="s">
        <v>8351</v>
      </c>
      <c r="D160" s="8" t="s">
        <v>568</v>
      </c>
      <c r="E160" s="8" t="s">
        <v>234</v>
      </c>
      <c r="F160" s="8" t="s">
        <v>68</v>
      </c>
      <c r="G160" s="8" t="s">
        <v>2055</v>
      </c>
      <c r="H160" s="8" t="s">
        <v>235</v>
      </c>
      <c r="I160" s="55" t="s">
        <v>3203</v>
      </c>
      <c r="J160" s="78" t="s">
        <v>4075</v>
      </c>
      <c r="K160" s="22">
        <v>3.0</v>
      </c>
      <c r="L160" s="22">
        <f>+SUMIF('حركه المخزن الرئيسي اليوميه'!$F:$F,$H:$H,'حركه المخزن الرئيسي اليوميه'!$H:$H)</f>
        <v>0.0</v>
      </c>
      <c r="M160" s="22">
        <f>+SUMIF('حركه المخزن الرئيسي اليوميه'!$F:$F,$H:$H,'حركه المخزن الرئيسي اليوميه'!$I:$I)</f>
        <v>0.0</v>
      </c>
      <c r="N160" s="22">
        <f>+K160+L160-M160</f>
        <v>3.0</v>
      </c>
      <c r="O160" s="22">
        <f>+N160</f>
        <v>3.0</v>
      </c>
      <c r="P160" s="22">
        <f>+N160-O160</f>
        <v>0.0</v>
      </c>
      <c r="Q160" s="57"/>
      <c r="R160" s="58"/>
    </row>
    <row r="161" spans="8:8" ht="15.0" customHeight="1">
      <c r="B161" s="54">
        <v>152.0</v>
      </c>
      <c r="C161" s="8" t="s">
        <v>8351</v>
      </c>
      <c r="D161" s="8" t="s">
        <v>1013</v>
      </c>
      <c r="E161" s="8" t="s">
        <v>2022</v>
      </c>
      <c r="F161" s="8" t="s">
        <v>68</v>
      </c>
      <c r="G161" s="8" t="s">
        <v>1811</v>
      </c>
      <c r="H161" s="8" t="s">
        <v>2023</v>
      </c>
      <c r="I161" s="55" t="s">
        <v>3203</v>
      </c>
      <c r="J161" s="78" t="s">
        <v>4076</v>
      </c>
      <c r="K161" s="22">
        <v>2.0</v>
      </c>
      <c r="L161" s="22">
        <f>+SUMIF('حركه المخزن الرئيسي اليوميه'!$F:$F,$H:$H,'حركه المخزن الرئيسي اليوميه'!$H:$H)</f>
        <v>0.0</v>
      </c>
      <c r="M161" s="22">
        <f>+SUMIF('حركه المخزن الرئيسي اليوميه'!$F:$F,$H:$H,'حركه المخزن الرئيسي اليوميه'!$I:$I)</f>
        <v>0.0</v>
      </c>
      <c r="N161" s="22">
        <f>+K161+L161-M161</f>
        <v>2.0</v>
      </c>
      <c r="O161" s="22">
        <f>+N161</f>
        <v>2.0</v>
      </c>
      <c r="P161" s="22">
        <f>+N161-O161</f>
        <v>0.0</v>
      </c>
      <c r="Q161" s="57"/>
      <c r="R161" s="58"/>
    </row>
    <row r="162" spans="8:8" ht="15.0" customHeight="1">
      <c r="B162" s="54">
        <v>153.0</v>
      </c>
      <c r="C162" s="8" t="s">
        <v>8351</v>
      </c>
      <c r="D162" s="8" t="s">
        <v>568</v>
      </c>
      <c r="E162" s="8" t="s">
        <v>3279</v>
      </c>
      <c r="F162" s="8" t="s">
        <v>1501</v>
      </c>
      <c r="G162" s="8"/>
      <c r="H162" s="8" t="s">
        <v>3279</v>
      </c>
      <c r="I162" s="8" t="s">
        <v>3198</v>
      </c>
      <c r="J162" s="78" t="s">
        <v>4077</v>
      </c>
      <c r="K162" s="22">
        <v>10.0</v>
      </c>
      <c r="L162" s="22">
        <f>+SUMIF('حركه المخزن الرئيسي اليوميه'!$F:$F,$H:$H,'حركه المخزن الرئيسي اليوميه'!$H:$H)</f>
        <v>0.0</v>
      </c>
      <c r="M162" s="22">
        <f>+SUMIF('حركه المخزن الرئيسي اليوميه'!$F:$F,$H:$H,'حركه المخزن الرئيسي اليوميه'!$I:$I)</f>
        <v>0.0</v>
      </c>
      <c r="N162" s="22">
        <f>+K162+L162-M162</f>
        <v>10.0</v>
      </c>
      <c r="O162" s="22">
        <f>+N162</f>
        <v>10.0</v>
      </c>
      <c r="P162" s="22">
        <f>+N162-O162</f>
        <v>0.0</v>
      </c>
      <c r="Q162" s="57"/>
      <c r="R162" s="58"/>
    </row>
    <row r="163" spans="8:8" ht="15.0" customHeight="1">
      <c r="B163" s="54">
        <v>154.0</v>
      </c>
      <c r="C163" s="8" t="s">
        <v>8351</v>
      </c>
      <c r="D163" s="8" t="s">
        <v>568</v>
      </c>
      <c r="E163" s="8" t="s">
        <v>2812</v>
      </c>
      <c r="F163" s="8" t="s">
        <v>1501</v>
      </c>
      <c r="G163" s="8"/>
      <c r="H163" s="8" t="s">
        <v>2812</v>
      </c>
      <c r="I163" s="8" t="s">
        <v>3197</v>
      </c>
      <c r="J163" s="78" t="s">
        <v>4078</v>
      </c>
      <c r="K163" s="22">
        <v>0.0</v>
      </c>
      <c r="L163" s="22">
        <f>+SUMIF('حركه المخزن الرئيسي اليوميه'!$F:$F,$H:$H,'حركه المخزن الرئيسي اليوميه'!$H:$H)</f>
        <v>0.0</v>
      </c>
      <c r="M163" s="22">
        <f>+SUMIF('حركه المخزن الرئيسي اليوميه'!$F:$F,$H:$H,'حركه المخزن الرئيسي اليوميه'!$I:$I)</f>
        <v>0.0</v>
      </c>
      <c r="N163" s="22">
        <f>+K163+L163-M163</f>
        <v>0.0</v>
      </c>
      <c r="O163" s="22">
        <f>+N163</f>
        <v>0.0</v>
      </c>
      <c r="P163" s="22">
        <f>+N163-O163</f>
        <v>0.0</v>
      </c>
      <c r="Q163" s="57"/>
      <c r="R163" s="58"/>
    </row>
    <row r="164" spans="8:8" ht="15.0" customHeight="1">
      <c r="B164" s="54">
        <v>155.0</v>
      </c>
      <c r="C164" s="8" t="s">
        <v>8351</v>
      </c>
      <c r="D164" s="8" t="s">
        <v>568</v>
      </c>
      <c r="E164" s="8" t="s">
        <v>2813</v>
      </c>
      <c r="F164" s="8" t="s">
        <v>1501</v>
      </c>
      <c r="G164" s="8"/>
      <c r="H164" s="8" t="s">
        <v>2813</v>
      </c>
      <c r="I164" s="8" t="s">
        <v>3197</v>
      </c>
      <c r="J164" s="78" t="s">
        <v>4079</v>
      </c>
      <c r="K164" s="22">
        <v>4.0</v>
      </c>
      <c r="L164" s="22">
        <f>+SUMIF('حركه المخزن الرئيسي اليوميه'!$F:$F,$H:$H,'حركه المخزن الرئيسي اليوميه'!$H:$H)</f>
        <v>0.0</v>
      </c>
      <c r="M164" s="22">
        <f>+SUMIF('حركه المخزن الرئيسي اليوميه'!$F:$F,$H:$H,'حركه المخزن الرئيسي اليوميه'!$I:$I)</f>
        <v>0.0</v>
      </c>
      <c r="N164" s="22">
        <f>+K164+L164-M164</f>
        <v>4.0</v>
      </c>
      <c r="O164" s="22">
        <f>+N164</f>
        <v>4.0</v>
      </c>
      <c r="P164" s="22">
        <f>+N164-O164</f>
        <v>0.0</v>
      </c>
      <c r="Q164" s="57"/>
      <c r="R164" s="58"/>
    </row>
    <row r="165" spans="8:8" ht="15.0" customHeight="1">
      <c r="B165" s="54">
        <v>156.0</v>
      </c>
      <c r="C165" s="8" t="s">
        <v>8351</v>
      </c>
      <c r="D165" s="8" t="s">
        <v>568</v>
      </c>
      <c r="E165" s="8" t="s">
        <v>2818</v>
      </c>
      <c r="F165" s="8" t="s">
        <v>1501</v>
      </c>
      <c r="G165" s="8"/>
      <c r="H165" s="8" t="s">
        <v>2818</v>
      </c>
      <c r="I165" s="8" t="s">
        <v>3197</v>
      </c>
      <c r="J165" s="78" t="s">
        <v>4080</v>
      </c>
      <c r="K165" s="22">
        <v>6.0</v>
      </c>
      <c r="L165" s="22">
        <f>+SUMIF('حركه المخزن الرئيسي اليوميه'!$F:$F,$H:$H,'حركه المخزن الرئيسي اليوميه'!$H:$H)</f>
        <v>0.0</v>
      </c>
      <c r="M165" s="22">
        <f>+SUMIF('حركه المخزن الرئيسي اليوميه'!$F:$F,$H:$H,'حركه المخزن الرئيسي اليوميه'!$I:$I)</f>
        <v>0.0</v>
      </c>
      <c r="N165" s="22">
        <f>+K165+L165-M165</f>
        <v>6.0</v>
      </c>
      <c r="O165" s="22">
        <f>+N165</f>
        <v>6.0</v>
      </c>
      <c r="P165" s="22">
        <f>+N165-O165</f>
        <v>0.0</v>
      </c>
      <c r="Q165" s="57"/>
      <c r="R165" s="58"/>
    </row>
    <row r="166" spans="8:8" ht="15.0" customHeight="1">
      <c r="B166" s="54">
        <v>157.0</v>
      </c>
      <c r="C166" s="8" t="s">
        <v>8351</v>
      </c>
      <c r="D166" s="8" t="s">
        <v>568</v>
      </c>
      <c r="E166" s="8" t="s">
        <v>2814</v>
      </c>
      <c r="F166" s="8" t="s">
        <v>125</v>
      </c>
      <c r="G166" s="8"/>
      <c r="H166" s="8" t="s">
        <v>2814</v>
      </c>
      <c r="I166" s="8" t="s">
        <v>3197</v>
      </c>
      <c r="J166" s="78" t="s">
        <v>4081</v>
      </c>
      <c r="K166" s="22">
        <v>0.0</v>
      </c>
      <c r="L166" s="22">
        <f>+SUMIF('حركه المخزن الرئيسي اليوميه'!$F:$F,$H:$H,'حركه المخزن الرئيسي اليوميه'!$H:$H)</f>
        <v>0.0</v>
      </c>
      <c r="M166" s="22">
        <f>+SUMIF('حركه المخزن الرئيسي اليوميه'!$F:$F,$H:$H,'حركه المخزن الرئيسي اليوميه'!$I:$I)</f>
        <v>0.0</v>
      </c>
      <c r="N166" s="22">
        <f>+K166+L166-M166</f>
        <v>0.0</v>
      </c>
      <c r="O166" s="22">
        <f>+N166</f>
        <v>0.0</v>
      </c>
      <c r="P166" s="22">
        <f>+N166-O166</f>
        <v>0.0</v>
      </c>
      <c r="Q166" s="57"/>
      <c r="R166" s="58"/>
    </row>
    <row r="167" spans="8:8" ht="15.0" customHeight="1">
      <c r="B167" s="54">
        <v>158.0</v>
      </c>
      <c r="C167" s="8" t="s">
        <v>8351</v>
      </c>
      <c r="D167" s="8" t="s">
        <v>1013</v>
      </c>
      <c r="E167" s="8" t="s">
        <v>207</v>
      </c>
      <c r="F167" s="8" t="s">
        <v>1501</v>
      </c>
      <c r="G167" s="8"/>
      <c r="H167" s="8" t="s">
        <v>3262</v>
      </c>
      <c r="I167" s="55" t="s">
        <v>3523</v>
      </c>
      <c r="J167" s="78" t="s">
        <v>4082</v>
      </c>
      <c r="K167" s="22">
        <v>9.0</v>
      </c>
      <c r="L167" s="22">
        <f>+SUMIF('حركه المخزن الرئيسي اليوميه'!$F:$F,$H:$H,'حركه المخزن الرئيسي اليوميه'!$H:$H)</f>
        <v>0.0</v>
      </c>
      <c r="M167" s="22">
        <f>+SUMIF('حركه المخزن الرئيسي اليوميه'!$F:$F,$H:$H,'حركه المخزن الرئيسي اليوميه'!$I:$I)</f>
        <v>0.0</v>
      </c>
      <c r="N167" s="22">
        <f>+K167+L167-M167</f>
        <v>9.0</v>
      </c>
      <c r="O167" s="22">
        <f>+N167</f>
        <v>9.0</v>
      </c>
      <c r="P167" s="22">
        <f>+N167-O167</f>
        <v>0.0</v>
      </c>
      <c r="Q167" s="57"/>
      <c r="R167" s="58"/>
    </row>
    <row r="168" spans="8:8" ht="15.0" customHeight="1">
      <c r="B168" s="54">
        <v>159.0</v>
      </c>
      <c r="C168" s="8" t="s">
        <v>8351</v>
      </c>
      <c r="D168" s="8" t="s">
        <v>1013</v>
      </c>
      <c r="E168" s="8" t="s">
        <v>198</v>
      </c>
      <c r="F168" s="8" t="s">
        <v>68</v>
      </c>
      <c r="G168" s="8" t="s">
        <v>199</v>
      </c>
      <c r="H168" s="8" t="s">
        <v>199</v>
      </c>
      <c r="I168" s="55" t="s">
        <v>197</v>
      </c>
      <c r="J168" s="78" t="s">
        <v>4083</v>
      </c>
      <c r="K168" s="22">
        <v>0.0</v>
      </c>
      <c r="L168" s="22">
        <f>+SUMIF('حركه المخزن الرئيسي اليوميه'!$F:$F,$H:$H,'حركه المخزن الرئيسي اليوميه'!$H:$H)</f>
        <v>0.0</v>
      </c>
      <c r="M168" s="22">
        <f>+SUMIF('حركه المخزن الرئيسي اليوميه'!$F:$F,$H:$H,'حركه المخزن الرئيسي اليوميه'!$I:$I)</f>
        <v>0.0</v>
      </c>
      <c r="N168" s="22">
        <f>+K168+L168-M168</f>
        <v>0.0</v>
      </c>
      <c r="O168" s="22">
        <f>+N168</f>
        <v>0.0</v>
      </c>
      <c r="P168" s="22">
        <f>+N168-O168</f>
        <v>0.0</v>
      </c>
      <c r="Q168" s="57"/>
      <c r="R168" s="58"/>
    </row>
    <row r="169" spans="8:8" ht="15.0" customHeight="1">
      <c r="B169" s="54">
        <v>160.0</v>
      </c>
      <c r="C169" s="8" t="s">
        <v>8351</v>
      </c>
      <c r="D169" s="8" t="s">
        <v>1013</v>
      </c>
      <c r="E169" s="8" t="s">
        <v>202</v>
      </c>
      <c r="F169" s="8" t="s">
        <v>68</v>
      </c>
      <c r="G169" s="8" t="s">
        <v>2055</v>
      </c>
      <c r="H169" s="8" t="s">
        <v>2505</v>
      </c>
      <c r="I169" s="8" t="s">
        <v>8109</v>
      </c>
      <c r="J169" s="78" t="s">
        <v>4084</v>
      </c>
      <c r="K169" s="22">
        <v>3.0</v>
      </c>
      <c r="L169" s="22">
        <f>+SUMIF('حركه المخزن الرئيسي اليوميه'!$F:$F,$H:$H,'حركه المخزن الرئيسي اليوميه'!$H:$H)</f>
        <v>0.0</v>
      </c>
      <c r="M169" s="22">
        <f>+SUMIF('حركه المخزن الرئيسي اليوميه'!$F:$F,$H:$H,'حركه المخزن الرئيسي اليوميه'!$I:$I)</f>
        <v>0.0</v>
      </c>
      <c r="N169" s="22">
        <f>+K169+L169-M169</f>
        <v>3.0</v>
      </c>
      <c r="O169" s="22">
        <f>+N169</f>
        <v>3.0</v>
      </c>
      <c r="P169" s="22">
        <f>+N169-O169</f>
        <v>0.0</v>
      </c>
      <c r="Q169" s="57"/>
      <c r="R169" s="58"/>
    </row>
    <row r="170" spans="8:8" ht="15.0" customHeight="1">
      <c r="B170" s="54">
        <v>161.0</v>
      </c>
      <c r="C170" s="8" t="s">
        <v>8351</v>
      </c>
      <c r="D170" s="8" t="s">
        <v>1013</v>
      </c>
      <c r="E170" s="8" t="s">
        <v>232</v>
      </c>
      <c r="F170" s="8" t="s">
        <v>68</v>
      </c>
      <c r="G170" s="8" t="s">
        <v>232</v>
      </c>
      <c r="H170" s="8" t="s">
        <v>233</v>
      </c>
      <c r="I170" s="55" t="s">
        <v>197</v>
      </c>
      <c r="J170" s="78" t="s">
        <v>4085</v>
      </c>
      <c r="K170" s="22">
        <v>0.0</v>
      </c>
      <c r="L170" s="22">
        <f>+SUMIF('حركه المخزن الرئيسي اليوميه'!$F:$F,$H:$H,'حركه المخزن الرئيسي اليوميه'!$H:$H)</f>
        <v>0.0</v>
      </c>
      <c r="M170" s="22">
        <f>+SUMIF('حركه المخزن الرئيسي اليوميه'!$F:$F,$H:$H,'حركه المخزن الرئيسي اليوميه'!$I:$I)</f>
        <v>0.0</v>
      </c>
      <c r="N170" s="22">
        <f>+K170+L170-M170</f>
        <v>0.0</v>
      </c>
      <c r="O170" s="22">
        <f>+N170</f>
        <v>0.0</v>
      </c>
      <c r="P170" s="22">
        <f>+N170-O170</f>
        <v>0.0</v>
      </c>
      <c r="Q170" s="57"/>
      <c r="R170" s="58"/>
    </row>
    <row r="171" spans="8:8" ht="15.0" customHeight="1">
      <c r="B171" s="54">
        <v>162.0</v>
      </c>
      <c r="C171" s="8" t="s">
        <v>8351</v>
      </c>
      <c r="D171" s="8" t="s">
        <v>820</v>
      </c>
      <c r="E171" s="8" t="s">
        <v>1240</v>
      </c>
      <c r="F171" s="8" t="s">
        <v>68</v>
      </c>
      <c r="G171" s="8"/>
      <c r="H171" s="8" t="s">
        <v>3005</v>
      </c>
      <c r="I171" s="55" t="s">
        <v>3278</v>
      </c>
      <c r="J171" s="78" t="s">
        <v>4086</v>
      </c>
      <c r="K171" s="22">
        <v>0.0</v>
      </c>
      <c r="L171" s="22">
        <f>+SUMIF('حركه المخزن الرئيسي اليوميه'!$F:$F,$H:$H,'حركه المخزن الرئيسي اليوميه'!$H:$H)</f>
        <v>0.0</v>
      </c>
      <c r="M171" s="22">
        <f>+SUMIF('حركه المخزن الرئيسي اليوميه'!$F:$F,$H:$H,'حركه المخزن الرئيسي اليوميه'!$I:$I)</f>
        <v>0.0</v>
      </c>
      <c r="N171" s="22">
        <f>+K171+L171-M171</f>
        <v>0.0</v>
      </c>
      <c r="O171" s="22">
        <f>+N171</f>
        <v>0.0</v>
      </c>
      <c r="P171" s="22">
        <f>+N171-O171</f>
        <v>0.0</v>
      </c>
      <c r="Q171" s="57"/>
      <c r="R171" s="58"/>
    </row>
    <row r="172" spans="8:8" ht="15.0" customHeight="1">
      <c r="B172" s="54">
        <v>163.0</v>
      </c>
      <c r="C172" s="8" t="s">
        <v>8351</v>
      </c>
      <c r="D172" s="8" t="s">
        <v>1022</v>
      </c>
      <c r="E172" s="8" t="s">
        <v>203</v>
      </c>
      <c r="F172" s="8" t="s">
        <v>68</v>
      </c>
      <c r="G172" s="8" t="s">
        <v>2097</v>
      </c>
      <c r="H172" s="8" t="s">
        <v>2522</v>
      </c>
      <c r="I172" s="55" t="s">
        <v>3204</v>
      </c>
      <c r="J172" s="78" t="s">
        <v>4087</v>
      </c>
      <c r="K172" s="22">
        <v>2.0</v>
      </c>
      <c r="L172" s="22">
        <f>+SUMIF('حركه المخزن الرئيسي اليوميه'!$F:$F,$H:$H,'حركه المخزن الرئيسي اليوميه'!$H:$H)</f>
        <v>0.0</v>
      </c>
      <c r="M172" s="22">
        <f>+SUMIF('حركه المخزن الرئيسي اليوميه'!$F:$F,$H:$H,'حركه المخزن الرئيسي اليوميه'!$I:$I)</f>
        <v>0.0</v>
      </c>
      <c r="N172" s="22">
        <f>+K172+L172-M172</f>
        <v>2.0</v>
      </c>
      <c r="O172" s="22">
        <f>+N172</f>
        <v>2.0</v>
      </c>
      <c r="P172" s="22">
        <v>0.0</v>
      </c>
      <c r="Q172" s="57"/>
      <c r="R172" s="58"/>
    </row>
    <row r="173" spans="8:8" ht="15.0" customHeight="1">
      <c r="B173" s="54">
        <v>164.0</v>
      </c>
      <c r="C173" s="8" t="s">
        <v>8351</v>
      </c>
      <c r="D173" s="8" t="s">
        <v>1022</v>
      </c>
      <c r="E173" s="8" t="s">
        <v>203</v>
      </c>
      <c r="F173" s="8" t="s">
        <v>68</v>
      </c>
      <c r="G173" s="8" t="s">
        <v>2097</v>
      </c>
      <c r="H173" s="8" t="s">
        <v>2520</v>
      </c>
      <c r="I173" s="55" t="s">
        <v>3204</v>
      </c>
      <c r="J173" s="78" t="s">
        <v>4088</v>
      </c>
      <c r="K173" s="22">
        <v>12.0</v>
      </c>
      <c r="L173" s="22">
        <f>+SUMIF('حركه المخزن الرئيسي اليوميه'!$F:$F,$H:$H,'حركه المخزن الرئيسي اليوميه'!$H:$H)</f>
        <v>0.0</v>
      </c>
      <c r="M173" s="22">
        <f>+SUMIF('حركه المخزن الرئيسي اليوميه'!$F:$F,$H:$H,'حركه المخزن الرئيسي اليوميه'!$I:$I)</f>
        <v>0.0</v>
      </c>
      <c r="N173" s="22">
        <f>+K173+L173-M173</f>
        <v>12.0</v>
      </c>
      <c r="O173" s="22">
        <f>+N173</f>
        <v>12.0</v>
      </c>
      <c r="P173" s="22">
        <f>+N173-O173</f>
        <v>0.0</v>
      </c>
      <c r="Q173" s="57"/>
      <c r="R173" s="58"/>
    </row>
    <row r="174" spans="8:8" ht="15.0" customHeight="1">
      <c r="B174" s="54">
        <v>165.0</v>
      </c>
      <c r="C174" s="8" t="s">
        <v>8351</v>
      </c>
      <c r="D174" s="8" t="s">
        <v>1022</v>
      </c>
      <c r="E174" s="8" t="s">
        <v>203</v>
      </c>
      <c r="F174" s="8" t="s">
        <v>68</v>
      </c>
      <c r="G174" s="8" t="s">
        <v>2097</v>
      </c>
      <c r="H174" s="8" t="s">
        <v>2519</v>
      </c>
      <c r="I174" s="55" t="s">
        <v>3205</v>
      </c>
      <c r="J174" s="78" t="s">
        <v>4089</v>
      </c>
      <c r="K174" s="22">
        <v>11.0</v>
      </c>
      <c r="L174" s="22">
        <f>+SUMIF('حركه المخزن الرئيسي اليوميه'!$F:$F,$H:$H,'حركه المخزن الرئيسي اليوميه'!$H:$H)</f>
        <v>0.0</v>
      </c>
      <c r="M174" s="22">
        <f>+SUMIF('حركه المخزن الرئيسي اليوميه'!$F:$F,$H:$H,'حركه المخزن الرئيسي اليوميه'!$I:$I)</f>
        <v>0.0</v>
      </c>
      <c r="N174" s="22">
        <f>+K174+L174-M174</f>
        <v>11.0</v>
      </c>
      <c r="O174" s="22">
        <f>+N174</f>
        <v>11.0</v>
      </c>
      <c r="P174" s="22">
        <f>+N174-O174</f>
        <v>0.0</v>
      </c>
      <c r="Q174" s="57"/>
      <c r="R174" s="58"/>
    </row>
    <row r="175" spans="8:8" ht="15.0" customHeight="1">
      <c r="B175" s="54">
        <v>166.0</v>
      </c>
      <c r="C175" s="8" t="s">
        <v>8351</v>
      </c>
      <c r="D175" s="8" t="s">
        <v>1022</v>
      </c>
      <c r="E175" s="8" t="s">
        <v>203</v>
      </c>
      <c r="F175" s="8" t="s">
        <v>68</v>
      </c>
      <c r="G175" s="8" t="s">
        <v>2097</v>
      </c>
      <c r="H175" s="8" t="s">
        <v>3516</v>
      </c>
      <c r="I175" s="55" t="s">
        <v>3205</v>
      </c>
      <c r="J175" s="78" t="s">
        <v>4090</v>
      </c>
      <c r="K175" s="22">
        <v>10.0</v>
      </c>
      <c r="L175" s="22">
        <f>+SUMIF('حركه المخزن الرئيسي اليوميه'!$F:$F,$H:$H,'حركه المخزن الرئيسي اليوميه'!$H:$H)</f>
        <v>0.0</v>
      </c>
      <c r="M175" s="22">
        <f>+SUMIF('حركه المخزن الرئيسي اليوميه'!$F:$F,$H:$H,'حركه المخزن الرئيسي اليوميه'!$I:$I)</f>
        <v>0.0</v>
      </c>
      <c r="N175" s="22">
        <f>+K175+L175-M175</f>
        <v>10.0</v>
      </c>
      <c r="O175" s="22">
        <f>+N175</f>
        <v>10.0</v>
      </c>
      <c r="P175" s="22">
        <f>+N175-O175</f>
        <v>0.0</v>
      </c>
      <c r="Q175" s="57"/>
      <c r="R175" s="58"/>
    </row>
    <row r="176" spans="8:8" ht="15.0" customHeight="1">
      <c r="B176" s="54">
        <v>167.0</v>
      </c>
      <c r="C176" s="8" t="s">
        <v>8351</v>
      </c>
      <c r="D176" s="8" t="s">
        <v>820</v>
      </c>
      <c r="E176" s="8" t="s">
        <v>203</v>
      </c>
      <c r="F176" s="8" t="s">
        <v>68</v>
      </c>
      <c r="G176" s="8" t="s">
        <v>2097</v>
      </c>
      <c r="H176" s="8" t="s">
        <v>2521</v>
      </c>
      <c r="I176" s="55" t="s">
        <v>3204</v>
      </c>
      <c r="J176" s="78" t="s">
        <v>4091</v>
      </c>
      <c r="K176" s="22">
        <v>16.0</v>
      </c>
      <c r="L176" s="22">
        <f>+SUMIF('حركه المخزن الرئيسي اليوميه'!$F:$F,$H:$H,'حركه المخزن الرئيسي اليوميه'!$H:$H)</f>
        <v>0.0</v>
      </c>
      <c r="M176" s="22">
        <f>+SUMIF('حركه المخزن الرئيسي اليوميه'!$F:$F,$H:$H,'حركه المخزن الرئيسي اليوميه'!$I:$I)</f>
        <v>0.0</v>
      </c>
      <c r="N176" s="22">
        <f>+K176+L176-M176</f>
        <v>16.0</v>
      </c>
      <c r="O176" s="22">
        <f>+N176</f>
        <v>16.0</v>
      </c>
      <c r="P176" s="22">
        <f>+N176-O176</f>
        <v>0.0</v>
      </c>
      <c r="Q176" s="57"/>
      <c r="R176" s="58"/>
    </row>
    <row r="177" spans="8:8" ht="15.0" customHeight="1">
      <c r="B177" s="54">
        <v>168.0</v>
      </c>
      <c r="C177" s="8" t="s">
        <v>8351</v>
      </c>
      <c r="D177" s="8" t="s">
        <v>1022</v>
      </c>
      <c r="E177" s="8" t="s">
        <v>203</v>
      </c>
      <c r="F177" s="8" t="s">
        <v>68</v>
      </c>
      <c r="G177" s="8" t="s">
        <v>2097</v>
      </c>
      <c r="H177" s="8" t="s">
        <v>2525</v>
      </c>
      <c r="I177" s="55" t="s">
        <v>3203</v>
      </c>
      <c r="J177" s="78" t="s">
        <v>4092</v>
      </c>
      <c r="K177" s="22">
        <v>7.0</v>
      </c>
      <c r="L177" s="22">
        <f>+SUMIF('حركه المخزن الرئيسي اليوميه'!$F:$F,$H:$H,'حركه المخزن الرئيسي اليوميه'!$H:$H)</f>
        <v>0.0</v>
      </c>
      <c r="M177" s="22">
        <f>+SUMIF('حركه المخزن الرئيسي اليوميه'!$F:$F,$H:$H,'حركه المخزن الرئيسي اليوميه'!$I:$I)</f>
        <v>0.0</v>
      </c>
      <c r="N177" s="22">
        <f>+K177+L177-M177</f>
        <v>7.0</v>
      </c>
      <c r="O177" s="22">
        <f>+N177</f>
        <v>7.0</v>
      </c>
      <c r="P177" s="22">
        <f>+N177-O177</f>
        <v>0.0</v>
      </c>
      <c r="Q177" s="57"/>
      <c r="R177" s="58"/>
    </row>
    <row r="178" spans="8:8" ht="15.0" customHeight="1">
      <c r="B178" s="54">
        <v>169.0</v>
      </c>
      <c r="C178" s="8" t="s">
        <v>8351</v>
      </c>
      <c r="D178" s="8" t="s">
        <v>1022</v>
      </c>
      <c r="E178" s="8" t="s">
        <v>203</v>
      </c>
      <c r="F178" s="8" t="s">
        <v>68</v>
      </c>
      <c r="G178" s="8" t="s">
        <v>2097</v>
      </c>
      <c r="H178" s="8" t="s">
        <v>2524</v>
      </c>
      <c r="I178" s="55" t="s">
        <v>3206</v>
      </c>
      <c r="J178" s="78" t="s">
        <v>4093</v>
      </c>
      <c r="K178" s="22">
        <v>13.0</v>
      </c>
      <c r="L178" s="22">
        <f>+SUMIF('حركه المخزن الرئيسي اليوميه'!$F:$F,$H:$H,'حركه المخزن الرئيسي اليوميه'!$H:$H)</f>
        <v>0.0</v>
      </c>
      <c r="M178" s="22">
        <f>+SUMIF('حركه المخزن الرئيسي اليوميه'!$F:$F,$H:$H,'حركه المخزن الرئيسي اليوميه'!$I:$I)</f>
        <v>0.0</v>
      </c>
      <c r="N178" s="22">
        <f>+K178+L178-M178</f>
        <v>13.0</v>
      </c>
      <c r="O178" s="22">
        <f>+N178</f>
        <v>13.0</v>
      </c>
      <c r="P178" s="22">
        <f>+N178-O178</f>
        <v>0.0</v>
      </c>
      <c r="Q178" s="57"/>
      <c r="R178" s="58"/>
    </row>
    <row r="179" spans="8:8" ht="15.0" customHeight="1">
      <c r="B179" s="54">
        <v>170.0</v>
      </c>
      <c r="C179" s="8" t="s">
        <v>8351</v>
      </c>
      <c r="D179" s="8" t="s">
        <v>1013</v>
      </c>
      <c r="E179" s="8" t="s">
        <v>1483</v>
      </c>
      <c r="F179" s="8" t="s">
        <v>68</v>
      </c>
      <c r="G179" s="8" t="s">
        <v>1990</v>
      </c>
      <c r="H179" s="8" t="s">
        <v>1483</v>
      </c>
      <c r="I179" s="55" t="s">
        <v>3199</v>
      </c>
      <c r="J179" s="78" t="s">
        <v>4094</v>
      </c>
      <c r="K179" s="22">
        <v>1.0</v>
      </c>
      <c r="L179" s="22">
        <f>+SUMIF('حركه المخزن الرئيسي اليوميه'!$F:$F,$H:$H,'حركه المخزن الرئيسي اليوميه'!$H:$H)</f>
        <v>0.0</v>
      </c>
      <c r="M179" s="22">
        <f>+SUMIF('حركه المخزن الرئيسي اليوميه'!$F:$F,$H:$H,'حركه المخزن الرئيسي اليوميه'!$I:$I)</f>
        <v>0.0</v>
      </c>
      <c r="N179" s="22">
        <f>+K179+L179-M179</f>
        <v>1.0</v>
      </c>
      <c r="O179" s="22">
        <f>+N179</f>
        <v>1.0</v>
      </c>
      <c r="P179" s="22">
        <f>+N179-O179</f>
        <v>0.0</v>
      </c>
      <c r="Q179" s="57"/>
      <c r="R179" s="58"/>
    </row>
    <row r="180" spans="8:8" ht="15.0" customHeight="1">
      <c r="B180" s="54">
        <v>171.0</v>
      </c>
      <c r="C180" s="8" t="s">
        <v>8351</v>
      </c>
      <c r="D180" s="8" t="s">
        <v>1340</v>
      </c>
      <c r="E180" s="8" t="s">
        <v>1991</v>
      </c>
      <c r="F180" s="8" t="s">
        <v>68</v>
      </c>
      <c r="G180" s="8" t="s">
        <v>1995</v>
      </c>
      <c r="H180" s="8" t="s">
        <v>1991</v>
      </c>
      <c r="I180" s="55" t="s">
        <v>3198</v>
      </c>
      <c r="J180" s="78" t="s">
        <v>4095</v>
      </c>
      <c r="K180" s="22">
        <v>5.0</v>
      </c>
      <c r="L180" s="22">
        <f>+SUMIF('حركه المخزن الرئيسي اليوميه'!$F:$F,$H:$H,'حركه المخزن الرئيسي اليوميه'!$H:$H)</f>
        <v>0.0</v>
      </c>
      <c r="M180" s="22">
        <f>+SUMIF('حركه المخزن الرئيسي اليوميه'!$F:$F,$H:$H,'حركه المخزن الرئيسي اليوميه'!$I:$I)</f>
        <v>0.0</v>
      </c>
      <c r="N180" s="22">
        <f>+K180+L180-M180</f>
        <v>5.0</v>
      </c>
      <c r="O180" s="22">
        <f>+N180</f>
        <v>5.0</v>
      </c>
      <c r="P180" s="22">
        <f>+N180-O180</f>
        <v>0.0</v>
      </c>
      <c r="Q180" s="57"/>
      <c r="R180" s="58"/>
    </row>
    <row r="181" spans="8:8" ht="15.0" customHeight="1">
      <c r="B181" s="54">
        <v>172.0</v>
      </c>
      <c r="C181" s="8" t="s">
        <v>8351</v>
      </c>
      <c r="D181" s="8" t="s">
        <v>1340</v>
      </c>
      <c r="E181" s="8" t="s">
        <v>2917</v>
      </c>
      <c r="F181" s="8" t="s">
        <v>68</v>
      </c>
      <c r="G181" s="8" t="s">
        <v>1995</v>
      </c>
      <c r="H181" s="8" t="s">
        <v>2917</v>
      </c>
      <c r="I181" s="55" t="s">
        <v>3199</v>
      </c>
      <c r="J181" s="78" t="s">
        <v>4096</v>
      </c>
      <c r="K181" s="22">
        <v>5.0</v>
      </c>
      <c r="L181" s="22">
        <f>+SUMIF('حركه المخزن الرئيسي اليوميه'!$F:$F,$H:$H,'حركه المخزن الرئيسي اليوميه'!$H:$H)</f>
        <v>0.0</v>
      </c>
      <c r="M181" s="22">
        <f>+SUMIF('حركه المخزن الرئيسي اليوميه'!$F:$F,$H:$H,'حركه المخزن الرئيسي اليوميه'!$I:$I)</f>
        <v>0.0</v>
      </c>
      <c r="N181" s="22">
        <f>+K181+L181-M181</f>
        <v>5.0</v>
      </c>
      <c r="O181" s="22">
        <f>+N181</f>
        <v>5.0</v>
      </c>
      <c r="P181" s="22">
        <f>+N181-O181</f>
        <v>0.0</v>
      </c>
      <c r="Q181" s="57"/>
      <c r="R181" s="58"/>
    </row>
    <row r="182" spans="8:8" ht="15.0" customHeight="1">
      <c r="B182" s="54">
        <v>173.0</v>
      </c>
      <c r="C182" s="8" t="s">
        <v>8351</v>
      </c>
      <c r="D182" s="8" t="s">
        <v>820</v>
      </c>
      <c r="E182" s="8" t="s">
        <v>3518</v>
      </c>
      <c r="F182" s="8" t="s">
        <v>68</v>
      </c>
      <c r="G182" s="8"/>
      <c r="H182" s="8" t="s">
        <v>3518</v>
      </c>
      <c r="I182" s="55" t="s">
        <v>818</v>
      </c>
      <c r="J182" s="78" t="s">
        <v>4097</v>
      </c>
      <c r="K182" s="22">
        <v>32.0</v>
      </c>
      <c r="L182" s="22">
        <f>+SUMIF('حركه المخزن الرئيسي اليوميه'!$F:$F,$H:$H,'حركه المخزن الرئيسي اليوميه'!$H:$H)</f>
        <v>0.0</v>
      </c>
      <c r="M182" s="22">
        <f>+SUMIF('حركه المخزن الرئيسي اليوميه'!$F:$F,$H:$H,'حركه المخزن الرئيسي اليوميه'!$I:$I)</f>
        <v>0.0</v>
      </c>
      <c r="N182" s="22">
        <f>+K182+L182-M182</f>
        <v>32.0</v>
      </c>
      <c r="O182" s="22">
        <f>+N182</f>
        <v>32.0</v>
      </c>
      <c r="P182" s="22">
        <f>+N182-O182</f>
        <v>0.0</v>
      </c>
      <c r="Q182" s="57"/>
      <c r="R182" s="58"/>
    </row>
    <row r="183" spans="8:8" ht="15.0" customHeight="1">
      <c r="B183" s="54">
        <v>174.0</v>
      </c>
      <c r="C183" s="8" t="s">
        <v>8351</v>
      </c>
      <c r="D183" s="8" t="s">
        <v>1340</v>
      </c>
      <c r="E183" s="8" t="s">
        <v>2559</v>
      </c>
      <c r="F183" s="8" t="s">
        <v>68</v>
      </c>
      <c r="G183" s="8" t="s">
        <v>1029</v>
      </c>
      <c r="H183" s="8" t="s">
        <v>1077</v>
      </c>
      <c r="I183" s="55" t="s">
        <v>3199</v>
      </c>
      <c r="J183" s="78" t="s">
        <v>4098</v>
      </c>
      <c r="K183" s="22">
        <v>5.0</v>
      </c>
      <c r="L183" s="22">
        <f>+SUMIF('حركه المخزن الرئيسي اليوميه'!$F:$F,$H:$H,'حركه المخزن الرئيسي اليوميه'!$H:$H)</f>
        <v>0.0</v>
      </c>
      <c r="M183" s="22">
        <f>+SUMIF('حركه المخزن الرئيسي اليوميه'!$F:$F,$H:$H,'حركه المخزن الرئيسي اليوميه'!$I:$I)</f>
        <v>0.0</v>
      </c>
      <c r="N183" s="22">
        <f>+K183+L183-M183</f>
        <v>5.0</v>
      </c>
      <c r="O183" s="22">
        <f>+N183</f>
        <v>5.0</v>
      </c>
      <c r="P183" s="22">
        <f>+N183-O183</f>
        <v>0.0</v>
      </c>
      <c r="Q183" s="57"/>
      <c r="R183" s="58"/>
    </row>
    <row r="184" spans="8:8" ht="15.0" customHeight="1">
      <c r="B184" s="54">
        <v>175.0</v>
      </c>
      <c r="C184" s="8" t="s">
        <v>8351</v>
      </c>
      <c r="D184" s="8" t="s">
        <v>828</v>
      </c>
      <c r="E184" s="8" t="s">
        <v>1605</v>
      </c>
      <c r="F184" s="8" t="s">
        <v>1501</v>
      </c>
      <c r="G184" s="8" t="s">
        <v>2295</v>
      </c>
      <c r="H184" s="8" t="s">
        <v>1605</v>
      </c>
      <c r="I184" s="55" t="s">
        <v>3202</v>
      </c>
      <c r="J184" s="78" t="s">
        <v>4099</v>
      </c>
      <c r="K184" s="22">
        <v>5.0</v>
      </c>
      <c r="L184" s="22">
        <f>+SUMIF('حركه المخزن الرئيسي اليوميه'!$F:$F,$H:$H,'حركه المخزن الرئيسي اليوميه'!$H:$H)</f>
        <v>0.0</v>
      </c>
      <c r="M184" s="22">
        <f>+SUMIF('حركه المخزن الرئيسي اليوميه'!$F:$F,$H:$H,'حركه المخزن الرئيسي اليوميه'!$I:$I)</f>
        <v>0.0</v>
      </c>
      <c r="N184" s="22">
        <f>+K184+L184-M184</f>
        <v>5.0</v>
      </c>
      <c r="O184" s="22">
        <f>+N184</f>
        <v>5.0</v>
      </c>
      <c r="P184" s="22">
        <f>+N184-O184</f>
        <v>0.0</v>
      </c>
      <c r="Q184" s="57"/>
      <c r="R184" s="58"/>
    </row>
    <row r="185" spans="8:8" ht="15.0" customHeight="1">
      <c r="B185" s="54">
        <v>176.0</v>
      </c>
      <c r="C185" s="8" t="s">
        <v>8351</v>
      </c>
      <c r="D185" s="8" t="s">
        <v>828</v>
      </c>
      <c r="E185" s="8" t="s">
        <v>1606</v>
      </c>
      <c r="F185" s="8" t="s">
        <v>1501</v>
      </c>
      <c r="G185" s="8" t="s">
        <v>2295</v>
      </c>
      <c r="H185" s="8" t="s">
        <v>1606</v>
      </c>
      <c r="I185" s="55" t="s">
        <v>3202</v>
      </c>
      <c r="J185" s="78" t="s">
        <v>4100</v>
      </c>
      <c r="K185" s="22">
        <v>6.0</v>
      </c>
      <c r="L185" s="22">
        <f>+SUMIF('حركه المخزن الرئيسي اليوميه'!$F:$F,$H:$H,'حركه المخزن الرئيسي اليوميه'!$H:$H)</f>
        <v>0.0</v>
      </c>
      <c r="M185" s="22">
        <f>+SUMIF('حركه المخزن الرئيسي اليوميه'!$F:$F,$H:$H,'حركه المخزن الرئيسي اليوميه'!$I:$I)</f>
        <v>0.0</v>
      </c>
      <c r="N185" s="22">
        <f>+K185+L185-M185</f>
        <v>6.0</v>
      </c>
      <c r="O185" s="22">
        <f>+N185</f>
        <v>6.0</v>
      </c>
      <c r="P185" s="22">
        <f>+N185-O185</f>
        <v>0.0</v>
      </c>
      <c r="Q185" s="57"/>
      <c r="R185" s="58"/>
    </row>
    <row r="186" spans="8:8" ht="15.0" customHeight="1">
      <c r="B186" s="54">
        <v>177.0</v>
      </c>
      <c r="C186" s="8" t="s">
        <v>8351</v>
      </c>
      <c r="D186" s="8" t="s">
        <v>828</v>
      </c>
      <c r="E186" s="8" t="s">
        <v>1607</v>
      </c>
      <c r="F186" s="8" t="s">
        <v>1501</v>
      </c>
      <c r="G186" s="8" t="s">
        <v>2295</v>
      </c>
      <c r="H186" s="8" t="s">
        <v>1607</v>
      </c>
      <c r="I186" s="55" t="s">
        <v>3202</v>
      </c>
      <c r="J186" s="78" t="s">
        <v>4101</v>
      </c>
      <c r="K186" s="22">
        <v>5.0</v>
      </c>
      <c r="L186" s="22">
        <f>+SUMIF('حركه المخزن الرئيسي اليوميه'!$F:$F,$H:$H,'حركه المخزن الرئيسي اليوميه'!$H:$H)</f>
        <v>0.0</v>
      </c>
      <c r="M186" s="22">
        <f>+SUMIF('حركه المخزن الرئيسي اليوميه'!$F:$F,$H:$H,'حركه المخزن الرئيسي اليوميه'!$I:$I)</f>
        <v>0.0</v>
      </c>
      <c r="N186" s="22">
        <f>+K186+L186-M186</f>
        <v>5.0</v>
      </c>
      <c r="O186" s="22">
        <f>+N186</f>
        <v>5.0</v>
      </c>
      <c r="P186" s="22">
        <f>+N186-O186</f>
        <v>0.0</v>
      </c>
      <c r="Q186" s="57"/>
      <c r="R186" s="58"/>
    </row>
    <row r="187" spans="8:8" ht="15.0" customHeight="1">
      <c r="B187" s="54">
        <v>178.0</v>
      </c>
      <c r="C187" s="8" t="s">
        <v>8351</v>
      </c>
      <c r="D187" s="8" t="s">
        <v>1340</v>
      </c>
      <c r="E187" s="8" t="s">
        <v>1994</v>
      </c>
      <c r="F187" s="8" t="s">
        <v>68</v>
      </c>
      <c r="G187" s="8" t="s">
        <v>1997</v>
      </c>
      <c r="H187" s="8" t="s">
        <v>1994</v>
      </c>
      <c r="I187" s="55" t="s">
        <v>3198</v>
      </c>
      <c r="J187" s="78" t="s">
        <v>4102</v>
      </c>
      <c r="K187" s="22">
        <v>116.0</v>
      </c>
      <c r="L187" s="22">
        <f>+SUMIF('حركه المخزن الرئيسي اليوميه'!$F:$F,$H:$H,'حركه المخزن الرئيسي اليوميه'!$H:$H)</f>
        <v>0.0</v>
      </c>
      <c r="M187" s="22">
        <f>+SUMIF('حركه المخزن الرئيسي اليوميه'!$F:$F,$H:$H,'حركه المخزن الرئيسي اليوميه'!$I:$I)</f>
        <v>0.0</v>
      </c>
      <c r="N187" s="22">
        <f>+K187+L187-M187</f>
        <v>116.0</v>
      </c>
      <c r="O187" s="22">
        <f>+N187</f>
        <v>116.0</v>
      </c>
      <c r="P187" s="22">
        <f>+N187-O187</f>
        <v>0.0</v>
      </c>
      <c r="Q187" s="57"/>
      <c r="R187" s="58"/>
    </row>
    <row r="188" spans="8:8" ht="15.0" customHeight="1">
      <c r="B188" s="54">
        <v>179.0</v>
      </c>
      <c r="C188" s="8" t="s">
        <v>8351</v>
      </c>
      <c r="D188" s="8" t="s">
        <v>1340</v>
      </c>
      <c r="E188" s="8" t="s">
        <v>1992</v>
      </c>
      <c r="F188" s="8" t="s">
        <v>68</v>
      </c>
      <c r="G188" s="8" t="s">
        <v>1997</v>
      </c>
      <c r="H188" s="8" t="s">
        <v>1992</v>
      </c>
      <c r="I188" s="55" t="s">
        <v>3198</v>
      </c>
      <c r="J188" s="78" t="s">
        <v>4103</v>
      </c>
      <c r="K188" s="22">
        <v>4.0</v>
      </c>
      <c r="L188" s="22">
        <f>+SUMIF('حركه المخزن الرئيسي اليوميه'!$F:$F,$H:$H,'حركه المخزن الرئيسي اليوميه'!$H:$H)</f>
        <v>0.0</v>
      </c>
      <c r="M188" s="22">
        <f>+SUMIF('حركه المخزن الرئيسي اليوميه'!$F:$F,$H:$H,'حركه المخزن الرئيسي اليوميه'!$I:$I)</f>
        <v>0.0</v>
      </c>
      <c r="N188" s="22">
        <f>+K188+L188-M188</f>
        <v>4.0</v>
      </c>
      <c r="O188" s="22">
        <f>+N188</f>
        <v>4.0</v>
      </c>
      <c r="P188" s="22">
        <f>+N188-O188</f>
        <v>0.0</v>
      </c>
      <c r="Q188" s="57"/>
      <c r="R188" s="58"/>
    </row>
    <row r="189" spans="8:8" ht="15.0" customHeight="1">
      <c r="B189" s="54">
        <v>180.0</v>
      </c>
      <c r="C189" s="8" t="s">
        <v>8351</v>
      </c>
      <c r="D189" s="8" t="s">
        <v>1340</v>
      </c>
      <c r="E189" s="8" t="s">
        <v>1993</v>
      </c>
      <c r="F189" s="8" t="s">
        <v>68</v>
      </c>
      <c r="G189" s="8" t="s">
        <v>1996</v>
      </c>
      <c r="H189" s="8" t="s">
        <v>1993</v>
      </c>
      <c r="I189" s="55" t="s">
        <v>3198</v>
      </c>
      <c r="J189" s="78" t="s">
        <v>4104</v>
      </c>
      <c r="K189" s="22">
        <v>6.0</v>
      </c>
      <c r="L189" s="22">
        <f>+SUMIF('حركه المخزن الرئيسي اليوميه'!$F:$F,$H:$H,'حركه المخزن الرئيسي اليوميه'!$H:$H)</f>
        <v>0.0</v>
      </c>
      <c r="M189" s="22">
        <f>+SUMIF('حركه المخزن الرئيسي اليوميه'!$F:$F,$H:$H,'حركه المخزن الرئيسي اليوميه'!$I:$I)</f>
        <v>0.0</v>
      </c>
      <c r="N189" s="22">
        <f>+K189+L189-M189</f>
        <v>6.0</v>
      </c>
      <c r="O189" s="22">
        <f>+N189</f>
        <v>6.0</v>
      </c>
      <c r="P189" s="22">
        <f>+N189-O189</f>
        <v>0.0</v>
      </c>
      <c r="Q189" s="57"/>
      <c r="R189" s="58"/>
    </row>
    <row r="190" spans="8:8" ht="15.0" customHeight="1">
      <c r="B190" s="54">
        <v>181.0</v>
      </c>
      <c r="C190" s="8" t="s">
        <v>8351</v>
      </c>
      <c r="D190" s="8" t="s">
        <v>1340</v>
      </c>
      <c r="E190" s="8" t="s">
        <v>2916</v>
      </c>
      <c r="F190" s="8" t="s">
        <v>68</v>
      </c>
      <c r="G190" s="8" t="s">
        <v>1998</v>
      </c>
      <c r="H190" s="8" t="s">
        <v>2916</v>
      </c>
      <c r="I190" s="55" t="s">
        <v>3199</v>
      </c>
      <c r="J190" s="78" t="s">
        <v>4105</v>
      </c>
      <c r="K190" s="22">
        <v>35.0</v>
      </c>
      <c r="L190" s="22">
        <f>+SUMIF('حركه المخزن الرئيسي اليوميه'!$F:$F,$H:$H,'حركه المخزن الرئيسي اليوميه'!$H:$H)</f>
        <v>0.0</v>
      </c>
      <c r="M190" s="22">
        <f>+SUMIF('حركه المخزن الرئيسي اليوميه'!$F:$F,$H:$H,'حركه المخزن الرئيسي اليوميه'!$I:$I)</f>
        <v>0.0</v>
      </c>
      <c r="N190" s="22">
        <f>+K190+L190-M190</f>
        <v>35.0</v>
      </c>
      <c r="O190" s="22">
        <f>+N190</f>
        <v>35.0</v>
      </c>
      <c r="P190" s="22">
        <f>+N190-O190</f>
        <v>0.0</v>
      </c>
      <c r="Q190" s="57"/>
      <c r="R190" s="58"/>
    </row>
    <row r="191" spans="8:8" ht="15.0" customHeight="1">
      <c r="B191" s="54">
        <v>182.0</v>
      </c>
      <c r="C191" s="8" t="s">
        <v>8351</v>
      </c>
      <c r="D191" s="8" t="s">
        <v>828</v>
      </c>
      <c r="E191" s="8" t="s">
        <v>1604</v>
      </c>
      <c r="F191" s="8" t="s">
        <v>1501</v>
      </c>
      <c r="G191" s="8" t="s">
        <v>2295</v>
      </c>
      <c r="H191" s="8" t="s">
        <v>1604</v>
      </c>
      <c r="I191" s="55" t="s">
        <v>3202</v>
      </c>
      <c r="J191" s="78" t="s">
        <v>4106</v>
      </c>
      <c r="K191" s="22">
        <v>4.0</v>
      </c>
      <c r="L191" s="22">
        <f>+SUMIF('حركه المخزن الرئيسي اليوميه'!$F:$F,$H:$H,'حركه المخزن الرئيسي اليوميه'!$H:$H)</f>
        <v>0.0</v>
      </c>
      <c r="M191" s="22">
        <f>+SUMIF('حركه المخزن الرئيسي اليوميه'!$F:$F,$H:$H,'حركه المخزن الرئيسي اليوميه'!$I:$I)</f>
        <v>0.0</v>
      </c>
      <c r="N191" s="22">
        <f>+K191+L191-M191</f>
        <v>4.0</v>
      </c>
      <c r="O191" s="22">
        <f>+N191</f>
        <v>4.0</v>
      </c>
      <c r="P191" s="22">
        <f>+N191-O191</f>
        <v>0.0</v>
      </c>
      <c r="Q191" s="57"/>
      <c r="R191" s="58"/>
    </row>
    <row r="192" spans="8:8" ht="15.0" customHeight="1">
      <c r="B192" s="54">
        <v>183.0</v>
      </c>
      <c r="C192" s="8" t="s">
        <v>8351</v>
      </c>
      <c r="D192" s="8" t="s">
        <v>828</v>
      </c>
      <c r="E192" s="8" t="s">
        <v>2748</v>
      </c>
      <c r="F192" s="8" t="s">
        <v>1501</v>
      </c>
      <c r="G192" s="8" t="s">
        <v>2295</v>
      </c>
      <c r="H192" s="8" t="s">
        <v>2748</v>
      </c>
      <c r="I192" s="55" t="s">
        <v>3202</v>
      </c>
      <c r="J192" s="78" t="s">
        <v>4107</v>
      </c>
      <c r="K192" s="22">
        <v>0.0</v>
      </c>
      <c r="L192" s="22">
        <f>+SUMIF('حركه المخزن الرئيسي اليوميه'!$F:$F,$H:$H,'حركه المخزن الرئيسي اليوميه'!$H:$H)</f>
        <v>0.0</v>
      </c>
      <c r="M192" s="22">
        <f>+SUMIF('حركه المخزن الرئيسي اليوميه'!$F:$F,$H:$H,'حركه المخزن الرئيسي اليوميه'!$I:$I)</f>
        <v>0.0</v>
      </c>
      <c r="N192" s="22">
        <f>+K192+L192-M192</f>
        <v>0.0</v>
      </c>
      <c r="O192" s="22">
        <f>+N192</f>
        <v>0.0</v>
      </c>
      <c r="P192" s="22">
        <f>+N192-O192</f>
        <v>0.0</v>
      </c>
      <c r="Q192" s="57"/>
      <c r="R192" s="58"/>
    </row>
    <row r="193" spans="8:8" ht="15.0" customHeight="1">
      <c r="B193" s="54">
        <v>184.0</v>
      </c>
      <c r="C193" s="8" t="s">
        <v>8351</v>
      </c>
      <c r="D193" s="8" t="s">
        <v>1340</v>
      </c>
      <c r="E193" s="8" t="s">
        <v>3270</v>
      </c>
      <c r="F193" s="8" t="s">
        <v>68</v>
      </c>
      <c r="G193" s="8" t="s">
        <v>1029</v>
      </c>
      <c r="H193" s="8" t="s">
        <v>1075</v>
      </c>
      <c r="I193" s="55" t="s">
        <v>3198</v>
      </c>
      <c r="J193" s="78" t="s">
        <v>4108</v>
      </c>
      <c r="K193" s="22">
        <v>11.0</v>
      </c>
      <c r="L193" s="22">
        <f>+SUMIF('حركه المخزن الرئيسي اليوميه'!$F:$F,$H:$H,'حركه المخزن الرئيسي اليوميه'!$H:$H)</f>
        <v>0.0</v>
      </c>
      <c r="M193" s="22">
        <f>+SUMIF('حركه المخزن الرئيسي اليوميه'!$F:$F,$H:$H,'حركه المخزن الرئيسي اليوميه'!$I:$I)</f>
        <v>0.0</v>
      </c>
      <c r="N193" s="22">
        <f>+K193+L193-M193</f>
        <v>11.0</v>
      </c>
      <c r="O193" s="22">
        <f>+N193</f>
        <v>11.0</v>
      </c>
      <c r="P193" s="22">
        <f>+N193-O193</f>
        <v>0.0</v>
      </c>
      <c r="Q193" s="57"/>
      <c r="R193" s="58"/>
    </row>
    <row r="194" spans="8:8" ht="15.0" customHeight="1">
      <c r="B194" s="54">
        <v>185.0</v>
      </c>
      <c r="C194" s="8" t="s">
        <v>8351</v>
      </c>
      <c r="D194" s="8" t="s">
        <v>1340</v>
      </c>
      <c r="E194" s="8" t="s">
        <v>2791</v>
      </c>
      <c r="F194" s="8" t="s">
        <v>68</v>
      </c>
      <c r="G194" s="8" t="s">
        <v>2193</v>
      </c>
      <c r="H194" s="8" t="s">
        <v>1076</v>
      </c>
      <c r="I194" s="55" t="s">
        <v>3198</v>
      </c>
      <c r="J194" s="78" t="s">
        <v>4109</v>
      </c>
      <c r="K194" s="22">
        <v>77.0</v>
      </c>
      <c r="L194" s="22">
        <f>+SUMIF('حركه المخزن الرئيسي اليوميه'!$F:$F,$H:$H,'حركه المخزن الرئيسي اليوميه'!$H:$H)</f>
        <v>0.0</v>
      </c>
      <c r="M194" s="22">
        <f>+SUMIF('حركه المخزن الرئيسي اليوميه'!$F:$F,$H:$H,'حركه المخزن الرئيسي اليوميه'!$I:$I)</f>
        <v>0.0</v>
      </c>
      <c r="N194" s="22">
        <f>+K194+L194-M194</f>
        <v>77.0</v>
      </c>
      <c r="O194" s="22">
        <f>+N194</f>
        <v>77.0</v>
      </c>
      <c r="P194" s="22">
        <f>+N194-O194</f>
        <v>0.0</v>
      </c>
      <c r="Q194" s="57"/>
      <c r="R194" s="58"/>
    </row>
    <row r="195" spans="8:8" ht="15.0" customHeight="1">
      <c r="B195" s="54">
        <v>186.0</v>
      </c>
      <c r="C195" s="8" t="s">
        <v>8351</v>
      </c>
      <c r="D195" s="8" t="s">
        <v>1340</v>
      </c>
      <c r="E195" s="8" t="s">
        <v>2919</v>
      </c>
      <c r="F195" s="8" t="s">
        <v>68</v>
      </c>
      <c r="G195" s="8" t="s">
        <v>1031</v>
      </c>
      <c r="H195" s="8" t="s">
        <v>2919</v>
      </c>
      <c r="I195" s="55" t="s">
        <v>3199</v>
      </c>
      <c r="J195" s="78" t="s">
        <v>4110</v>
      </c>
      <c r="K195" s="22">
        <v>4.0</v>
      </c>
      <c r="L195" s="22">
        <f>+SUMIF('حركه المخزن الرئيسي اليوميه'!$F:$F,$H:$H,'حركه المخزن الرئيسي اليوميه'!$H:$H)</f>
        <v>0.0</v>
      </c>
      <c r="M195" s="22">
        <f>+SUMIF('حركه المخزن الرئيسي اليوميه'!$F:$F,$H:$H,'حركه المخزن الرئيسي اليوميه'!$I:$I)</f>
        <v>0.0</v>
      </c>
      <c r="N195" s="22">
        <f>+K195+L195-M195</f>
        <v>4.0</v>
      </c>
      <c r="O195" s="22">
        <f>+N195</f>
        <v>4.0</v>
      </c>
      <c r="P195" s="22">
        <f>+N195-O195</f>
        <v>0.0</v>
      </c>
      <c r="Q195" s="57"/>
      <c r="R195" s="58"/>
    </row>
    <row r="196" spans="8:8" ht="15.0" customHeight="1">
      <c r="B196" s="54">
        <v>187.0</v>
      </c>
      <c r="C196" s="8" t="s">
        <v>8351</v>
      </c>
      <c r="D196" s="8" t="s">
        <v>1340</v>
      </c>
      <c r="E196" s="8" t="s">
        <v>2915</v>
      </c>
      <c r="F196" s="8" t="s">
        <v>68</v>
      </c>
      <c r="G196" s="8"/>
      <c r="H196" s="8" t="s">
        <v>2914</v>
      </c>
      <c r="I196" s="55" t="s">
        <v>3199</v>
      </c>
      <c r="J196" s="78" t="s">
        <v>4111</v>
      </c>
      <c r="K196" s="22">
        <v>6.0</v>
      </c>
      <c r="L196" s="22">
        <f>+SUMIF('حركه المخزن الرئيسي اليوميه'!$F:$F,$H:$H,'حركه المخزن الرئيسي اليوميه'!$H:$H)</f>
        <v>0.0</v>
      </c>
      <c r="M196" s="22">
        <f>+SUMIF('حركه المخزن الرئيسي اليوميه'!$F:$F,$H:$H,'حركه المخزن الرئيسي اليوميه'!$I:$I)</f>
        <v>0.0</v>
      </c>
      <c r="N196" s="22">
        <f>+K196+L196-M196</f>
        <v>6.0</v>
      </c>
      <c r="O196" s="22">
        <f>+N196</f>
        <v>6.0</v>
      </c>
      <c r="P196" s="22">
        <f>+N196-O196</f>
        <v>0.0</v>
      </c>
      <c r="Q196" s="57"/>
      <c r="R196" s="58"/>
    </row>
    <row r="197" spans="8:8" ht="15.0" customHeight="1">
      <c r="B197" s="54">
        <v>188.0</v>
      </c>
      <c r="C197" s="8" t="s">
        <v>8351</v>
      </c>
      <c r="D197" s="84" t="s">
        <v>1340</v>
      </c>
      <c r="E197" s="84" t="s">
        <v>2557</v>
      </c>
      <c r="F197" s="84" t="s">
        <v>68</v>
      </c>
      <c r="G197" s="84" t="s">
        <v>1999</v>
      </c>
      <c r="H197" s="84" t="s">
        <v>2558</v>
      </c>
      <c r="I197" s="85" t="s">
        <v>3199</v>
      </c>
      <c r="J197" s="78" t="s">
        <v>4112</v>
      </c>
      <c r="K197" s="22">
        <v>60.0</v>
      </c>
      <c r="L197" s="22">
        <f>+SUMIF('حركه المخزن الرئيسي اليوميه'!$F:$F,$H:$H,'حركه المخزن الرئيسي اليوميه'!$H:$H)</f>
        <v>0.0</v>
      </c>
      <c r="M197" s="22">
        <f>+SUMIF('حركه المخزن الرئيسي اليوميه'!$F:$F,$H:$H,'حركه المخزن الرئيسي اليوميه'!$I:$I)</f>
        <v>0.0</v>
      </c>
      <c r="N197" s="22">
        <f>+K197+L197-M197</f>
        <v>60.0</v>
      </c>
      <c r="O197" s="22">
        <f>+N197</f>
        <v>60.0</v>
      </c>
      <c r="P197" s="22">
        <f>+N197-O197</f>
        <v>0.0</v>
      </c>
      <c r="Q197" s="57"/>
      <c r="R197" s="58"/>
    </row>
    <row r="198" spans="8:8" ht="15.0" customHeight="1">
      <c r="B198" s="54">
        <v>189.0</v>
      </c>
      <c r="C198" s="8" t="s">
        <v>8351</v>
      </c>
      <c r="D198" s="8" t="s">
        <v>765</v>
      </c>
      <c r="E198" s="8" t="s">
        <v>2744</v>
      </c>
      <c r="F198" s="8" t="s">
        <v>68</v>
      </c>
      <c r="G198" s="8"/>
      <c r="H198" s="8" t="s">
        <v>2744</v>
      </c>
      <c r="I198" s="8" t="s">
        <v>3199</v>
      </c>
      <c r="J198" s="78" t="s">
        <v>4113</v>
      </c>
      <c r="K198" s="22">
        <v>40.0</v>
      </c>
      <c r="L198" s="22">
        <f>+SUMIF('حركه المخزن الرئيسي اليوميه'!$F:$F,$H:$H,'حركه المخزن الرئيسي اليوميه'!$H:$H)</f>
        <v>0.0</v>
      </c>
      <c r="M198" s="22">
        <f>+SUMIF('حركه المخزن الرئيسي اليوميه'!$F:$F,$H:$H,'حركه المخزن الرئيسي اليوميه'!$I:$I)</f>
        <v>0.0</v>
      </c>
      <c r="N198" s="22">
        <f>+K198+L198-M198</f>
        <v>40.0</v>
      </c>
      <c r="O198" s="22">
        <f>+N198</f>
        <v>40.0</v>
      </c>
      <c r="P198" s="22">
        <f>+N198-O198</f>
        <v>0.0</v>
      </c>
      <c r="Q198" s="57"/>
      <c r="R198" s="58"/>
    </row>
    <row r="199" spans="8:8" ht="15.0" customHeight="1">
      <c r="B199" s="54">
        <v>190.0</v>
      </c>
      <c r="C199" s="8" t="s">
        <v>8351</v>
      </c>
      <c r="D199" s="8" t="s">
        <v>568</v>
      </c>
      <c r="E199" s="8" t="s">
        <v>2810</v>
      </c>
      <c r="F199" s="8" t="s">
        <v>1501</v>
      </c>
      <c r="G199" s="8"/>
      <c r="H199" s="8" t="s">
        <v>2810</v>
      </c>
      <c r="I199" s="8" t="s">
        <v>3198</v>
      </c>
      <c r="J199" s="78" t="s">
        <v>4114</v>
      </c>
      <c r="K199" s="22">
        <v>8.0</v>
      </c>
      <c r="L199" s="22">
        <f>+SUMIF('حركه المخزن الرئيسي اليوميه'!$F:$F,$H:$H,'حركه المخزن الرئيسي اليوميه'!$H:$H)</f>
        <v>0.0</v>
      </c>
      <c r="M199" s="22">
        <f>+SUMIF('حركه المخزن الرئيسي اليوميه'!$F:$F,$H:$H,'حركه المخزن الرئيسي اليوميه'!$I:$I)</f>
        <v>0.0</v>
      </c>
      <c r="N199" s="22">
        <f>+K199+L199-M199</f>
        <v>8.0</v>
      </c>
      <c r="O199" s="22">
        <f>+N199</f>
        <v>8.0</v>
      </c>
      <c r="P199" s="22">
        <f>+N199-O199</f>
        <v>0.0</v>
      </c>
      <c r="Q199" s="57"/>
      <c r="R199" s="58"/>
    </row>
    <row r="200" spans="8:8" ht="15.0" customHeight="1">
      <c r="B200" s="54">
        <v>191.0</v>
      </c>
      <c r="C200" s="8" t="s">
        <v>8351</v>
      </c>
      <c r="D200" s="8" t="s">
        <v>1013</v>
      </c>
      <c r="E200" s="8" t="s">
        <v>23</v>
      </c>
      <c r="F200" s="8" t="s">
        <v>68</v>
      </c>
      <c r="G200" s="8" t="s">
        <v>2047</v>
      </c>
      <c r="H200" s="8">
        <v>22328.0</v>
      </c>
      <c r="I200" s="55" t="s">
        <v>208</v>
      </c>
      <c r="J200" s="78" t="s">
        <v>4115</v>
      </c>
      <c r="K200" s="22">
        <v>1.0</v>
      </c>
      <c r="L200" s="22">
        <f>+SUMIF('حركه المخزن الرئيسي اليوميه'!$F:$F,$H:$H,'حركه المخزن الرئيسي اليوميه'!$H:$H)</f>
        <v>0.0</v>
      </c>
      <c r="M200" s="22">
        <f>+SUMIF('حركه المخزن الرئيسي اليوميه'!$F:$F,$H:$H,'حركه المخزن الرئيسي اليوميه'!$I:$I)</f>
        <v>0.0</v>
      </c>
      <c r="N200" s="22">
        <f>+K200+L200-M200</f>
        <v>1.0</v>
      </c>
      <c r="O200" s="22">
        <f>+N200</f>
        <v>1.0</v>
      </c>
      <c r="P200" s="22">
        <f>+N200-O200</f>
        <v>0.0</v>
      </c>
      <c r="Q200" s="57"/>
      <c r="R200" s="58"/>
    </row>
    <row r="201" spans="8:8" ht="15.0" customHeight="1">
      <c r="B201" s="54">
        <v>192.0</v>
      </c>
      <c r="C201" s="8" t="s">
        <v>8351</v>
      </c>
      <c r="D201" s="8" t="s">
        <v>1013</v>
      </c>
      <c r="E201" s="8" t="s">
        <v>23</v>
      </c>
      <c r="F201" s="8" t="s">
        <v>68</v>
      </c>
      <c r="G201" s="8" t="s">
        <v>2047</v>
      </c>
      <c r="H201" s="8">
        <v>51426.0</v>
      </c>
      <c r="I201" s="55" t="s">
        <v>208</v>
      </c>
      <c r="J201" s="78" t="s">
        <v>4116</v>
      </c>
      <c r="K201" s="22">
        <v>2.0</v>
      </c>
      <c r="L201" s="22">
        <f>+SUMIF('حركه المخزن الرئيسي اليوميه'!$F:$F,$H:$H,'حركه المخزن الرئيسي اليوميه'!$H:$H)</f>
        <v>0.0</v>
      </c>
      <c r="M201" s="22">
        <f>+SUMIF('حركه المخزن الرئيسي اليوميه'!$F:$F,$H:$H,'حركه المخزن الرئيسي اليوميه'!$I:$I)</f>
        <v>0.0</v>
      </c>
      <c r="N201" s="22">
        <f>+K201+L201-M201</f>
        <v>2.0</v>
      </c>
      <c r="O201" s="22">
        <f>+N201</f>
        <v>2.0</v>
      </c>
      <c r="P201" s="22">
        <f>+N201-O201</f>
        <v>0.0</v>
      </c>
      <c r="Q201" s="57"/>
      <c r="R201" s="58"/>
    </row>
    <row r="202" spans="8:8" ht="15.0" customHeight="1">
      <c r="B202" s="54">
        <v>193.0</v>
      </c>
      <c r="C202" s="8" t="s">
        <v>8351</v>
      </c>
      <c r="D202" s="8" t="s">
        <v>1013</v>
      </c>
      <c r="E202" s="8" t="s">
        <v>23</v>
      </c>
      <c r="F202" s="8" t="s">
        <v>68</v>
      </c>
      <c r="G202" s="8" t="s">
        <v>2047</v>
      </c>
      <c r="H202" s="8">
        <v>2007144.0</v>
      </c>
      <c r="I202" s="55" t="s">
        <v>208</v>
      </c>
      <c r="J202" s="78" t="s">
        <v>4117</v>
      </c>
      <c r="K202" s="22">
        <v>2.0</v>
      </c>
      <c r="L202" s="22">
        <f>+SUMIF('حركه المخزن الرئيسي اليوميه'!$F:$F,$H:$H,'حركه المخزن الرئيسي اليوميه'!$H:$H)</f>
        <v>0.0</v>
      </c>
      <c r="M202" s="22">
        <f>+SUMIF('حركه المخزن الرئيسي اليوميه'!$F:$F,$H:$H,'حركه المخزن الرئيسي اليوميه'!$I:$I)</f>
        <v>0.0</v>
      </c>
      <c r="N202" s="22">
        <f>+K202+L202-M202</f>
        <v>2.0</v>
      </c>
      <c r="O202" s="22">
        <f>+N202</f>
        <v>2.0</v>
      </c>
      <c r="P202" s="22">
        <f>+N202-O202</f>
        <v>0.0</v>
      </c>
      <c r="Q202" s="57"/>
      <c r="R202" s="58"/>
    </row>
    <row r="203" spans="8:8" ht="15.0" customHeight="1">
      <c r="B203" s="54">
        <v>194.0</v>
      </c>
      <c r="C203" s="8" t="s">
        <v>8351</v>
      </c>
      <c r="D203" s="8" t="s">
        <v>1013</v>
      </c>
      <c r="E203" s="8" t="s">
        <v>23</v>
      </c>
      <c r="F203" s="8" t="s">
        <v>68</v>
      </c>
      <c r="G203" s="8" t="s">
        <v>2047</v>
      </c>
      <c r="H203" s="8" t="s">
        <v>2530</v>
      </c>
      <c r="I203" s="55" t="s">
        <v>208</v>
      </c>
      <c r="J203" s="78" t="s">
        <v>4118</v>
      </c>
      <c r="K203" s="22">
        <v>1.0</v>
      </c>
      <c r="L203" s="22">
        <f>+SUMIF('حركه المخزن الرئيسي اليوميه'!$F:$F,$H:$H,'حركه المخزن الرئيسي اليوميه'!$H:$H)</f>
        <v>0.0</v>
      </c>
      <c r="M203" s="22">
        <f>+SUMIF('حركه المخزن الرئيسي اليوميه'!$F:$F,$H:$H,'حركه المخزن الرئيسي اليوميه'!$I:$I)</f>
        <v>0.0</v>
      </c>
      <c r="N203" s="22">
        <f>+K203+L203-M203</f>
        <v>1.0</v>
      </c>
      <c r="O203" s="22">
        <f>+N203</f>
        <v>1.0</v>
      </c>
      <c r="P203" s="22">
        <f>+N203-O203</f>
        <v>0.0</v>
      </c>
      <c r="Q203" s="57"/>
      <c r="R203" s="58"/>
    </row>
    <row r="204" spans="8:8" ht="15.0" customHeight="1">
      <c r="B204" s="54">
        <v>195.0</v>
      </c>
      <c r="C204" s="8" t="s">
        <v>8351</v>
      </c>
      <c r="D204" s="8" t="s">
        <v>1013</v>
      </c>
      <c r="E204" s="8" t="s">
        <v>23</v>
      </c>
      <c r="F204" s="8" t="s">
        <v>68</v>
      </c>
      <c r="G204" s="8" t="s">
        <v>2047</v>
      </c>
      <c r="H204" s="8" t="s">
        <v>3378</v>
      </c>
      <c r="I204" s="86" t="s">
        <v>208</v>
      </c>
      <c r="J204" s="78" t="s">
        <v>4119</v>
      </c>
      <c r="K204" s="22">
        <v>1.0</v>
      </c>
      <c r="L204" s="22">
        <f>+SUMIF('حركه المخزن الرئيسي اليوميه'!$F:$F,$H:$H,'حركه المخزن الرئيسي اليوميه'!$H:$H)</f>
        <v>0.0</v>
      </c>
      <c r="M204" s="22">
        <f>+SUMIF('حركه المخزن الرئيسي اليوميه'!$F:$F,$H:$H,'حركه المخزن الرئيسي اليوميه'!$I:$I)</f>
        <v>0.0</v>
      </c>
      <c r="N204" s="22">
        <f>+K204+L204-M204</f>
        <v>1.0</v>
      </c>
      <c r="O204" s="22">
        <f>+N204</f>
        <v>1.0</v>
      </c>
      <c r="P204" s="22">
        <f>+N204-O204</f>
        <v>0.0</v>
      </c>
      <c r="Q204" s="57"/>
      <c r="R204" s="58"/>
    </row>
    <row r="205" spans="8:8" ht="15.0" customHeight="1">
      <c r="B205" s="54">
        <v>197.0</v>
      </c>
      <c r="C205" s="8" t="s">
        <v>8351</v>
      </c>
      <c r="D205" s="8" t="s">
        <v>1013</v>
      </c>
      <c r="E205" s="8" t="s">
        <v>23</v>
      </c>
      <c r="F205" s="8" t="s">
        <v>68</v>
      </c>
      <c r="G205" s="8" t="s">
        <v>2047</v>
      </c>
      <c r="H205" s="8" t="s">
        <v>210</v>
      </c>
      <c r="I205" s="8" t="s">
        <v>208</v>
      </c>
      <c r="J205" s="78" t="s">
        <v>4120</v>
      </c>
      <c r="K205" s="22">
        <v>1.0</v>
      </c>
      <c r="L205" s="22">
        <f>+SUMIF('حركه المخزن الرئيسي اليوميه'!$F:$F,$H:$H,'حركه المخزن الرئيسي اليوميه'!$H:$H)</f>
        <v>0.0</v>
      </c>
      <c r="M205" s="22">
        <f>+SUMIF('حركه المخزن الرئيسي اليوميه'!$F:$F,$H:$H,'حركه المخزن الرئيسي اليوميه'!$I:$I)</f>
        <v>0.0</v>
      </c>
      <c r="N205" s="22">
        <f>+K205+L205-M205</f>
        <v>1.0</v>
      </c>
      <c r="O205" s="22">
        <f>+N205</f>
        <v>1.0</v>
      </c>
      <c r="P205" s="22">
        <f>+N205-O205</f>
        <v>0.0</v>
      </c>
      <c r="Q205" s="57"/>
      <c r="R205" s="58"/>
    </row>
    <row r="206" spans="8:8" ht="15.0" customHeight="1">
      <c r="B206" s="54">
        <v>198.0</v>
      </c>
      <c r="C206" s="8" t="s">
        <v>8351</v>
      </c>
      <c r="D206" s="8" t="s">
        <v>1013</v>
      </c>
      <c r="E206" s="8" t="s">
        <v>23</v>
      </c>
      <c r="F206" s="8" t="s">
        <v>68</v>
      </c>
      <c r="G206" s="8" t="s">
        <v>2047</v>
      </c>
      <c r="H206" s="8" t="s">
        <v>213</v>
      </c>
      <c r="I206" s="8" t="s">
        <v>208</v>
      </c>
      <c r="J206" s="78" t="s">
        <v>4121</v>
      </c>
      <c r="K206" s="22">
        <v>1.0</v>
      </c>
      <c r="L206" s="22">
        <f>+SUMIF('حركه المخزن الرئيسي اليوميه'!$F:$F,$H:$H,'حركه المخزن الرئيسي اليوميه'!$H:$H)</f>
        <v>0.0</v>
      </c>
      <c r="M206" s="22">
        <f>+SUMIF('حركه المخزن الرئيسي اليوميه'!$F:$F,$H:$H,'حركه المخزن الرئيسي اليوميه'!$I:$I)</f>
        <v>0.0</v>
      </c>
      <c r="N206" s="22">
        <f>+K206+L206-M206</f>
        <v>1.0</v>
      </c>
      <c r="O206" s="22">
        <f>+N206</f>
        <v>1.0</v>
      </c>
      <c r="P206" s="22">
        <f>+N206-O206</f>
        <v>0.0</v>
      </c>
      <c r="Q206" s="57"/>
      <c r="R206" s="58"/>
    </row>
    <row r="207" spans="8:8" ht="15.0" customHeight="1">
      <c r="B207" s="54">
        <v>199.0</v>
      </c>
      <c r="C207" s="8" t="s">
        <v>8351</v>
      </c>
      <c r="D207" s="8" t="s">
        <v>1013</v>
      </c>
      <c r="E207" s="8" t="s">
        <v>23</v>
      </c>
      <c r="F207" s="8" t="s">
        <v>68</v>
      </c>
      <c r="G207" s="8" t="s">
        <v>2047</v>
      </c>
      <c r="H207" s="8" t="s">
        <v>212</v>
      </c>
      <c r="I207" s="8" t="s">
        <v>204</v>
      </c>
      <c r="J207" s="78" t="s">
        <v>4122</v>
      </c>
      <c r="K207" s="22">
        <v>2.0</v>
      </c>
      <c r="L207" s="22">
        <f>+SUMIF('حركه المخزن الرئيسي اليوميه'!$F:$F,$H:$H,'حركه المخزن الرئيسي اليوميه'!$H:$H)</f>
        <v>0.0</v>
      </c>
      <c r="M207" s="22">
        <f>+SUMIF('حركه المخزن الرئيسي اليوميه'!$F:$F,$H:$H,'حركه المخزن الرئيسي اليوميه'!$I:$I)</f>
        <v>0.0</v>
      </c>
      <c r="N207" s="22">
        <f>+K207+L207-M207</f>
        <v>2.0</v>
      </c>
      <c r="O207" s="22">
        <f>+N207</f>
        <v>2.0</v>
      </c>
      <c r="P207" s="22">
        <f>+N207-O207</f>
        <v>0.0</v>
      </c>
      <c r="Q207" s="57"/>
      <c r="R207" s="58"/>
    </row>
    <row r="208" spans="8:8" ht="15.0" customHeight="1">
      <c r="B208" s="54">
        <v>200.0</v>
      </c>
      <c r="C208" s="8" t="s">
        <v>8351</v>
      </c>
      <c r="D208" s="8" t="s">
        <v>1013</v>
      </c>
      <c r="E208" s="8" t="s">
        <v>23</v>
      </c>
      <c r="F208" s="8" t="s">
        <v>68</v>
      </c>
      <c r="G208" s="8" t="s">
        <v>2047</v>
      </c>
      <c r="H208" s="8">
        <v>3624.0</v>
      </c>
      <c r="I208" s="8" t="s">
        <v>208</v>
      </c>
      <c r="J208" s="78" t="s">
        <v>4123</v>
      </c>
      <c r="K208" s="22">
        <v>0.0</v>
      </c>
      <c r="L208" s="22">
        <f>+SUMIF('حركه المخزن الرئيسي اليوميه'!$F:$F,$H:$H,'حركه المخزن الرئيسي اليوميه'!$H:$H)</f>
        <v>0.0</v>
      </c>
      <c r="M208" s="22">
        <f>+SUMIF('حركه المخزن الرئيسي اليوميه'!$F:$F,$H:$H,'حركه المخزن الرئيسي اليوميه'!$I:$I)</f>
        <v>0.0</v>
      </c>
      <c r="N208" s="22">
        <f>+K208+L208-M208</f>
        <v>0.0</v>
      </c>
      <c r="O208" s="22">
        <f>+N208</f>
        <v>0.0</v>
      </c>
      <c r="P208" s="22">
        <f>+N208-O208</f>
        <v>0.0</v>
      </c>
      <c r="Q208" s="57"/>
      <c r="R208" s="58"/>
    </row>
    <row r="209" spans="8:8" ht="15.0" customHeight="1">
      <c r="B209" s="54">
        <v>201.0</v>
      </c>
      <c r="C209" s="8" t="s">
        <v>8351</v>
      </c>
      <c r="D209" s="8" t="s">
        <v>1020</v>
      </c>
      <c r="E209" s="8" t="s">
        <v>94</v>
      </c>
      <c r="F209" s="8" t="s">
        <v>873</v>
      </c>
      <c r="G209" s="8" t="s">
        <v>1919</v>
      </c>
      <c r="H209" s="8" t="s">
        <v>93</v>
      </c>
      <c r="I209" s="8" t="s">
        <v>96</v>
      </c>
      <c r="J209" s="78" t="s">
        <v>4124</v>
      </c>
      <c r="K209" s="22">
        <v>0.0</v>
      </c>
      <c r="L209" s="22">
        <f>+SUMIF('حركه المخزن الرئيسي اليوميه'!$F:$F,$H:$H,'حركه المخزن الرئيسي اليوميه'!$H:$H)</f>
        <v>0.0</v>
      </c>
      <c r="M209" s="22">
        <f>+SUMIF('حركه المخزن الرئيسي اليوميه'!$F:$F,$H:$H,'حركه المخزن الرئيسي اليوميه'!$I:$I)</f>
        <v>0.0</v>
      </c>
      <c r="N209" s="22">
        <f>+K209+L209-M209</f>
        <v>0.0</v>
      </c>
      <c r="O209" s="22">
        <f>+N209</f>
        <v>0.0</v>
      </c>
      <c r="P209" s="22">
        <f>+N209-O209</f>
        <v>0.0</v>
      </c>
      <c r="Q209" s="57"/>
      <c r="R209" s="58"/>
    </row>
    <row r="210" spans="8:8" ht="15.0" customHeight="1">
      <c r="B210" s="54">
        <v>202.0</v>
      </c>
      <c r="C210" s="8" t="s">
        <v>8351</v>
      </c>
      <c r="D210" s="8" t="s">
        <v>1013</v>
      </c>
      <c r="E210" s="8" t="s">
        <v>126</v>
      </c>
      <c r="F210" s="8" t="s">
        <v>125</v>
      </c>
      <c r="G210" s="8" t="s">
        <v>1681</v>
      </c>
      <c r="H210" s="8" t="s">
        <v>127</v>
      </c>
      <c r="I210" s="8" t="s">
        <v>96</v>
      </c>
      <c r="J210" s="78" t="s">
        <v>4125</v>
      </c>
      <c r="K210" s="22">
        <v>0.0</v>
      </c>
      <c r="L210" s="22">
        <f>+SUMIF('حركه المخزن الرئيسي اليوميه'!$F:$F,$H:$H,'حركه المخزن الرئيسي اليوميه'!$H:$H)</f>
        <v>0.0</v>
      </c>
      <c r="M210" s="22">
        <f>+SUMIF('حركه المخزن الرئيسي اليوميه'!$F:$F,$H:$H,'حركه المخزن الرئيسي اليوميه'!$I:$I)</f>
        <v>0.0</v>
      </c>
      <c r="N210" s="22">
        <f>+K210+L210-M210</f>
        <v>0.0</v>
      </c>
      <c r="O210" s="22">
        <f>+N210</f>
        <v>0.0</v>
      </c>
      <c r="P210" s="22">
        <f>+N210-O210</f>
        <v>0.0</v>
      </c>
      <c r="Q210" s="57"/>
      <c r="R210" s="8"/>
    </row>
    <row r="211" spans="8:8" ht="15.0" customHeight="1">
      <c r="B211" s="54">
        <v>203.0</v>
      </c>
      <c r="C211" s="8" t="s">
        <v>8351</v>
      </c>
      <c r="D211" s="8" t="s">
        <v>820</v>
      </c>
      <c r="E211" s="8" t="s">
        <v>965</v>
      </c>
      <c r="F211" s="8" t="s">
        <v>68</v>
      </c>
      <c r="G211" s="8" t="s">
        <v>1963</v>
      </c>
      <c r="H211" s="8" t="s">
        <v>925</v>
      </c>
      <c r="I211" s="8" t="s">
        <v>994</v>
      </c>
      <c r="J211" s="78" t="s">
        <v>4126</v>
      </c>
      <c r="K211" s="22">
        <v>0.0</v>
      </c>
      <c r="L211" s="22">
        <f>+SUMIF('حركه المخزن الرئيسي اليوميه'!$F:$F,$H:$H,'حركه المخزن الرئيسي اليوميه'!$H:$H)</f>
        <v>0.0</v>
      </c>
      <c r="M211" s="22">
        <f>+SUMIF('حركه المخزن الرئيسي اليوميه'!$F:$F,$H:$H,'حركه المخزن الرئيسي اليوميه'!$I:$I)</f>
        <v>0.0</v>
      </c>
      <c r="N211" s="22">
        <f>+K211+L211-M211</f>
        <v>0.0</v>
      </c>
      <c r="O211" s="22">
        <f>+N211</f>
        <v>0.0</v>
      </c>
      <c r="P211" s="22">
        <f>+N211-O211</f>
        <v>0.0</v>
      </c>
      <c r="Q211" s="57"/>
      <c r="R211" s="58"/>
    </row>
    <row r="212" spans="8:8" ht="15.0" customHeight="1">
      <c r="B212" s="54">
        <v>204.0</v>
      </c>
      <c r="C212" s="8" t="s">
        <v>8351</v>
      </c>
      <c r="D212" s="8" t="s">
        <v>1013</v>
      </c>
      <c r="E212" s="8" t="s">
        <v>77</v>
      </c>
      <c r="F212" s="8" t="s">
        <v>68</v>
      </c>
      <c r="G212" s="8" t="s">
        <v>1854</v>
      </c>
      <c r="H212" s="8" t="s">
        <v>3280</v>
      </c>
      <c r="I212" s="8" t="s">
        <v>994</v>
      </c>
      <c r="J212" s="78" t="s">
        <v>4127</v>
      </c>
      <c r="K212" s="22">
        <v>13.0</v>
      </c>
      <c r="L212" s="22">
        <f>+SUMIF('حركه المخزن الرئيسي اليوميه'!$F:$F,$H:$H,'حركه المخزن الرئيسي اليوميه'!$H:$H)</f>
        <v>0.0</v>
      </c>
      <c r="M212" s="22">
        <f>+SUMIF('حركه المخزن الرئيسي اليوميه'!$F:$F,$H:$H,'حركه المخزن الرئيسي اليوميه'!$I:$I)</f>
        <v>0.0</v>
      </c>
      <c r="N212" s="22">
        <f>+K212+L212-M212</f>
        <v>13.0</v>
      </c>
      <c r="O212" s="22">
        <f>+N212</f>
        <v>13.0</v>
      </c>
      <c r="P212" s="22">
        <f>+N212-O212</f>
        <v>0.0</v>
      </c>
      <c r="Q212" s="57"/>
      <c r="R212" s="58"/>
    </row>
    <row r="213" spans="8:8" ht="15.0" customHeight="1">
      <c r="B213" s="54">
        <v>205.0</v>
      </c>
      <c r="C213" s="8" t="s">
        <v>8351</v>
      </c>
      <c r="D213" s="8" t="s">
        <v>1013</v>
      </c>
      <c r="E213" s="8" t="s">
        <v>77</v>
      </c>
      <c r="F213" s="8" t="s">
        <v>68</v>
      </c>
      <c r="G213" s="8" t="s">
        <v>2063</v>
      </c>
      <c r="H213" s="8" t="s">
        <v>3142</v>
      </c>
      <c r="I213" s="8" t="s">
        <v>3196</v>
      </c>
      <c r="J213" s="78" t="s">
        <v>4128</v>
      </c>
      <c r="K213" s="22">
        <v>35.0</v>
      </c>
      <c r="L213" s="22">
        <f>+SUMIF('حركه المخزن الرئيسي اليوميه'!$F:$F,$H:$H,'حركه المخزن الرئيسي اليوميه'!$H:$H)</f>
        <v>0.0</v>
      </c>
      <c r="M213" s="22">
        <f>+SUMIF('حركه المخزن الرئيسي اليوميه'!$F:$F,$H:$H,'حركه المخزن الرئيسي اليوميه'!$I:$I)</f>
        <v>0.0</v>
      </c>
      <c r="N213" s="22">
        <f>+K213+L213-M213</f>
        <v>35.0</v>
      </c>
      <c r="O213" s="22">
        <f>+N213</f>
        <v>35.0</v>
      </c>
      <c r="P213" s="22">
        <f>+N213-O213</f>
        <v>0.0</v>
      </c>
      <c r="Q213" s="57"/>
      <c r="R213" s="8"/>
    </row>
    <row r="214" spans="8:8" ht="15.0" customHeight="1">
      <c r="B214" s="54">
        <v>206.0</v>
      </c>
      <c r="C214" s="8" t="s">
        <v>8351</v>
      </c>
      <c r="D214" s="8" t="s">
        <v>820</v>
      </c>
      <c r="E214" s="8" t="s">
        <v>942</v>
      </c>
      <c r="F214" s="8" t="s">
        <v>68</v>
      </c>
      <c r="G214" s="8" t="s">
        <v>1963</v>
      </c>
      <c r="H214" s="8" t="s">
        <v>942</v>
      </c>
      <c r="I214" s="8" t="s">
        <v>76</v>
      </c>
      <c r="J214" s="78" t="s">
        <v>4129</v>
      </c>
      <c r="K214" s="22">
        <v>0.0</v>
      </c>
      <c r="L214" s="22">
        <f>+SUMIF('حركه المخزن الرئيسي اليوميه'!$F:$F,$H:$H,'حركه المخزن الرئيسي اليوميه'!$H:$H)</f>
        <v>0.0</v>
      </c>
      <c r="M214" s="22">
        <f>+SUMIF('حركه المخزن الرئيسي اليوميه'!$F:$F,$H:$H,'حركه المخزن الرئيسي اليوميه'!$I:$I)</f>
        <v>0.0</v>
      </c>
      <c r="N214" s="22">
        <f>+K214+L214-M214</f>
        <v>0.0</v>
      </c>
      <c r="O214" s="22">
        <f>+N214</f>
        <v>0.0</v>
      </c>
      <c r="P214" s="22">
        <f>+N214-O214</f>
        <v>0.0</v>
      </c>
      <c r="Q214" s="57"/>
      <c r="R214" s="8"/>
    </row>
    <row r="215" spans="8:8" ht="15.0" customHeight="1">
      <c r="B215" s="54">
        <v>207.0</v>
      </c>
      <c r="C215" s="8" t="s">
        <v>8351</v>
      </c>
      <c r="D215" s="8" t="s">
        <v>828</v>
      </c>
      <c r="E215" s="8" t="s">
        <v>470</v>
      </c>
      <c r="F215" s="8" t="s">
        <v>68</v>
      </c>
      <c r="G215" s="8"/>
      <c r="H215" s="8" t="s">
        <v>2550</v>
      </c>
      <c r="I215" s="8" t="s">
        <v>818</v>
      </c>
      <c r="J215" s="78" t="s">
        <v>4130</v>
      </c>
      <c r="K215" s="22">
        <v>1.0</v>
      </c>
      <c r="L215" s="22">
        <f>+SUMIF('حركه المخزن الرئيسي اليوميه'!$F:$F,$H:$H,'حركه المخزن الرئيسي اليوميه'!$H:$H)</f>
        <v>0.0</v>
      </c>
      <c r="M215" s="22">
        <f>+SUMIF('حركه المخزن الرئيسي اليوميه'!$F:$F,$H:$H,'حركه المخزن الرئيسي اليوميه'!$I:$I)</f>
        <v>0.0</v>
      </c>
      <c r="N215" s="22">
        <f>+K215+L215-M215</f>
        <v>1.0</v>
      </c>
      <c r="O215" s="22">
        <f>+N215</f>
        <v>1.0</v>
      </c>
      <c r="P215" s="22">
        <f>+N215-O215</f>
        <v>0.0</v>
      </c>
      <c r="Q215" s="57"/>
      <c r="R215" s="58"/>
    </row>
    <row r="216" spans="8:8" ht="15.0" customHeight="1">
      <c r="B216" s="54">
        <v>208.0</v>
      </c>
      <c r="C216" s="8" t="s">
        <v>8351</v>
      </c>
      <c r="D216" s="8" t="s">
        <v>828</v>
      </c>
      <c r="E216" s="8" t="s">
        <v>470</v>
      </c>
      <c r="F216" s="8" t="s">
        <v>68</v>
      </c>
      <c r="G216" s="8"/>
      <c r="H216" s="8" t="s">
        <v>3003</v>
      </c>
      <c r="I216" s="8" t="s">
        <v>818</v>
      </c>
      <c r="J216" s="78" t="s">
        <v>4131</v>
      </c>
      <c r="K216" s="22">
        <v>5.0</v>
      </c>
      <c r="L216" s="22">
        <f>+SUMIF('حركه المخزن الرئيسي اليوميه'!$F:$F,$H:$H,'حركه المخزن الرئيسي اليوميه'!$H:$H)</f>
        <v>0.0</v>
      </c>
      <c r="M216" s="22">
        <f>+SUMIF('حركه المخزن الرئيسي اليوميه'!$F:$F,$H:$H,'حركه المخزن الرئيسي اليوميه'!$I:$I)</f>
        <v>0.0</v>
      </c>
      <c r="N216" s="22">
        <f>+K216+L216-M216</f>
        <v>5.0</v>
      </c>
      <c r="O216" s="22">
        <f>+N216</f>
        <v>5.0</v>
      </c>
      <c r="P216" s="22">
        <f>+N216-O216</f>
        <v>0.0</v>
      </c>
      <c r="Q216" s="57"/>
      <c r="R216" s="58"/>
    </row>
    <row r="217" spans="8:8">
      <c r="B217" s="54">
        <v>209.0</v>
      </c>
      <c r="C217" s="8" t="s">
        <v>8351</v>
      </c>
      <c r="D217" s="8" t="s">
        <v>1013</v>
      </c>
      <c r="E217" s="8" t="s">
        <v>395</v>
      </c>
      <c r="F217" s="8" t="s">
        <v>68</v>
      </c>
      <c r="G217" s="8"/>
      <c r="H217" s="8" t="s">
        <v>1126</v>
      </c>
      <c r="I217" s="8" t="s">
        <v>190</v>
      </c>
      <c r="J217" s="78" t="s">
        <v>4132</v>
      </c>
      <c r="K217" s="22">
        <v>4.0</v>
      </c>
      <c r="L217" s="22">
        <f>+SUMIF('حركه المخزن الرئيسي اليوميه'!$F:$F,$H:$H,'حركه المخزن الرئيسي اليوميه'!$H:$H)</f>
        <v>0.0</v>
      </c>
      <c r="M217" s="22">
        <f>+SUMIF('حركه المخزن الرئيسي اليوميه'!$F:$F,$H:$H,'حركه المخزن الرئيسي اليوميه'!$I:$I)</f>
        <v>0.0</v>
      </c>
      <c r="N217" s="22">
        <f>+K217+L217-M217</f>
        <v>4.0</v>
      </c>
      <c r="O217" s="22">
        <f>+N217</f>
        <v>4.0</v>
      </c>
      <c r="P217" s="22">
        <f>+N217-O217</f>
        <v>0.0</v>
      </c>
      <c r="Q217" s="57"/>
      <c r="R217" s="58"/>
    </row>
    <row r="218" spans="8:8">
      <c r="B218" s="54">
        <v>210.0</v>
      </c>
      <c r="C218" s="8" t="s">
        <v>8351</v>
      </c>
      <c r="D218" s="8" t="s">
        <v>1013</v>
      </c>
      <c r="E218" s="8" t="s">
        <v>395</v>
      </c>
      <c r="F218" s="8" t="s">
        <v>68</v>
      </c>
      <c r="G218" s="8" t="s">
        <v>2131</v>
      </c>
      <c r="H218" s="8" t="s">
        <v>2490</v>
      </c>
      <c r="I218" s="8" t="s">
        <v>190</v>
      </c>
      <c r="J218" s="78" t="s">
        <v>4133</v>
      </c>
      <c r="K218" s="22">
        <v>3.0</v>
      </c>
      <c r="L218" s="22">
        <f>+SUMIF('حركه المخزن الرئيسي اليوميه'!$F:$F,$H:$H,'حركه المخزن الرئيسي اليوميه'!$H:$H)</f>
        <v>0.0</v>
      </c>
      <c r="M218" s="22">
        <f>+SUMIF('حركه المخزن الرئيسي اليوميه'!$F:$F,$H:$H,'حركه المخزن الرئيسي اليوميه'!$I:$I)</f>
        <v>0.0</v>
      </c>
      <c r="N218" s="22">
        <f>+K218+L218-M218</f>
        <v>3.0</v>
      </c>
      <c r="O218" s="22">
        <f>+N218</f>
        <v>3.0</v>
      </c>
      <c r="P218" s="22">
        <f>+N218-O218</f>
        <v>0.0</v>
      </c>
      <c r="Q218" s="57"/>
      <c r="R218" s="58"/>
    </row>
    <row r="219" spans="8:8" ht="15.0" customHeight="1">
      <c r="B219" s="54">
        <v>211.0</v>
      </c>
      <c r="C219" s="8" t="s">
        <v>8351</v>
      </c>
      <c r="D219" s="8" t="s">
        <v>1021</v>
      </c>
      <c r="E219" s="8" t="s">
        <v>130</v>
      </c>
      <c r="F219" s="8" t="s">
        <v>873</v>
      </c>
      <c r="G219" s="8" t="s">
        <v>1917</v>
      </c>
      <c r="H219" s="8" t="s">
        <v>93</v>
      </c>
      <c r="I219" s="8" t="s">
        <v>35</v>
      </c>
      <c r="J219" s="78" t="s">
        <v>4134</v>
      </c>
      <c r="K219" s="22">
        <v>0.0</v>
      </c>
      <c r="L219" s="22">
        <f>+SUMIF('حركه المخزن الرئيسي اليوميه'!$F:$F,$H:$H,'حركه المخزن الرئيسي اليوميه'!$H:$H)</f>
        <v>0.0</v>
      </c>
      <c r="M219" s="22">
        <f>+SUMIF('حركه المخزن الرئيسي اليوميه'!$F:$F,$H:$H,'حركه المخزن الرئيسي اليوميه'!$I:$I)</f>
        <v>0.0</v>
      </c>
      <c r="N219" s="22">
        <f>+K219+L219-M219</f>
        <v>0.0</v>
      </c>
      <c r="O219" s="22">
        <f>+N219</f>
        <v>0.0</v>
      </c>
      <c r="P219" s="22">
        <f>+N219-O219</f>
        <v>0.0</v>
      </c>
      <c r="Q219" s="57"/>
      <c r="R219" s="58"/>
    </row>
    <row r="220" spans="8:8" ht="15.0" customHeight="1">
      <c r="B220" s="54">
        <v>212.0</v>
      </c>
      <c r="C220" s="8" t="s">
        <v>8351</v>
      </c>
      <c r="D220" s="8" t="s">
        <v>828</v>
      </c>
      <c r="E220" s="8" t="s">
        <v>470</v>
      </c>
      <c r="F220" s="8" t="s">
        <v>68</v>
      </c>
      <c r="G220" s="8"/>
      <c r="H220" s="8" t="s">
        <v>2549</v>
      </c>
      <c r="I220" s="8" t="s">
        <v>818</v>
      </c>
      <c r="J220" s="78" t="s">
        <v>4135</v>
      </c>
      <c r="K220" s="22">
        <v>1.0</v>
      </c>
      <c r="L220" s="22">
        <f>+SUMIF('حركه المخزن الرئيسي اليوميه'!$F:$F,$H:$H,'حركه المخزن الرئيسي اليوميه'!$H:$H)</f>
        <v>0.0</v>
      </c>
      <c r="M220" s="22">
        <f>+SUMIF('حركه المخزن الرئيسي اليوميه'!$F:$F,$H:$H,'حركه المخزن الرئيسي اليوميه'!$I:$I)</f>
        <v>0.0</v>
      </c>
      <c r="N220" s="22">
        <f>+K220+L220-M220</f>
        <v>1.0</v>
      </c>
      <c r="O220" s="22">
        <f>+N220</f>
        <v>1.0</v>
      </c>
      <c r="P220" s="22">
        <f>+N220-O220</f>
        <v>0.0</v>
      </c>
      <c r="Q220" s="57"/>
      <c r="R220" s="58"/>
    </row>
    <row r="221" spans="8:8" ht="15.0" customHeight="1">
      <c r="B221" s="54">
        <v>213.0</v>
      </c>
      <c r="C221" s="8" t="s">
        <v>8351</v>
      </c>
      <c r="D221" s="8" t="s">
        <v>765</v>
      </c>
      <c r="E221" s="8" t="s">
        <v>8136</v>
      </c>
      <c r="F221" s="8" t="s">
        <v>1046</v>
      </c>
      <c r="G221" s="8"/>
      <c r="H221" s="8" t="s">
        <v>8136</v>
      </c>
      <c r="I221" s="8" t="s">
        <v>8137</v>
      </c>
      <c r="J221" s="78" t="s">
        <v>4136</v>
      </c>
      <c r="K221" s="22">
        <v>47.0</v>
      </c>
      <c r="L221" s="22">
        <f>+SUMIF('حركه المخزن الرئيسي اليوميه'!$F:$F,$H:$H,'حركه المخزن الرئيسي اليوميه'!$H:$H)</f>
        <v>0.0</v>
      </c>
      <c r="M221" s="22">
        <f>+SUMIF('حركه المخزن الرئيسي اليوميه'!$F:$F,$H:$H,'حركه المخزن الرئيسي اليوميه'!$I:$I)</f>
        <v>14.0</v>
      </c>
      <c r="N221" s="22">
        <f>+K221+L221-M221</f>
        <v>33.0</v>
      </c>
      <c r="O221" s="22">
        <f>+N221</f>
        <v>33.0</v>
      </c>
      <c r="P221" s="22">
        <f>+N221-O221</f>
        <v>0.0</v>
      </c>
      <c r="Q221" s="57"/>
      <c r="R221" s="58"/>
    </row>
    <row r="222" spans="8:8" ht="15.0" customHeight="1">
      <c r="B222" s="54">
        <v>214.0</v>
      </c>
      <c r="C222" s="8" t="s">
        <v>8351</v>
      </c>
      <c r="D222" s="8" t="s">
        <v>1013</v>
      </c>
      <c r="E222" s="8" t="s">
        <v>396</v>
      </c>
      <c r="F222" s="8" t="s">
        <v>68</v>
      </c>
      <c r="G222" s="8" t="s">
        <v>2132</v>
      </c>
      <c r="H222" s="8" t="s">
        <v>1125</v>
      </c>
      <c r="I222" s="8" t="s">
        <v>190</v>
      </c>
      <c r="J222" s="78" t="s">
        <v>4137</v>
      </c>
      <c r="K222" s="22">
        <v>3.0</v>
      </c>
      <c r="L222" s="22">
        <f>+SUMIF('حركه المخزن الرئيسي اليوميه'!$F:$F,$H:$H,'حركه المخزن الرئيسي اليوميه'!$H:$H)</f>
        <v>0.0</v>
      </c>
      <c r="M222" s="22">
        <f>+SUMIF('حركه المخزن الرئيسي اليوميه'!$F:$F,$H:$H,'حركه المخزن الرئيسي اليوميه'!$I:$I)</f>
        <v>0.0</v>
      </c>
      <c r="N222" s="22">
        <f>+K222+L222-M222</f>
        <v>3.0</v>
      </c>
      <c r="O222" s="22">
        <f>+N222</f>
        <v>3.0</v>
      </c>
      <c r="P222" s="22">
        <f>+N222-O222</f>
        <v>0.0</v>
      </c>
      <c r="Q222" s="57"/>
      <c r="R222" s="58"/>
    </row>
    <row r="223" spans="8:8" ht="15.0" customHeight="1">
      <c r="B223" s="54">
        <v>215.0</v>
      </c>
      <c r="C223" s="8" t="s">
        <v>8351</v>
      </c>
      <c r="D223" s="8" t="s">
        <v>1013</v>
      </c>
      <c r="E223" s="8" t="s">
        <v>2491</v>
      </c>
      <c r="F223" s="8" t="s">
        <v>68</v>
      </c>
      <c r="G223" s="8"/>
      <c r="H223" s="8" t="s">
        <v>3780</v>
      </c>
      <c r="I223" s="8" t="s">
        <v>190</v>
      </c>
      <c r="J223" s="78" t="s">
        <v>4138</v>
      </c>
      <c r="K223" s="22">
        <v>8.0</v>
      </c>
      <c r="L223" s="22">
        <f>+SUMIF('حركه المخزن الرئيسي اليوميه'!$F:$F,$H:$H,'حركه المخزن الرئيسي اليوميه'!$H:$H)</f>
        <v>0.0</v>
      </c>
      <c r="M223" s="22">
        <f>+SUMIF('حركه المخزن الرئيسي اليوميه'!$F:$F,$H:$H,'حركه المخزن الرئيسي اليوميه'!$I:$I)</f>
        <v>0.0</v>
      </c>
      <c r="N223" s="22">
        <f>+K223+L223-M223</f>
        <v>8.0</v>
      </c>
      <c r="O223" s="22">
        <f>+N223</f>
        <v>8.0</v>
      </c>
      <c r="P223" s="22">
        <f>+N223-O223</f>
        <v>0.0</v>
      </c>
      <c r="Q223" s="57"/>
      <c r="R223" s="58"/>
    </row>
    <row r="224" spans="8:8" ht="15.0" customHeight="1">
      <c r="B224" s="54">
        <v>216.0</v>
      </c>
      <c r="C224" s="8" t="s">
        <v>8351</v>
      </c>
      <c r="D224" s="8" t="s">
        <v>828</v>
      </c>
      <c r="E224" s="8" t="s">
        <v>470</v>
      </c>
      <c r="F224" s="8" t="s">
        <v>68</v>
      </c>
      <c r="G224" s="8"/>
      <c r="H224" s="8" t="s">
        <v>2547</v>
      </c>
      <c r="I224" s="8" t="s">
        <v>818</v>
      </c>
      <c r="J224" s="78" t="s">
        <v>4139</v>
      </c>
      <c r="K224" s="22">
        <v>1.0</v>
      </c>
      <c r="L224" s="22">
        <f>+SUMIF('حركه المخزن الرئيسي اليوميه'!$F:$F,$H:$H,'حركه المخزن الرئيسي اليوميه'!$H:$H)</f>
        <v>0.0</v>
      </c>
      <c r="M224" s="22">
        <f>+SUMIF('حركه المخزن الرئيسي اليوميه'!$F:$F,$H:$H,'حركه المخزن الرئيسي اليوميه'!$I:$I)</f>
        <v>0.0</v>
      </c>
      <c r="N224" s="22">
        <f>+K224+L224-M224</f>
        <v>1.0</v>
      </c>
      <c r="O224" s="22">
        <f>+N224</f>
        <v>1.0</v>
      </c>
      <c r="P224" s="22">
        <f>+N224-O224</f>
        <v>0.0</v>
      </c>
      <c r="Q224" s="57"/>
      <c r="R224" s="58"/>
    </row>
    <row r="225" spans="8:8">
      <c r="B225" s="54">
        <v>217.0</v>
      </c>
      <c r="C225" s="8" t="s">
        <v>8351</v>
      </c>
      <c r="D225" s="8" t="s">
        <v>1013</v>
      </c>
      <c r="E225" s="8" t="s">
        <v>395</v>
      </c>
      <c r="F225" s="8" t="s">
        <v>68</v>
      </c>
      <c r="G225" s="8"/>
      <c r="H225" s="8" t="s">
        <v>3273</v>
      </c>
      <c r="I225" s="8" t="s">
        <v>35</v>
      </c>
      <c r="J225" s="78" t="s">
        <v>4140</v>
      </c>
      <c r="K225" s="22">
        <v>0.0</v>
      </c>
      <c r="L225" s="22">
        <f>+SUMIF('حركه المخزن الرئيسي اليوميه'!$F:$F,$H:$H,'حركه المخزن الرئيسي اليوميه'!$H:$H)</f>
        <v>0.0</v>
      </c>
      <c r="M225" s="22">
        <f>+SUMIF('حركه المخزن الرئيسي اليوميه'!$F:$F,$H:$H,'حركه المخزن الرئيسي اليوميه'!$I:$I)</f>
        <v>0.0</v>
      </c>
      <c r="N225" s="22">
        <f>+K225+L225-M225</f>
        <v>0.0</v>
      </c>
      <c r="O225" s="22">
        <f>+N225</f>
        <v>0.0</v>
      </c>
      <c r="P225" s="22">
        <f>+N225-O225</f>
        <v>0.0</v>
      </c>
      <c r="Q225" s="57"/>
      <c r="R225" s="58"/>
    </row>
    <row r="226" spans="8:8" ht="15.0" customHeight="1">
      <c r="B226" s="54">
        <v>218.0</v>
      </c>
      <c r="C226" s="8" t="s">
        <v>8351</v>
      </c>
      <c r="D226" s="8" t="s">
        <v>828</v>
      </c>
      <c r="E226" s="8" t="s">
        <v>8112</v>
      </c>
      <c r="F226" s="8" t="s">
        <v>68</v>
      </c>
      <c r="G226" s="8"/>
      <c r="H226" s="8" t="s">
        <v>8112</v>
      </c>
      <c r="I226" s="8" t="s">
        <v>818</v>
      </c>
      <c r="J226" s="78" t="s">
        <v>4141</v>
      </c>
      <c r="K226" s="22">
        <v>1.0</v>
      </c>
      <c r="L226" s="22">
        <f>+SUMIF('حركه المخزن الرئيسي اليوميه'!$F:$F,$H:$H,'حركه المخزن الرئيسي اليوميه'!$H:$H)</f>
        <v>0.0</v>
      </c>
      <c r="M226" s="22">
        <f>+SUMIF('حركه المخزن الرئيسي اليوميه'!$F:$F,$H:$H,'حركه المخزن الرئيسي اليوميه'!$I:$I)</f>
        <v>0.0</v>
      </c>
      <c r="N226" s="22">
        <f>+K226+L226-M226</f>
        <v>1.0</v>
      </c>
      <c r="O226" s="22">
        <f>+N226</f>
        <v>1.0</v>
      </c>
      <c r="P226" s="22">
        <f>+N226-O226</f>
        <v>0.0</v>
      </c>
      <c r="Q226" s="57"/>
      <c r="R226" s="58"/>
    </row>
    <row r="227" spans="8:8" ht="15.0" customHeight="1">
      <c r="B227" s="54">
        <v>219.0</v>
      </c>
      <c r="C227" s="8" t="s">
        <v>8351</v>
      </c>
      <c r="D227" s="8" t="s">
        <v>1013</v>
      </c>
      <c r="E227" s="8" t="s">
        <v>103</v>
      </c>
      <c r="F227" s="8" t="s">
        <v>68</v>
      </c>
      <c r="G227" s="8" t="s">
        <v>103</v>
      </c>
      <c r="H227" s="8" t="s">
        <v>104</v>
      </c>
      <c r="I227" s="8" t="s">
        <v>37</v>
      </c>
      <c r="J227" s="78" t="s">
        <v>4142</v>
      </c>
      <c r="K227" s="22">
        <v>0.0</v>
      </c>
      <c r="L227" s="22">
        <f>+SUMIF('حركه المخزن الرئيسي اليوميه'!$F:$F,$H:$H,'حركه المخزن الرئيسي اليوميه'!$H:$H)</f>
        <v>0.0</v>
      </c>
      <c r="M227" s="22">
        <f>+SUMIF('حركه المخزن الرئيسي اليوميه'!$F:$F,$H:$H,'حركه المخزن الرئيسي اليوميه'!$I:$I)</f>
        <v>0.0</v>
      </c>
      <c r="N227" s="22">
        <f>+K227+L227-M227</f>
        <v>0.0</v>
      </c>
      <c r="O227" s="22">
        <f>+N227</f>
        <v>0.0</v>
      </c>
      <c r="P227" s="22">
        <f>+N227-O227</f>
        <v>0.0</v>
      </c>
      <c r="Q227" s="57"/>
      <c r="R227" s="58"/>
    </row>
    <row r="228" spans="8:8" ht="15.0" customHeight="1">
      <c r="B228" s="54">
        <v>220.0</v>
      </c>
      <c r="C228" s="8" t="s">
        <v>8351</v>
      </c>
      <c r="D228" s="8" t="s">
        <v>1013</v>
      </c>
      <c r="E228" s="8" t="s">
        <v>100</v>
      </c>
      <c r="F228" s="8" t="s">
        <v>68</v>
      </c>
      <c r="G228" s="8" t="s">
        <v>100</v>
      </c>
      <c r="H228" s="8" t="s">
        <v>101</v>
      </c>
      <c r="I228" s="8" t="s">
        <v>37</v>
      </c>
      <c r="J228" s="78" t="s">
        <v>4143</v>
      </c>
      <c r="K228" s="22">
        <v>4.0</v>
      </c>
      <c r="L228" s="22">
        <f>+SUMIF('حركه المخزن الرئيسي اليوميه'!$F:$F,$H:$H,'حركه المخزن الرئيسي اليوميه'!$H:$H)</f>
        <v>0.0</v>
      </c>
      <c r="M228" s="22">
        <f>+SUMIF('حركه المخزن الرئيسي اليوميه'!$F:$F,$H:$H,'حركه المخزن الرئيسي اليوميه'!$I:$I)</f>
        <v>0.0</v>
      </c>
      <c r="N228" s="22">
        <f>+K228+L228-M228</f>
        <v>4.0</v>
      </c>
      <c r="O228" s="22">
        <f>+N228</f>
        <v>4.0</v>
      </c>
      <c r="P228" s="22">
        <f>+N228-O228</f>
        <v>0.0</v>
      </c>
      <c r="Q228" s="57"/>
      <c r="R228" s="58"/>
    </row>
    <row r="229" spans="8:8" ht="15.0" customHeight="1">
      <c r="B229" s="54">
        <v>221.0</v>
      </c>
      <c r="C229" s="8" t="s">
        <v>8351</v>
      </c>
      <c r="D229" s="8" t="s">
        <v>1013</v>
      </c>
      <c r="E229" s="8" t="s">
        <v>100</v>
      </c>
      <c r="F229" s="8" t="s">
        <v>68</v>
      </c>
      <c r="G229" s="8" t="s">
        <v>100</v>
      </c>
      <c r="H229" s="8" t="s">
        <v>2938</v>
      </c>
      <c r="I229" s="8" t="s">
        <v>37</v>
      </c>
      <c r="J229" s="78" t="s">
        <v>4144</v>
      </c>
      <c r="K229" s="22">
        <v>0.0</v>
      </c>
      <c r="L229" s="22">
        <f>+SUMIF('حركه المخزن الرئيسي اليوميه'!$F:$F,$H:$H,'حركه المخزن الرئيسي اليوميه'!$H:$H)</f>
        <v>0.0</v>
      </c>
      <c r="M229" s="22">
        <f>+SUMIF('حركه المخزن الرئيسي اليوميه'!$F:$F,$H:$H,'حركه المخزن الرئيسي اليوميه'!$I:$I)</f>
        <v>0.0</v>
      </c>
      <c r="N229" s="22">
        <f>+K229+L229-M229</f>
        <v>0.0</v>
      </c>
      <c r="O229" s="22">
        <f>+N229</f>
        <v>0.0</v>
      </c>
      <c r="P229" s="22">
        <f>+N229-O229</f>
        <v>0.0</v>
      </c>
      <c r="Q229" s="57"/>
      <c r="R229" s="58"/>
    </row>
    <row r="230" spans="8:8" ht="15.0" customHeight="1">
      <c r="B230" s="54">
        <v>222.0</v>
      </c>
      <c r="C230" s="8" t="s">
        <v>8351</v>
      </c>
      <c r="D230" s="8" t="s">
        <v>820</v>
      </c>
      <c r="E230" s="8" t="s">
        <v>1307</v>
      </c>
      <c r="F230" s="8" t="s">
        <v>68</v>
      </c>
      <c r="G230" s="8" t="s">
        <v>1307</v>
      </c>
      <c r="H230" s="8" t="s">
        <v>1309</v>
      </c>
      <c r="I230" s="8" t="s">
        <v>37</v>
      </c>
      <c r="J230" s="78" t="s">
        <v>4145</v>
      </c>
      <c r="K230" s="22">
        <v>1.0</v>
      </c>
      <c r="L230" s="22">
        <f>+SUMIF('حركه المخزن الرئيسي اليوميه'!$F:$F,$H:$H,'حركه المخزن الرئيسي اليوميه'!$H:$H)</f>
        <v>0.0</v>
      </c>
      <c r="M230" s="22">
        <f>+SUMIF('حركه المخزن الرئيسي اليوميه'!$F:$F,$H:$H,'حركه المخزن الرئيسي اليوميه'!$I:$I)</f>
        <v>0.0</v>
      </c>
      <c r="N230" s="22">
        <f>+K230+L230-M230</f>
        <v>1.0</v>
      </c>
      <c r="O230" s="22">
        <f>+N230</f>
        <v>1.0</v>
      </c>
      <c r="P230" s="22">
        <f>+N230-O230</f>
        <v>0.0</v>
      </c>
      <c r="Q230" s="57"/>
      <c r="R230" s="58"/>
    </row>
    <row r="231" spans="8:8" ht="15.0" customHeight="1">
      <c r="B231" s="54">
        <v>223.0</v>
      </c>
      <c r="C231" s="8" t="s">
        <v>8351</v>
      </c>
      <c r="D231" s="8" t="s">
        <v>820</v>
      </c>
      <c r="E231" s="8" t="s">
        <v>1307</v>
      </c>
      <c r="F231" s="8" t="s">
        <v>68</v>
      </c>
      <c r="G231" s="8" t="s">
        <v>1307</v>
      </c>
      <c r="H231" s="8" t="s">
        <v>1308</v>
      </c>
      <c r="I231" s="8" t="s">
        <v>37</v>
      </c>
      <c r="J231" s="78" t="s">
        <v>4146</v>
      </c>
      <c r="K231" s="22">
        <v>0.0</v>
      </c>
      <c r="L231" s="22">
        <f>+SUMIF('حركه المخزن الرئيسي اليوميه'!$F:$F,$H:$H,'حركه المخزن الرئيسي اليوميه'!$H:$H)</f>
        <v>0.0</v>
      </c>
      <c r="M231" s="22">
        <f>+SUMIF('حركه المخزن الرئيسي اليوميه'!$F:$F,$H:$H,'حركه المخزن الرئيسي اليوميه'!$I:$I)</f>
        <v>0.0</v>
      </c>
      <c r="N231" s="22">
        <f>+K231+L231-M231</f>
        <v>0.0</v>
      </c>
      <c r="O231" s="22">
        <f>+N231</f>
        <v>0.0</v>
      </c>
      <c r="P231" s="22">
        <f>+N231-O231</f>
        <v>0.0</v>
      </c>
      <c r="Q231" s="57"/>
      <c r="R231" s="58"/>
    </row>
    <row r="232" spans="8:8" ht="15.0" customHeight="1">
      <c r="B232" s="54">
        <v>224.0</v>
      </c>
      <c r="C232" s="8" t="s">
        <v>8351</v>
      </c>
      <c r="D232" s="8" t="s">
        <v>1013</v>
      </c>
      <c r="E232" s="8" t="s">
        <v>1207</v>
      </c>
      <c r="F232" s="8" t="s">
        <v>68</v>
      </c>
      <c r="G232" s="8" t="s">
        <v>2062</v>
      </c>
      <c r="H232" s="8" t="s">
        <v>1207</v>
      </c>
      <c r="I232" s="8" t="s">
        <v>37</v>
      </c>
      <c r="J232" s="78" t="s">
        <v>4147</v>
      </c>
      <c r="K232" s="22">
        <v>3.0</v>
      </c>
      <c r="L232" s="22">
        <f>+SUMIF('حركه المخزن الرئيسي اليوميه'!$F:$F,$H:$H,'حركه المخزن الرئيسي اليوميه'!$H:$H)</f>
        <v>0.0</v>
      </c>
      <c r="M232" s="22">
        <f>+SUMIF('حركه المخزن الرئيسي اليوميه'!$F:$F,$H:$H,'حركه المخزن الرئيسي اليوميه'!$I:$I)</f>
        <v>0.0</v>
      </c>
      <c r="N232" s="22">
        <f>+K232+L232-M232</f>
        <v>3.0</v>
      </c>
      <c r="O232" s="22">
        <f>+N232</f>
        <v>3.0</v>
      </c>
      <c r="P232" s="22">
        <f>+N232-O232</f>
        <v>0.0</v>
      </c>
      <c r="Q232" s="57"/>
      <c r="R232" s="58"/>
    </row>
    <row r="233" spans="8:8" ht="15.0" customHeight="1">
      <c r="B233" s="54">
        <v>225.0</v>
      </c>
      <c r="C233" s="8" t="s">
        <v>8351</v>
      </c>
      <c r="D233" s="8" t="s">
        <v>1013</v>
      </c>
      <c r="E233" s="8" t="s">
        <v>1477</v>
      </c>
      <c r="F233" s="8" t="s">
        <v>68</v>
      </c>
      <c r="G233" s="8" t="s">
        <v>2462</v>
      </c>
      <c r="H233" s="8" t="s">
        <v>1477</v>
      </c>
      <c r="I233" s="8" t="s">
        <v>37</v>
      </c>
      <c r="J233" s="78" t="s">
        <v>4148</v>
      </c>
      <c r="K233" s="22">
        <v>3.0</v>
      </c>
      <c r="L233" s="22">
        <f>+SUMIF('حركه المخزن الرئيسي اليوميه'!$F:$F,$H:$H,'حركه المخزن الرئيسي اليوميه'!$H:$H)</f>
        <v>0.0</v>
      </c>
      <c r="M233" s="22">
        <f>+SUMIF('حركه المخزن الرئيسي اليوميه'!$F:$F,$H:$H,'حركه المخزن الرئيسي اليوميه'!$I:$I)</f>
        <v>0.0</v>
      </c>
      <c r="N233" s="22">
        <f>+K233+L233-M233</f>
        <v>3.0</v>
      </c>
      <c r="O233" s="22">
        <f>+N233</f>
        <v>3.0</v>
      </c>
      <c r="P233" s="22">
        <f>+N233-O233</f>
        <v>0.0</v>
      </c>
      <c r="Q233" s="57"/>
      <c r="R233" s="58"/>
    </row>
    <row r="234" spans="8:8" ht="15.0" customHeight="1">
      <c r="B234" s="54">
        <v>226.0</v>
      </c>
      <c r="C234" s="8" t="s">
        <v>8351</v>
      </c>
      <c r="D234" s="8" t="s">
        <v>820</v>
      </c>
      <c r="E234" s="8" t="s">
        <v>1306</v>
      </c>
      <c r="F234" s="8" t="s">
        <v>68</v>
      </c>
      <c r="G234" s="8" t="s">
        <v>2255</v>
      </c>
      <c r="H234" s="8" t="s">
        <v>1306</v>
      </c>
      <c r="I234" s="8" t="s">
        <v>73</v>
      </c>
      <c r="J234" s="78" t="s">
        <v>4149</v>
      </c>
      <c r="K234" s="22">
        <v>2.0</v>
      </c>
      <c r="L234" s="22">
        <f>+SUMIF('حركه المخزن الرئيسي اليوميه'!$F:$F,$H:$H,'حركه المخزن الرئيسي اليوميه'!$H:$H)</f>
        <v>0.0</v>
      </c>
      <c r="M234" s="22">
        <f>+SUMIF('حركه المخزن الرئيسي اليوميه'!$F:$F,$H:$H,'حركه المخزن الرئيسي اليوميه'!$I:$I)</f>
        <v>0.0</v>
      </c>
      <c r="N234" s="22">
        <f>+K234+L234-M234</f>
        <v>2.0</v>
      </c>
      <c r="O234" s="22">
        <f>+N234</f>
        <v>2.0</v>
      </c>
      <c r="P234" s="22">
        <f>+N234-O234</f>
        <v>0.0</v>
      </c>
      <c r="Q234" s="57"/>
      <c r="R234" s="58"/>
    </row>
    <row r="235" spans="8:8" ht="15.0" customHeight="1">
      <c r="B235" s="54">
        <v>227.0</v>
      </c>
      <c r="C235" s="8" t="s">
        <v>8351</v>
      </c>
      <c r="D235" s="8" t="s">
        <v>1013</v>
      </c>
      <c r="E235" s="8" t="s">
        <v>102</v>
      </c>
      <c r="F235" s="8" t="s">
        <v>68</v>
      </c>
      <c r="G235" s="8"/>
      <c r="H235" s="8" t="s">
        <v>102</v>
      </c>
      <c r="I235" s="8" t="s">
        <v>37</v>
      </c>
      <c r="J235" s="78" t="s">
        <v>4150</v>
      </c>
      <c r="K235" s="22">
        <v>0.0</v>
      </c>
      <c r="L235" s="22">
        <f>+SUMIF('حركه المخزن الرئيسي اليوميه'!$F:$F,$H:$H,'حركه المخزن الرئيسي اليوميه'!$H:$H)</f>
        <v>0.0</v>
      </c>
      <c r="M235" s="22">
        <f>+SUMIF('حركه المخزن الرئيسي اليوميه'!$F:$F,$H:$H,'حركه المخزن الرئيسي اليوميه'!$I:$I)</f>
        <v>0.0</v>
      </c>
      <c r="N235" s="22">
        <f>+K235+L235-M235</f>
        <v>0.0</v>
      </c>
      <c r="O235" s="22">
        <f>+N235</f>
        <v>0.0</v>
      </c>
      <c r="P235" s="22">
        <f>+N235-O235</f>
        <v>0.0</v>
      </c>
      <c r="Q235" s="57"/>
      <c r="R235" s="58"/>
    </row>
    <row r="236" spans="8:8" ht="15.0" customHeight="1">
      <c r="B236" s="54">
        <v>228.0</v>
      </c>
      <c r="C236" s="8" t="s">
        <v>8351</v>
      </c>
      <c r="D236" s="8" t="s">
        <v>1013</v>
      </c>
      <c r="E236" s="8" t="s">
        <v>2601</v>
      </c>
      <c r="F236" s="8" t="s">
        <v>68</v>
      </c>
      <c r="G236" s="8" t="s">
        <v>2047</v>
      </c>
      <c r="H236" s="8" t="s">
        <v>2601</v>
      </c>
      <c r="I236" s="8" t="s">
        <v>37</v>
      </c>
      <c r="J236" s="78" t="s">
        <v>4151</v>
      </c>
      <c r="K236" s="22">
        <v>14.0</v>
      </c>
      <c r="L236" s="22">
        <f>+SUMIF('حركه المخزن الرئيسي اليوميه'!$F:$F,$H:$H,'حركه المخزن الرئيسي اليوميه'!$H:$H)</f>
        <v>0.0</v>
      </c>
      <c r="M236" s="22">
        <f>+SUMIF('حركه المخزن الرئيسي اليوميه'!$F:$F,$H:$H,'حركه المخزن الرئيسي اليوميه'!$I:$I)</f>
        <v>0.0</v>
      </c>
      <c r="N236" s="22">
        <f>+K236+L236-M236</f>
        <v>14.0</v>
      </c>
      <c r="O236" s="22">
        <f>+N236</f>
        <v>14.0</v>
      </c>
      <c r="P236" s="22">
        <f>+N236-O236</f>
        <v>0.0</v>
      </c>
      <c r="Q236" s="57"/>
      <c r="R236" s="58"/>
    </row>
    <row r="237" spans="8:8" ht="15.0" customHeight="1">
      <c r="B237" s="54">
        <v>229.0</v>
      </c>
      <c r="C237" s="8" t="s">
        <v>8351</v>
      </c>
      <c r="D237" s="8" t="s">
        <v>820</v>
      </c>
      <c r="E237" s="8" t="s">
        <v>1209</v>
      </c>
      <c r="F237" s="8" t="s">
        <v>68</v>
      </c>
      <c r="G237" s="8" t="s">
        <v>2227</v>
      </c>
      <c r="H237" s="8" t="s">
        <v>1442</v>
      </c>
      <c r="I237" s="8" t="s">
        <v>37</v>
      </c>
      <c r="J237" s="78" t="s">
        <v>4152</v>
      </c>
      <c r="K237" s="22">
        <v>12.0</v>
      </c>
      <c r="L237" s="22">
        <f>+SUMIF('حركه المخزن الرئيسي اليوميه'!$F:$F,$H:$H,'حركه المخزن الرئيسي اليوميه'!$H:$H)</f>
        <v>0.0</v>
      </c>
      <c r="M237" s="22">
        <f>+SUMIF('حركه المخزن الرئيسي اليوميه'!$F:$F,$H:$H,'حركه المخزن الرئيسي اليوميه'!$I:$I)</f>
        <v>0.0</v>
      </c>
      <c r="N237" s="22">
        <f>+K237+L237-M237</f>
        <v>12.0</v>
      </c>
      <c r="O237" s="22">
        <f>+N237</f>
        <v>12.0</v>
      </c>
      <c r="P237" s="22">
        <f>+N237-O237</f>
        <v>0.0</v>
      </c>
      <c r="Q237" s="57"/>
      <c r="R237" s="58"/>
    </row>
    <row r="238" spans="8:8" ht="15.0" customHeight="1">
      <c r="B238" s="54">
        <v>230.0</v>
      </c>
      <c r="C238" s="8" t="s">
        <v>8351</v>
      </c>
      <c r="D238" s="8" t="s">
        <v>820</v>
      </c>
      <c r="E238" s="8" t="s">
        <v>1208</v>
      </c>
      <c r="F238" s="8" t="s">
        <v>68</v>
      </c>
      <c r="G238" s="8" t="s">
        <v>2226</v>
      </c>
      <c r="H238" s="8" t="s">
        <v>2526</v>
      </c>
      <c r="I238" s="8" t="s">
        <v>37</v>
      </c>
      <c r="J238" s="78" t="s">
        <v>4153</v>
      </c>
      <c r="K238" s="22">
        <v>15.0</v>
      </c>
      <c r="L238" s="22">
        <f>+SUMIF('حركه المخزن الرئيسي اليوميه'!$F:$F,$H:$H,'حركه المخزن الرئيسي اليوميه'!$H:$H)</f>
        <v>0.0</v>
      </c>
      <c r="M238" s="22">
        <f>+SUMIF('حركه المخزن الرئيسي اليوميه'!$F:$F,$H:$H,'حركه المخزن الرئيسي اليوميه'!$I:$I)</f>
        <v>1.0</v>
      </c>
      <c r="N238" s="22">
        <f>+K238+L238-M238</f>
        <v>14.0</v>
      </c>
      <c r="O238" s="22">
        <f>+N238</f>
        <v>14.0</v>
      </c>
      <c r="P238" s="22">
        <f>+N238-O238</f>
        <v>0.0</v>
      </c>
      <c r="Q238" s="57"/>
      <c r="R238" s="58"/>
    </row>
    <row r="239" spans="8:8" ht="15.0" customHeight="1">
      <c r="B239" s="54">
        <v>231.0</v>
      </c>
      <c r="C239" s="8" t="s">
        <v>8351</v>
      </c>
      <c r="D239" s="8" t="s">
        <v>1013</v>
      </c>
      <c r="E239" s="8" t="s">
        <v>2960</v>
      </c>
      <c r="F239" s="8" t="s">
        <v>68</v>
      </c>
      <c r="G239" s="8" t="s">
        <v>2067</v>
      </c>
      <c r="H239" s="8" t="s">
        <v>2960</v>
      </c>
      <c r="I239" s="8" t="s">
        <v>37</v>
      </c>
      <c r="J239" s="78" t="s">
        <v>4154</v>
      </c>
      <c r="K239" s="22">
        <v>12.0</v>
      </c>
      <c r="L239" s="22">
        <f>+SUMIF('حركه المخزن الرئيسي اليوميه'!$F:$F,$H:$H,'حركه المخزن الرئيسي اليوميه'!$H:$H)</f>
        <v>0.0</v>
      </c>
      <c r="M239" s="22">
        <f>+SUMIF('حركه المخزن الرئيسي اليوميه'!$F:$F,$H:$H,'حركه المخزن الرئيسي اليوميه'!$I:$I)</f>
        <v>0.0</v>
      </c>
      <c r="N239" s="22">
        <f>+K239+L239-M239</f>
        <v>12.0</v>
      </c>
      <c r="O239" s="22">
        <f>+N239</f>
        <v>12.0</v>
      </c>
      <c r="P239" s="22">
        <f>+N239-O239</f>
        <v>0.0</v>
      </c>
      <c r="Q239" s="57"/>
      <c r="R239" s="58"/>
    </row>
    <row r="240" spans="8:8" ht="15.0" customHeight="1">
      <c r="B240" s="54">
        <v>232.0</v>
      </c>
      <c r="C240" s="8" t="s">
        <v>8351</v>
      </c>
      <c r="D240" s="8" t="s">
        <v>1013</v>
      </c>
      <c r="E240" s="8" t="s">
        <v>2961</v>
      </c>
      <c r="F240" s="8" t="s">
        <v>68</v>
      </c>
      <c r="G240" s="8"/>
      <c r="H240" s="8" t="s">
        <v>2961</v>
      </c>
      <c r="I240" s="8" t="s">
        <v>37</v>
      </c>
      <c r="J240" s="78" t="s">
        <v>4155</v>
      </c>
      <c r="K240" s="22">
        <v>5.0</v>
      </c>
      <c r="L240" s="22">
        <f>+SUMIF('حركه المخزن الرئيسي اليوميه'!$F:$F,$H:$H,'حركه المخزن الرئيسي اليوميه'!$H:$H)</f>
        <v>0.0</v>
      </c>
      <c r="M240" s="22">
        <f>+SUMIF('حركه المخزن الرئيسي اليوميه'!$F:$F,$H:$H,'حركه المخزن الرئيسي اليوميه'!$I:$I)</f>
        <v>0.0</v>
      </c>
      <c r="N240" s="22">
        <f>+K240+L240-M240</f>
        <v>5.0</v>
      </c>
      <c r="O240" s="22">
        <f>+N240</f>
        <v>5.0</v>
      </c>
      <c r="P240" s="22">
        <f>+N240-O240</f>
        <v>0.0</v>
      </c>
      <c r="Q240" s="57"/>
      <c r="R240" s="58"/>
    </row>
    <row r="241" spans="8:8" ht="15.0" customHeight="1">
      <c r="B241" s="54">
        <v>234.0</v>
      </c>
      <c r="C241" s="8" t="s">
        <v>8351</v>
      </c>
      <c r="D241" s="8" t="s">
        <v>1013</v>
      </c>
      <c r="E241" s="8" t="s">
        <v>131</v>
      </c>
      <c r="F241" s="8" t="s">
        <v>68</v>
      </c>
      <c r="G241" s="8" t="s">
        <v>1682</v>
      </c>
      <c r="H241" s="8" t="s">
        <v>97</v>
      </c>
      <c r="I241" s="8" t="s">
        <v>37</v>
      </c>
      <c r="J241" s="78" t="s">
        <v>4156</v>
      </c>
      <c r="K241" s="22">
        <v>0.0</v>
      </c>
      <c r="L241" s="22">
        <f>+SUMIF('حركه المخزن الرئيسي اليوميه'!$F:$F,$H:$H,'حركه المخزن الرئيسي اليوميه'!$H:$H)</f>
        <v>0.0</v>
      </c>
      <c r="M241" s="22">
        <f>+SUMIF('حركه المخزن الرئيسي اليوميه'!$F:$F,$H:$H,'حركه المخزن الرئيسي اليوميه'!$I:$I)</f>
        <v>0.0</v>
      </c>
      <c r="N241" s="22">
        <f>+K241+L241-M241</f>
        <v>0.0</v>
      </c>
      <c r="O241" s="22">
        <f>+N241</f>
        <v>0.0</v>
      </c>
      <c r="P241" s="22">
        <f>+N241-O241</f>
        <v>0.0</v>
      </c>
      <c r="Q241" s="57"/>
      <c r="R241" s="58"/>
    </row>
    <row r="242" spans="8:8" ht="15.0" customHeight="1">
      <c r="B242" s="54">
        <v>235.0</v>
      </c>
      <c r="C242" s="8" t="s">
        <v>8351</v>
      </c>
      <c r="D242" s="8" t="s">
        <v>820</v>
      </c>
      <c r="E242" s="8" t="s">
        <v>3747</v>
      </c>
      <c r="F242" s="8" t="s">
        <v>68</v>
      </c>
      <c r="G242" s="8"/>
      <c r="H242" s="8" t="s">
        <v>3747</v>
      </c>
      <c r="I242" s="55" t="s">
        <v>818</v>
      </c>
      <c r="J242" s="78" t="s">
        <v>4157</v>
      </c>
      <c r="K242" s="22">
        <v>100.0</v>
      </c>
      <c r="L242" s="22">
        <f>+SUMIF('حركه المخزن الرئيسي اليوميه'!$F:$F,$H:$H,'حركه المخزن الرئيسي اليوميه'!$H:$H)</f>
        <v>0.0</v>
      </c>
      <c r="M242" s="22">
        <f>+SUMIF('حركه المخزن الرئيسي اليوميه'!$F:$F,$H:$H,'حركه المخزن الرئيسي اليوميه'!$I:$I)</f>
        <v>0.0</v>
      </c>
      <c r="N242" s="22">
        <f>+K242+L242-M242</f>
        <v>100.0</v>
      </c>
      <c r="O242" s="22">
        <f>+N242</f>
        <v>100.0</v>
      </c>
      <c r="P242" s="22">
        <f>+N242-O242</f>
        <v>0.0</v>
      </c>
      <c r="Q242" s="57"/>
      <c r="R242" s="58"/>
    </row>
    <row r="243" spans="8:8" ht="15.0" customHeight="1">
      <c r="B243" s="54">
        <v>236.0</v>
      </c>
      <c r="C243" s="8" t="s">
        <v>8351</v>
      </c>
      <c r="D243" s="8" t="s">
        <v>1018</v>
      </c>
      <c r="E243" s="8" t="s">
        <v>3749</v>
      </c>
      <c r="F243" s="8" t="s">
        <v>1046</v>
      </c>
      <c r="G243" s="8"/>
      <c r="H243" s="8" t="s">
        <v>3749</v>
      </c>
      <c r="I243" s="8" t="s">
        <v>222</v>
      </c>
      <c r="J243" s="78" t="s">
        <v>4158</v>
      </c>
      <c r="K243" s="22">
        <v>0.0</v>
      </c>
      <c r="L243" s="22">
        <f>+SUMIF('حركه المخزن الرئيسي اليوميه'!$F:$F,$H:$H,'حركه المخزن الرئيسي اليوميه'!$H:$H)</f>
        <v>0.0</v>
      </c>
      <c r="M243" s="22">
        <f>+SUMIF('حركه المخزن الرئيسي اليوميه'!$F:$F,$H:$H,'حركه المخزن الرئيسي اليوميه'!$I:$I)</f>
        <v>0.0</v>
      </c>
      <c r="N243" s="22">
        <f>+K243+L243-M243</f>
        <v>0.0</v>
      </c>
      <c r="O243" s="22">
        <f>+N243</f>
        <v>0.0</v>
      </c>
      <c r="P243" s="22">
        <f>+N243-O243</f>
        <v>0.0</v>
      </c>
      <c r="Q243" s="57"/>
      <c r="R243" s="58"/>
    </row>
    <row r="244" spans="8:8" ht="15.0" customHeight="1">
      <c r="B244" s="54">
        <v>237.0</v>
      </c>
      <c r="C244" s="8" t="s">
        <v>8351</v>
      </c>
      <c r="D244" s="8" t="s">
        <v>1018</v>
      </c>
      <c r="E244" s="8" t="s">
        <v>3750</v>
      </c>
      <c r="F244" s="8" t="s">
        <v>1046</v>
      </c>
      <c r="G244" s="8"/>
      <c r="H244" s="8" t="s">
        <v>3750</v>
      </c>
      <c r="I244" s="8" t="s">
        <v>222</v>
      </c>
      <c r="J244" s="78" t="s">
        <v>4159</v>
      </c>
      <c r="K244" s="22">
        <v>0.0</v>
      </c>
      <c r="L244" s="22">
        <f>+SUMIF('حركه المخزن الرئيسي اليوميه'!$F:$F,$H:$H,'حركه المخزن الرئيسي اليوميه'!$H:$H)</f>
        <v>0.0</v>
      </c>
      <c r="M244" s="22">
        <f>+SUMIF('حركه المخزن الرئيسي اليوميه'!$F:$F,$H:$H,'حركه المخزن الرئيسي اليوميه'!$I:$I)</f>
        <v>0.0</v>
      </c>
      <c r="N244" s="22">
        <f>+K244+L244-M244</f>
        <v>0.0</v>
      </c>
      <c r="O244" s="22">
        <f>+N244</f>
        <v>0.0</v>
      </c>
      <c r="P244" s="22">
        <f>+N244-O244</f>
        <v>0.0</v>
      </c>
      <c r="Q244" s="57"/>
      <c r="R244" s="58"/>
    </row>
    <row r="245" spans="8:8" ht="15.0" customHeight="1">
      <c r="B245" s="54">
        <v>238.0</v>
      </c>
      <c r="C245" s="8" t="s">
        <v>8351</v>
      </c>
      <c r="D245" s="8" t="s">
        <v>1017</v>
      </c>
      <c r="E245" s="8" t="s">
        <v>8174</v>
      </c>
      <c r="F245" s="8" t="s">
        <v>1046</v>
      </c>
      <c r="G245" s="8"/>
      <c r="H245" s="8" t="s">
        <v>8174</v>
      </c>
      <c r="I245" s="8" t="s">
        <v>170</v>
      </c>
      <c r="J245" s="78" t="s">
        <v>4160</v>
      </c>
      <c r="K245" s="22">
        <v>4.0</v>
      </c>
      <c r="L245" s="22">
        <f>+SUMIF('حركه المخزن الرئيسي اليوميه'!$F:$F,$H:$H,'حركه المخزن الرئيسي اليوميه'!$H:$H)</f>
        <v>0.0</v>
      </c>
      <c r="M245" s="22">
        <f>+SUMIF('حركه المخزن الرئيسي اليوميه'!$F:$F,$H:$H,'حركه المخزن الرئيسي اليوميه'!$I:$I)</f>
        <v>0.0</v>
      </c>
      <c r="N245" s="22">
        <f>+K245+L245-M245</f>
        <v>4.0</v>
      </c>
      <c r="O245" s="22">
        <f>+N245</f>
        <v>4.0</v>
      </c>
      <c r="P245" s="22">
        <f>+N245-O245</f>
        <v>0.0</v>
      </c>
      <c r="Q245" s="57"/>
      <c r="R245" s="58"/>
    </row>
    <row r="246" spans="8:8" ht="15.0" customHeight="1">
      <c r="B246" s="54">
        <v>239.0</v>
      </c>
      <c r="C246" s="8" t="s">
        <v>8351</v>
      </c>
      <c r="D246" s="8" t="s">
        <v>1013</v>
      </c>
      <c r="E246" s="8" t="s">
        <v>3620</v>
      </c>
      <c r="F246" s="8" t="s">
        <v>68</v>
      </c>
      <c r="G246" s="8"/>
      <c r="H246" s="8" t="s">
        <v>3620</v>
      </c>
      <c r="I246" s="8" t="s">
        <v>328</v>
      </c>
      <c r="J246" s="78" t="s">
        <v>4161</v>
      </c>
      <c r="K246" s="22">
        <v>0.0</v>
      </c>
      <c r="L246" s="22">
        <f>+SUMIF('حركه المخزن الرئيسي اليوميه'!$F:$F,$H:$H,'حركه المخزن الرئيسي اليوميه'!$H:$H)</f>
        <v>0.0</v>
      </c>
      <c r="M246" s="22">
        <f>+SUMIF('حركه المخزن الرئيسي اليوميه'!$F:$F,$H:$H,'حركه المخزن الرئيسي اليوميه'!$I:$I)</f>
        <v>0.0</v>
      </c>
      <c r="N246" s="22">
        <f>+K246+L246-M246</f>
        <v>0.0</v>
      </c>
      <c r="O246" s="22">
        <f>+N246</f>
        <v>0.0</v>
      </c>
      <c r="P246" s="22">
        <f>+N246-O246</f>
        <v>0.0</v>
      </c>
      <c r="Q246" s="57"/>
      <c r="R246" s="58"/>
    </row>
    <row r="247" spans="8:8" ht="15.0" customHeight="1">
      <c r="B247" s="54">
        <v>240.0</v>
      </c>
      <c r="C247" s="8" t="s">
        <v>8351</v>
      </c>
      <c r="D247" s="8" t="s">
        <v>1013</v>
      </c>
      <c r="E247" s="8" t="s">
        <v>1313</v>
      </c>
      <c r="F247" s="8" t="s">
        <v>68</v>
      </c>
      <c r="G247" s="8" t="s">
        <v>2068</v>
      </c>
      <c r="H247" s="8" t="s">
        <v>1314</v>
      </c>
      <c r="I247" s="8" t="s">
        <v>89</v>
      </c>
      <c r="J247" s="78" t="s">
        <v>4162</v>
      </c>
      <c r="K247" s="22">
        <v>17.0</v>
      </c>
      <c r="L247" s="22">
        <f>+SUMIF('حركه المخزن الرئيسي اليوميه'!$F:$F,$H:$H,'حركه المخزن الرئيسي اليوميه'!$H:$H)</f>
        <v>0.0</v>
      </c>
      <c r="M247" s="22">
        <f>+SUMIF('حركه المخزن الرئيسي اليوميه'!$F:$F,$H:$H,'حركه المخزن الرئيسي اليوميه'!$I:$I)</f>
        <v>0.0</v>
      </c>
      <c r="N247" s="22">
        <f>+K247+L247-M247</f>
        <v>17.0</v>
      </c>
      <c r="O247" s="22">
        <f>+N247</f>
        <v>17.0</v>
      </c>
      <c r="P247" s="22">
        <f>+N247-O247</f>
        <v>0.0</v>
      </c>
      <c r="Q247" s="57"/>
      <c r="R247" s="58"/>
    </row>
    <row r="248" spans="8:8" ht="15.0" customHeight="1">
      <c r="B248" s="54">
        <v>241.0</v>
      </c>
      <c r="C248" s="8" t="s">
        <v>8351</v>
      </c>
      <c r="D248" s="8" t="s">
        <v>816</v>
      </c>
      <c r="E248" s="8" t="s">
        <v>90</v>
      </c>
      <c r="F248" s="8" t="s">
        <v>68</v>
      </c>
      <c r="G248" s="8" t="s">
        <v>1842</v>
      </c>
      <c r="H248" s="8" t="s">
        <v>2537</v>
      </c>
      <c r="I248" s="8" t="s">
        <v>89</v>
      </c>
      <c r="J248" s="78" t="s">
        <v>4163</v>
      </c>
      <c r="K248" s="22">
        <v>0.0</v>
      </c>
      <c r="L248" s="22">
        <f>+SUMIF('حركه المخزن الرئيسي اليوميه'!$F:$F,$H:$H,'حركه المخزن الرئيسي اليوميه'!$H:$H)</f>
        <v>0.0</v>
      </c>
      <c r="M248" s="22">
        <f>+SUMIF('حركه المخزن الرئيسي اليوميه'!$F:$F,$H:$H,'حركه المخزن الرئيسي اليوميه'!$I:$I)</f>
        <v>0.0</v>
      </c>
      <c r="N248" s="22">
        <f>+K248+L248-M248</f>
        <v>0.0</v>
      </c>
      <c r="O248" s="22">
        <f>+N248</f>
        <v>0.0</v>
      </c>
      <c r="P248" s="22">
        <f>+N248-O248</f>
        <v>0.0</v>
      </c>
      <c r="Q248" s="57"/>
      <c r="R248" s="58"/>
    </row>
    <row r="249" spans="8:8" ht="15.0" customHeight="1">
      <c r="B249" s="54">
        <v>242.0</v>
      </c>
      <c r="C249" s="8" t="s">
        <v>8351</v>
      </c>
      <c r="D249" s="8" t="s">
        <v>1013</v>
      </c>
      <c r="E249" s="8" t="s">
        <v>106</v>
      </c>
      <c r="F249" s="8" t="s">
        <v>68</v>
      </c>
      <c r="G249" s="8" t="s">
        <v>1802</v>
      </c>
      <c r="H249" s="8" t="s">
        <v>3158</v>
      </c>
      <c r="I249" s="8" t="s">
        <v>58</v>
      </c>
      <c r="J249" s="78" t="s">
        <v>4164</v>
      </c>
      <c r="K249" s="22">
        <v>3.0</v>
      </c>
      <c r="L249" s="22">
        <f>+SUMIF('حركه المخزن الرئيسي اليوميه'!$F:$F,$H:$H,'حركه المخزن الرئيسي اليوميه'!$H:$H)</f>
        <v>0.0</v>
      </c>
      <c r="M249" s="22">
        <f>+SUMIF('حركه المخزن الرئيسي اليوميه'!$F:$F,$H:$H,'حركه المخزن الرئيسي اليوميه'!$I:$I)</f>
        <v>0.0</v>
      </c>
      <c r="N249" s="22">
        <f>+K249+L249-M249</f>
        <v>3.0</v>
      </c>
      <c r="O249" s="22">
        <f>+N249</f>
        <v>3.0</v>
      </c>
      <c r="P249" s="22">
        <f>+N249-O249</f>
        <v>0.0</v>
      </c>
      <c r="Q249" s="57"/>
      <c r="R249" s="58"/>
    </row>
    <row r="250" spans="8:8" ht="15.0" customHeight="1">
      <c r="B250" s="54">
        <v>243.0</v>
      </c>
      <c r="C250" s="8" t="s">
        <v>8351</v>
      </c>
      <c r="D250" s="8" t="s">
        <v>1013</v>
      </c>
      <c r="E250" s="8" t="s">
        <v>107</v>
      </c>
      <c r="F250" s="8" t="s">
        <v>68</v>
      </c>
      <c r="G250" s="8" t="s">
        <v>107</v>
      </c>
      <c r="H250" s="8" t="s">
        <v>108</v>
      </c>
      <c r="I250" s="8" t="s">
        <v>89</v>
      </c>
      <c r="J250" s="78" t="s">
        <v>4165</v>
      </c>
      <c r="K250" s="22">
        <v>0.0</v>
      </c>
      <c r="L250" s="22">
        <f>+SUMIF('حركه المخزن الرئيسي اليوميه'!$F:$F,$H:$H,'حركه المخزن الرئيسي اليوميه'!$H:$H)</f>
        <v>0.0</v>
      </c>
      <c r="M250" s="22">
        <f>+SUMIF('حركه المخزن الرئيسي اليوميه'!$F:$F,$H:$H,'حركه المخزن الرئيسي اليوميه'!$I:$I)</f>
        <v>0.0</v>
      </c>
      <c r="N250" s="22">
        <f>+K250+L250-M250</f>
        <v>0.0</v>
      </c>
      <c r="O250" s="22">
        <f>+N250</f>
        <v>0.0</v>
      </c>
      <c r="P250" s="22">
        <f>+N250-O250</f>
        <v>0.0</v>
      </c>
      <c r="Q250" s="57"/>
      <c r="R250" s="58"/>
    </row>
    <row r="251" spans="8:8" ht="15.0" customHeight="1">
      <c r="B251" s="54">
        <v>244.0</v>
      </c>
      <c r="C251" s="8" t="s">
        <v>8351</v>
      </c>
      <c r="D251" s="8" t="s">
        <v>1013</v>
      </c>
      <c r="E251" s="8" t="s">
        <v>2591</v>
      </c>
      <c r="F251" s="8" t="s">
        <v>68</v>
      </c>
      <c r="G251" s="8" t="s">
        <v>2317</v>
      </c>
      <c r="H251" s="8" t="s">
        <v>2591</v>
      </c>
      <c r="I251" s="8" t="s">
        <v>89</v>
      </c>
      <c r="J251" s="78" t="s">
        <v>4166</v>
      </c>
      <c r="K251" s="22">
        <v>17.0</v>
      </c>
      <c r="L251" s="22">
        <f>+SUMIF('حركه المخزن الرئيسي اليوميه'!$F:$F,$H:$H,'حركه المخزن الرئيسي اليوميه'!$H:$H)</f>
        <v>0.0</v>
      </c>
      <c r="M251" s="22">
        <f>+SUMIF('حركه المخزن الرئيسي اليوميه'!$F:$F,$H:$H,'حركه المخزن الرئيسي اليوميه'!$I:$I)</f>
        <v>0.0</v>
      </c>
      <c r="N251" s="22">
        <f>+K251+L251-M251</f>
        <v>17.0</v>
      </c>
      <c r="O251" s="22">
        <f>+N251</f>
        <v>17.0</v>
      </c>
      <c r="P251" s="22">
        <f>+N251-O251</f>
        <v>0.0</v>
      </c>
      <c r="Q251" s="57"/>
      <c r="R251" s="58"/>
    </row>
    <row r="252" spans="8:8" ht="15.0" customHeight="1">
      <c r="B252" s="54">
        <v>245.0</v>
      </c>
      <c r="C252" s="8" t="s">
        <v>8351</v>
      </c>
      <c r="D252" s="8" t="s">
        <v>820</v>
      </c>
      <c r="E252" s="8" t="s">
        <v>1210</v>
      </c>
      <c r="F252" s="8" t="s">
        <v>68</v>
      </c>
      <c r="G252" s="8"/>
      <c r="H252" s="8" t="s">
        <v>1951</v>
      </c>
      <c r="I252" s="8" t="s">
        <v>89</v>
      </c>
      <c r="J252" s="78" t="s">
        <v>4167</v>
      </c>
      <c r="K252" s="22">
        <v>16.0</v>
      </c>
      <c r="L252" s="22">
        <f>+SUMIF('حركه المخزن الرئيسي اليوميه'!$F:$F,$H:$H,'حركه المخزن الرئيسي اليوميه'!$H:$H)</f>
        <v>0.0</v>
      </c>
      <c r="M252" s="22">
        <f>+SUMIF('حركه المخزن الرئيسي اليوميه'!$F:$F,$H:$H,'حركه المخزن الرئيسي اليوميه'!$I:$I)</f>
        <v>0.0</v>
      </c>
      <c r="N252" s="22">
        <f>+K252+L252-M252</f>
        <v>16.0</v>
      </c>
      <c r="O252" s="22">
        <f>+N252</f>
        <v>16.0</v>
      </c>
      <c r="P252" s="22">
        <f>+N252-O252</f>
        <v>0.0</v>
      </c>
      <c r="Q252" s="57"/>
      <c r="R252" s="58"/>
    </row>
    <row r="253" spans="8:8" ht="15.0" customHeight="1">
      <c r="B253" s="54">
        <v>246.0</v>
      </c>
      <c r="C253" s="8" t="s">
        <v>8351</v>
      </c>
      <c r="D253" s="8" t="s">
        <v>820</v>
      </c>
      <c r="E253" s="8" t="s">
        <v>1311</v>
      </c>
      <c r="F253" s="8" t="s">
        <v>68</v>
      </c>
      <c r="G253" s="8" t="s">
        <v>1952</v>
      </c>
      <c r="H253" s="8" t="s">
        <v>2695</v>
      </c>
      <c r="I253" s="8" t="s">
        <v>89</v>
      </c>
      <c r="J253" s="78" t="s">
        <v>4168</v>
      </c>
      <c r="K253" s="22">
        <v>16.0</v>
      </c>
      <c r="L253" s="22">
        <f>+SUMIF('حركه المخزن الرئيسي اليوميه'!$F:$F,$H:$H,'حركه المخزن الرئيسي اليوميه'!$H:$H)</f>
        <v>0.0</v>
      </c>
      <c r="M253" s="22">
        <f>+SUMIF('حركه المخزن الرئيسي اليوميه'!$F:$F,$H:$H,'حركه المخزن الرئيسي اليوميه'!$I:$I)</f>
        <v>0.0</v>
      </c>
      <c r="N253" s="22">
        <f>+K253+L253-M253</f>
        <v>16.0</v>
      </c>
      <c r="O253" s="22">
        <f>+N253</f>
        <v>16.0</v>
      </c>
      <c r="P253" s="22">
        <f>+N253-O253</f>
        <v>0.0</v>
      </c>
      <c r="Q253" s="57"/>
      <c r="R253" s="58"/>
    </row>
    <row r="254" spans="8:8" ht="15.0" customHeight="1">
      <c r="B254" s="54">
        <v>247.0</v>
      </c>
      <c r="C254" s="8" t="s">
        <v>8351</v>
      </c>
      <c r="D254" s="8" t="s">
        <v>1013</v>
      </c>
      <c r="E254" s="8" t="s">
        <v>1312</v>
      </c>
      <c r="F254" s="8" t="s">
        <v>68</v>
      </c>
      <c r="G254" s="8" t="s">
        <v>2068</v>
      </c>
      <c r="H254" s="8" t="s">
        <v>1312</v>
      </c>
      <c r="I254" s="8" t="s">
        <v>89</v>
      </c>
      <c r="J254" s="78" t="s">
        <v>4169</v>
      </c>
      <c r="K254" s="22">
        <v>6.0</v>
      </c>
      <c r="L254" s="22">
        <f>+SUMIF('حركه المخزن الرئيسي اليوميه'!$F:$F,$H:$H,'حركه المخزن الرئيسي اليوميه'!$H:$H)</f>
        <v>0.0</v>
      </c>
      <c r="M254" s="22">
        <f>+SUMIF('حركه المخزن الرئيسي اليوميه'!$F:$F,$H:$H,'حركه المخزن الرئيسي اليوميه'!$I:$I)</f>
        <v>0.0</v>
      </c>
      <c r="N254" s="22">
        <f>+K254+L254-M254</f>
        <v>6.0</v>
      </c>
      <c r="O254" s="22">
        <f>+N254</f>
        <v>6.0</v>
      </c>
      <c r="P254" s="22">
        <f>+N254-O254</f>
        <v>0.0</v>
      </c>
      <c r="Q254" s="57"/>
      <c r="R254" s="58"/>
    </row>
    <row r="255" spans="8:8" ht="15.0" customHeight="1">
      <c r="B255" s="54">
        <v>248.0</v>
      </c>
      <c r="C255" s="8" t="s">
        <v>8351</v>
      </c>
      <c r="D255" s="8" t="s">
        <v>820</v>
      </c>
      <c r="E255" s="8" t="s">
        <v>1211</v>
      </c>
      <c r="F255" s="8" t="s">
        <v>68</v>
      </c>
      <c r="G255" s="8" t="s">
        <v>112</v>
      </c>
      <c r="H255" s="8" t="s">
        <v>1211</v>
      </c>
      <c r="I255" s="8" t="s">
        <v>89</v>
      </c>
      <c r="J255" s="78" t="s">
        <v>4170</v>
      </c>
      <c r="K255" s="22">
        <v>8.0</v>
      </c>
      <c r="L255" s="22">
        <f>+SUMIF('حركه المخزن الرئيسي اليوميه'!$F:$F,$H:$H,'حركه المخزن الرئيسي اليوميه'!$H:$H)</f>
        <v>0.0</v>
      </c>
      <c r="M255" s="22">
        <f>+SUMIF('حركه المخزن الرئيسي اليوميه'!$F:$F,$H:$H,'حركه المخزن الرئيسي اليوميه'!$I:$I)</f>
        <v>1.0</v>
      </c>
      <c r="N255" s="22">
        <f>+K255+L255-M255</f>
        <v>7.0</v>
      </c>
      <c r="O255" s="22">
        <f>+N255</f>
        <v>7.0</v>
      </c>
      <c r="P255" s="22">
        <f>+N255-O255</f>
        <v>0.0</v>
      </c>
      <c r="Q255" s="57"/>
      <c r="R255" s="58"/>
    </row>
    <row r="256" spans="8:8" ht="15.0" customHeight="1">
      <c r="B256" s="54">
        <v>249.0</v>
      </c>
      <c r="C256" s="8" t="s">
        <v>8351</v>
      </c>
      <c r="D256" s="8" t="s">
        <v>820</v>
      </c>
      <c r="E256" s="8" t="s">
        <v>1212</v>
      </c>
      <c r="F256" s="8" t="s">
        <v>68</v>
      </c>
      <c r="G256" s="8" t="s">
        <v>112</v>
      </c>
      <c r="H256" s="8" t="s">
        <v>3146</v>
      </c>
      <c r="I256" s="8" t="s">
        <v>89</v>
      </c>
      <c r="J256" s="78" t="s">
        <v>4171</v>
      </c>
      <c r="K256" s="22">
        <v>11.0</v>
      </c>
      <c r="L256" s="22">
        <f>+SUMIF('حركه المخزن الرئيسي اليوميه'!$F:$F,$H:$H,'حركه المخزن الرئيسي اليوميه'!$H:$H)</f>
        <v>0.0</v>
      </c>
      <c r="M256" s="22">
        <f>+SUMIF('حركه المخزن الرئيسي اليوميه'!$F:$F,$H:$H,'حركه المخزن الرئيسي اليوميه'!$I:$I)</f>
        <v>0.0</v>
      </c>
      <c r="N256" s="22">
        <f>+K256+L256-M256</f>
        <v>11.0</v>
      </c>
      <c r="O256" s="22">
        <f>+N256</f>
        <v>11.0</v>
      </c>
      <c r="P256" s="22">
        <f>+N256-O256</f>
        <v>0.0</v>
      </c>
      <c r="Q256" s="57"/>
      <c r="R256" s="58"/>
    </row>
    <row r="257" spans="8:8" ht="15.0" customHeight="1">
      <c r="B257" s="54">
        <v>250.0</v>
      </c>
      <c r="C257" s="8" t="s">
        <v>8351</v>
      </c>
      <c r="D257" s="8" t="s">
        <v>1013</v>
      </c>
      <c r="E257" s="8" t="s">
        <v>105</v>
      </c>
      <c r="F257" s="8" t="s">
        <v>68</v>
      </c>
      <c r="G257" s="8" t="s">
        <v>1801</v>
      </c>
      <c r="H257" s="8" t="s">
        <v>105</v>
      </c>
      <c r="I257" s="8" t="s">
        <v>89</v>
      </c>
      <c r="J257" s="78" t="s">
        <v>4172</v>
      </c>
      <c r="K257" s="22">
        <v>15.0</v>
      </c>
      <c r="L257" s="22">
        <f>+SUMIF('حركه المخزن الرئيسي اليوميه'!$F:$F,$H:$H,'حركه المخزن الرئيسي اليوميه'!$H:$H)</f>
        <v>0.0</v>
      </c>
      <c r="M257" s="22">
        <f>+SUMIF('حركه المخزن الرئيسي اليوميه'!$F:$F,$H:$H,'حركه المخزن الرئيسي اليوميه'!$I:$I)</f>
        <v>0.0</v>
      </c>
      <c r="N257" s="22">
        <f>+K257+L257-M257</f>
        <v>15.0</v>
      </c>
      <c r="O257" s="22">
        <f>+N257</f>
        <v>15.0</v>
      </c>
      <c r="P257" s="22">
        <f>+N257-O257</f>
        <v>0.0</v>
      </c>
      <c r="Q257" s="57"/>
      <c r="R257" s="58"/>
    </row>
    <row r="258" spans="8:8" ht="15.0" customHeight="1">
      <c r="B258" s="54">
        <v>251.0</v>
      </c>
      <c r="C258" s="8" t="s">
        <v>8351</v>
      </c>
      <c r="D258" s="8" t="s">
        <v>820</v>
      </c>
      <c r="E258" s="8" t="s">
        <v>1310</v>
      </c>
      <c r="F258" s="8" t="s">
        <v>68</v>
      </c>
      <c r="G258" s="8"/>
      <c r="H258" s="8" t="s">
        <v>1310</v>
      </c>
      <c r="I258" s="8" t="s">
        <v>89</v>
      </c>
      <c r="J258" s="78" t="s">
        <v>4173</v>
      </c>
      <c r="K258" s="22">
        <v>0.0</v>
      </c>
      <c r="L258" s="22">
        <f>+SUMIF('حركه المخزن الرئيسي اليوميه'!$F:$F,$H:$H,'حركه المخزن الرئيسي اليوميه'!$H:$H)</f>
        <v>0.0</v>
      </c>
      <c r="M258" s="22">
        <f>+SUMIF('حركه المخزن الرئيسي اليوميه'!$F:$F,$H:$H,'حركه المخزن الرئيسي اليوميه'!$I:$I)</f>
        <v>0.0</v>
      </c>
      <c r="N258" s="22">
        <f>+K258+L258-M258</f>
        <v>0.0</v>
      </c>
      <c r="O258" s="22">
        <f>+N258</f>
        <v>0.0</v>
      </c>
      <c r="P258" s="22">
        <f>+N258-O258</f>
        <v>0.0</v>
      </c>
      <c r="Q258" s="57"/>
      <c r="R258" s="58"/>
    </row>
    <row r="259" spans="8:8" ht="15.0" customHeight="1">
      <c r="B259" s="54">
        <v>252.0</v>
      </c>
      <c r="C259" s="8" t="s">
        <v>8351</v>
      </c>
      <c r="D259" s="8" t="s">
        <v>816</v>
      </c>
      <c r="E259" s="8" t="s">
        <v>817</v>
      </c>
      <c r="F259" s="8" t="s">
        <v>68</v>
      </c>
      <c r="G259" s="8" t="s">
        <v>2390</v>
      </c>
      <c r="H259" s="8" t="s">
        <v>817</v>
      </c>
      <c r="I259" s="8" t="s">
        <v>174</v>
      </c>
      <c r="J259" s="78" t="s">
        <v>4174</v>
      </c>
      <c r="K259" s="22">
        <v>0.0</v>
      </c>
      <c r="L259" s="22">
        <f>+SUMIF('حركه المخزن الرئيسي اليوميه'!$F:$F,$H:$H,'حركه المخزن الرئيسي اليوميه'!$H:$H)</f>
        <v>0.0</v>
      </c>
      <c r="M259" s="22">
        <f>+SUMIF('حركه المخزن الرئيسي اليوميه'!$F:$F,$H:$H,'حركه المخزن الرئيسي اليوميه'!$I:$I)</f>
        <v>0.0</v>
      </c>
      <c r="N259" s="22">
        <f>+K259+L259-M259</f>
        <v>0.0</v>
      </c>
      <c r="O259" s="22">
        <f>+N259</f>
        <v>0.0</v>
      </c>
      <c r="P259" s="22">
        <f>+N259-O259</f>
        <v>0.0</v>
      </c>
      <c r="Q259" s="57"/>
      <c r="R259" s="58"/>
    </row>
    <row r="260" spans="8:8" ht="15.0" customHeight="1">
      <c r="B260" s="54">
        <v>253.0</v>
      </c>
      <c r="C260" s="8" t="s">
        <v>8351</v>
      </c>
      <c r="D260" s="8" t="s">
        <v>1013</v>
      </c>
      <c r="E260" s="8" t="s">
        <v>1585</v>
      </c>
      <c r="F260" s="8" t="s">
        <v>1586</v>
      </c>
      <c r="G260" s="8" t="s">
        <v>2476</v>
      </c>
      <c r="H260" s="8" t="s">
        <v>1585</v>
      </c>
      <c r="I260" s="8" t="s">
        <v>78</v>
      </c>
      <c r="J260" s="78" t="s">
        <v>4175</v>
      </c>
      <c r="K260" s="22">
        <v>0.0</v>
      </c>
      <c r="L260" s="22">
        <f>+SUMIF('حركه المخزن الرئيسي اليوميه'!$F:$F,$H:$H,'حركه المخزن الرئيسي اليوميه'!$H:$H)</f>
        <v>0.0</v>
      </c>
      <c r="M260" s="22">
        <f>+SUMIF('حركه المخزن الرئيسي اليوميه'!$F:$F,$H:$H,'حركه المخزن الرئيسي اليوميه'!$I:$I)</f>
        <v>0.0</v>
      </c>
      <c r="N260" s="22">
        <f>+K260+L260-M260</f>
        <v>0.0</v>
      </c>
      <c r="O260" s="22">
        <f>+N260</f>
        <v>0.0</v>
      </c>
      <c r="P260" s="22">
        <f>+N260-O260</f>
        <v>0.0</v>
      </c>
      <c r="Q260" s="57"/>
      <c r="R260" s="58"/>
    </row>
    <row r="261" spans="8:8" ht="15.0" customHeight="1">
      <c r="B261" s="54">
        <v>254.0</v>
      </c>
      <c r="C261" s="8" t="s">
        <v>8351</v>
      </c>
      <c r="D261" s="8" t="s">
        <v>1013</v>
      </c>
      <c r="E261" s="8" t="s">
        <v>133</v>
      </c>
      <c r="F261" s="8" t="s">
        <v>68</v>
      </c>
      <c r="G261" s="8" t="s">
        <v>1683</v>
      </c>
      <c r="H261" s="8" t="s">
        <v>134</v>
      </c>
      <c r="I261" s="8" t="s">
        <v>78</v>
      </c>
      <c r="J261" s="78" t="s">
        <v>4176</v>
      </c>
      <c r="K261" s="22">
        <v>0.0</v>
      </c>
      <c r="L261" s="22">
        <f>+SUMIF('حركه المخزن الرئيسي اليوميه'!$F:$F,$H:$H,'حركه المخزن الرئيسي اليوميه'!$H:$H)</f>
        <v>0.0</v>
      </c>
      <c r="M261" s="22">
        <f>+SUMIF('حركه المخزن الرئيسي اليوميه'!$F:$F,$H:$H,'حركه المخزن الرئيسي اليوميه'!$I:$I)</f>
        <v>0.0</v>
      </c>
      <c r="N261" s="22">
        <f>+K261+L261-M261</f>
        <v>0.0</v>
      </c>
      <c r="O261" s="22">
        <f>+N261</f>
        <v>0.0</v>
      </c>
      <c r="P261" s="22">
        <f>+N261-O261</f>
        <v>0.0</v>
      </c>
      <c r="Q261" s="57"/>
      <c r="R261" s="58"/>
    </row>
    <row r="262" spans="8:8" ht="15.0" customHeight="1">
      <c r="B262" s="54">
        <v>255.0</v>
      </c>
      <c r="C262" s="8" t="s">
        <v>8351</v>
      </c>
      <c r="D262" s="8" t="s">
        <v>816</v>
      </c>
      <c r="E262" s="8" t="s">
        <v>81</v>
      </c>
      <c r="F262" s="8" t="s">
        <v>68</v>
      </c>
      <c r="G262" s="8" t="s">
        <v>2313</v>
      </c>
      <c r="H262" s="8" t="s">
        <v>585</v>
      </c>
      <c r="I262" s="8" t="s">
        <v>78</v>
      </c>
      <c r="J262" s="78" t="s">
        <v>4177</v>
      </c>
      <c r="K262" s="22">
        <v>0.0</v>
      </c>
      <c r="L262" s="22">
        <f>+SUMIF('حركه المخزن الرئيسي اليوميه'!$F:$F,$H:$H,'حركه المخزن الرئيسي اليوميه'!$H:$H)</f>
        <v>0.0</v>
      </c>
      <c r="M262" s="22">
        <f>+SUMIF('حركه المخزن الرئيسي اليوميه'!$F:$F,$H:$H,'حركه المخزن الرئيسي اليوميه'!$I:$I)</f>
        <v>0.0</v>
      </c>
      <c r="N262" s="22">
        <f>+K262+L262-M262</f>
        <v>0.0</v>
      </c>
      <c r="O262" s="22">
        <f>+N262</f>
        <v>0.0</v>
      </c>
      <c r="P262" s="22">
        <f>+N262-O262</f>
        <v>0.0</v>
      </c>
      <c r="Q262" s="57"/>
      <c r="R262" s="58"/>
    </row>
    <row r="263" spans="8:8" ht="15.0" customHeight="1">
      <c r="B263" s="54">
        <v>256.0</v>
      </c>
      <c r="C263" s="8" t="s">
        <v>8351</v>
      </c>
      <c r="D263" s="8" t="s">
        <v>1013</v>
      </c>
      <c r="E263" s="8" t="s">
        <v>1502</v>
      </c>
      <c r="F263" s="8" t="s">
        <v>1501</v>
      </c>
      <c r="G263" s="8" t="s">
        <v>2282</v>
      </c>
      <c r="H263" s="8" t="s">
        <v>1502</v>
      </c>
      <c r="I263" s="8" t="s">
        <v>78</v>
      </c>
      <c r="J263" s="78" t="s">
        <v>4178</v>
      </c>
      <c r="K263" s="22">
        <v>2.0</v>
      </c>
      <c r="L263" s="22">
        <f>+SUMIF('حركه المخزن الرئيسي اليوميه'!$F:$F,$H:$H,'حركه المخزن الرئيسي اليوميه'!$H:$H)</f>
        <v>0.0</v>
      </c>
      <c r="M263" s="22">
        <f>+SUMIF('حركه المخزن الرئيسي اليوميه'!$F:$F,$H:$H,'حركه المخزن الرئيسي اليوميه'!$I:$I)</f>
        <v>1.0</v>
      </c>
      <c r="N263" s="22">
        <f>+K263+L263-M263</f>
        <v>1.0</v>
      </c>
      <c r="O263" s="22">
        <f>+N263</f>
        <v>1.0</v>
      </c>
      <c r="P263" s="22">
        <f>+N263-O263</f>
        <v>0.0</v>
      </c>
      <c r="Q263" s="57"/>
      <c r="R263" s="58"/>
    </row>
    <row r="264" spans="8:8" ht="15.0" customHeight="1">
      <c r="B264" s="54">
        <v>257.0</v>
      </c>
      <c r="C264" s="8" t="s">
        <v>8351</v>
      </c>
      <c r="D264" s="8" t="s">
        <v>820</v>
      </c>
      <c r="E264" s="8" t="s">
        <v>1303</v>
      </c>
      <c r="F264" s="8" t="s">
        <v>68</v>
      </c>
      <c r="G264" s="8" t="s">
        <v>1304</v>
      </c>
      <c r="H264" s="8" t="s">
        <v>1304</v>
      </c>
      <c r="I264" s="8" t="s">
        <v>78</v>
      </c>
      <c r="J264" s="78" t="s">
        <v>4179</v>
      </c>
      <c r="K264" s="22">
        <v>4.0</v>
      </c>
      <c r="L264" s="22">
        <f>+SUMIF('حركه المخزن الرئيسي اليوميه'!$F:$F,$H:$H,'حركه المخزن الرئيسي اليوميه'!$H:$H)</f>
        <v>0.0</v>
      </c>
      <c r="M264" s="22">
        <f>+SUMIF('حركه المخزن الرئيسي اليوميه'!$F:$F,$H:$H,'حركه المخزن الرئيسي اليوميه'!$I:$I)</f>
        <v>0.0</v>
      </c>
      <c r="N264" s="22">
        <f>+K264+L264-M264</f>
        <v>4.0</v>
      </c>
      <c r="O264" s="22">
        <f>+N264</f>
        <v>4.0</v>
      </c>
      <c r="P264" s="22">
        <f>+N264-O264</f>
        <v>0.0</v>
      </c>
      <c r="Q264" s="57"/>
      <c r="R264" s="58"/>
    </row>
    <row r="265" spans="8:8" ht="15.0" customHeight="1">
      <c r="B265" s="54">
        <v>258.0</v>
      </c>
      <c r="C265" s="8" t="s">
        <v>8351</v>
      </c>
      <c r="D265" s="8" t="s">
        <v>816</v>
      </c>
      <c r="E265" s="8" t="s">
        <v>80</v>
      </c>
      <c r="F265" s="8" t="s">
        <v>68</v>
      </c>
      <c r="G265" s="8" t="s">
        <v>2313</v>
      </c>
      <c r="H265" s="8" t="s">
        <v>1159</v>
      </c>
      <c r="I265" s="8" t="s">
        <v>78</v>
      </c>
      <c r="J265" s="78" t="s">
        <v>4180</v>
      </c>
      <c r="K265" s="22">
        <v>51.0</v>
      </c>
      <c r="L265" s="22">
        <f>+SUMIF('حركه المخزن الرئيسي اليوميه'!$F:$F,$H:$H,'حركه المخزن الرئيسي اليوميه'!$H:$H)</f>
        <v>0.0</v>
      </c>
      <c r="M265" s="22">
        <f>+SUMIF('حركه المخزن الرئيسي اليوميه'!$F:$F,$H:$H,'حركه المخزن الرئيسي اليوميه'!$I:$I)</f>
        <v>3.0</v>
      </c>
      <c r="N265" s="22">
        <f>+K265+L265-M265</f>
        <v>48.0</v>
      </c>
      <c r="O265" s="22">
        <f>+N265</f>
        <v>48.0</v>
      </c>
      <c r="P265" s="22">
        <f>+N265-O265</f>
        <v>0.0</v>
      </c>
      <c r="Q265" s="57"/>
      <c r="R265" s="58"/>
    </row>
    <row r="266" spans="8:8" ht="15.0" customHeight="1">
      <c r="B266" s="54">
        <v>259.0</v>
      </c>
      <c r="C266" s="8" t="s">
        <v>8351</v>
      </c>
      <c r="D266" s="8" t="s">
        <v>1013</v>
      </c>
      <c r="E266" s="8" t="s">
        <v>109</v>
      </c>
      <c r="F266" s="8" t="s">
        <v>135</v>
      </c>
      <c r="G266" s="8" t="s">
        <v>1803</v>
      </c>
      <c r="H266" s="8" t="s">
        <v>109</v>
      </c>
      <c r="I266" s="8" t="s">
        <v>55</v>
      </c>
      <c r="J266" s="78" t="s">
        <v>4181</v>
      </c>
      <c r="K266" s="22">
        <v>16.0</v>
      </c>
      <c r="L266" s="22">
        <f>+SUMIF('حركه المخزن الرئيسي اليوميه'!$F:$F,$H:$H,'حركه المخزن الرئيسي اليوميه'!$H:$H)</f>
        <v>0.0</v>
      </c>
      <c r="M266" s="22">
        <f>+SUMIF('حركه المخزن الرئيسي اليوميه'!$F:$F,$H:$H,'حركه المخزن الرئيسي اليوميه'!$I:$I)</f>
        <v>6.0</v>
      </c>
      <c r="N266" s="22">
        <f>+K266+L266-M266</f>
        <v>10.0</v>
      </c>
      <c r="O266" s="22">
        <f>+N266</f>
        <v>10.0</v>
      </c>
      <c r="P266" s="22">
        <f>+N266-O266</f>
        <v>0.0</v>
      </c>
      <c r="Q266" s="57"/>
      <c r="R266" s="58"/>
    </row>
    <row r="267" spans="8:8" ht="15.0" customHeight="1">
      <c r="B267" s="54">
        <v>260.0</v>
      </c>
      <c r="C267" s="8" t="s">
        <v>8351</v>
      </c>
      <c r="D267" s="8" t="s">
        <v>820</v>
      </c>
      <c r="E267" s="8" t="s">
        <v>1325</v>
      </c>
      <c r="F267" s="8" t="s">
        <v>873</v>
      </c>
      <c r="G267" s="8" t="s">
        <v>2258</v>
      </c>
      <c r="H267" s="8" t="s">
        <v>1325</v>
      </c>
      <c r="I267" s="8" t="s">
        <v>78</v>
      </c>
      <c r="J267" s="78" t="s">
        <v>4182</v>
      </c>
      <c r="K267" s="22">
        <v>0.0</v>
      </c>
      <c r="L267" s="22">
        <f>+SUMIF('حركه المخزن الرئيسي اليوميه'!$F:$F,$H:$H,'حركه المخزن الرئيسي اليوميه'!$H:$H)</f>
        <v>0.0</v>
      </c>
      <c r="M267" s="22">
        <f>+SUMIF('حركه المخزن الرئيسي اليوميه'!$F:$F,$H:$H,'حركه المخزن الرئيسي اليوميه'!$I:$I)</f>
        <v>0.0</v>
      </c>
      <c r="N267" s="22">
        <f>+K267+L267-M267</f>
        <v>0.0</v>
      </c>
      <c r="O267" s="22">
        <f>+N267</f>
        <v>0.0</v>
      </c>
      <c r="P267" s="22">
        <f>+N267-O267</f>
        <v>0.0</v>
      </c>
      <c r="Q267" s="57"/>
      <c r="R267" s="58"/>
    </row>
    <row r="268" spans="8:8" ht="15.0" customHeight="1">
      <c r="B268" s="54">
        <v>261.0</v>
      </c>
      <c r="C268" s="8" t="s">
        <v>8351</v>
      </c>
      <c r="D268" s="8" t="s">
        <v>816</v>
      </c>
      <c r="E268" s="8" t="s">
        <v>79</v>
      </c>
      <c r="F268" s="8" t="s">
        <v>68</v>
      </c>
      <c r="G268" s="8" t="s">
        <v>1904</v>
      </c>
      <c r="H268" s="8" t="s">
        <v>815</v>
      </c>
      <c r="I268" s="8" t="s">
        <v>78</v>
      </c>
      <c r="J268" s="78" t="s">
        <v>4183</v>
      </c>
      <c r="K268" s="22">
        <v>216.0</v>
      </c>
      <c r="L268" s="22">
        <f>+SUMIF('حركه المخزن الرئيسي اليوميه'!$F:$F,$H:$H,'حركه المخزن الرئيسي اليوميه'!$H:$H)</f>
        <v>0.0</v>
      </c>
      <c r="M268" s="22">
        <f>+SUMIF('حركه المخزن الرئيسي اليوميه'!$F:$F,$H:$H,'حركه المخزن الرئيسي اليوميه'!$I:$I)</f>
        <v>6.0</v>
      </c>
      <c r="N268" s="22">
        <f>+K268+L268-M268</f>
        <v>210.0</v>
      </c>
      <c r="O268" s="22">
        <f>+N268</f>
        <v>210.0</v>
      </c>
      <c r="P268" s="22">
        <f>+N268-O268</f>
        <v>0.0</v>
      </c>
      <c r="Q268" s="57"/>
      <c r="R268" s="58"/>
    </row>
    <row r="269" spans="8:8" ht="15.0" customHeight="1">
      <c r="B269" s="54">
        <v>262.0</v>
      </c>
      <c r="C269" s="8" t="s">
        <v>8351</v>
      </c>
      <c r="D269" s="8" t="s">
        <v>820</v>
      </c>
      <c r="E269" s="8" t="s">
        <v>1160</v>
      </c>
      <c r="F269" s="8" t="s">
        <v>68</v>
      </c>
      <c r="G269" s="8" t="s">
        <v>2439</v>
      </c>
      <c r="H269" s="8" t="s">
        <v>1160</v>
      </c>
      <c r="I269" s="8" t="s">
        <v>78</v>
      </c>
      <c r="J269" s="78" t="s">
        <v>4184</v>
      </c>
      <c r="K269" s="22">
        <v>208.0</v>
      </c>
      <c r="L269" s="22">
        <f>+SUMIF('حركه المخزن الرئيسي اليوميه'!$F:$F,$H:$H,'حركه المخزن الرئيسي اليوميه'!$H:$H)</f>
        <v>0.0</v>
      </c>
      <c r="M269" s="22">
        <f>+SUMIF('حركه المخزن الرئيسي اليوميه'!$F:$F,$H:$H,'حركه المخزن الرئيسي اليوميه'!$I:$I)</f>
        <v>0.0</v>
      </c>
      <c r="N269" s="22">
        <f>+K269+L269-M269</f>
        <v>208.0</v>
      </c>
      <c r="O269" s="22">
        <f>+N269</f>
        <v>208.0</v>
      </c>
      <c r="P269" s="22">
        <f>+N269-O269</f>
        <v>0.0</v>
      </c>
      <c r="Q269" s="57"/>
      <c r="R269" s="58"/>
    </row>
    <row r="270" spans="8:8" ht="15.0" customHeight="1">
      <c r="B270" s="54">
        <v>263.0</v>
      </c>
      <c r="C270" s="8" t="s">
        <v>8351</v>
      </c>
      <c r="D270" s="8" t="s">
        <v>820</v>
      </c>
      <c r="E270" s="8" t="s">
        <v>827</v>
      </c>
      <c r="F270" s="8" t="s">
        <v>68</v>
      </c>
      <c r="G270" s="8"/>
      <c r="H270" s="8" t="s">
        <v>827</v>
      </c>
      <c r="I270" s="8" t="s">
        <v>78</v>
      </c>
      <c r="J270" s="78" t="s">
        <v>4185</v>
      </c>
      <c r="K270" s="22">
        <v>0.0</v>
      </c>
      <c r="L270" s="22">
        <f>+SUMIF('حركه المخزن الرئيسي اليوميه'!$F:$F,$H:$H,'حركه المخزن الرئيسي اليوميه'!$H:$H)</f>
        <v>0.0</v>
      </c>
      <c r="M270" s="22">
        <f>+SUMIF('حركه المخزن الرئيسي اليوميه'!$F:$F,$H:$H,'حركه المخزن الرئيسي اليوميه'!$I:$I)</f>
        <v>0.0</v>
      </c>
      <c r="N270" s="22">
        <f>+K270+L270-M270</f>
        <v>0.0</v>
      </c>
      <c r="O270" s="22">
        <f>+N270</f>
        <v>0.0</v>
      </c>
      <c r="P270" s="22">
        <f>+N270-O270</f>
        <v>0.0</v>
      </c>
      <c r="Q270" s="57"/>
      <c r="R270" s="58"/>
    </row>
    <row r="271" spans="8:8" ht="15.0" customHeight="1">
      <c r="B271" s="54">
        <v>264.0</v>
      </c>
      <c r="C271" s="8" t="s">
        <v>8351</v>
      </c>
      <c r="D271" s="8" t="s">
        <v>816</v>
      </c>
      <c r="E271" s="8" t="s">
        <v>3519</v>
      </c>
      <c r="F271" s="8" t="s">
        <v>68</v>
      </c>
      <c r="G271" s="8" t="s">
        <v>1906</v>
      </c>
      <c r="H271" s="8" t="s">
        <v>3519</v>
      </c>
      <c r="I271" s="8" t="s">
        <v>78</v>
      </c>
      <c r="J271" s="78" t="s">
        <v>4186</v>
      </c>
      <c r="K271" s="22">
        <v>50.0</v>
      </c>
      <c r="L271" s="22">
        <f>+SUMIF('حركه المخزن الرئيسي اليوميه'!$F:$F,$H:$H,'حركه المخزن الرئيسي اليوميه'!$H:$H)</f>
        <v>0.0</v>
      </c>
      <c r="M271" s="22">
        <f>+SUMIF('حركه المخزن الرئيسي اليوميه'!$F:$F,$H:$H,'حركه المخزن الرئيسي اليوميه'!$I:$I)</f>
        <v>0.0</v>
      </c>
      <c r="N271" s="22">
        <f>+K271+L271-M271</f>
        <v>50.0</v>
      </c>
      <c r="O271" s="22">
        <f>+N271</f>
        <v>50.0</v>
      </c>
      <c r="P271" s="22">
        <f>+N271-O271</f>
        <v>0.0</v>
      </c>
      <c r="Q271" s="57"/>
      <c r="R271" s="58"/>
    </row>
    <row r="272" spans="8:8" ht="15.0" customHeight="1">
      <c r="B272" s="54">
        <v>265.0</v>
      </c>
      <c r="C272" s="8" t="s">
        <v>8351</v>
      </c>
      <c r="D272" s="8" t="s">
        <v>816</v>
      </c>
      <c r="E272" s="8" t="s">
        <v>3520</v>
      </c>
      <c r="F272" s="8" t="s">
        <v>68</v>
      </c>
      <c r="G272" s="8" t="s">
        <v>1907</v>
      </c>
      <c r="H272" s="8" t="s">
        <v>3520</v>
      </c>
      <c r="I272" s="8" t="s">
        <v>78</v>
      </c>
      <c r="J272" s="78" t="s">
        <v>4187</v>
      </c>
      <c r="K272" s="22">
        <v>0.0</v>
      </c>
      <c r="L272" s="22">
        <f>+SUMIF('حركه المخزن الرئيسي اليوميه'!$F:$F,$H:$H,'حركه المخزن الرئيسي اليوميه'!$H:$H)</f>
        <v>0.0</v>
      </c>
      <c r="M272" s="22">
        <f>+SUMIF('حركه المخزن الرئيسي اليوميه'!$F:$F,$H:$H,'حركه المخزن الرئيسي اليوميه'!$I:$I)</f>
        <v>0.0</v>
      </c>
      <c r="N272" s="22">
        <f>+K272+L272-M272</f>
        <v>0.0</v>
      </c>
      <c r="O272" s="22">
        <f>+N272</f>
        <v>0.0</v>
      </c>
      <c r="P272" s="22">
        <f>+N272-O272</f>
        <v>0.0</v>
      </c>
      <c r="Q272" s="57"/>
      <c r="R272" s="58"/>
    </row>
    <row r="273" spans="8:8" ht="15.0" customHeight="1">
      <c r="B273" s="54">
        <v>266.0</v>
      </c>
      <c r="C273" s="8" t="s">
        <v>8351</v>
      </c>
      <c r="D273" s="8" t="s">
        <v>1013</v>
      </c>
      <c r="E273" s="8" t="s">
        <v>1560</v>
      </c>
      <c r="F273" s="8" t="s">
        <v>1501</v>
      </c>
      <c r="G273" s="8"/>
      <c r="H273" s="8" t="s">
        <v>1560</v>
      </c>
      <c r="I273" s="8" t="s">
        <v>73</v>
      </c>
      <c r="J273" s="78" t="s">
        <v>4188</v>
      </c>
      <c r="K273" s="22">
        <v>1.0</v>
      </c>
      <c r="L273" s="22">
        <f>+SUMIF('حركه المخزن الرئيسي اليوميه'!$F:$F,$H:$H,'حركه المخزن الرئيسي اليوميه'!$H:$H)</f>
        <v>0.0</v>
      </c>
      <c r="M273" s="22">
        <f>+SUMIF('حركه المخزن الرئيسي اليوميه'!$F:$F,$H:$H,'حركه المخزن الرئيسي اليوميه'!$I:$I)</f>
        <v>0.0</v>
      </c>
      <c r="N273" s="22">
        <f>+K273+L273-M273</f>
        <v>1.0</v>
      </c>
      <c r="O273" s="22">
        <f>+N273</f>
        <v>1.0</v>
      </c>
      <c r="P273" s="22">
        <f>+N273-O273</f>
        <v>0.0</v>
      </c>
      <c r="Q273" s="57"/>
      <c r="R273" s="58"/>
    </row>
    <row r="274" spans="8:8" ht="15.0" customHeight="1">
      <c r="B274" s="54">
        <v>267.0</v>
      </c>
      <c r="C274" s="8" t="s">
        <v>8351</v>
      </c>
      <c r="D274" s="8" t="s">
        <v>816</v>
      </c>
      <c r="E274" s="8" t="s">
        <v>82</v>
      </c>
      <c r="F274" s="8" t="s">
        <v>68</v>
      </c>
      <c r="G274" s="8" t="s">
        <v>2060</v>
      </c>
      <c r="H274" s="8" t="s">
        <v>82</v>
      </c>
      <c r="I274" s="8" t="s">
        <v>73</v>
      </c>
      <c r="J274" s="78" t="s">
        <v>4189</v>
      </c>
      <c r="K274" s="22">
        <v>2.0</v>
      </c>
      <c r="L274" s="22">
        <f>+SUMIF('حركه المخزن الرئيسي اليوميه'!$F:$F,$H:$H,'حركه المخزن الرئيسي اليوميه'!$H:$H)</f>
        <v>0.0</v>
      </c>
      <c r="M274" s="22">
        <f>+SUMIF('حركه المخزن الرئيسي اليوميه'!$F:$F,$H:$H,'حركه المخزن الرئيسي اليوميه'!$I:$I)</f>
        <v>0.0</v>
      </c>
      <c r="N274" s="22">
        <f>+K274+L274-M274</f>
        <v>2.0</v>
      </c>
      <c r="O274" s="22">
        <f>+N274</f>
        <v>2.0</v>
      </c>
      <c r="P274" s="22">
        <f>+N274-O274</f>
        <v>0.0</v>
      </c>
      <c r="Q274" s="57"/>
      <c r="R274" s="58"/>
    </row>
    <row r="275" spans="8:8" ht="15.0" customHeight="1">
      <c r="B275" s="54">
        <v>268.0</v>
      </c>
      <c r="C275" s="8" t="s">
        <v>8351</v>
      </c>
      <c r="D275" s="8" t="s">
        <v>816</v>
      </c>
      <c r="E275" s="8" t="s">
        <v>2489</v>
      </c>
      <c r="F275" s="8" t="s">
        <v>68</v>
      </c>
      <c r="G275" s="8" t="s">
        <v>2061</v>
      </c>
      <c r="H275" s="8" t="s">
        <v>2489</v>
      </c>
      <c r="I275" s="8" t="s">
        <v>73</v>
      </c>
      <c r="J275" s="78" t="s">
        <v>4190</v>
      </c>
      <c r="K275" s="22">
        <v>1.0</v>
      </c>
      <c r="L275" s="22">
        <f>+SUMIF('حركه المخزن الرئيسي اليوميه'!$F:$F,$H:$H,'حركه المخزن الرئيسي اليوميه'!$H:$H)</f>
        <v>0.0</v>
      </c>
      <c r="M275" s="22">
        <f>+SUMIF('حركه المخزن الرئيسي اليوميه'!$F:$F,$H:$H,'حركه المخزن الرئيسي اليوميه'!$I:$I)</f>
        <v>0.0</v>
      </c>
      <c r="N275" s="22">
        <f>+K275+L275-M275</f>
        <v>1.0</v>
      </c>
      <c r="O275" s="22">
        <f>+N275</f>
        <v>1.0</v>
      </c>
      <c r="P275" s="22">
        <f>+N275-O275</f>
        <v>0.0</v>
      </c>
      <c r="Q275" s="57"/>
      <c r="R275" s="58"/>
    </row>
    <row r="276" spans="8:8" ht="15.0" customHeight="1">
      <c r="B276" s="54">
        <v>269.0</v>
      </c>
      <c r="C276" s="8" t="s">
        <v>8351</v>
      </c>
      <c r="D276" s="8" t="s">
        <v>816</v>
      </c>
      <c r="E276" s="8" t="s">
        <v>83</v>
      </c>
      <c r="F276" s="8" t="s">
        <v>68</v>
      </c>
      <c r="G276" s="8" t="s">
        <v>1905</v>
      </c>
      <c r="H276" s="8" t="s">
        <v>87</v>
      </c>
      <c r="I276" s="8" t="s">
        <v>78</v>
      </c>
      <c r="J276" s="78" t="s">
        <v>4191</v>
      </c>
      <c r="K276" s="22">
        <v>0.0</v>
      </c>
      <c r="L276" s="22">
        <f>+SUMIF('حركه المخزن الرئيسي اليوميه'!$F:$F,$H:$H,'حركه المخزن الرئيسي اليوميه'!$H:$H)</f>
        <v>0.0</v>
      </c>
      <c r="M276" s="22">
        <f>+SUMIF('حركه المخزن الرئيسي اليوميه'!$F:$F,$H:$H,'حركه المخزن الرئيسي اليوميه'!$I:$I)</f>
        <v>0.0</v>
      </c>
      <c r="N276" s="22">
        <f>+K276+L276-M276</f>
        <v>0.0</v>
      </c>
      <c r="O276" s="22">
        <f>+N276</f>
        <v>0.0</v>
      </c>
      <c r="P276" s="22">
        <f>+N276-O276</f>
        <v>0.0</v>
      </c>
      <c r="Q276" s="57"/>
      <c r="R276" s="58"/>
    </row>
    <row r="277" spans="8:8" ht="15.0" customHeight="1">
      <c r="B277" s="54">
        <v>270.0</v>
      </c>
      <c r="C277" s="8" t="s">
        <v>8351</v>
      </c>
      <c r="D277" s="8" t="s">
        <v>816</v>
      </c>
      <c r="E277" s="8" t="s">
        <v>83</v>
      </c>
      <c r="F277" s="8" t="s">
        <v>68</v>
      </c>
      <c r="G277" s="8" t="s">
        <v>1905</v>
      </c>
      <c r="H277" s="8" t="s">
        <v>88</v>
      </c>
      <c r="I277" s="8" t="s">
        <v>78</v>
      </c>
      <c r="J277" s="78" t="s">
        <v>4192</v>
      </c>
      <c r="K277" s="22">
        <v>6.0</v>
      </c>
      <c r="L277" s="22">
        <f>+SUMIF('حركه المخزن الرئيسي اليوميه'!$F:$F,$H:$H,'حركه المخزن الرئيسي اليوميه'!$H:$H)</f>
        <v>0.0</v>
      </c>
      <c r="M277" s="22">
        <f>+SUMIF('حركه المخزن الرئيسي اليوميه'!$F:$F,$H:$H,'حركه المخزن الرئيسي اليوميه'!$I:$I)</f>
        <v>0.0</v>
      </c>
      <c r="N277" s="22">
        <f>+K277+L277-M277</f>
        <v>6.0</v>
      </c>
      <c r="O277" s="22">
        <f>+N277</f>
        <v>6.0</v>
      </c>
      <c r="P277" s="22">
        <f>+N277-O277</f>
        <v>0.0</v>
      </c>
      <c r="Q277" s="57"/>
      <c r="R277" s="58"/>
    </row>
    <row r="278" spans="8:8" ht="15.0" customHeight="1">
      <c r="B278" s="54">
        <v>271.0</v>
      </c>
      <c r="C278" s="8" t="s">
        <v>8351</v>
      </c>
      <c r="D278" s="8" t="s">
        <v>765</v>
      </c>
      <c r="E278" s="8" t="s">
        <v>81</v>
      </c>
      <c r="F278" s="8" t="s">
        <v>68</v>
      </c>
      <c r="G278" s="8"/>
      <c r="H278" s="8" t="s">
        <v>2747</v>
      </c>
      <c r="I278" s="8" t="s">
        <v>78</v>
      </c>
      <c r="J278" s="78" t="s">
        <v>4193</v>
      </c>
      <c r="K278" s="22">
        <v>0.0</v>
      </c>
      <c r="L278" s="22">
        <f>+SUMIF('حركه المخزن الرئيسي اليوميه'!$F:$F,$H:$H,'حركه المخزن الرئيسي اليوميه'!$H:$H)</f>
        <v>0.0</v>
      </c>
      <c r="M278" s="22">
        <f>+SUMIF('حركه المخزن الرئيسي اليوميه'!$F:$F,$H:$H,'حركه المخزن الرئيسي اليوميه'!$I:$I)</f>
        <v>0.0</v>
      </c>
      <c r="N278" s="22">
        <f>+K278+L278-M278</f>
        <v>0.0</v>
      </c>
      <c r="O278" s="22">
        <f>+N278</f>
        <v>0.0</v>
      </c>
      <c r="P278" s="22">
        <f>+N278-O278</f>
        <v>0.0</v>
      </c>
      <c r="Q278" s="57"/>
      <c r="R278" s="58"/>
    </row>
    <row r="279" spans="8:8" ht="15.0" customHeight="1">
      <c r="B279" s="54">
        <v>272.0</v>
      </c>
      <c r="C279" s="8" t="s">
        <v>8351</v>
      </c>
      <c r="D279" s="8" t="s">
        <v>816</v>
      </c>
      <c r="E279" s="8" t="s">
        <v>83</v>
      </c>
      <c r="F279" s="8" t="s">
        <v>68</v>
      </c>
      <c r="G279" s="8" t="s">
        <v>1905</v>
      </c>
      <c r="H279" s="8" t="s">
        <v>84</v>
      </c>
      <c r="I279" s="8" t="s">
        <v>78</v>
      </c>
      <c r="J279" s="78" t="s">
        <v>4194</v>
      </c>
      <c r="K279" s="22">
        <v>0.0</v>
      </c>
      <c r="L279" s="22">
        <f>+SUMIF('حركه المخزن الرئيسي اليوميه'!$F:$F,$H:$H,'حركه المخزن الرئيسي اليوميه'!$H:$H)</f>
        <v>0.0</v>
      </c>
      <c r="M279" s="22">
        <f>+SUMIF('حركه المخزن الرئيسي اليوميه'!$F:$F,$H:$H,'حركه المخزن الرئيسي اليوميه'!$I:$I)</f>
        <v>0.0</v>
      </c>
      <c r="N279" s="22">
        <f>+K279+L279-M279</f>
        <v>0.0</v>
      </c>
      <c r="O279" s="22">
        <f>+N279</f>
        <v>0.0</v>
      </c>
      <c r="P279" s="22">
        <f>+N279-O279</f>
        <v>0.0</v>
      </c>
      <c r="Q279" s="57"/>
      <c r="R279" s="58"/>
    </row>
    <row r="280" spans="8:8" ht="15.0" customHeight="1">
      <c r="B280" s="54">
        <v>273.0</v>
      </c>
      <c r="C280" s="8" t="s">
        <v>8351</v>
      </c>
      <c r="D280" s="8" t="s">
        <v>816</v>
      </c>
      <c r="E280" s="8" t="s">
        <v>83</v>
      </c>
      <c r="F280" s="8" t="s">
        <v>68</v>
      </c>
      <c r="G280" s="8" t="s">
        <v>1905</v>
      </c>
      <c r="H280" s="8" t="s">
        <v>85</v>
      </c>
      <c r="I280" s="8" t="s">
        <v>78</v>
      </c>
      <c r="J280" s="78" t="s">
        <v>4195</v>
      </c>
      <c r="K280" s="22">
        <v>0.0</v>
      </c>
      <c r="L280" s="22">
        <f>+SUMIF('حركه المخزن الرئيسي اليوميه'!$F:$F,$H:$H,'حركه المخزن الرئيسي اليوميه'!$H:$H)</f>
        <v>0.0</v>
      </c>
      <c r="M280" s="22">
        <f>+SUMIF('حركه المخزن الرئيسي اليوميه'!$F:$F,$H:$H,'حركه المخزن الرئيسي اليوميه'!$I:$I)</f>
        <v>0.0</v>
      </c>
      <c r="N280" s="22">
        <f>+K280+L280-M280</f>
        <v>0.0</v>
      </c>
      <c r="O280" s="22">
        <f>+N280</f>
        <v>0.0</v>
      </c>
      <c r="P280" s="22">
        <f>+N280-O280</f>
        <v>0.0</v>
      </c>
      <c r="Q280" s="57"/>
      <c r="R280" s="58"/>
    </row>
    <row r="281" spans="8:8" ht="15.0" customHeight="1">
      <c r="B281" s="54">
        <v>274.0</v>
      </c>
      <c r="C281" s="8" t="s">
        <v>8351</v>
      </c>
      <c r="D281" s="8" t="s">
        <v>816</v>
      </c>
      <c r="E281" s="8" t="s">
        <v>83</v>
      </c>
      <c r="F281" s="8" t="s">
        <v>68</v>
      </c>
      <c r="G281" s="8" t="s">
        <v>1905</v>
      </c>
      <c r="H281" s="8" t="s">
        <v>86</v>
      </c>
      <c r="I281" s="8" t="s">
        <v>78</v>
      </c>
      <c r="J281" s="78" t="s">
        <v>4196</v>
      </c>
      <c r="K281" s="22">
        <v>0.0</v>
      </c>
      <c r="L281" s="22">
        <f>+SUMIF('حركه المخزن الرئيسي اليوميه'!$F:$F,$H:$H,'حركه المخزن الرئيسي اليوميه'!$H:$H)</f>
        <v>0.0</v>
      </c>
      <c r="M281" s="22">
        <f>+SUMIF('حركه المخزن الرئيسي اليوميه'!$F:$F,$H:$H,'حركه المخزن الرئيسي اليوميه'!$I:$I)</f>
        <v>0.0</v>
      </c>
      <c r="N281" s="22">
        <f>+K281+L281-M281</f>
        <v>0.0</v>
      </c>
      <c r="O281" s="22">
        <f>+N281</f>
        <v>0.0</v>
      </c>
      <c r="P281" s="22">
        <f>+N281-O281</f>
        <v>0.0</v>
      </c>
      <c r="Q281" s="57"/>
      <c r="R281" s="58"/>
    </row>
    <row r="282" spans="8:8" ht="15.0" customHeight="1">
      <c r="B282" s="54">
        <v>275.0</v>
      </c>
      <c r="C282" s="8" t="s">
        <v>8351</v>
      </c>
      <c r="D282" s="8" t="s">
        <v>1013</v>
      </c>
      <c r="E282" s="8" t="s">
        <v>1525</v>
      </c>
      <c r="F282" s="8" t="s">
        <v>1501</v>
      </c>
      <c r="G282" s="8"/>
      <c r="H282" s="8" t="s">
        <v>1525</v>
      </c>
      <c r="I282" s="8" t="s">
        <v>78</v>
      </c>
      <c r="J282" s="78" t="s">
        <v>4197</v>
      </c>
      <c r="K282" s="22">
        <v>0.0</v>
      </c>
      <c r="L282" s="22">
        <f>+SUMIF('حركه المخزن الرئيسي اليوميه'!$F:$F,$H:$H,'حركه المخزن الرئيسي اليوميه'!$H:$H)</f>
        <v>0.0</v>
      </c>
      <c r="M282" s="22">
        <f>+SUMIF('حركه المخزن الرئيسي اليوميه'!$F:$F,$H:$H,'حركه المخزن الرئيسي اليوميه'!$I:$I)</f>
        <v>0.0</v>
      </c>
      <c r="N282" s="22">
        <f>+K282+L282-M282</f>
        <v>0.0</v>
      </c>
      <c r="O282" s="22">
        <f>+N282</f>
        <v>0.0</v>
      </c>
      <c r="P282" s="22">
        <f>+N282-O282</f>
        <v>0.0</v>
      </c>
      <c r="Q282" s="57"/>
      <c r="R282" s="58"/>
    </row>
    <row r="283" spans="8:8" ht="15.0" customHeight="1">
      <c r="B283" s="54">
        <v>276.0</v>
      </c>
      <c r="C283" s="8" t="s">
        <v>8351</v>
      </c>
      <c r="D283" s="8" t="s">
        <v>1013</v>
      </c>
      <c r="E283" s="8" t="s">
        <v>2721</v>
      </c>
      <c r="F283" s="8" t="s">
        <v>68</v>
      </c>
      <c r="G283" s="8"/>
      <c r="H283" s="8" t="s">
        <v>2721</v>
      </c>
      <c r="I283" s="8" t="s">
        <v>224</v>
      </c>
      <c r="J283" s="78" t="s">
        <v>4198</v>
      </c>
      <c r="K283" s="22">
        <v>0.0</v>
      </c>
      <c r="L283" s="22">
        <f>+SUMIF('حركه المخزن الرئيسي اليوميه'!$F:$F,$H:$H,'حركه المخزن الرئيسي اليوميه'!$H:$H)</f>
        <v>0.0</v>
      </c>
      <c r="M283" s="22">
        <f>+SUMIF('حركه المخزن الرئيسي اليوميه'!$F:$F,$H:$H,'حركه المخزن الرئيسي اليوميه'!$I:$I)</f>
        <v>0.0</v>
      </c>
      <c r="N283" s="22">
        <f>+K283+L283-M283</f>
        <v>0.0</v>
      </c>
      <c r="O283" s="22">
        <f>+N283</f>
        <v>0.0</v>
      </c>
      <c r="P283" s="22">
        <f>+N283-O283</f>
        <v>0.0</v>
      </c>
      <c r="Q283" s="57"/>
      <c r="R283" s="58"/>
    </row>
    <row r="284" spans="8:8" ht="15.0" customHeight="1">
      <c r="B284" s="54">
        <v>277.0</v>
      </c>
      <c r="C284" s="8" t="s">
        <v>8351</v>
      </c>
      <c r="D284" s="8" t="s">
        <v>1013</v>
      </c>
      <c r="E284" s="8" t="s">
        <v>284</v>
      </c>
      <c r="F284" s="8" t="s">
        <v>282</v>
      </c>
      <c r="G284" s="8" t="s">
        <v>2327</v>
      </c>
      <c r="H284" s="8" t="s">
        <v>284</v>
      </c>
      <c r="I284" s="8" t="s">
        <v>818</v>
      </c>
      <c r="J284" s="78" t="s">
        <v>4199</v>
      </c>
      <c r="K284" s="22">
        <v>18.0</v>
      </c>
      <c r="L284" s="22">
        <f>+SUMIF('حركه المخزن الرئيسي اليوميه'!$F:$F,$H:$H,'حركه المخزن الرئيسي اليوميه'!$H:$H)</f>
        <v>0.0</v>
      </c>
      <c r="M284" s="22">
        <f>+SUMIF('حركه المخزن الرئيسي اليوميه'!$F:$F,$H:$H,'حركه المخزن الرئيسي اليوميه'!$I:$I)</f>
        <v>0.0</v>
      </c>
      <c r="N284" s="22">
        <f>+K284+L284-M284</f>
        <v>18.0</v>
      </c>
      <c r="O284" s="22">
        <f>+N284</f>
        <v>18.0</v>
      </c>
      <c r="P284" s="22">
        <f>+N284-O284</f>
        <v>0.0</v>
      </c>
      <c r="Q284" s="57"/>
      <c r="R284" s="58"/>
    </row>
    <row r="285" spans="8:8" ht="15.0" customHeight="1">
      <c r="B285" s="54">
        <v>278.0</v>
      </c>
      <c r="C285" s="8" t="s">
        <v>8351</v>
      </c>
      <c r="D285" s="8" t="s">
        <v>1486</v>
      </c>
      <c r="E285" s="8" t="s">
        <v>1485</v>
      </c>
      <c r="F285" s="8" t="s">
        <v>68</v>
      </c>
      <c r="G285" s="8" t="s">
        <v>2464</v>
      </c>
      <c r="H285" s="8" t="s">
        <v>1485</v>
      </c>
      <c r="I285" s="8" t="s">
        <v>55</v>
      </c>
      <c r="J285" s="78" t="s">
        <v>4200</v>
      </c>
      <c r="K285" s="22">
        <v>30.0</v>
      </c>
      <c r="L285" s="22">
        <f>+SUMIF('حركه المخزن الرئيسي اليوميه'!$F:$F,$H:$H,'حركه المخزن الرئيسي اليوميه'!$H:$H)</f>
        <v>0.0</v>
      </c>
      <c r="M285" s="22">
        <f>+SUMIF('حركه المخزن الرئيسي اليوميه'!$F:$F,$H:$H,'حركه المخزن الرئيسي اليوميه'!$I:$I)</f>
        <v>1.0</v>
      </c>
      <c r="N285" s="22">
        <f>+K285+L285-M285</f>
        <v>29.0</v>
      </c>
      <c r="O285" s="22">
        <f>+N285</f>
        <v>29.0</v>
      </c>
      <c r="P285" s="22">
        <f>+N285-O285</f>
        <v>0.0</v>
      </c>
      <c r="Q285" s="57"/>
      <c r="R285" s="58"/>
    </row>
    <row r="286" spans="8:8" ht="15.0" customHeight="1">
      <c r="B286" s="54">
        <v>279.0</v>
      </c>
      <c r="C286" s="8" t="s">
        <v>8351</v>
      </c>
      <c r="D286" s="8" t="s">
        <v>1013</v>
      </c>
      <c r="E286" s="8" t="s">
        <v>23</v>
      </c>
      <c r="F286" s="8" t="s">
        <v>68</v>
      </c>
      <c r="G286" s="8" t="s">
        <v>2047</v>
      </c>
      <c r="H286" s="8">
        <v>30318.0</v>
      </c>
      <c r="I286" s="8" t="s">
        <v>55</v>
      </c>
      <c r="J286" s="78" t="s">
        <v>4201</v>
      </c>
      <c r="K286" s="22">
        <v>16.0</v>
      </c>
      <c r="L286" s="22">
        <f>+SUMIF('حركه المخزن الرئيسي اليوميه'!$F:$F,$H:$H,'حركه المخزن الرئيسي اليوميه'!$H:$H)</f>
        <v>0.0</v>
      </c>
      <c r="M286" s="22">
        <f>+SUMIF('حركه المخزن الرئيسي اليوميه'!$F:$F,$H:$H,'حركه المخزن الرئيسي اليوميه'!$I:$I)</f>
        <v>0.0</v>
      </c>
      <c r="N286" s="22">
        <f>+K286+L286-M286</f>
        <v>16.0</v>
      </c>
      <c r="O286" s="22">
        <f>+N286</f>
        <v>16.0</v>
      </c>
      <c r="P286" s="22">
        <f>+N286-O286</f>
        <v>0.0</v>
      </c>
      <c r="Q286" s="57"/>
      <c r="R286" s="58"/>
    </row>
    <row r="287" spans="8:8" ht="15.0" customHeight="1">
      <c r="B287" s="54">
        <v>280.0</v>
      </c>
      <c r="C287" s="8" t="s">
        <v>8351</v>
      </c>
      <c r="D287" s="8" t="s">
        <v>1013</v>
      </c>
      <c r="E287" s="8" t="s">
        <v>23</v>
      </c>
      <c r="F287" s="8" t="s">
        <v>68</v>
      </c>
      <c r="G287" s="8" t="s">
        <v>2047</v>
      </c>
      <c r="H287" s="8">
        <v>6236.0</v>
      </c>
      <c r="I287" s="8" t="s">
        <v>55</v>
      </c>
      <c r="J287" s="78" t="s">
        <v>4202</v>
      </c>
      <c r="K287" s="22">
        <v>2.0</v>
      </c>
      <c r="L287" s="22">
        <f>+SUMIF('حركه المخزن الرئيسي اليوميه'!$F:$F,$H:$H,'حركه المخزن الرئيسي اليوميه'!$H:$H)</f>
        <v>0.0</v>
      </c>
      <c r="M287" s="22">
        <f>+SUMIF('حركه المخزن الرئيسي اليوميه'!$F:$F,$H:$H,'حركه المخزن الرئيسي اليوميه'!$I:$I)</f>
        <v>0.0</v>
      </c>
      <c r="N287" s="22">
        <f>+K287+L287-M287</f>
        <v>2.0</v>
      </c>
      <c r="O287" s="22">
        <f>+N287</f>
        <v>2.0</v>
      </c>
      <c r="P287" s="22">
        <f>+N287-O287</f>
        <v>0.0</v>
      </c>
      <c r="Q287" s="57"/>
      <c r="R287" s="58"/>
    </row>
    <row r="288" spans="8:8" ht="15.0" customHeight="1">
      <c r="B288" s="54">
        <v>281.0</v>
      </c>
      <c r="C288" s="8" t="s">
        <v>8351</v>
      </c>
      <c r="D288" s="8" t="s">
        <v>1013</v>
      </c>
      <c r="E288" s="8" t="s">
        <v>23</v>
      </c>
      <c r="F288" s="8" t="s">
        <v>68</v>
      </c>
      <c r="G288" s="8" t="s">
        <v>2047</v>
      </c>
      <c r="H288" s="8">
        <v>9069324.0</v>
      </c>
      <c r="I288" s="8" t="s">
        <v>55</v>
      </c>
      <c r="J288" s="78" t="s">
        <v>4203</v>
      </c>
      <c r="K288" s="22">
        <v>2.0</v>
      </c>
      <c r="L288" s="22">
        <f>+SUMIF('حركه المخزن الرئيسي اليوميه'!$F:$F,$H:$H,'حركه المخزن الرئيسي اليوميه'!$H:$H)</f>
        <v>0.0</v>
      </c>
      <c r="M288" s="22">
        <f>+SUMIF('حركه المخزن الرئيسي اليوميه'!$F:$F,$H:$H,'حركه المخزن الرئيسي اليوميه'!$I:$I)</f>
        <v>0.0</v>
      </c>
      <c r="N288" s="22">
        <f>+K288+L288-M288</f>
        <v>2.0</v>
      </c>
      <c r="O288" s="22">
        <f>+N288</f>
        <v>2.0</v>
      </c>
      <c r="P288" s="22">
        <f>+N288-O288</f>
        <v>0.0</v>
      </c>
      <c r="Q288" s="57"/>
      <c r="R288" s="58"/>
    </row>
    <row r="289" spans="8:8" ht="15.0" customHeight="1">
      <c r="B289" s="54">
        <v>282.0</v>
      </c>
      <c r="C289" s="8" t="s">
        <v>8351</v>
      </c>
      <c r="D289" s="8" t="s">
        <v>1013</v>
      </c>
      <c r="E289" s="8" t="s">
        <v>23</v>
      </c>
      <c r="F289" s="8" t="s">
        <v>68</v>
      </c>
      <c r="G289" s="8" t="s">
        <v>2047</v>
      </c>
      <c r="H289" s="8" t="s">
        <v>3517</v>
      </c>
      <c r="I289" s="86" t="s">
        <v>227</v>
      </c>
      <c r="J289" s="78" t="s">
        <v>4204</v>
      </c>
      <c r="K289" s="22">
        <v>1.0</v>
      </c>
      <c r="L289" s="22">
        <f>+SUMIF('حركه المخزن الرئيسي اليوميه'!$F:$F,$H:$H,'حركه المخزن الرئيسي اليوميه'!$H:$H)</f>
        <v>0.0</v>
      </c>
      <c r="M289" s="22">
        <f>+SUMIF('حركه المخزن الرئيسي اليوميه'!$F:$F,$H:$H,'حركه المخزن الرئيسي اليوميه'!$I:$I)</f>
        <v>0.0</v>
      </c>
      <c r="N289" s="22">
        <f>+K289+L289-M289</f>
        <v>1.0</v>
      </c>
      <c r="O289" s="22">
        <f>+N289</f>
        <v>1.0</v>
      </c>
      <c r="P289" s="22">
        <f>+N289-O289</f>
        <v>0.0</v>
      </c>
      <c r="Q289" s="57"/>
      <c r="R289" s="58"/>
    </row>
    <row r="290" spans="8:8" ht="15.0" customHeight="1">
      <c r="B290" s="54">
        <v>283.0</v>
      </c>
      <c r="C290" s="8" t="s">
        <v>8351</v>
      </c>
      <c r="D290" s="8" t="s">
        <v>1013</v>
      </c>
      <c r="E290" s="8" t="s">
        <v>23</v>
      </c>
      <c r="F290" s="8" t="s">
        <v>68</v>
      </c>
      <c r="G290" s="8" t="s">
        <v>2047</v>
      </c>
      <c r="H290" s="8" t="s">
        <v>2518</v>
      </c>
      <c r="I290" s="8" t="s">
        <v>55</v>
      </c>
      <c r="J290" s="78" t="s">
        <v>4205</v>
      </c>
      <c r="K290" s="22">
        <v>2.0</v>
      </c>
      <c r="L290" s="22">
        <f>+SUMIF('حركه المخزن الرئيسي اليوميه'!$F:$F,$H:$H,'حركه المخزن الرئيسي اليوميه'!$H:$H)</f>
        <v>0.0</v>
      </c>
      <c r="M290" s="22">
        <f>+SUMIF('حركه المخزن الرئيسي اليوميه'!$F:$F,$H:$H,'حركه المخزن الرئيسي اليوميه'!$I:$I)</f>
        <v>0.0</v>
      </c>
      <c r="N290" s="22">
        <f>+K290+L290-M290</f>
        <v>2.0</v>
      </c>
      <c r="O290" s="22">
        <f>+N290</f>
        <v>2.0</v>
      </c>
      <c r="P290" s="22">
        <f>+N290-O290</f>
        <v>0.0</v>
      </c>
      <c r="Q290" s="57"/>
      <c r="R290" s="58"/>
    </row>
    <row r="291" spans="8:8" ht="15.0" customHeight="1">
      <c r="B291" s="54">
        <v>284.0</v>
      </c>
      <c r="C291" s="8" t="s">
        <v>8351</v>
      </c>
      <c r="D291" s="8" t="s">
        <v>1013</v>
      </c>
      <c r="E291" s="8" t="s">
        <v>23</v>
      </c>
      <c r="F291" s="8" t="s">
        <v>68</v>
      </c>
      <c r="G291" s="8" t="s">
        <v>2047</v>
      </c>
      <c r="H291" s="8" t="s">
        <v>229</v>
      </c>
      <c r="I291" s="8" t="s">
        <v>55</v>
      </c>
      <c r="J291" s="78" t="s">
        <v>4206</v>
      </c>
      <c r="K291" s="22">
        <v>8.0</v>
      </c>
      <c r="L291" s="22">
        <f>+SUMIF('حركه المخزن الرئيسي اليوميه'!$F:$F,$H:$H,'حركه المخزن الرئيسي اليوميه'!$H:$H)</f>
        <v>0.0</v>
      </c>
      <c r="M291" s="22">
        <f>+SUMIF('حركه المخزن الرئيسي اليوميه'!$F:$F,$H:$H,'حركه المخزن الرئيسي اليوميه'!$I:$I)</f>
        <v>0.0</v>
      </c>
      <c r="N291" s="22">
        <f>+K291+L291-M291</f>
        <v>8.0</v>
      </c>
      <c r="O291" s="22">
        <f>+N291</f>
        <v>8.0</v>
      </c>
      <c r="P291" s="22">
        <f>+N291-O291</f>
        <v>0.0</v>
      </c>
      <c r="Q291" s="57"/>
      <c r="R291" s="58"/>
    </row>
    <row r="292" spans="8:8" ht="15.0" customHeight="1">
      <c r="B292" s="54">
        <v>285.0</v>
      </c>
      <c r="C292" s="8" t="s">
        <v>8351</v>
      </c>
      <c r="D292" s="8" t="s">
        <v>1013</v>
      </c>
      <c r="E292" s="8" t="s">
        <v>23</v>
      </c>
      <c r="F292" s="8" t="s">
        <v>68</v>
      </c>
      <c r="G292" s="8" t="s">
        <v>2047</v>
      </c>
      <c r="H292" s="8" t="s">
        <v>251</v>
      </c>
      <c r="I292" s="8" t="s">
        <v>55</v>
      </c>
      <c r="J292" s="78" t="s">
        <v>4207</v>
      </c>
      <c r="K292" s="22">
        <v>1.0</v>
      </c>
      <c r="L292" s="22">
        <f>+SUMIF('حركه المخزن الرئيسي اليوميه'!$F:$F,$H:$H,'حركه المخزن الرئيسي اليوميه'!$H:$H)</f>
        <v>0.0</v>
      </c>
      <c r="M292" s="22">
        <f>+SUMIF('حركه المخزن الرئيسي اليوميه'!$F:$F,$H:$H,'حركه المخزن الرئيسي اليوميه'!$I:$I)</f>
        <v>0.0</v>
      </c>
      <c r="N292" s="22">
        <f>+K292+L292-M292</f>
        <v>1.0</v>
      </c>
      <c r="O292" s="22">
        <f>+N292</f>
        <v>1.0</v>
      </c>
      <c r="P292" s="22">
        <f>+N292-O292</f>
        <v>0.0</v>
      </c>
      <c r="Q292" s="57"/>
      <c r="R292" s="58"/>
    </row>
    <row r="293" spans="8:8" ht="15.0" customHeight="1">
      <c r="B293" s="54">
        <v>286.0</v>
      </c>
      <c r="C293" s="8" t="s">
        <v>8351</v>
      </c>
      <c r="D293" s="8" t="s">
        <v>1013</v>
      </c>
      <c r="E293" s="8" t="s">
        <v>23</v>
      </c>
      <c r="F293" s="8" t="s">
        <v>68</v>
      </c>
      <c r="G293" s="8" t="s">
        <v>2047</v>
      </c>
      <c r="H293" s="8">
        <v>32226.0</v>
      </c>
      <c r="I293" s="8" t="s">
        <v>70</v>
      </c>
      <c r="J293" s="78" t="s">
        <v>4208</v>
      </c>
      <c r="K293" s="22">
        <v>18.0</v>
      </c>
      <c r="L293" s="22">
        <f>+SUMIF('حركه المخزن الرئيسي اليوميه'!$F:$F,$H:$H,'حركه المخزن الرئيسي اليوميه'!$H:$H)</f>
        <v>0.0</v>
      </c>
      <c r="M293" s="22">
        <f>+SUMIF('حركه المخزن الرئيسي اليوميه'!$F:$F,$H:$H,'حركه المخزن الرئيسي اليوميه'!$I:$I)</f>
        <v>0.0</v>
      </c>
      <c r="N293" s="22">
        <f>+K293+L293-M293</f>
        <v>18.0</v>
      </c>
      <c r="O293" s="22">
        <f>+N293</f>
        <v>18.0</v>
      </c>
      <c r="P293" s="22">
        <f>+N293-O293</f>
        <v>0.0</v>
      </c>
      <c r="Q293" s="57"/>
      <c r="R293" s="58"/>
    </row>
    <row r="294" spans="8:8" ht="15.0" customHeight="1">
      <c r="B294" s="54">
        <v>287.0</v>
      </c>
      <c r="C294" s="8" t="s">
        <v>8351</v>
      </c>
      <c r="D294" s="8" t="s">
        <v>1013</v>
      </c>
      <c r="E294" s="8" t="s">
        <v>23</v>
      </c>
      <c r="F294" s="8" t="s">
        <v>68</v>
      </c>
      <c r="G294" s="8" t="s">
        <v>2047</v>
      </c>
      <c r="H294" s="8" t="s">
        <v>211</v>
      </c>
      <c r="I294" s="8" t="s">
        <v>70</v>
      </c>
      <c r="J294" s="78" t="s">
        <v>4209</v>
      </c>
      <c r="K294" s="22">
        <v>10.0</v>
      </c>
      <c r="L294" s="22">
        <f>+SUMIF('حركه المخزن الرئيسي اليوميه'!$F:$F,$H:$H,'حركه المخزن الرئيسي اليوميه'!$H:$H)</f>
        <v>0.0</v>
      </c>
      <c r="M294" s="22">
        <f>+SUMIF('حركه المخزن الرئيسي اليوميه'!$F:$F,$H:$H,'حركه المخزن الرئيسي اليوميه'!$I:$I)</f>
        <v>0.0</v>
      </c>
      <c r="N294" s="22">
        <f>+K294+L294-M294</f>
        <v>10.0</v>
      </c>
      <c r="O294" s="22">
        <f>+N294</f>
        <v>10.0</v>
      </c>
      <c r="P294" s="22">
        <f>+N294-O294</f>
        <v>0.0</v>
      </c>
      <c r="Q294" s="57"/>
      <c r="R294" s="58"/>
    </row>
    <row r="295" spans="8:8" ht="15.0" customHeight="1">
      <c r="B295" s="54">
        <v>288.0</v>
      </c>
      <c r="C295" s="8" t="s">
        <v>8351</v>
      </c>
      <c r="D295" s="8" t="s">
        <v>1013</v>
      </c>
      <c r="E295" s="8" t="s">
        <v>23</v>
      </c>
      <c r="F295" s="8" t="s">
        <v>68</v>
      </c>
      <c r="G295" s="8" t="s">
        <v>2047</v>
      </c>
      <c r="H295" s="8">
        <v>51172.0</v>
      </c>
      <c r="I295" s="8" t="s">
        <v>70</v>
      </c>
      <c r="J295" s="78" t="s">
        <v>4210</v>
      </c>
      <c r="K295" s="22">
        <v>1.0</v>
      </c>
      <c r="L295" s="22">
        <f>+SUMIF('حركه المخزن الرئيسي اليوميه'!$F:$F,$H:$H,'حركه المخزن الرئيسي اليوميه'!$H:$H)</f>
        <v>0.0</v>
      </c>
      <c r="M295" s="22">
        <f>+SUMIF('حركه المخزن الرئيسي اليوميه'!$F:$F,$H:$H,'حركه المخزن الرئيسي اليوميه'!$I:$I)</f>
        <v>0.0</v>
      </c>
      <c r="N295" s="22">
        <f>+K295+L295-M295</f>
        <v>1.0</v>
      </c>
      <c r="O295" s="22">
        <f>+N295</f>
        <v>1.0</v>
      </c>
      <c r="P295" s="22">
        <f>+N295-O295</f>
        <v>0.0</v>
      </c>
      <c r="Q295" s="57"/>
      <c r="R295" s="58"/>
    </row>
    <row r="296" spans="8:8" ht="15.0" customHeight="1">
      <c r="B296" s="54">
        <v>289.0</v>
      </c>
      <c r="C296" s="8" t="s">
        <v>8351</v>
      </c>
      <c r="D296" s="8" t="s">
        <v>1013</v>
      </c>
      <c r="E296" s="8" t="s">
        <v>1939</v>
      </c>
      <c r="F296" s="8" t="s">
        <v>1501</v>
      </c>
      <c r="G296" s="8" t="s">
        <v>1940</v>
      </c>
      <c r="H296" s="8" t="s">
        <v>1941</v>
      </c>
      <c r="I296" s="8" t="s">
        <v>70</v>
      </c>
      <c r="J296" s="78" t="s">
        <v>4211</v>
      </c>
      <c r="K296" s="22">
        <v>8.0</v>
      </c>
      <c r="L296" s="22">
        <f>+SUMIF('حركه المخزن الرئيسي اليوميه'!$F:$F,$H:$H,'حركه المخزن الرئيسي اليوميه'!$H:$H)</f>
        <v>0.0</v>
      </c>
      <c r="M296" s="22">
        <f>+SUMIF('حركه المخزن الرئيسي اليوميه'!$F:$F,$H:$H,'حركه المخزن الرئيسي اليوميه'!$I:$I)</f>
        <v>0.0</v>
      </c>
      <c r="N296" s="22">
        <f>+K296+L296-M296</f>
        <v>8.0</v>
      </c>
      <c r="O296" s="22">
        <f>+N296</f>
        <v>8.0</v>
      </c>
      <c r="P296" s="22">
        <f>+N296-O296</f>
        <v>0.0</v>
      </c>
      <c r="Q296" s="57"/>
      <c r="R296" s="58"/>
    </row>
    <row r="297" spans="8:8" ht="15.0" customHeight="1">
      <c r="B297" s="54">
        <v>290.0</v>
      </c>
      <c r="C297" s="8" t="s">
        <v>8351</v>
      </c>
      <c r="D297" s="8" t="s">
        <v>1013</v>
      </c>
      <c r="E297" s="8" t="s">
        <v>23</v>
      </c>
      <c r="F297" s="8" t="s">
        <v>1501</v>
      </c>
      <c r="G297" s="8" t="s">
        <v>2047</v>
      </c>
      <c r="H297" s="8" t="s">
        <v>209</v>
      </c>
      <c r="I297" s="8" t="s">
        <v>70</v>
      </c>
      <c r="J297" s="78" t="s">
        <v>4212</v>
      </c>
      <c r="K297" s="22">
        <v>1.0</v>
      </c>
      <c r="L297" s="22">
        <f>+SUMIF('حركه المخزن الرئيسي اليوميه'!$F:$F,$H:$H,'حركه المخزن الرئيسي اليوميه'!$H:$H)</f>
        <v>0.0</v>
      </c>
      <c r="M297" s="22">
        <f>+SUMIF('حركه المخزن الرئيسي اليوميه'!$F:$F,$H:$H,'حركه المخزن الرئيسي اليوميه'!$I:$I)</f>
        <v>0.0</v>
      </c>
      <c r="N297" s="22">
        <f>+K297+L297-M297</f>
        <v>1.0</v>
      </c>
      <c r="O297" s="22">
        <f>+N297</f>
        <v>1.0</v>
      </c>
      <c r="P297" s="22">
        <f>+N297-O297</f>
        <v>0.0</v>
      </c>
      <c r="Q297" s="57"/>
      <c r="R297" s="58"/>
    </row>
    <row r="298" spans="8:8" ht="15.0" customHeight="1">
      <c r="B298" s="54">
        <v>291.0</v>
      </c>
      <c r="C298" s="8" t="s">
        <v>8351</v>
      </c>
      <c r="D298" s="8" t="s">
        <v>8155</v>
      </c>
      <c r="E298" s="8" t="s">
        <v>8154</v>
      </c>
      <c r="F298" s="8" t="s">
        <v>1501</v>
      </c>
      <c r="G298" s="8"/>
      <c r="H298" s="8" t="s">
        <v>8154</v>
      </c>
      <c r="I298" s="8" t="s">
        <v>174</v>
      </c>
      <c r="J298" s="78" t="s">
        <v>4213</v>
      </c>
      <c r="K298" s="22">
        <v>4.0</v>
      </c>
      <c r="L298" s="22">
        <f>+SUMIF('حركه المخزن الرئيسي اليوميه'!$F:$F,$H:$H,'حركه المخزن الرئيسي اليوميه'!$H:$H)</f>
        <v>0.0</v>
      </c>
      <c r="M298" s="22">
        <f>+SUMIF('حركه المخزن الرئيسي اليوميه'!$F:$F,$H:$H,'حركه المخزن الرئيسي اليوميه'!$I:$I)</f>
        <v>0.0</v>
      </c>
      <c r="N298" s="22">
        <f>+K298+L298-M298</f>
        <v>4.0</v>
      </c>
      <c r="O298" s="22">
        <f>+N298</f>
        <v>4.0</v>
      </c>
      <c r="P298" s="22">
        <f>+N298-O298</f>
        <v>0.0</v>
      </c>
      <c r="Q298" s="57"/>
      <c r="R298" s="58"/>
    </row>
    <row r="299" spans="8:8" ht="15.0" customHeight="1">
      <c r="B299" s="54">
        <v>293.0</v>
      </c>
      <c r="C299" s="8" t="s">
        <v>8351</v>
      </c>
      <c r="D299" s="8" t="s">
        <v>1013</v>
      </c>
      <c r="E299" s="8" t="s">
        <v>112</v>
      </c>
      <c r="F299" s="8" t="s">
        <v>68</v>
      </c>
      <c r="G299" s="8" t="s">
        <v>1910</v>
      </c>
      <c r="H299" s="8" t="s">
        <v>114</v>
      </c>
      <c r="I299" s="8" t="s">
        <v>36</v>
      </c>
      <c r="J299" s="78" t="s">
        <v>4214</v>
      </c>
      <c r="K299" s="22">
        <v>0.0</v>
      </c>
      <c r="L299" s="22">
        <f>+SUMIF('حركه المخزن الرئيسي اليوميه'!$F:$F,$H:$H,'حركه المخزن الرئيسي اليوميه'!$H:$H)</f>
        <v>0.0</v>
      </c>
      <c r="M299" s="22">
        <f>+SUMIF('حركه المخزن الرئيسي اليوميه'!$F:$F,$H:$H,'حركه المخزن الرئيسي اليوميه'!$I:$I)</f>
        <v>0.0</v>
      </c>
      <c r="N299" s="22">
        <f>+K299+L299-M299</f>
        <v>0.0</v>
      </c>
      <c r="O299" s="22">
        <f>+N299</f>
        <v>0.0</v>
      </c>
      <c r="P299" s="22">
        <f>+N299-O299</f>
        <v>0.0</v>
      </c>
      <c r="Q299" s="57"/>
      <c r="R299" s="58"/>
    </row>
    <row r="300" spans="8:8" ht="15.0" customHeight="1">
      <c r="B300" s="54">
        <v>296.0</v>
      </c>
      <c r="C300" s="8" t="s">
        <v>8351</v>
      </c>
      <c r="D300" s="8" t="s">
        <v>828</v>
      </c>
      <c r="E300" s="8" t="s">
        <v>63</v>
      </c>
      <c r="F300" s="8" t="s">
        <v>68</v>
      </c>
      <c r="G300" s="8" t="s">
        <v>1676</v>
      </c>
      <c r="H300" s="8" t="s">
        <v>64</v>
      </c>
      <c r="I300" s="8" t="s">
        <v>65</v>
      </c>
      <c r="J300" s="78" t="s">
        <v>4215</v>
      </c>
      <c r="K300" s="22">
        <v>0.0</v>
      </c>
      <c r="L300" s="22">
        <f>+SUMIF('حركه المخزن الرئيسي اليوميه'!$F:$F,$H:$H,'حركه المخزن الرئيسي اليوميه'!$H:$H)</f>
        <v>0.0</v>
      </c>
      <c r="M300" s="22">
        <f>+SUMIF('حركه المخزن الرئيسي اليوميه'!$F:$F,$H:$H,'حركه المخزن الرئيسي اليوميه'!$I:$I)</f>
        <v>0.0</v>
      </c>
      <c r="N300" s="22">
        <f>+K300+L300-M300</f>
        <v>0.0</v>
      </c>
      <c r="O300" s="22">
        <f>+N300</f>
        <v>0.0</v>
      </c>
      <c r="P300" s="22">
        <f>+N300-O300</f>
        <v>0.0</v>
      </c>
      <c r="Q300" s="57"/>
      <c r="R300" s="58"/>
    </row>
    <row r="301" spans="8:8" ht="15.0" customHeight="1">
      <c r="B301" s="54">
        <v>297.0</v>
      </c>
      <c r="C301" s="8" t="s">
        <v>8351</v>
      </c>
      <c r="D301" s="8" t="s">
        <v>713</v>
      </c>
      <c r="E301" s="8" t="s">
        <v>803</v>
      </c>
      <c r="F301" s="8" t="s">
        <v>68</v>
      </c>
      <c r="G301" s="8" t="s">
        <v>1773</v>
      </c>
      <c r="H301" s="8" t="s">
        <v>760</v>
      </c>
      <c r="I301" s="8" t="s">
        <v>65</v>
      </c>
      <c r="J301" s="78" t="s">
        <v>4216</v>
      </c>
      <c r="K301" s="22">
        <v>0.0</v>
      </c>
      <c r="L301" s="22">
        <f>+SUMIF('حركه المخزن الرئيسي اليوميه'!$F:$F,$H:$H,'حركه المخزن الرئيسي اليوميه'!$H:$H)</f>
        <v>0.0</v>
      </c>
      <c r="M301" s="22">
        <f>+SUMIF('حركه المخزن الرئيسي اليوميه'!$F:$F,$H:$H,'حركه المخزن الرئيسي اليوميه'!$I:$I)</f>
        <v>0.0</v>
      </c>
      <c r="N301" s="22">
        <f>+K301+L301-M301</f>
        <v>0.0</v>
      </c>
      <c r="O301" s="22">
        <f>+N301</f>
        <v>0.0</v>
      </c>
      <c r="P301" s="22">
        <f>+N301-O301</f>
        <v>0.0</v>
      </c>
      <c r="Q301" s="57"/>
      <c r="R301" s="58"/>
    </row>
    <row r="302" spans="8:8" ht="15.0" customHeight="1">
      <c r="B302" s="54">
        <v>299.0</v>
      </c>
      <c r="C302" s="8" t="s">
        <v>8351</v>
      </c>
      <c r="D302" s="8" t="s">
        <v>820</v>
      </c>
      <c r="E302" s="8" t="s">
        <v>1213</v>
      </c>
      <c r="F302" s="8" t="s">
        <v>68</v>
      </c>
      <c r="G302" s="8" t="s">
        <v>2230</v>
      </c>
      <c r="H302" s="8" t="s">
        <v>1214</v>
      </c>
      <c r="I302" s="8" t="s">
        <v>65</v>
      </c>
      <c r="J302" s="78" t="s">
        <v>4217</v>
      </c>
      <c r="K302" s="22">
        <v>1.0</v>
      </c>
      <c r="L302" s="22">
        <f>+SUMIF('حركه المخزن الرئيسي اليوميه'!$F:$F,$H:$H,'حركه المخزن الرئيسي اليوميه'!$H:$H)</f>
        <v>0.0</v>
      </c>
      <c r="M302" s="22">
        <f>+SUMIF('حركه المخزن الرئيسي اليوميه'!$F:$F,$H:$H,'حركه المخزن الرئيسي اليوميه'!$I:$I)</f>
        <v>0.0</v>
      </c>
      <c r="N302" s="22">
        <f>+K302+L302-M302</f>
        <v>1.0</v>
      </c>
      <c r="O302" s="22">
        <f>+N302</f>
        <v>1.0</v>
      </c>
      <c r="P302" s="22">
        <f>+N302-O302</f>
        <v>0.0</v>
      </c>
      <c r="Q302" s="57"/>
      <c r="R302" s="58"/>
    </row>
    <row r="303" spans="8:8" ht="15.0" customHeight="1">
      <c r="B303" s="54">
        <v>300.0</v>
      </c>
      <c r="C303" s="8" t="s">
        <v>8351</v>
      </c>
      <c r="D303" s="8" t="s">
        <v>820</v>
      </c>
      <c r="E303" s="8" t="s">
        <v>2945</v>
      </c>
      <c r="F303" s="8" t="s">
        <v>68</v>
      </c>
      <c r="G303" s="8" t="s">
        <v>2274</v>
      </c>
      <c r="H303" s="8" t="s">
        <v>2944</v>
      </c>
      <c r="I303" s="8" t="s">
        <v>65</v>
      </c>
      <c r="J303" s="78" t="s">
        <v>4218</v>
      </c>
      <c r="K303" s="22">
        <v>0.0</v>
      </c>
      <c r="L303" s="22">
        <f>+SUMIF('حركه المخزن الرئيسي اليوميه'!$F:$F,$H:$H,'حركه المخزن الرئيسي اليوميه'!$H:$H)</f>
        <v>0.0</v>
      </c>
      <c r="M303" s="22">
        <f>+SUMIF('حركه المخزن الرئيسي اليوميه'!$F:$F,$H:$H,'حركه المخزن الرئيسي اليوميه'!$I:$I)</f>
        <v>0.0</v>
      </c>
      <c r="N303" s="22">
        <f>+K303+L303-M303</f>
        <v>0.0</v>
      </c>
      <c r="O303" s="22">
        <f>+N303</f>
        <v>0.0</v>
      </c>
      <c r="P303" s="22">
        <f>+N303-O303</f>
        <v>0.0</v>
      </c>
      <c r="Q303" s="57"/>
      <c r="R303" s="58"/>
    </row>
    <row r="304" spans="8:8" ht="15.0" customHeight="1">
      <c r="B304" s="54">
        <v>302.0</v>
      </c>
      <c r="C304" s="8" t="s">
        <v>8351</v>
      </c>
      <c r="D304" s="8" t="s">
        <v>820</v>
      </c>
      <c r="E304" s="8" t="s">
        <v>2788</v>
      </c>
      <c r="F304" s="8" t="s">
        <v>68</v>
      </c>
      <c r="G304" s="8"/>
      <c r="H304" s="8" t="s">
        <v>2788</v>
      </c>
      <c r="I304" s="8" t="s">
        <v>58</v>
      </c>
      <c r="J304" s="78" t="s">
        <v>4219</v>
      </c>
      <c r="K304" s="22">
        <v>14.0</v>
      </c>
      <c r="L304" s="22">
        <f>+SUMIF('حركه المخزن الرئيسي اليوميه'!$F:$F,$H:$H,'حركه المخزن الرئيسي اليوميه'!$H:$H)</f>
        <v>0.0</v>
      </c>
      <c r="M304" s="22">
        <f>+SUMIF('حركه المخزن الرئيسي اليوميه'!$F:$F,$H:$H,'حركه المخزن الرئيسي اليوميه'!$I:$I)</f>
        <v>0.0</v>
      </c>
      <c r="N304" s="22">
        <f>+K304+L304-M304</f>
        <v>14.0</v>
      </c>
      <c r="O304" s="22">
        <f>+N304</f>
        <v>14.0</v>
      </c>
      <c r="P304" s="22">
        <f>+N304-O304</f>
        <v>0.0</v>
      </c>
      <c r="Q304" s="57"/>
      <c r="R304" s="58"/>
    </row>
    <row r="305" spans="8:8" ht="15.0" customHeight="1">
      <c r="B305" s="54">
        <v>303.0</v>
      </c>
      <c r="C305" s="8" t="s">
        <v>8351</v>
      </c>
      <c r="D305" s="8" t="s">
        <v>1013</v>
      </c>
      <c r="E305" s="8" t="s">
        <v>2536</v>
      </c>
      <c r="F305" s="8" t="s">
        <v>68</v>
      </c>
      <c r="G305" s="8" t="s">
        <v>60</v>
      </c>
      <c r="H305" s="8" t="s">
        <v>59</v>
      </c>
      <c r="I305" s="8" t="s">
        <v>58</v>
      </c>
      <c r="J305" s="78" t="s">
        <v>4220</v>
      </c>
      <c r="K305" s="22">
        <v>12.0</v>
      </c>
      <c r="L305" s="22">
        <f>+SUMIF('حركه المخزن الرئيسي اليوميه'!$F:$F,$H:$H,'حركه المخزن الرئيسي اليوميه'!$H:$H)</f>
        <v>0.0</v>
      </c>
      <c r="M305" s="22">
        <f>+SUMIF('حركه المخزن الرئيسي اليوميه'!$F:$F,$H:$H,'حركه المخزن الرئيسي اليوميه'!$I:$I)</f>
        <v>0.0</v>
      </c>
      <c r="N305" s="22">
        <f>+K305+L305-M305</f>
        <v>12.0</v>
      </c>
      <c r="O305" s="22">
        <f>+N305</f>
        <v>12.0</v>
      </c>
      <c r="P305" s="22">
        <f>+N305-O305</f>
        <v>0.0</v>
      </c>
      <c r="Q305" s="57"/>
      <c r="R305" s="58"/>
    </row>
    <row r="306" spans="8:8" ht="15.0" customHeight="1">
      <c r="B306" s="54">
        <v>304.0</v>
      </c>
      <c r="C306" s="8" t="s">
        <v>8351</v>
      </c>
      <c r="D306" s="8" t="s">
        <v>828</v>
      </c>
      <c r="E306" s="8" t="s">
        <v>91</v>
      </c>
      <c r="F306" s="8" t="s">
        <v>1199</v>
      </c>
      <c r="G306" s="8" t="s">
        <v>1908</v>
      </c>
      <c r="H306" s="8" t="s">
        <v>91</v>
      </c>
      <c r="I306" s="8" t="s">
        <v>58</v>
      </c>
      <c r="J306" s="78" t="s">
        <v>4221</v>
      </c>
      <c r="K306" s="22">
        <v>2.0</v>
      </c>
      <c r="L306" s="22">
        <f>+SUMIF('حركه المخزن الرئيسي اليوميه'!$F:$F,$H:$H,'حركه المخزن الرئيسي اليوميه'!$H:$H)</f>
        <v>0.0</v>
      </c>
      <c r="M306" s="22">
        <f>+SUMIF('حركه المخزن الرئيسي اليوميه'!$F:$F,$H:$H,'حركه المخزن الرئيسي اليوميه'!$I:$I)</f>
        <v>0.0</v>
      </c>
      <c r="N306" s="22">
        <f>+K306+L306-M306</f>
        <v>2.0</v>
      </c>
      <c r="O306" s="22">
        <f>+N306</f>
        <v>2.0</v>
      </c>
      <c r="P306" s="22">
        <f>+N306-O306</f>
        <v>0.0</v>
      </c>
      <c r="Q306" s="57"/>
      <c r="R306" s="58"/>
    </row>
    <row r="307" spans="8:8" ht="15.0" customHeight="1">
      <c r="B307" s="54">
        <v>305.0</v>
      </c>
      <c r="C307" s="8" t="s">
        <v>8351</v>
      </c>
      <c r="D307" s="8" t="s">
        <v>1013</v>
      </c>
      <c r="E307" s="8" t="s">
        <v>1350</v>
      </c>
      <c r="F307" s="8" t="s">
        <v>68</v>
      </c>
      <c r="G307" s="8" t="s">
        <v>2187</v>
      </c>
      <c r="H307" s="8" t="s">
        <v>1350</v>
      </c>
      <c r="I307" s="8" t="s">
        <v>58</v>
      </c>
      <c r="J307" s="78" t="s">
        <v>4222</v>
      </c>
      <c r="K307" s="22">
        <v>0.0</v>
      </c>
      <c r="L307" s="22">
        <f>+SUMIF('حركه المخزن الرئيسي اليوميه'!$F:$F,$H:$H,'حركه المخزن الرئيسي اليوميه'!$H:$H)</f>
        <v>0.0</v>
      </c>
      <c r="M307" s="22">
        <f>+SUMIF('حركه المخزن الرئيسي اليوميه'!$F:$F,$H:$H,'حركه المخزن الرئيسي اليوميه'!$I:$I)</f>
        <v>0.0</v>
      </c>
      <c r="N307" s="22">
        <f>+K307+L307-M307</f>
        <v>0.0</v>
      </c>
      <c r="O307" s="22">
        <f>+N307</f>
        <v>0.0</v>
      </c>
      <c r="P307" s="22">
        <f>+N307-O307</f>
        <v>0.0</v>
      </c>
      <c r="Q307" s="57"/>
      <c r="R307" s="58"/>
    </row>
    <row r="308" spans="8:8" ht="15.0" customHeight="1">
      <c r="B308" s="54">
        <v>306.0</v>
      </c>
      <c r="C308" s="8" t="s">
        <v>8351</v>
      </c>
      <c r="D308" s="8" t="s">
        <v>2728</v>
      </c>
      <c r="E308" s="8" t="s">
        <v>2796</v>
      </c>
      <c r="F308" s="8" t="s">
        <v>1501</v>
      </c>
      <c r="G308" s="8"/>
      <c r="H308" s="8" t="s">
        <v>2796</v>
      </c>
      <c r="I308" s="8" t="s">
        <v>58</v>
      </c>
      <c r="J308" s="78" t="s">
        <v>4223</v>
      </c>
      <c r="K308" s="22">
        <v>0.0</v>
      </c>
      <c r="L308" s="22">
        <f>+SUMIF('حركه المخزن الرئيسي اليوميه'!$F:$F,$H:$H,'حركه المخزن الرئيسي اليوميه'!$H:$H)</f>
        <v>0.0</v>
      </c>
      <c r="M308" s="22">
        <f>+SUMIF('حركه المخزن الرئيسي اليوميه'!$F:$F,$H:$H,'حركه المخزن الرئيسي اليوميه'!$I:$I)</f>
        <v>0.0</v>
      </c>
      <c r="N308" s="22">
        <f>+K308+L308-M308</f>
        <v>0.0</v>
      </c>
      <c r="O308" s="22">
        <f>+N308</f>
        <v>0.0</v>
      </c>
      <c r="P308" s="22">
        <f>+N308-O308</f>
        <v>0.0</v>
      </c>
      <c r="Q308" s="57"/>
      <c r="R308" s="58"/>
    </row>
    <row r="309" spans="8:8" ht="15.0" customHeight="1">
      <c r="B309" s="54">
        <v>307.0</v>
      </c>
      <c r="C309" s="8" t="s">
        <v>8351</v>
      </c>
      <c r="D309" s="8" t="s">
        <v>1013</v>
      </c>
      <c r="E309" s="8" t="s">
        <v>1345</v>
      </c>
      <c r="F309" s="8" t="s">
        <v>68</v>
      </c>
      <c r="G309" s="8" t="s">
        <v>1345</v>
      </c>
      <c r="H309" s="8" t="s">
        <v>1346</v>
      </c>
      <c r="I309" s="8" t="s">
        <v>58</v>
      </c>
      <c r="J309" s="78" t="s">
        <v>4224</v>
      </c>
      <c r="K309" s="22">
        <v>1.0</v>
      </c>
      <c r="L309" s="22">
        <f>+SUMIF('حركه المخزن الرئيسي اليوميه'!$F:$F,$H:$H,'حركه المخزن الرئيسي اليوميه'!$H:$H)</f>
        <v>0.0</v>
      </c>
      <c r="M309" s="22">
        <f>+SUMIF('حركه المخزن الرئيسي اليوميه'!$F:$F,$H:$H,'حركه المخزن الرئيسي اليوميه'!$I:$I)</f>
        <v>0.0</v>
      </c>
      <c r="N309" s="22">
        <f>+K309+L309-M309</f>
        <v>1.0</v>
      </c>
      <c r="O309" s="22">
        <f>+N309</f>
        <v>1.0</v>
      </c>
      <c r="P309" s="22">
        <f>+N309-O309</f>
        <v>0.0</v>
      </c>
      <c r="Q309" s="57"/>
      <c r="R309" s="58"/>
    </row>
    <row r="310" spans="8:8" ht="15.0" customHeight="1">
      <c r="B310" s="54">
        <v>308.0</v>
      </c>
      <c r="C310" s="8" t="s">
        <v>8351</v>
      </c>
      <c r="D310" s="8" t="s">
        <v>1013</v>
      </c>
      <c r="E310" s="8" t="s">
        <v>3179</v>
      </c>
      <c r="F310" s="8" t="s">
        <v>68</v>
      </c>
      <c r="G310" s="8" t="s">
        <v>2056</v>
      </c>
      <c r="H310" s="8" t="s">
        <v>3306</v>
      </c>
      <c r="I310" s="8" t="s">
        <v>58</v>
      </c>
      <c r="J310" s="78" t="s">
        <v>4225</v>
      </c>
      <c r="K310" s="22">
        <v>5.0</v>
      </c>
      <c r="L310" s="22">
        <f>+SUMIF('حركه المخزن الرئيسي اليوميه'!$F:$F,$H:$H,'حركه المخزن الرئيسي اليوميه'!$H:$H)</f>
        <v>0.0</v>
      </c>
      <c r="M310" s="22">
        <f>+SUMIF('حركه المخزن الرئيسي اليوميه'!$F:$F,$H:$H,'حركه المخزن الرئيسي اليوميه'!$I:$I)</f>
        <v>0.0</v>
      </c>
      <c r="N310" s="22">
        <f>+K310+L310-M310</f>
        <v>5.0</v>
      </c>
      <c r="O310" s="22">
        <f>+N310</f>
        <v>5.0</v>
      </c>
      <c r="P310" s="22">
        <f>+N310-O310</f>
        <v>0.0</v>
      </c>
      <c r="Q310" s="57"/>
      <c r="R310" s="58"/>
    </row>
    <row r="311" spans="8:8" ht="15.0" customHeight="1">
      <c r="B311" s="54">
        <v>309.0</v>
      </c>
      <c r="C311" s="8" t="s">
        <v>8351</v>
      </c>
      <c r="D311" s="8" t="s">
        <v>1013</v>
      </c>
      <c r="E311" s="8" t="s">
        <v>2962</v>
      </c>
      <c r="F311" s="8" t="s">
        <v>68</v>
      </c>
      <c r="G311" s="8"/>
      <c r="H311" s="8" t="s">
        <v>2963</v>
      </c>
      <c r="I311" s="8" t="s">
        <v>58</v>
      </c>
      <c r="J311" s="78" t="s">
        <v>4226</v>
      </c>
      <c r="K311" s="22">
        <v>0.0</v>
      </c>
      <c r="L311" s="22">
        <f>+SUMIF('حركه المخزن الرئيسي اليوميه'!$F:$F,$H:$H,'حركه المخزن الرئيسي اليوميه'!$H:$H)</f>
        <v>0.0</v>
      </c>
      <c r="M311" s="22">
        <f>+SUMIF('حركه المخزن الرئيسي اليوميه'!$F:$F,$H:$H,'حركه المخزن الرئيسي اليوميه'!$I:$I)</f>
        <v>0.0</v>
      </c>
      <c r="N311" s="22">
        <f>+K311+L311-M311</f>
        <v>0.0</v>
      </c>
      <c r="O311" s="22">
        <f>+N311</f>
        <v>0.0</v>
      </c>
      <c r="P311" s="22">
        <f>+N311-O311</f>
        <v>0.0</v>
      </c>
      <c r="Q311" s="57"/>
      <c r="R311" s="58"/>
    </row>
    <row r="312" spans="8:8" ht="15.0" customHeight="1">
      <c r="B312" s="54">
        <v>310.0</v>
      </c>
      <c r="C312" s="8" t="s">
        <v>8351</v>
      </c>
      <c r="D312" s="8" t="s">
        <v>1013</v>
      </c>
      <c r="E312" s="8" t="s">
        <v>3304</v>
      </c>
      <c r="F312" s="8" t="s">
        <v>68</v>
      </c>
      <c r="G312" s="8" t="s">
        <v>2057</v>
      </c>
      <c r="H312" s="8" t="s">
        <v>3305</v>
      </c>
      <c r="I312" s="8" t="s">
        <v>58</v>
      </c>
      <c r="J312" s="78" t="s">
        <v>4227</v>
      </c>
      <c r="K312" s="22">
        <v>2.0</v>
      </c>
      <c r="L312" s="22">
        <f>+SUMIF('حركه المخزن الرئيسي اليوميه'!$F:$F,$H:$H,'حركه المخزن الرئيسي اليوميه'!$H:$H)</f>
        <v>0.0</v>
      </c>
      <c r="M312" s="22">
        <f>+SUMIF('حركه المخزن الرئيسي اليوميه'!$F:$F,$H:$H,'حركه المخزن الرئيسي اليوميه'!$I:$I)</f>
        <v>0.0</v>
      </c>
      <c r="N312" s="22">
        <f>+K312+L312-M312</f>
        <v>2.0</v>
      </c>
      <c r="O312" s="22">
        <f>+N312</f>
        <v>2.0</v>
      </c>
      <c r="P312" s="22">
        <f>+N312-O312</f>
        <v>0.0</v>
      </c>
      <c r="Q312" s="57"/>
      <c r="R312" s="58"/>
    </row>
    <row r="313" spans="8:8" ht="15.0" customHeight="1">
      <c r="B313" s="54">
        <v>311.0</v>
      </c>
      <c r="C313" s="8" t="s">
        <v>8351</v>
      </c>
      <c r="D313" s="8" t="s">
        <v>1013</v>
      </c>
      <c r="E313" s="8" t="s">
        <v>61</v>
      </c>
      <c r="F313" s="8" t="s">
        <v>68</v>
      </c>
      <c r="G313" s="8" t="s">
        <v>61</v>
      </c>
      <c r="H313" s="8" t="s">
        <v>1347</v>
      </c>
      <c r="I313" s="8" t="s">
        <v>58</v>
      </c>
      <c r="J313" s="78" t="s">
        <v>4228</v>
      </c>
      <c r="K313" s="22">
        <v>1.0</v>
      </c>
      <c r="L313" s="22">
        <f>+SUMIF('حركه المخزن الرئيسي اليوميه'!$F:$F,$H:$H,'حركه المخزن الرئيسي اليوميه'!$H:$H)</f>
        <v>0.0</v>
      </c>
      <c r="M313" s="22">
        <f>+SUMIF('حركه المخزن الرئيسي اليوميه'!$F:$F,$H:$H,'حركه المخزن الرئيسي اليوميه'!$I:$I)</f>
        <v>0.0</v>
      </c>
      <c r="N313" s="22">
        <f>+K313+L313-M313</f>
        <v>1.0</v>
      </c>
      <c r="O313" s="22">
        <f>+N313</f>
        <v>1.0</v>
      </c>
      <c r="P313" s="22">
        <f>+N313-O313</f>
        <v>0.0</v>
      </c>
      <c r="Q313" s="57"/>
      <c r="R313" s="58"/>
    </row>
    <row r="314" spans="8:8" ht="15.0" customHeight="1">
      <c r="B314" s="54">
        <v>312.0</v>
      </c>
      <c r="C314" s="8" t="s">
        <v>8351</v>
      </c>
      <c r="D314" s="8" t="s">
        <v>828</v>
      </c>
      <c r="E314" s="8" t="s">
        <v>3180</v>
      </c>
      <c r="F314" s="8" t="s">
        <v>68</v>
      </c>
      <c r="G314" s="8" t="s">
        <v>2055</v>
      </c>
      <c r="H314" s="8" t="s">
        <v>1342</v>
      </c>
      <c r="I314" s="8" t="s">
        <v>58</v>
      </c>
      <c r="J314" s="78" t="s">
        <v>4229</v>
      </c>
      <c r="K314" s="22">
        <v>4.0</v>
      </c>
      <c r="L314" s="22">
        <f>+SUMIF('حركه المخزن الرئيسي اليوميه'!$F:$F,$H:$H,'حركه المخزن الرئيسي اليوميه'!$H:$H)</f>
        <v>0.0</v>
      </c>
      <c r="M314" s="22">
        <f>+SUMIF('حركه المخزن الرئيسي اليوميه'!$F:$F,$H:$H,'حركه المخزن الرئيسي اليوميه'!$I:$I)</f>
        <v>0.0</v>
      </c>
      <c r="N314" s="22">
        <f>+K314+L314-M314</f>
        <v>4.0</v>
      </c>
      <c r="O314" s="22">
        <f>+N314</f>
        <v>4.0</v>
      </c>
      <c r="P314" s="22">
        <f>+N314-O314</f>
        <v>0.0</v>
      </c>
      <c r="Q314" s="57"/>
      <c r="R314" s="58"/>
    </row>
    <row r="315" spans="8:8" ht="15.0" customHeight="1">
      <c r="B315" s="54">
        <v>313.0</v>
      </c>
      <c r="C315" s="8" t="s">
        <v>8351</v>
      </c>
      <c r="D315" s="8" t="s">
        <v>820</v>
      </c>
      <c r="E315" s="8" t="s">
        <v>2918</v>
      </c>
      <c r="F315" s="8" t="s">
        <v>1501</v>
      </c>
      <c r="G315" s="8"/>
      <c r="H315" s="8" t="s">
        <v>2918</v>
      </c>
      <c r="I315" s="8" t="s">
        <v>58</v>
      </c>
      <c r="J315" s="78" t="s">
        <v>4230</v>
      </c>
      <c r="K315" s="22">
        <v>5.0</v>
      </c>
      <c r="L315" s="22">
        <f>+SUMIF('حركه المخزن الرئيسي اليوميه'!$F:$F,$H:$H,'حركه المخزن الرئيسي اليوميه'!$H:$H)</f>
        <v>0.0</v>
      </c>
      <c r="M315" s="22">
        <f>+SUMIF('حركه المخزن الرئيسي اليوميه'!$F:$F,$H:$H,'حركه المخزن الرئيسي اليوميه'!$I:$I)</f>
        <v>0.0</v>
      </c>
      <c r="N315" s="22">
        <f>+K315+L315-M315</f>
        <v>5.0</v>
      </c>
      <c r="O315" s="22">
        <f>+N315</f>
        <v>5.0</v>
      </c>
      <c r="P315" s="22">
        <f>+N315-O315</f>
        <v>0.0</v>
      </c>
      <c r="Q315" s="57"/>
      <c r="R315" s="58"/>
    </row>
    <row r="316" spans="8:8" ht="15.0" customHeight="1">
      <c r="B316" s="54">
        <v>314.0</v>
      </c>
      <c r="C316" s="8" t="s">
        <v>8351</v>
      </c>
      <c r="D316" s="8" t="s">
        <v>820</v>
      </c>
      <c r="E316" s="8" t="s">
        <v>2726</v>
      </c>
      <c r="F316" s="8" t="s">
        <v>68</v>
      </c>
      <c r="G316" s="8" t="s">
        <v>1798</v>
      </c>
      <c r="H316" s="8" t="s">
        <v>1204</v>
      </c>
      <c r="I316" s="8" t="s">
        <v>73</v>
      </c>
      <c r="J316" s="78" t="s">
        <v>4231</v>
      </c>
      <c r="K316" s="22">
        <v>0.0</v>
      </c>
      <c r="L316" s="22">
        <f>+SUMIF('حركه المخزن الرئيسي اليوميه'!$F:$F,$H:$H,'حركه المخزن الرئيسي اليوميه'!$H:$H)</f>
        <v>0.0</v>
      </c>
      <c r="M316" s="22">
        <f>+SUMIF('حركه المخزن الرئيسي اليوميه'!$F:$F,$H:$H,'حركه المخزن الرئيسي اليوميه'!$I:$I)</f>
        <v>0.0</v>
      </c>
      <c r="N316" s="22">
        <f>+K316+L316-M316</f>
        <v>0.0</v>
      </c>
      <c r="O316" s="22">
        <f>+N316</f>
        <v>0.0</v>
      </c>
      <c r="P316" s="22">
        <f>+N316-O316</f>
        <v>0.0</v>
      </c>
      <c r="Q316" s="57"/>
      <c r="R316" s="58"/>
    </row>
    <row r="317" spans="8:8" ht="15.0" customHeight="1">
      <c r="B317" s="54">
        <v>315.0</v>
      </c>
      <c r="C317" s="8" t="s">
        <v>8351</v>
      </c>
      <c r="D317" s="8" t="s">
        <v>820</v>
      </c>
      <c r="E317" s="8" t="s">
        <v>2012</v>
      </c>
      <c r="F317" s="8" t="s">
        <v>68</v>
      </c>
      <c r="G317" s="8"/>
      <c r="H317" s="8" t="s">
        <v>2012</v>
      </c>
      <c r="I317" s="8" t="s">
        <v>73</v>
      </c>
      <c r="J317" s="78" t="s">
        <v>4232</v>
      </c>
      <c r="K317" s="22">
        <v>0.0</v>
      </c>
      <c r="L317" s="22">
        <f>+SUMIF('حركه المخزن الرئيسي اليوميه'!$F:$F,$H:$H,'حركه المخزن الرئيسي اليوميه'!$H:$H)</f>
        <v>0.0</v>
      </c>
      <c r="M317" s="22">
        <f>+SUMIF('حركه المخزن الرئيسي اليوميه'!$F:$F,$H:$H,'حركه المخزن الرئيسي اليوميه'!$I:$I)</f>
        <v>0.0</v>
      </c>
      <c r="N317" s="22">
        <f>+K317+L317-M317</f>
        <v>0.0</v>
      </c>
      <c r="O317" s="22">
        <f>+N317</f>
        <v>0.0</v>
      </c>
      <c r="P317" s="22">
        <f>+N317-O317</f>
        <v>0.0</v>
      </c>
      <c r="Q317" s="57"/>
      <c r="R317" s="58"/>
    </row>
    <row r="318" spans="8:8" ht="15.0" customHeight="1">
      <c r="B318" s="54">
        <v>316.0</v>
      </c>
      <c r="C318" s="8" t="s">
        <v>8351</v>
      </c>
      <c r="D318" s="8" t="s">
        <v>1013</v>
      </c>
      <c r="E318" s="8" t="s">
        <v>1513</v>
      </c>
      <c r="F318" s="8" t="s">
        <v>67</v>
      </c>
      <c r="G318" s="8" t="s">
        <v>2285</v>
      </c>
      <c r="H318" s="8" t="s">
        <v>1513</v>
      </c>
      <c r="I318" s="8" t="s">
        <v>73</v>
      </c>
      <c r="J318" s="78" t="s">
        <v>4233</v>
      </c>
      <c r="K318" s="22">
        <v>8.0</v>
      </c>
      <c r="L318" s="22">
        <f>+SUMIF('حركه المخزن الرئيسي اليوميه'!$F:$F,$H:$H,'حركه المخزن الرئيسي اليوميه'!$H:$H)</f>
        <v>0.0</v>
      </c>
      <c r="M318" s="22">
        <f>+SUMIF('حركه المخزن الرئيسي اليوميه'!$F:$F,$H:$H,'حركه المخزن الرئيسي اليوميه'!$I:$I)</f>
        <v>0.0</v>
      </c>
      <c r="N318" s="22">
        <f>+K318+L318-M318</f>
        <v>8.0</v>
      </c>
      <c r="O318" s="22">
        <f>+N318</f>
        <v>8.0</v>
      </c>
      <c r="P318" s="22">
        <f>+N318-O318</f>
        <v>0.0</v>
      </c>
      <c r="Q318" s="58"/>
      <c r="R318" s="58"/>
    </row>
    <row r="319" spans="8:8" ht="15.0" customHeight="1">
      <c r="B319" s="54">
        <v>317.0</v>
      </c>
      <c r="C319" s="8" t="s">
        <v>8351</v>
      </c>
      <c r="D319" s="8" t="s">
        <v>1013</v>
      </c>
      <c r="E319" s="8" t="s">
        <v>1953</v>
      </c>
      <c r="F319" s="8" t="s">
        <v>1501</v>
      </c>
      <c r="G319" s="8"/>
      <c r="H319" s="8" t="s">
        <v>1954</v>
      </c>
      <c r="I319" s="8" t="s">
        <v>73</v>
      </c>
      <c r="J319" s="78" t="s">
        <v>4234</v>
      </c>
      <c r="K319" s="22">
        <v>0.0</v>
      </c>
      <c r="L319" s="22">
        <f>+SUMIF('حركه المخزن الرئيسي اليوميه'!$F:$F,$H:$H,'حركه المخزن الرئيسي اليوميه'!$H:$H)</f>
        <v>0.0</v>
      </c>
      <c r="M319" s="22">
        <f>+SUMIF('حركه المخزن الرئيسي اليوميه'!$F:$F,$H:$H,'حركه المخزن الرئيسي اليوميه'!$I:$I)</f>
        <v>0.0</v>
      </c>
      <c r="N319" s="22">
        <f>+K319+L319-M319</f>
        <v>0.0</v>
      </c>
      <c r="O319" s="22">
        <f>+N319</f>
        <v>0.0</v>
      </c>
      <c r="P319" s="22">
        <f>+N319-O319</f>
        <v>0.0</v>
      </c>
      <c r="Q319" s="57"/>
      <c r="R319" s="58"/>
    </row>
    <row r="320" spans="8:8" ht="15.0" customHeight="1">
      <c r="B320" s="54">
        <v>318.0</v>
      </c>
      <c r="C320" s="8" t="s">
        <v>8351</v>
      </c>
      <c r="D320" s="8" t="s">
        <v>1013</v>
      </c>
      <c r="E320" s="8" t="s">
        <v>1515</v>
      </c>
      <c r="F320" s="8" t="s">
        <v>67</v>
      </c>
      <c r="G320" s="8" t="s">
        <v>2286</v>
      </c>
      <c r="H320" s="8" t="s">
        <v>1515</v>
      </c>
      <c r="I320" s="8" t="s">
        <v>73</v>
      </c>
      <c r="J320" s="78" t="s">
        <v>4235</v>
      </c>
      <c r="K320" s="22">
        <v>15.0</v>
      </c>
      <c r="L320" s="22">
        <f>+SUMIF('حركه المخزن الرئيسي اليوميه'!$F:$F,$H:$H,'حركه المخزن الرئيسي اليوميه'!$H:$H)</f>
        <v>0.0</v>
      </c>
      <c r="M320" s="22">
        <f>+SUMIF('حركه المخزن الرئيسي اليوميه'!$F:$F,$H:$H,'حركه المخزن الرئيسي اليوميه'!$I:$I)</f>
        <v>0.0</v>
      </c>
      <c r="N320" s="22">
        <f>+K320+L320-M320</f>
        <v>15.0</v>
      </c>
      <c r="O320" s="22">
        <f>+N320</f>
        <v>15.0</v>
      </c>
      <c r="P320" s="22">
        <f>+N320-O320</f>
        <v>0.0</v>
      </c>
      <c r="Q320" s="58"/>
      <c r="R320" s="58"/>
    </row>
    <row r="321" spans="8:8" ht="15.0" customHeight="1">
      <c r="B321" s="54">
        <v>319.0</v>
      </c>
      <c r="C321" s="8" t="s">
        <v>8351</v>
      </c>
      <c r="D321" s="8" t="s">
        <v>816</v>
      </c>
      <c r="E321" s="8" t="s">
        <v>118</v>
      </c>
      <c r="F321" s="8" t="s">
        <v>120</v>
      </c>
      <c r="G321" s="8" t="s">
        <v>1913</v>
      </c>
      <c r="H321" s="8" t="s">
        <v>596</v>
      </c>
      <c r="I321" s="8" t="s">
        <v>73</v>
      </c>
      <c r="J321" s="78" t="s">
        <v>4236</v>
      </c>
      <c r="K321" s="22">
        <v>0.0</v>
      </c>
      <c r="L321" s="22">
        <f>+SUMIF('حركه المخزن الرئيسي اليوميه'!$F:$F,$H:$H,'حركه المخزن الرئيسي اليوميه'!$H:$H)</f>
        <v>0.0</v>
      </c>
      <c r="M321" s="22">
        <f>+SUMIF('حركه المخزن الرئيسي اليوميه'!$F:$F,$H:$H,'حركه المخزن الرئيسي اليوميه'!$I:$I)</f>
        <v>0.0</v>
      </c>
      <c r="N321" s="22">
        <f>+K321+L321-M321</f>
        <v>0.0</v>
      </c>
      <c r="O321" s="22">
        <f>+N321</f>
        <v>0.0</v>
      </c>
      <c r="P321" s="22">
        <f>+N321-O321</f>
        <v>0.0</v>
      </c>
      <c r="Q321" s="57"/>
      <c r="R321" s="58"/>
    </row>
    <row r="322" spans="8:8" ht="15.0" customHeight="1">
      <c r="B322" s="54">
        <v>320.0</v>
      </c>
      <c r="C322" s="8" t="s">
        <v>8351</v>
      </c>
      <c r="D322" s="8" t="s">
        <v>1013</v>
      </c>
      <c r="E322" s="8" t="s">
        <v>2726</v>
      </c>
      <c r="F322" s="8" t="s">
        <v>68</v>
      </c>
      <c r="G322" s="8" t="s">
        <v>1798</v>
      </c>
      <c r="H322" s="8" t="s">
        <v>323</v>
      </c>
      <c r="I322" s="8" t="s">
        <v>73</v>
      </c>
      <c r="J322" s="78" t="s">
        <v>4237</v>
      </c>
      <c r="K322" s="22">
        <v>3.0</v>
      </c>
      <c r="L322" s="22">
        <f>+SUMIF('حركه المخزن الرئيسي اليوميه'!$F:$F,$H:$H,'حركه المخزن الرئيسي اليوميه'!$H:$H)</f>
        <v>0.0</v>
      </c>
      <c r="M322" s="22">
        <f>+SUMIF('حركه المخزن الرئيسي اليوميه'!$F:$F,$H:$H,'حركه المخزن الرئيسي اليوميه'!$I:$I)</f>
        <v>0.0</v>
      </c>
      <c r="N322" s="22">
        <f>+K322+L322-M322</f>
        <v>3.0</v>
      </c>
      <c r="O322" s="22">
        <f>+N322</f>
        <v>3.0</v>
      </c>
      <c r="P322" s="22">
        <f>+N322-O322</f>
        <v>0.0</v>
      </c>
      <c r="Q322" s="57"/>
      <c r="R322" s="58"/>
    </row>
    <row r="323" spans="8:8" ht="15.0" customHeight="1">
      <c r="B323" s="54">
        <v>321.0</v>
      </c>
      <c r="C323" s="8" t="s">
        <v>8351</v>
      </c>
      <c r="D323" s="8" t="s">
        <v>816</v>
      </c>
      <c r="E323" s="8" t="s">
        <v>71</v>
      </c>
      <c r="F323" s="8" t="s">
        <v>68</v>
      </c>
      <c r="G323" s="8" t="s">
        <v>2058</v>
      </c>
      <c r="H323" s="8" t="s">
        <v>72</v>
      </c>
      <c r="I323" s="8" t="s">
        <v>73</v>
      </c>
      <c r="J323" s="78" t="s">
        <v>4238</v>
      </c>
      <c r="K323" s="22">
        <v>0.0</v>
      </c>
      <c r="L323" s="22">
        <f>+SUMIF('حركه المخزن الرئيسي اليوميه'!$F:$F,$H:$H,'حركه المخزن الرئيسي اليوميه'!$H:$H)</f>
        <v>0.0</v>
      </c>
      <c r="M323" s="22">
        <f>+SUMIF('حركه المخزن الرئيسي اليوميه'!$F:$F,$H:$H,'حركه المخزن الرئيسي اليوميه'!$I:$I)</f>
        <v>0.0</v>
      </c>
      <c r="N323" s="22">
        <f>+K323+L323-M323</f>
        <v>0.0</v>
      </c>
      <c r="O323" s="22">
        <f>+N323</f>
        <v>0.0</v>
      </c>
      <c r="P323" s="22">
        <f>+N323-O323</f>
        <v>0.0</v>
      </c>
      <c r="Q323" s="57"/>
      <c r="R323" s="58"/>
    </row>
    <row r="324" spans="8:8" ht="15.0" customHeight="1">
      <c r="B324" s="54">
        <v>322.0</v>
      </c>
      <c r="C324" s="8" t="s">
        <v>8351</v>
      </c>
      <c r="D324" s="8" t="s">
        <v>816</v>
      </c>
      <c r="E324" s="8" t="s">
        <v>123</v>
      </c>
      <c r="F324" s="8" t="s">
        <v>68</v>
      </c>
      <c r="G324" s="8" t="s">
        <v>1915</v>
      </c>
      <c r="H324" s="8" t="s">
        <v>123</v>
      </c>
      <c r="I324" s="8" t="s">
        <v>73</v>
      </c>
      <c r="J324" s="78" t="s">
        <v>4239</v>
      </c>
      <c r="K324" s="22">
        <v>0.0</v>
      </c>
      <c r="L324" s="22">
        <f>+SUMIF('حركه المخزن الرئيسي اليوميه'!$F:$F,$H:$H,'حركه المخزن الرئيسي اليوميه'!$H:$H)</f>
        <v>0.0</v>
      </c>
      <c r="M324" s="22">
        <f>+SUMIF('حركه المخزن الرئيسي اليوميه'!$F:$F,$H:$H,'حركه المخزن الرئيسي اليوميه'!$I:$I)</f>
        <v>0.0</v>
      </c>
      <c r="N324" s="22">
        <f>+K324+L324-M324</f>
        <v>0.0</v>
      </c>
      <c r="O324" s="22">
        <f>+N324</f>
        <v>0.0</v>
      </c>
      <c r="P324" s="22">
        <f>+N324-O324</f>
        <v>0.0</v>
      </c>
      <c r="Q324" s="57"/>
      <c r="R324" s="58"/>
    </row>
    <row r="325" spans="8:8" ht="15.0" customHeight="1">
      <c r="B325" s="54">
        <v>323.0</v>
      </c>
      <c r="C325" s="8" t="s">
        <v>8351</v>
      </c>
      <c r="D325" s="8" t="s">
        <v>1013</v>
      </c>
      <c r="E325" s="8" t="s">
        <v>3012</v>
      </c>
      <c r="F325" s="8" t="s">
        <v>68</v>
      </c>
      <c r="G325" s="8"/>
      <c r="H325" s="8" t="s">
        <v>3012</v>
      </c>
      <c r="I325" s="8" t="s">
        <v>73</v>
      </c>
      <c r="J325" s="78" t="s">
        <v>4240</v>
      </c>
      <c r="K325" s="22">
        <v>0.0</v>
      </c>
      <c r="L325" s="22">
        <f>+SUMIF('حركه المخزن الرئيسي اليوميه'!$F:$F,$H:$H,'حركه المخزن الرئيسي اليوميه'!$H:$H)</f>
        <v>0.0</v>
      </c>
      <c r="M325" s="22">
        <f>+SUMIF('حركه المخزن الرئيسي اليوميه'!$F:$F,$H:$H,'حركه المخزن الرئيسي اليوميه'!$I:$I)</f>
        <v>0.0</v>
      </c>
      <c r="N325" s="22">
        <f>+K325+L325-M325</f>
        <v>0.0</v>
      </c>
      <c r="O325" s="22">
        <f>+N325</f>
        <v>0.0</v>
      </c>
      <c r="P325" s="22">
        <f>+N325-O325</f>
        <v>0.0</v>
      </c>
      <c r="Q325" s="57"/>
      <c r="R325" s="58"/>
    </row>
    <row r="326" spans="8:8" ht="15.0" customHeight="1">
      <c r="B326" s="54">
        <v>324.0</v>
      </c>
      <c r="C326" s="8" t="s">
        <v>8351</v>
      </c>
      <c r="D326" s="8" t="s">
        <v>1013</v>
      </c>
      <c r="E326" s="8" t="s">
        <v>1349</v>
      </c>
      <c r="F326" s="8" t="s">
        <v>68</v>
      </c>
      <c r="G326" s="8" t="s">
        <v>2186</v>
      </c>
      <c r="H326" s="8" t="s">
        <v>1349</v>
      </c>
      <c r="I326" s="8" t="s">
        <v>73</v>
      </c>
      <c r="J326" s="78" t="s">
        <v>4241</v>
      </c>
      <c r="K326" s="22">
        <v>5.0</v>
      </c>
      <c r="L326" s="22">
        <f>+SUMIF('حركه المخزن الرئيسي اليوميه'!$F:$F,$H:$H,'حركه المخزن الرئيسي اليوميه'!$H:$H)</f>
        <v>0.0</v>
      </c>
      <c r="M326" s="22">
        <f>+SUMIF('حركه المخزن الرئيسي اليوميه'!$F:$F,$H:$H,'حركه المخزن الرئيسي اليوميه'!$I:$I)</f>
        <v>0.0</v>
      </c>
      <c r="N326" s="22">
        <f>+K326+L326-M326</f>
        <v>5.0</v>
      </c>
      <c r="O326" s="22">
        <f>+N326</f>
        <v>5.0</v>
      </c>
      <c r="P326" s="22">
        <f>+N326-O326</f>
        <v>0.0</v>
      </c>
      <c r="Q326" s="57"/>
      <c r="R326" s="58"/>
    </row>
    <row r="327" spans="8:8" ht="15.0" customHeight="1">
      <c r="B327" s="54">
        <v>325.0</v>
      </c>
      <c r="C327" s="8" t="s">
        <v>8351</v>
      </c>
      <c r="D327" s="8" t="s">
        <v>1018</v>
      </c>
      <c r="E327" s="8" t="s">
        <v>3752</v>
      </c>
      <c r="F327" s="8" t="s">
        <v>68</v>
      </c>
      <c r="G327" s="8"/>
      <c r="H327" s="8" t="s">
        <v>3752</v>
      </c>
      <c r="I327" s="8" t="s">
        <v>222</v>
      </c>
      <c r="J327" s="78" t="s">
        <v>4242</v>
      </c>
      <c r="K327" s="22">
        <v>0.0</v>
      </c>
      <c r="L327" s="22">
        <f>+SUMIF('حركه المخزن الرئيسي اليوميه'!$F:$F,$H:$H,'حركه المخزن الرئيسي اليوميه'!$H:$H)</f>
        <v>0.0</v>
      </c>
      <c r="M327" s="22">
        <f>+SUMIF('حركه المخزن الرئيسي اليوميه'!$F:$F,$H:$H,'حركه المخزن الرئيسي اليوميه'!$I:$I)</f>
        <v>0.0</v>
      </c>
      <c r="N327" s="22">
        <f>+K327+L327-M327</f>
        <v>0.0</v>
      </c>
      <c r="O327" s="22">
        <f>+N327</f>
        <v>0.0</v>
      </c>
      <c r="P327" s="22">
        <f>+N327-O327</f>
        <v>0.0</v>
      </c>
      <c r="Q327" s="57"/>
      <c r="R327" s="58"/>
    </row>
    <row r="328" spans="8:8" ht="15.0" customHeight="1">
      <c r="B328" s="54">
        <v>326.0</v>
      </c>
      <c r="C328" s="8" t="s">
        <v>8351</v>
      </c>
      <c r="D328" s="8" t="s">
        <v>766</v>
      </c>
      <c r="E328" s="8" t="s">
        <v>2783</v>
      </c>
      <c r="F328" s="8" t="s">
        <v>1501</v>
      </c>
      <c r="G328" s="8"/>
      <c r="H328" s="8" t="s">
        <v>2783</v>
      </c>
      <c r="I328" s="8" t="s">
        <v>73</v>
      </c>
      <c r="J328" s="78" t="s">
        <v>4243</v>
      </c>
      <c r="K328" s="22">
        <v>0.0</v>
      </c>
      <c r="L328" s="22">
        <f>+SUMIF('حركه المخزن الرئيسي اليوميه'!$F:$F,$H:$H,'حركه المخزن الرئيسي اليوميه'!$H:$H)</f>
        <v>0.0</v>
      </c>
      <c r="M328" s="22">
        <f>+SUMIF('حركه المخزن الرئيسي اليوميه'!$F:$F,$H:$H,'حركه المخزن الرئيسي اليوميه'!$I:$I)</f>
        <v>0.0</v>
      </c>
      <c r="N328" s="22">
        <f>+K328+L328-M328</f>
        <v>0.0</v>
      </c>
      <c r="O328" s="22">
        <f>+N328</f>
        <v>0.0</v>
      </c>
      <c r="P328" s="22">
        <f>+N328-O328</f>
        <v>0.0</v>
      </c>
      <c r="Q328" s="57"/>
      <c r="R328" s="58"/>
    </row>
    <row r="329" spans="8:8" ht="15.0" customHeight="1">
      <c r="B329" s="54">
        <v>327.0</v>
      </c>
      <c r="C329" s="8" t="s">
        <v>8351</v>
      </c>
      <c r="D329" s="8" t="s">
        <v>816</v>
      </c>
      <c r="E329" s="8" t="s">
        <v>119</v>
      </c>
      <c r="F329" s="8" t="s">
        <v>120</v>
      </c>
      <c r="G329" s="8" t="s">
        <v>1914</v>
      </c>
      <c r="H329" s="8" t="s">
        <v>597</v>
      </c>
      <c r="I329" s="8" t="s">
        <v>73</v>
      </c>
      <c r="J329" s="78" t="s">
        <v>4244</v>
      </c>
      <c r="K329" s="22">
        <v>0.0</v>
      </c>
      <c r="L329" s="22">
        <f>+SUMIF('حركه المخزن الرئيسي اليوميه'!$F:$F,$H:$H,'حركه المخزن الرئيسي اليوميه'!$H:$H)</f>
        <v>0.0</v>
      </c>
      <c r="M329" s="22">
        <f>+SUMIF('حركه المخزن الرئيسي اليوميه'!$F:$F,$H:$H,'حركه المخزن الرئيسي اليوميه'!$I:$I)</f>
        <v>0.0</v>
      </c>
      <c r="N329" s="22">
        <f>+K329+L329-M329</f>
        <v>0.0</v>
      </c>
      <c r="O329" s="22">
        <f>+N329</f>
        <v>0.0</v>
      </c>
      <c r="P329" s="22">
        <f>+N329-O329</f>
        <v>0.0</v>
      </c>
      <c r="Q329" s="57"/>
      <c r="R329" s="58"/>
    </row>
    <row r="330" spans="8:8" ht="15.0" customHeight="1">
      <c r="B330" s="54">
        <v>328.0</v>
      </c>
      <c r="C330" s="8" t="s">
        <v>8351</v>
      </c>
      <c r="D330" s="8" t="s">
        <v>816</v>
      </c>
      <c r="E330" s="8" t="s">
        <v>118</v>
      </c>
      <c r="F330" s="8" t="s">
        <v>120</v>
      </c>
      <c r="G330" s="8" t="s">
        <v>1913</v>
      </c>
      <c r="H330" s="8" t="s">
        <v>595</v>
      </c>
      <c r="I330" s="8" t="s">
        <v>73</v>
      </c>
      <c r="J330" s="78" t="s">
        <v>4245</v>
      </c>
      <c r="K330" s="22">
        <v>0.0</v>
      </c>
      <c r="L330" s="22">
        <f>+SUMIF('حركه المخزن الرئيسي اليوميه'!$F:$F,$H:$H,'حركه المخزن الرئيسي اليوميه'!$H:$H)</f>
        <v>0.0</v>
      </c>
      <c r="M330" s="22">
        <f>+SUMIF('حركه المخزن الرئيسي اليوميه'!$F:$F,$H:$H,'حركه المخزن الرئيسي اليوميه'!$I:$I)</f>
        <v>0.0</v>
      </c>
      <c r="N330" s="22">
        <f>+K330+L330-M330</f>
        <v>0.0</v>
      </c>
      <c r="O330" s="22">
        <f>+N330</f>
        <v>0.0</v>
      </c>
      <c r="P330" s="22">
        <f>+N330-O330</f>
        <v>0.0</v>
      </c>
      <c r="Q330" s="57"/>
      <c r="R330" s="58"/>
    </row>
    <row r="331" spans="8:8" ht="15.0" customHeight="1">
      <c r="B331" s="54">
        <v>329.0</v>
      </c>
      <c r="C331" s="8" t="s">
        <v>8351</v>
      </c>
      <c r="D331" s="8" t="s">
        <v>1017</v>
      </c>
      <c r="E331" s="8" t="s">
        <v>8156</v>
      </c>
      <c r="F331" s="8" t="s">
        <v>1501</v>
      </c>
      <c r="G331" s="8"/>
      <c r="H331" s="8" t="s">
        <v>8156</v>
      </c>
      <c r="I331" s="8" t="s">
        <v>160</v>
      </c>
      <c r="J331" s="78" t="s">
        <v>4246</v>
      </c>
      <c r="K331" s="22">
        <v>4.0</v>
      </c>
      <c r="L331" s="22">
        <f>+SUMIF('حركه المخزن الرئيسي اليوميه'!$F:$F,$H:$H,'حركه المخزن الرئيسي اليوميه'!$H:$H)</f>
        <v>0.0</v>
      </c>
      <c r="M331" s="22">
        <f>+SUMIF('حركه المخزن الرئيسي اليوميه'!$F:$F,$H:$H,'حركه المخزن الرئيسي اليوميه'!$I:$I)</f>
        <v>0.0</v>
      </c>
      <c r="N331" s="22">
        <f>+K331+L331-M331</f>
        <v>4.0</v>
      </c>
      <c r="O331" s="22">
        <f>+N331</f>
        <v>4.0</v>
      </c>
      <c r="P331" s="22">
        <f>+N331-O331</f>
        <v>0.0</v>
      </c>
      <c r="Q331" s="57"/>
      <c r="R331" s="59"/>
    </row>
    <row r="332" spans="8:8" ht="15.0" customHeight="1">
      <c r="B332" s="54">
        <v>330.0</v>
      </c>
      <c r="C332" s="8" t="s">
        <v>8351</v>
      </c>
      <c r="D332" s="8" t="s">
        <v>1013</v>
      </c>
      <c r="E332" s="8" t="s">
        <v>74</v>
      </c>
      <c r="F332" s="8" t="s">
        <v>68</v>
      </c>
      <c r="G332" s="8" t="s">
        <v>75</v>
      </c>
      <c r="H332" s="8" t="s">
        <v>75</v>
      </c>
      <c r="I332" s="8" t="s">
        <v>73</v>
      </c>
      <c r="J332" s="78" t="s">
        <v>4247</v>
      </c>
      <c r="K332" s="22">
        <v>0.0</v>
      </c>
      <c r="L332" s="22">
        <f>+SUMIF('حركه المخزن الرئيسي اليوميه'!$F:$F,$H:$H,'حركه المخزن الرئيسي اليوميه'!$H:$H)</f>
        <v>0.0</v>
      </c>
      <c r="M332" s="22">
        <f>+SUMIF('حركه المخزن الرئيسي اليوميه'!$F:$F,$H:$H,'حركه المخزن الرئيسي اليوميه'!$I:$I)</f>
        <v>0.0</v>
      </c>
      <c r="N332" s="22">
        <f>+K332+L332-M332</f>
        <v>0.0</v>
      </c>
      <c r="O332" s="22">
        <f>+N332</f>
        <v>0.0</v>
      </c>
      <c r="P332" s="22">
        <f>+N332-O332</f>
        <v>0.0</v>
      </c>
      <c r="Q332" s="57"/>
      <c r="R332" s="58"/>
    </row>
    <row r="333" spans="8:8" ht="15.0" customHeight="1">
      <c r="B333" s="54">
        <v>331.0</v>
      </c>
      <c r="C333" s="8" t="s">
        <v>8351</v>
      </c>
      <c r="D333" s="8" t="s">
        <v>1013</v>
      </c>
      <c r="E333" s="8" t="s">
        <v>322</v>
      </c>
      <c r="F333" s="8" t="s">
        <v>68</v>
      </c>
      <c r="G333" s="8"/>
      <c r="H333" s="8" t="s">
        <v>322</v>
      </c>
      <c r="I333" s="8" t="s">
        <v>73</v>
      </c>
      <c r="J333" s="78" t="s">
        <v>4248</v>
      </c>
      <c r="K333" s="22">
        <v>0.0</v>
      </c>
      <c r="L333" s="22">
        <f>+SUMIF('حركه المخزن الرئيسي اليوميه'!$F:$F,$H:$H,'حركه المخزن الرئيسي اليوميه'!$H:$H)</f>
        <v>0.0</v>
      </c>
      <c r="M333" s="22">
        <f>+SUMIF('حركه المخزن الرئيسي اليوميه'!$F:$F,$H:$H,'حركه المخزن الرئيسي اليوميه'!$I:$I)</f>
        <v>0.0</v>
      </c>
      <c r="N333" s="22">
        <f>+K333+L333-M333</f>
        <v>0.0</v>
      </c>
      <c r="O333" s="22">
        <f>+N333</f>
        <v>0.0</v>
      </c>
      <c r="P333" s="22">
        <f>+N333-O333</f>
        <v>0.0</v>
      </c>
      <c r="Q333" s="57"/>
      <c r="R333" s="58"/>
    </row>
    <row r="334" spans="8:8" ht="15.0" customHeight="1">
      <c r="B334" s="54">
        <v>332.0</v>
      </c>
      <c r="C334" s="8" t="s">
        <v>8351</v>
      </c>
      <c r="D334" s="8" t="s">
        <v>816</v>
      </c>
      <c r="E334" s="8" t="s">
        <v>899</v>
      </c>
      <c r="F334" s="8" t="s">
        <v>68</v>
      </c>
      <c r="G334" s="8" t="s">
        <v>2411</v>
      </c>
      <c r="H334" s="8" t="s">
        <v>899</v>
      </c>
      <c r="I334" s="8" t="s">
        <v>78</v>
      </c>
      <c r="J334" s="78" t="s">
        <v>4249</v>
      </c>
      <c r="K334" s="22">
        <v>0.0</v>
      </c>
      <c r="L334" s="22">
        <f>+SUMIF('حركه المخزن الرئيسي اليوميه'!$F:$F,$H:$H,'حركه المخزن الرئيسي اليوميه'!$H:$H)</f>
        <v>5.0</v>
      </c>
      <c r="M334" s="22">
        <f>+SUMIF('حركه المخزن الرئيسي اليوميه'!$F:$F,$H:$H,'حركه المخزن الرئيسي اليوميه'!$I:$I)</f>
        <v>5.0</v>
      </c>
      <c r="N334" s="22">
        <f>+K334+L334-M334</f>
        <v>0.0</v>
      </c>
      <c r="O334" s="22">
        <f>+N334</f>
        <v>0.0</v>
      </c>
      <c r="P334" s="22">
        <f>+N334-O334</f>
        <v>0.0</v>
      </c>
      <c r="Q334" s="57"/>
      <c r="R334" s="58"/>
    </row>
    <row r="335" spans="8:8" ht="15.0" customHeight="1">
      <c r="B335" s="54">
        <v>333.0</v>
      </c>
      <c r="C335" s="8" t="s">
        <v>8351</v>
      </c>
      <c r="D335" s="8" t="s">
        <v>816</v>
      </c>
      <c r="E335" s="8" t="s">
        <v>898</v>
      </c>
      <c r="F335" s="8" t="s">
        <v>68</v>
      </c>
      <c r="G335" s="8" t="s">
        <v>2184</v>
      </c>
      <c r="H335" s="8" t="s">
        <v>898</v>
      </c>
      <c r="I335" s="8" t="s">
        <v>73</v>
      </c>
      <c r="J335" s="78" t="s">
        <v>4250</v>
      </c>
      <c r="K335" s="22">
        <v>0.0</v>
      </c>
      <c r="L335" s="22">
        <f>+SUMIF('حركه المخزن الرئيسي اليوميه'!$F:$F,$H:$H,'حركه المخزن الرئيسي اليوميه'!$H:$H)</f>
        <v>0.0</v>
      </c>
      <c r="M335" s="22">
        <f>+SUMIF('حركه المخزن الرئيسي اليوميه'!$F:$F,$H:$H,'حركه المخزن الرئيسي اليوميه'!$I:$I)</f>
        <v>0.0</v>
      </c>
      <c r="N335" s="22">
        <f>+K335+L335-M335</f>
        <v>0.0</v>
      </c>
      <c r="O335" s="22">
        <f>+N335</f>
        <v>0.0</v>
      </c>
      <c r="P335" s="22">
        <f>+N335-O335</f>
        <v>0.0</v>
      </c>
      <c r="Q335" s="57"/>
      <c r="R335" s="58"/>
    </row>
    <row r="336" spans="8:8" ht="15.0" customHeight="1">
      <c r="B336" s="54">
        <v>334.0</v>
      </c>
      <c r="C336" s="8" t="s">
        <v>8351</v>
      </c>
      <c r="D336" s="8" t="s">
        <v>1013</v>
      </c>
      <c r="E336" s="8" t="s">
        <v>2937</v>
      </c>
      <c r="F336" s="8" t="s">
        <v>68</v>
      </c>
      <c r="G336" s="8" t="s">
        <v>1798</v>
      </c>
      <c r="H336" s="8" t="s">
        <v>2936</v>
      </c>
      <c r="I336" s="8" t="s">
        <v>73</v>
      </c>
      <c r="J336" s="78" t="s">
        <v>4251</v>
      </c>
      <c r="K336" s="22">
        <v>3.0</v>
      </c>
      <c r="L336" s="22">
        <f>+SUMIF('حركه المخزن الرئيسي اليوميه'!$F:$F,$H:$H,'حركه المخزن الرئيسي اليوميه'!$H:$H)</f>
        <v>0.0</v>
      </c>
      <c r="M336" s="22">
        <f>+SUMIF('حركه المخزن الرئيسي اليوميه'!$F:$F,$H:$H,'حركه المخزن الرئيسي اليوميه'!$I:$I)</f>
        <v>0.0</v>
      </c>
      <c r="N336" s="22">
        <f>+K336+L336-M336</f>
        <v>3.0</v>
      </c>
      <c r="O336" s="22">
        <f>+N336</f>
        <v>3.0</v>
      </c>
      <c r="P336" s="22">
        <f>+N336-O336</f>
        <v>0.0</v>
      </c>
      <c r="Q336" s="57"/>
      <c r="R336" s="69"/>
    </row>
    <row r="337" spans="8:8" ht="15.0" customHeight="1">
      <c r="B337" s="54">
        <v>336.0</v>
      </c>
      <c r="C337" s="8" t="s">
        <v>8351</v>
      </c>
      <c r="D337" s="8" t="s">
        <v>1013</v>
      </c>
      <c r="E337" s="8" t="s">
        <v>1364</v>
      </c>
      <c r="F337" s="8" t="s">
        <v>68</v>
      </c>
      <c r="G337" s="8" t="s">
        <v>2414</v>
      </c>
      <c r="H337" s="8" t="s">
        <v>1364</v>
      </c>
      <c r="I337" s="8" t="s">
        <v>73</v>
      </c>
      <c r="J337" s="78" t="s">
        <v>4252</v>
      </c>
      <c r="K337" s="22">
        <v>0.0</v>
      </c>
      <c r="L337" s="22">
        <f>+SUMIF('حركه المخزن الرئيسي اليوميه'!$F:$F,$H:$H,'حركه المخزن الرئيسي اليوميه'!$H:$H)</f>
        <v>0.0</v>
      </c>
      <c r="M337" s="22">
        <f>+SUMIF('حركه المخزن الرئيسي اليوميه'!$F:$F,$H:$H,'حركه المخزن الرئيسي اليوميه'!$I:$I)</f>
        <v>0.0</v>
      </c>
      <c r="N337" s="22">
        <f>+K337+L337-M337</f>
        <v>0.0</v>
      </c>
      <c r="O337" s="22">
        <f>+N337</f>
        <v>0.0</v>
      </c>
      <c r="P337" s="22">
        <f>+N337-O337</f>
        <v>0.0</v>
      </c>
      <c r="Q337" s="57"/>
      <c r="R337" s="58"/>
    </row>
    <row r="338" spans="8:8" ht="15.0" customHeight="1">
      <c r="B338" s="54">
        <v>339.0</v>
      </c>
      <c r="C338" s="8" t="s">
        <v>8351</v>
      </c>
      <c r="D338" s="8" t="s">
        <v>828</v>
      </c>
      <c r="E338" s="8" t="s">
        <v>116</v>
      </c>
      <c r="F338" s="8" t="s">
        <v>68</v>
      </c>
      <c r="G338" s="8" t="s">
        <v>1680</v>
      </c>
      <c r="H338" s="8" t="s">
        <v>116</v>
      </c>
      <c r="I338" s="8" t="s">
        <v>117</v>
      </c>
      <c r="J338" s="78" t="s">
        <v>4253</v>
      </c>
      <c r="K338" s="22">
        <v>8.0</v>
      </c>
      <c r="L338" s="22">
        <f>+SUMIF('حركه المخزن الرئيسي اليوميه'!$F:$F,$H:$H,'حركه المخزن الرئيسي اليوميه'!$H:$H)</f>
        <v>0.0</v>
      </c>
      <c r="M338" s="22">
        <f>+SUMIF('حركه المخزن الرئيسي اليوميه'!$F:$F,$H:$H,'حركه المخزن الرئيسي اليوميه'!$I:$I)</f>
        <v>0.0</v>
      </c>
      <c r="N338" s="22">
        <f>+K338+L338-M338</f>
        <v>8.0</v>
      </c>
      <c r="O338" s="22">
        <f>+N338</f>
        <v>8.0</v>
      </c>
      <c r="P338" s="22">
        <f>+N338-O338</f>
        <v>0.0</v>
      </c>
      <c r="Q338" s="57"/>
      <c r="R338" s="58"/>
    </row>
    <row r="339" spans="8:8" ht="15.0" customHeight="1">
      <c r="B339" s="54">
        <v>340.0</v>
      </c>
      <c r="C339" s="8" t="s">
        <v>8351</v>
      </c>
      <c r="D339" s="8" t="s">
        <v>1013</v>
      </c>
      <c r="E339" s="8" t="s">
        <v>325</v>
      </c>
      <c r="F339" s="8" t="s">
        <v>68</v>
      </c>
      <c r="G339" s="8" t="s">
        <v>2334</v>
      </c>
      <c r="H339" s="8" t="s">
        <v>325</v>
      </c>
      <c r="I339" s="8" t="s">
        <v>117</v>
      </c>
      <c r="J339" s="78" t="s">
        <v>4254</v>
      </c>
      <c r="K339" s="22">
        <v>30.0</v>
      </c>
      <c r="L339" s="22">
        <f>+SUMIF('حركه المخزن الرئيسي اليوميه'!$F:$F,$H:$H,'حركه المخزن الرئيسي اليوميه'!$H:$H)</f>
        <v>0.0</v>
      </c>
      <c r="M339" s="22">
        <f>+SUMIF('حركه المخزن الرئيسي اليوميه'!$F:$F,$H:$H,'حركه المخزن الرئيسي اليوميه'!$I:$I)</f>
        <v>0.0</v>
      </c>
      <c r="N339" s="22">
        <f>+K339+L339-M339</f>
        <v>30.0</v>
      </c>
      <c r="O339" s="22">
        <f>+N339</f>
        <v>30.0</v>
      </c>
      <c r="P339" s="22">
        <f>+N339-O339</f>
        <v>0.0</v>
      </c>
      <c r="Q339" s="57"/>
      <c r="R339" s="58"/>
    </row>
    <row r="340" spans="8:8" ht="15.0" customHeight="1">
      <c r="B340" s="54">
        <v>341.0</v>
      </c>
      <c r="C340" s="8" t="s">
        <v>8351</v>
      </c>
      <c r="D340" s="8" t="s">
        <v>1013</v>
      </c>
      <c r="E340" s="8" t="s">
        <v>1883</v>
      </c>
      <c r="F340" s="8" t="s">
        <v>1501</v>
      </c>
      <c r="G340" s="8" t="s">
        <v>2304</v>
      </c>
      <c r="H340" s="8" t="s">
        <v>1882</v>
      </c>
      <c r="I340" s="8" t="s">
        <v>326</v>
      </c>
      <c r="J340" s="78" t="s">
        <v>4255</v>
      </c>
      <c r="K340" s="22">
        <v>0.0</v>
      </c>
      <c r="L340" s="22">
        <f>+SUMIF('حركه المخزن الرئيسي اليوميه'!$F:$F,$H:$H,'حركه المخزن الرئيسي اليوميه'!$H:$H)</f>
        <v>0.0</v>
      </c>
      <c r="M340" s="22">
        <f>+SUMIF('حركه المخزن الرئيسي اليوميه'!$F:$F,$H:$H,'حركه المخزن الرئيسي اليوميه'!$I:$I)</f>
        <v>0.0</v>
      </c>
      <c r="N340" s="22">
        <f>+K340+L340-M340</f>
        <v>0.0</v>
      </c>
      <c r="O340" s="22">
        <f>+N340</f>
        <v>0.0</v>
      </c>
      <c r="P340" s="22">
        <f>+N340-O340</f>
        <v>0.0</v>
      </c>
      <c r="Q340" s="57"/>
      <c r="R340" s="58"/>
    </row>
    <row r="341" spans="8:8" ht="15.0" customHeight="1">
      <c r="B341" s="54">
        <v>343.0</v>
      </c>
      <c r="C341" s="8" t="s">
        <v>8351</v>
      </c>
      <c r="D341" s="8" t="s">
        <v>1013</v>
      </c>
      <c r="E341" s="8" t="s">
        <v>200</v>
      </c>
      <c r="F341" s="8" t="s">
        <v>68</v>
      </c>
      <c r="G341" s="8" t="s">
        <v>2055</v>
      </c>
      <c r="H341" s="8" t="s">
        <v>201</v>
      </c>
      <c r="I341" s="8" t="s">
        <v>3524</v>
      </c>
      <c r="J341" s="78" t="s">
        <v>4256</v>
      </c>
      <c r="K341" s="22">
        <v>2.0</v>
      </c>
      <c r="L341" s="22">
        <f>+SUMIF('حركه المخزن الرئيسي اليوميه'!$F:$F,$H:$H,'حركه المخزن الرئيسي اليوميه'!$H:$H)</f>
        <v>0.0</v>
      </c>
      <c r="M341" s="22">
        <f>+SUMIF('حركه المخزن الرئيسي اليوميه'!$F:$F,$H:$H,'حركه المخزن الرئيسي اليوميه'!$I:$I)</f>
        <v>0.0</v>
      </c>
      <c r="N341" s="22">
        <f>+K341+L341-M341</f>
        <v>2.0</v>
      </c>
      <c r="O341" s="22">
        <f>+N341</f>
        <v>2.0</v>
      </c>
      <c r="P341" s="22">
        <f>+N341-O341</f>
        <v>0.0</v>
      </c>
      <c r="Q341" s="57"/>
      <c r="R341" s="58"/>
    </row>
    <row r="342" spans="8:8" ht="15.0" customHeight="1">
      <c r="B342" s="54">
        <v>344.0</v>
      </c>
      <c r="C342" s="8" t="s">
        <v>8351</v>
      </c>
      <c r="D342" s="8" t="s">
        <v>1013</v>
      </c>
      <c r="E342" s="8" t="s">
        <v>1488</v>
      </c>
      <c r="F342" s="8" t="s">
        <v>68</v>
      </c>
      <c r="G342" s="8" t="s">
        <v>2192</v>
      </c>
      <c r="H342" s="8" t="s">
        <v>2635</v>
      </c>
      <c r="I342" s="8" t="s">
        <v>8109</v>
      </c>
      <c r="J342" s="78" t="s">
        <v>4257</v>
      </c>
      <c r="K342" s="22">
        <v>2.0</v>
      </c>
      <c r="L342" s="22">
        <f>+SUMIF('حركه المخزن الرئيسي اليوميه'!$F:$F,$H:$H,'حركه المخزن الرئيسي اليوميه'!$H:$H)</f>
        <v>0.0</v>
      </c>
      <c r="M342" s="22">
        <f>+SUMIF('حركه المخزن الرئيسي اليوميه'!$F:$F,$H:$H,'حركه المخزن الرئيسي اليوميه'!$I:$I)</f>
        <v>0.0</v>
      </c>
      <c r="N342" s="22">
        <f>+K342+L342-M342</f>
        <v>2.0</v>
      </c>
      <c r="O342" s="22">
        <f>+N342</f>
        <v>2.0</v>
      </c>
      <c r="P342" s="22">
        <f>+N342-O342</f>
        <v>0.0</v>
      </c>
      <c r="Q342" s="57"/>
      <c r="R342" s="58"/>
    </row>
    <row r="343" spans="8:8" ht="15.0" customHeight="1">
      <c r="B343" s="54">
        <v>347.0</v>
      </c>
      <c r="C343" s="8" t="s">
        <v>8351</v>
      </c>
      <c r="D343" s="8" t="s">
        <v>1013</v>
      </c>
      <c r="E343" s="8" t="s">
        <v>1351</v>
      </c>
      <c r="F343" s="8" t="s">
        <v>68</v>
      </c>
      <c r="G343" s="8" t="s">
        <v>2111</v>
      </c>
      <c r="H343" s="8" t="s">
        <v>1356</v>
      </c>
      <c r="I343" s="8" t="s">
        <v>326</v>
      </c>
      <c r="J343" s="78" t="s">
        <v>4258</v>
      </c>
      <c r="K343" s="22">
        <v>0.0</v>
      </c>
      <c r="L343" s="22">
        <f>+SUMIF('حركه المخزن الرئيسي اليوميه'!$F:$F,$H:$H,'حركه المخزن الرئيسي اليوميه'!$H:$H)</f>
        <v>0.0</v>
      </c>
      <c r="M343" s="22">
        <f>+SUMIF('حركه المخزن الرئيسي اليوميه'!$F:$F,$H:$H,'حركه المخزن الرئيسي اليوميه'!$I:$I)</f>
        <v>0.0</v>
      </c>
      <c r="N343" s="22">
        <f>+K343+L343-M343</f>
        <v>0.0</v>
      </c>
      <c r="O343" s="22">
        <f>+N343</f>
        <v>0.0</v>
      </c>
      <c r="P343" s="22">
        <f>+N343-O343</f>
        <v>0.0</v>
      </c>
      <c r="Q343" s="57"/>
      <c r="R343" s="58"/>
    </row>
    <row r="344" spans="8:8" ht="15.0" customHeight="1">
      <c r="B344" s="54">
        <v>350.0</v>
      </c>
      <c r="C344" s="8" t="s">
        <v>8351</v>
      </c>
      <c r="D344" s="8" t="s">
        <v>1013</v>
      </c>
      <c r="E344" s="8" t="s">
        <v>1351</v>
      </c>
      <c r="F344" s="8" t="s">
        <v>68</v>
      </c>
      <c r="G344" s="8" t="s">
        <v>2111</v>
      </c>
      <c r="H344" s="8" t="s">
        <v>623</v>
      </c>
      <c r="I344" s="8" t="s">
        <v>326</v>
      </c>
      <c r="J344" s="78" t="s">
        <v>4259</v>
      </c>
      <c r="K344" s="22">
        <v>0.0</v>
      </c>
      <c r="L344" s="22">
        <f>+SUMIF('حركه المخزن الرئيسي اليوميه'!$F:$F,$H:$H,'حركه المخزن الرئيسي اليوميه'!$H:$H)</f>
        <v>0.0</v>
      </c>
      <c r="M344" s="22">
        <f>+SUMIF('حركه المخزن الرئيسي اليوميه'!$F:$F,$H:$H,'حركه المخزن الرئيسي اليوميه'!$I:$I)</f>
        <v>0.0</v>
      </c>
      <c r="N344" s="22">
        <f>+K344+L344-M344</f>
        <v>0.0</v>
      </c>
      <c r="O344" s="22">
        <f>+N344</f>
        <v>0.0</v>
      </c>
      <c r="P344" s="22">
        <f>+N344-O344</f>
        <v>0.0</v>
      </c>
      <c r="Q344" s="57"/>
      <c r="R344" s="58"/>
    </row>
    <row r="345" spans="8:8" ht="15.0" customHeight="1">
      <c r="B345" s="54">
        <v>351.0</v>
      </c>
      <c r="C345" s="8" t="s">
        <v>8351</v>
      </c>
      <c r="D345" s="8"/>
      <c r="E345" s="8"/>
      <c r="F345" s="8"/>
      <c r="G345" s="8"/>
      <c r="H345" s="8"/>
      <c r="I345" s="8"/>
      <c r="J345" s="78" t="s">
        <v>4260</v>
      </c>
      <c r="K345" s="22">
        <v>0.0</v>
      </c>
      <c r="L345" s="22">
        <f>+SUMIF('حركه المخزن الرئيسي اليوميه'!$F:$F,$H:$H,'حركه المخزن الرئيسي اليوميه'!$H:$H)</f>
        <v>0.0</v>
      </c>
      <c r="M345" s="22">
        <f>+SUMIF('حركه المخزن الرئيسي اليوميه'!$F:$F,$H:$H,'حركه المخزن الرئيسي اليوميه'!$I:$I)</f>
        <v>0.0</v>
      </c>
      <c r="N345" s="22">
        <f>+K345+L345-M345</f>
        <v>0.0</v>
      </c>
      <c r="O345" s="22">
        <f>+N345</f>
        <v>0.0</v>
      </c>
      <c r="P345" s="22">
        <f>+N345-O345</f>
        <v>0.0</v>
      </c>
      <c r="Q345" s="57"/>
      <c r="R345" s="59"/>
    </row>
    <row r="346" spans="8:8" ht="15.0" customHeight="1">
      <c r="B346" s="54">
        <v>352.0</v>
      </c>
      <c r="C346" s="8" t="s">
        <v>8351</v>
      </c>
      <c r="D346" s="8" t="s">
        <v>1013</v>
      </c>
      <c r="E346" s="8" t="s">
        <v>1351</v>
      </c>
      <c r="F346" s="8" t="s">
        <v>68</v>
      </c>
      <c r="G346" s="8" t="s">
        <v>2111</v>
      </c>
      <c r="H346" s="8" t="s">
        <v>1352</v>
      </c>
      <c r="I346" s="8" t="s">
        <v>326</v>
      </c>
      <c r="J346" s="78" t="s">
        <v>4261</v>
      </c>
      <c r="K346" s="22">
        <v>0.0</v>
      </c>
      <c r="L346" s="22">
        <f>+SUMIF('حركه المخزن الرئيسي اليوميه'!$F:$F,$H:$H,'حركه المخزن الرئيسي اليوميه'!$H:$H)</f>
        <v>0.0</v>
      </c>
      <c r="M346" s="22">
        <f>+SUMIF('حركه المخزن الرئيسي اليوميه'!$F:$F,$H:$H,'حركه المخزن الرئيسي اليوميه'!$I:$I)</f>
        <v>0.0</v>
      </c>
      <c r="N346" s="22">
        <f>+K346+L346-M346</f>
        <v>0.0</v>
      </c>
      <c r="O346" s="22">
        <f>+N346</f>
        <v>0.0</v>
      </c>
      <c r="P346" s="22">
        <f>+N346-O346</f>
        <v>0.0</v>
      </c>
      <c r="Q346" s="57"/>
      <c r="R346" s="58"/>
    </row>
    <row r="347" spans="8:8" ht="15.0" customHeight="1">
      <c r="B347" s="54">
        <v>353.0</v>
      </c>
      <c r="C347" s="8" t="s">
        <v>8351</v>
      </c>
      <c r="D347" s="8" t="s">
        <v>1013</v>
      </c>
      <c r="E347" s="8" t="s">
        <v>1351</v>
      </c>
      <c r="F347" s="8" t="s">
        <v>68</v>
      </c>
      <c r="G347" s="8" t="s">
        <v>2111</v>
      </c>
      <c r="H347" s="8" t="s">
        <v>1353</v>
      </c>
      <c r="I347" s="8" t="s">
        <v>326</v>
      </c>
      <c r="J347" s="78" t="s">
        <v>4262</v>
      </c>
      <c r="K347" s="22">
        <v>0.0</v>
      </c>
      <c r="L347" s="22">
        <f>+SUMIF('حركه المخزن الرئيسي اليوميه'!$F:$F,$H:$H,'حركه المخزن الرئيسي اليوميه'!$H:$H)</f>
        <v>0.0</v>
      </c>
      <c r="M347" s="22">
        <f>+SUMIF('حركه المخزن الرئيسي اليوميه'!$F:$F,$H:$H,'حركه المخزن الرئيسي اليوميه'!$I:$I)</f>
        <v>0.0</v>
      </c>
      <c r="N347" s="22">
        <f>+K347+L347-M347</f>
        <v>0.0</v>
      </c>
      <c r="O347" s="22">
        <f>+N347</f>
        <v>0.0</v>
      </c>
      <c r="P347" s="22">
        <f>+N347-O347</f>
        <v>0.0</v>
      </c>
      <c r="Q347" s="57"/>
      <c r="R347" s="58"/>
    </row>
    <row r="348" spans="8:8" ht="15.0" customHeight="1">
      <c r="B348" s="54">
        <v>354.0</v>
      </c>
      <c r="C348" s="8" t="s">
        <v>8351</v>
      </c>
      <c r="D348" s="8" t="s">
        <v>1013</v>
      </c>
      <c r="E348" s="8" t="s">
        <v>1351</v>
      </c>
      <c r="F348" s="8" t="s">
        <v>68</v>
      </c>
      <c r="G348" s="8" t="s">
        <v>2111</v>
      </c>
      <c r="H348" s="8" t="s">
        <v>1354</v>
      </c>
      <c r="I348" s="8" t="s">
        <v>326</v>
      </c>
      <c r="J348" s="78" t="s">
        <v>4263</v>
      </c>
      <c r="K348" s="22">
        <v>0.0</v>
      </c>
      <c r="L348" s="22">
        <f>+SUMIF('حركه المخزن الرئيسي اليوميه'!$F:$F,$H:$H,'حركه المخزن الرئيسي اليوميه'!$H:$H)</f>
        <v>0.0</v>
      </c>
      <c r="M348" s="22">
        <f>+SUMIF('حركه المخزن الرئيسي اليوميه'!$F:$F,$H:$H,'حركه المخزن الرئيسي اليوميه'!$I:$I)</f>
        <v>0.0</v>
      </c>
      <c r="N348" s="22">
        <f>+K348+L348-M348</f>
        <v>0.0</v>
      </c>
      <c r="O348" s="22">
        <f>+N348</f>
        <v>0.0</v>
      </c>
      <c r="P348" s="22">
        <f>+N348-O348</f>
        <v>0.0</v>
      </c>
      <c r="Q348" s="57"/>
      <c r="R348" s="58"/>
    </row>
    <row r="349" spans="8:8" ht="15.0" customHeight="1">
      <c r="B349" s="54">
        <v>355.0</v>
      </c>
      <c r="C349" s="8" t="s">
        <v>8351</v>
      </c>
      <c r="D349" s="8" t="s">
        <v>1013</v>
      </c>
      <c r="E349" s="8" t="s">
        <v>1351</v>
      </c>
      <c r="F349" s="8" t="s">
        <v>68</v>
      </c>
      <c r="G349" s="8" t="s">
        <v>2111</v>
      </c>
      <c r="H349" s="8" t="s">
        <v>1355</v>
      </c>
      <c r="I349" s="8" t="s">
        <v>326</v>
      </c>
      <c r="J349" s="78" t="s">
        <v>4264</v>
      </c>
      <c r="K349" s="22">
        <v>0.0</v>
      </c>
      <c r="L349" s="22">
        <f>+SUMIF('حركه المخزن الرئيسي اليوميه'!$F:$F,$H:$H,'حركه المخزن الرئيسي اليوميه'!$H:$H)</f>
        <v>0.0</v>
      </c>
      <c r="M349" s="22">
        <f>+SUMIF('حركه المخزن الرئيسي اليوميه'!$F:$F,$H:$H,'حركه المخزن الرئيسي اليوميه'!$I:$I)</f>
        <v>0.0</v>
      </c>
      <c r="N349" s="22">
        <f>+K349+L349-M349</f>
        <v>0.0</v>
      </c>
      <c r="O349" s="22">
        <f>+N349</f>
        <v>0.0</v>
      </c>
      <c r="P349" s="22">
        <f>+N349-O349</f>
        <v>0.0</v>
      </c>
      <c r="Q349" s="57"/>
      <c r="R349" s="58"/>
    </row>
    <row r="350" spans="8:8" ht="15.0" customHeight="1">
      <c r="B350" s="54">
        <v>357.0</v>
      </c>
      <c r="C350" s="8" t="s">
        <v>8351</v>
      </c>
      <c r="D350" s="8" t="s">
        <v>568</v>
      </c>
      <c r="E350" s="8" t="s">
        <v>2701</v>
      </c>
      <c r="F350" s="8" t="s">
        <v>68</v>
      </c>
      <c r="G350" s="8" t="s">
        <v>1824</v>
      </c>
      <c r="H350" s="8" t="s">
        <v>2701</v>
      </c>
      <c r="I350" s="8" t="s">
        <v>326</v>
      </c>
      <c r="J350" s="78" t="s">
        <v>4265</v>
      </c>
      <c r="K350" s="22">
        <v>53.0</v>
      </c>
      <c r="L350" s="22">
        <f>+SUMIF('حركه المخزن الرئيسي اليوميه'!$F:$F,$H:$H,'حركه المخزن الرئيسي اليوميه'!$H:$H)</f>
        <v>0.0</v>
      </c>
      <c r="M350" s="22">
        <f>+SUMIF('حركه المخزن الرئيسي اليوميه'!$F:$F,$H:$H,'حركه المخزن الرئيسي اليوميه'!$I:$I)</f>
        <v>3.0</v>
      </c>
      <c r="N350" s="22">
        <f>+K350+L350-M350</f>
        <v>50.0</v>
      </c>
      <c r="O350" s="22">
        <f>+N350</f>
        <v>50.0</v>
      </c>
      <c r="P350" s="22">
        <f>+N350-O350</f>
        <v>0.0</v>
      </c>
      <c r="Q350" s="57"/>
      <c r="R350" s="58"/>
    </row>
    <row r="351" spans="8:8" ht="15.0" customHeight="1">
      <c r="B351" s="54">
        <v>358.0</v>
      </c>
      <c r="C351" s="8" t="s">
        <v>8351</v>
      </c>
      <c r="D351" s="8" t="s">
        <v>1013</v>
      </c>
      <c r="E351" s="8" t="s">
        <v>1360</v>
      </c>
      <c r="F351" s="8" t="s">
        <v>68</v>
      </c>
      <c r="G351" s="8" t="s">
        <v>2113</v>
      </c>
      <c r="H351" s="8" t="s">
        <v>1361</v>
      </c>
      <c r="I351" s="8" t="s">
        <v>326</v>
      </c>
      <c r="J351" s="78" t="s">
        <v>4266</v>
      </c>
      <c r="K351" s="22">
        <v>0.0</v>
      </c>
      <c r="L351" s="22">
        <f>+SUMIF('حركه المخزن الرئيسي اليوميه'!$F:$F,$H:$H,'حركه المخزن الرئيسي اليوميه'!$H:$H)</f>
        <v>0.0</v>
      </c>
      <c r="M351" s="22">
        <f>+SUMIF('حركه المخزن الرئيسي اليوميه'!$F:$F,$H:$H,'حركه المخزن الرئيسي اليوميه'!$I:$I)</f>
        <v>0.0</v>
      </c>
      <c r="N351" s="22">
        <f>+K351+L351-M351</f>
        <v>0.0</v>
      </c>
      <c r="O351" s="22">
        <f>+N351</f>
        <v>0.0</v>
      </c>
      <c r="P351" s="22">
        <f>+N351-O351</f>
        <v>0.0</v>
      </c>
      <c r="Q351" s="57"/>
      <c r="R351" s="58"/>
    </row>
    <row r="352" spans="8:8" ht="15.0" customHeight="1">
      <c r="B352" s="54">
        <v>359.0</v>
      </c>
      <c r="C352" s="8" t="s">
        <v>8351</v>
      </c>
      <c r="D352" s="8" t="s">
        <v>1018</v>
      </c>
      <c r="E352" s="8" t="s">
        <v>8341</v>
      </c>
      <c r="F352" s="8" t="s">
        <v>3430</v>
      </c>
      <c r="G352" s="8"/>
      <c r="H352" s="8" t="s">
        <v>8341</v>
      </c>
      <c r="I352" s="8" t="s">
        <v>222</v>
      </c>
      <c r="J352" s="78" t="s">
        <v>4267</v>
      </c>
      <c r="K352" s="22">
        <v>0.0</v>
      </c>
      <c r="L352" s="22">
        <f>+SUMIF('حركه المخزن الرئيسي اليوميه'!$F:$F,$H:$H,'حركه المخزن الرئيسي اليوميه'!$H:$H)</f>
        <v>1.0</v>
      </c>
      <c r="M352" s="22">
        <f>+SUMIF('حركه المخزن الرئيسي اليوميه'!$F:$F,$H:$H,'حركه المخزن الرئيسي اليوميه'!$I:$I)</f>
        <v>0.0</v>
      </c>
      <c r="N352" s="22">
        <f>+K352+L352-M352</f>
        <v>1.0</v>
      </c>
      <c r="O352" s="22">
        <f>+N352</f>
        <v>1.0</v>
      </c>
      <c r="P352" s="22">
        <f>+N352-O352</f>
        <v>0.0</v>
      </c>
      <c r="Q352" s="57"/>
      <c r="R352" s="58"/>
    </row>
    <row r="353" spans="8:8" ht="15.0" customHeight="1">
      <c r="B353" s="54">
        <v>360.0</v>
      </c>
      <c r="C353" s="8" t="s">
        <v>8351</v>
      </c>
      <c r="D353" s="8" t="s">
        <v>820</v>
      </c>
      <c r="E353" s="8" t="s">
        <v>940</v>
      </c>
      <c r="F353" s="8" t="s">
        <v>68</v>
      </c>
      <c r="G353" s="8" t="s">
        <v>1963</v>
      </c>
      <c r="H353" s="8" t="s">
        <v>940</v>
      </c>
      <c r="I353" s="8" t="s">
        <v>3207</v>
      </c>
      <c r="J353" s="78" t="s">
        <v>4268</v>
      </c>
      <c r="K353" s="22">
        <v>3.0</v>
      </c>
      <c r="L353" s="22">
        <f>+SUMIF('حركه المخزن الرئيسي اليوميه'!$F:$F,$H:$H,'حركه المخزن الرئيسي اليوميه'!$H:$H)</f>
        <v>0.0</v>
      </c>
      <c r="M353" s="22">
        <f>+SUMIF('حركه المخزن الرئيسي اليوميه'!$F:$F,$H:$H,'حركه المخزن الرئيسي اليوميه'!$I:$I)</f>
        <v>0.0</v>
      </c>
      <c r="N353" s="22">
        <f>+K353+L353-M353</f>
        <v>3.0</v>
      </c>
      <c r="O353" s="22">
        <f>+N353</f>
        <v>3.0</v>
      </c>
      <c r="P353" s="22">
        <f>+N353-O353</f>
        <v>0.0</v>
      </c>
      <c r="Q353" s="57"/>
      <c r="R353" s="58"/>
    </row>
    <row r="354" spans="8:8" ht="15.0" customHeight="1">
      <c r="B354" s="54">
        <v>361.0</v>
      </c>
      <c r="C354" s="8" t="s">
        <v>8351</v>
      </c>
      <c r="D354" s="8" t="s">
        <v>1018</v>
      </c>
      <c r="E354" s="8" t="s">
        <v>2036</v>
      </c>
      <c r="F354" s="8" t="s">
        <v>68</v>
      </c>
      <c r="G354" s="8"/>
      <c r="H354" s="8" t="s">
        <v>2036</v>
      </c>
      <c r="I354" s="8" t="s">
        <v>222</v>
      </c>
      <c r="J354" s="78" t="s">
        <v>4269</v>
      </c>
      <c r="K354" s="22">
        <v>18.0</v>
      </c>
      <c r="L354" s="22">
        <f>+SUMIF('حركه المخزن الرئيسي اليوميه'!$F:$F,$H:$H,'حركه المخزن الرئيسي اليوميه'!$H:$H)</f>
        <v>0.0</v>
      </c>
      <c r="M354" s="22">
        <f>+SUMIF('حركه المخزن الرئيسي اليوميه'!$F:$F,$H:$H,'حركه المخزن الرئيسي اليوميه'!$I:$I)</f>
        <v>0.0</v>
      </c>
      <c r="N354" s="22">
        <f>+K354+L354-M354</f>
        <v>18.0</v>
      </c>
      <c r="O354" s="22">
        <f>+N354</f>
        <v>18.0</v>
      </c>
      <c r="P354" s="22">
        <f>+N354-O354</f>
        <v>0.0</v>
      </c>
      <c r="Q354" s="57"/>
      <c r="R354" s="58"/>
    </row>
    <row r="355" spans="8:8" ht="15.0" customHeight="1">
      <c r="B355" s="54">
        <v>362.0</v>
      </c>
      <c r="C355" s="8" t="s">
        <v>8351</v>
      </c>
      <c r="D355" s="8" t="s">
        <v>1018</v>
      </c>
      <c r="E355" s="8" t="s">
        <v>869</v>
      </c>
      <c r="F355" s="8" t="s">
        <v>68</v>
      </c>
      <c r="G355" s="8" t="s">
        <v>2401</v>
      </c>
      <c r="H355" s="8" t="s">
        <v>870</v>
      </c>
      <c r="I355" s="8" t="s">
        <v>222</v>
      </c>
      <c r="J355" s="78" t="s">
        <v>4270</v>
      </c>
      <c r="K355" s="22">
        <v>0.0</v>
      </c>
      <c r="L355" s="22">
        <f>+SUMIF('حركه المخزن الرئيسي اليوميه'!$F:$F,$H:$H,'حركه المخزن الرئيسي اليوميه'!$H:$H)</f>
        <v>0.0</v>
      </c>
      <c r="M355" s="22">
        <f>+SUMIF('حركه المخزن الرئيسي اليوميه'!$F:$F,$H:$H,'حركه المخزن الرئيسي اليوميه'!$I:$I)</f>
        <v>0.0</v>
      </c>
      <c r="N355" s="22">
        <f>+K355+L355-M355</f>
        <v>0.0</v>
      </c>
      <c r="O355" s="22">
        <f>+N355</f>
        <v>0.0</v>
      </c>
      <c r="P355" s="22">
        <f>+N355-O355</f>
        <v>0.0</v>
      </c>
      <c r="Q355" s="57"/>
      <c r="R355" s="58"/>
    </row>
    <row r="356" spans="8:8" ht="15.0" customHeight="1">
      <c r="B356" s="54">
        <v>363.0</v>
      </c>
      <c r="C356" s="8" t="s">
        <v>8351</v>
      </c>
      <c r="D356" s="8" t="s">
        <v>1018</v>
      </c>
      <c r="E356" s="8" t="s">
        <v>897</v>
      </c>
      <c r="F356" s="8" t="s">
        <v>68</v>
      </c>
      <c r="G356" s="8" t="s">
        <v>2410</v>
      </c>
      <c r="H356" s="8" t="s">
        <v>3408</v>
      </c>
      <c r="I356" s="8" t="s">
        <v>222</v>
      </c>
      <c r="J356" s="78" t="s">
        <v>4271</v>
      </c>
      <c r="K356" s="22">
        <v>48.0</v>
      </c>
      <c r="L356" s="22">
        <f>+SUMIF('حركه المخزن الرئيسي اليوميه'!$F:$F,$H:$H,'حركه المخزن الرئيسي اليوميه'!$H:$H)</f>
        <v>0.0</v>
      </c>
      <c r="M356" s="22">
        <f>+SUMIF('حركه المخزن الرئيسي اليوميه'!$F:$F,$H:$H,'حركه المخزن الرئيسي اليوميه'!$I:$I)</f>
        <v>0.0</v>
      </c>
      <c r="N356" s="22">
        <f>+K356+L356-M356</f>
        <v>48.0</v>
      </c>
      <c r="O356" s="22">
        <f>+N356</f>
        <v>48.0</v>
      </c>
      <c r="P356" s="22">
        <f>+N356-O356</f>
        <v>0.0</v>
      </c>
      <c r="Q356" s="57"/>
      <c r="R356" s="58"/>
    </row>
    <row r="357" spans="8:8" ht="15.0" customHeight="1">
      <c r="B357" s="54">
        <v>364.0</v>
      </c>
      <c r="C357" s="8" t="s">
        <v>8351</v>
      </c>
      <c r="D357" s="8" t="s">
        <v>1018</v>
      </c>
      <c r="E357" s="8" t="s">
        <v>884</v>
      </c>
      <c r="F357" s="8" t="s">
        <v>68</v>
      </c>
      <c r="G357" s="8" t="s">
        <v>2405</v>
      </c>
      <c r="H357" s="8" t="s">
        <v>884</v>
      </c>
      <c r="I357" s="8" t="s">
        <v>222</v>
      </c>
      <c r="J357" s="78" t="s">
        <v>4272</v>
      </c>
      <c r="K357" s="22">
        <v>0.0</v>
      </c>
      <c r="L357" s="22">
        <f>+SUMIF('حركه المخزن الرئيسي اليوميه'!$F:$F,$H:$H,'حركه المخزن الرئيسي اليوميه'!$H:$H)</f>
        <v>0.0</v>
      </c>
      <c r="M357" s="22">
        <f>+SUMIF('حركه المخزن الرئيسي اليوميه'!$F:$F,$H:$H,'حركه المخزن الرئيسي اليوميه'!$I:$I)</f>
        <v>0.0</v>
      </c>
      <c r="N357" s="22">
        <f>+K357+L357-M357</f>
        <v>0.0</v>
      </c>
      <c r="O357" s="22">
        <f>+N357</f>
        <v>0.0</v>
      </c>
      <c r="P357" s="22">
        <f>+N357-O357</f>
        <v>0.0</v>
      </c>
      <c r="Q357" s="57"/>
      <c r="R357" s="58"/>
    </row>
    <row r="358" spans="8:8" ht="15.0" customHeight="1">
      <c r="B358" s="54">
        <v>365.0</v>
      </c>
      <c r="C358" s="8" t="s">
        <v>8351</v>
      </c>
      <c r="D358" s="8" t="s">
        <v>1018</v>
      </c>
      <c r="E358" s="8" t="s">
        <v>887</v>
      </c>
      <c r="F358" s="8" t="s">
        <v>876</v>
      </c>
      <c r="G358" s="8" t="s">
        <v>2176</v>
      </c>
      <c r="H358" s="8" t="s">
        <v>887</v>
      </c>
      <c r="I358" s="8" t="s">
        <v>222</v>
      </c>
      <c r="J358" s="78" t="s">
        <v>4273</v>
      </c>
      <c r="K358" s="22">
        <v>1.0</v>
      </c>
      <c r="L358" s="22">
        <f>+SUMIF('حركه المخزن الرئيسي اليوميه'!$F:$F,$H:$H,'حركه المخزن الرئيسي اليوميه'!$H:$H)</f>
        <v>0.0</v>
      </c>
      <c r="M358" s="22">
        <f>+SUMIF('حركه المخزن الرئيسي اليوميه'!$F:$F,$H:$H,'حركه المخزن الرئيسي اليوميه'!$I:$I)</f>
        <v>0.0</v>
      </c>
      <c r="N358" s="22">
        <f>+K358+L358-M358</f>
        <v>1.0</v>
      </c>
      <c r="O358" s="22">
        <f>+N358</f>
        <v>1.0</v>
      </c>
      <c r="P358" s="22">
        <f>+N358-O358</f>
        <v>0.0</v>
      </c>
      <c r="Q358" s="57"/>
      <c r="R358" s="58"/>
    </row>
    <row r="359" spans="8:8" ht="15.0" customHeight="1">
      <c r="B359" s="54">
        <v>366.0</v>
      </c>
      <c r="C359" s="8" t="s">
        <v>8351</v>
      </c>
      <c r="D359" s="8" t="s">
        <v>1018</v>
      </c>
      <c r="E359" s="8" t="s">
        <v>883</v>
      </c>
      <c r="F359" s="8" t="s">
        <v>876</v>
      </c>
      <c r="G359" s="8" t="s">
        <v>2173</v>
      </c>
      <c r="H359" s="8" t="s">
        <v>875</v>
      </c>
      <c r="I359" s="8" t="s">
        <v>222</v>
      </c>
      <c r="J359" s="78" t="s">
        <v>4274</v>
      </c>
      <c r="K359" s="22">
        <v>20.0</v>
      </c>
      <c r="L359" s="22">
        <f>+SUMIF('حركه المخزن الرئيسي اليوميه'!$F:$F,$H:$H,'حركه المخزن الرئيسي اليوميه'!$H:$H)</f>
        <v>0.0</v>
      </c>
      <c r="M359" s="22">
        <f>+SUMIF('حركه المخزن الرئيسي اليوميه'!$F:$F,$H:$H,'حركه المخزن الرئيسي اليوميه'!$I:$I)</f>
        <v>0.0</v>
      </c>
      <c r="N359" s="22">
        <f>+K359+L359-M359</f>
        <v>20.0</v>
      </c>
      <c r="O359" s="22">
        <f>+N359</f>
        <v>20.0</v>
      </c>
      <c r="P359" s="22">
        <f>+N359-O359</f>
        <v>0.0</v>
      </c>
      <c r="Q359" s="57"/>
      <c r="R359" s="58"/>
    </row>
    <row r="360" spans="8:8" ht="15.0" customHeight="1">
      <c r="B360" s="54">
        <v>367.0</v>
      </c>
      <c r="C360" s="8" t="s">
        <v>8351</v>
      </c>
      <c r="D360" s="8" t="s">
        <v>1018</v>
      </c>
      <c r="E360" s="8" t="s">
        <v>885</v>
      </c>
      <c r="F360" s="8" t="s">
        <v>876</v>
      </c>
      <c r="G360" s="8" t="s">
        <v>2175</v>
      </c>
      <c r="H360" s="8" t="s">
        <v>885</v>
      </c>
      <c r="I360" s="8" t="s">
        <v>222</v>
      </c>
      <c r="J360" s="78" t="s">
        <v>4275</v>
      </c>
      <c r="K360" s="22">
        <v>280.0</v>
      </c>
      <c r="L360" s="22">
        <f>+SUMIF('حركه المخزن الرئيسي اليوميه'!$F:$F,$H:$H,'حركه المخزن الرئيسي اليوميه'!$H:$H)</f>
        <v>0.0</v>
      </c>
      <c r="M360" s="22">
        <f>+SUMIF('حركه المخزن الرئيسي اليوميه'!$F:$F,$H:$H,'حركه المخزن الرئيسي اليوميه'!$I:$I)</f>
        <v>40.0</v>
      </c>
      <c r="N360" s="22">
        <f>+K360+L360-M360</f>
        <v>240.0</v>
      </c>
      <c r="O360" s="22">
        <f>+N360</f>
        <v>240.0</v>
      </c>
      <c r="P360" s="22">
        <f>+N360-O360</f>
        <v>0.0</v>
      </c>
      <c r="Q360" s="57"/>
      <c r="R360" s="58"/>
    </row>
    <row r="361" spans="8:8" ht="15.0" customHeight="1">
      <c r="B361" s="54">
        <v>368.0</v>
      </c>
      <c r="C361" s="8" t="s">
        <v>8351</v>
      </c>
      <c r="D361" s="8" t="s">
        <v>1018</v>
      </c>
      <c r="E361" s="8" t="s">
        <v>871</v>
      </c>
      <c r="F361" s="8" t="s">
        <v>68</v>
      </c>
      <c r="G361" s="8" t="s">
        <v>2400</v>
      </c>
      <c r="H361" s="8" t="s">
        <v>872</v>
      </c>
      <c r="I361" s="8" t="s">
        <v>222</v>
      </c>
      <c r="J361" s="78" t="s">
        <v>4276</v>
      </c>
      <c r="K361" s="22">
        <v>0.0</v>
      </c>
      <c r="L361" s="22">
        <f>+SUMIF('حركه المخزن الرئيسي اليوميه'!$F:$F,$H:$H,'حركه المخزن الرئيسي اليوميه'!$H:$H)</f>
        <v>0.0</v>
      </c>
      <c r="M361" s="22">
        <f>+SUMIF('حركه المخزن الرئيسي اليوميه'!$F:$F,$H:$H,'حركه المخزن الرئيسي اليوميه'!$I:$I)</f>
        <v>0.0</v>
      </c>
      <c r="N361" s="22">
        <f>+K361+L361-M361</f>
        <v>0.0</v>
      </c>
      <c r="O361" s="22">
        <f>+N361</f>
        <v>0.0</v>
      </c>
      <c r="P361" s="22">
        <f>+N361-O361</f>
        <v>0.0</v>
      </c>
      <c r="Q361" s="57"/>
      <c r="R361" s="58"/>
    </row>
    <row r="362" spans="8:8" ht="15.0" customHeight="1">
      <c r="B362" s="54">
        <v>369.0</v>
      </c>
      <c r="C362" s="8" t="s">
        <v>8351</v>
      </c>
      <c r="D362" s="8" t="s">
        <v>1018</v>
      </c>
      <c r="E362" s="8" t="s">
        <v>3835</v>
      </c>
      <c r="F362" s="8" t="s">
        <v>1183</v>
      </c>
      <c r="G362" s="8" t="s">
        <v>2407</v>
      </c>
      <c r="H362" s="8" t="s">
        <v>3835</v>
      </c>
      <c r="I362" s="8" t="s">
        <v>222</v>
      </c>
      <c r="J362" s="78" t="s">
        <v>4277</v>
      </c>
      <c r="K362" s="22">
        <v>0.0</v>
      </c>
      <c r="L362" s="22">
        <f>+SUMIF('حركه المخزن الرئيسي اليوميه'!$F:$F,$H:$H,'حركه المخزن الرئيسي اليوميه'!$H:$H)</f>
        <v>0.0</v>
      </c>
      <c r="M362" s="22">
        <f>+SUMIF('حركه المخزن الرئيسي اليوميه'!$F:$F,$H:$H,'حركه المخزن الرئيسي اليوميه'!$I:$I)</f>
        <v>0.0</v>
      </c>
      <c r="N362" s="22">
        <f>+K362+L362-M362</f>
        <v>0.0</v>
      </c>
      <c r="O362" s="22">
        <f>+N362</f>
        <v>0.0</v>
      </c>
      <c r="P362" s="22">
        <f>+N362-O362</f>
        <v>0.0</v>
      </c>
      <c r="Q362" s="57"/>
      <c r="R362" s="58"/>
    </row>
    <row r="363" spans="8:8" ht="15.0" customHeight="1">
      <c r="B363" s="54">
        <v>370.0</v>
      </c>
      <c r="C363" s="8" t="s">
        <v>8351</v>
      </c>
      <c r="D363" s="8" t="s">
        <v>828</v>
      </c>
      <c r="E363" s="8" t="s">
        <v>223</v>
      </c>
      <c r="F363" s="8" t="s">
        <v>68</v>
      </c>
      <c r="G363" s="8" t="s">
        <v>2098</v>
      </c>
      <c r="H363" s="8" t="s">
        <v>223</v>
      </c>
      <c r="I363" s="8" t="s">
        <v>222</v>
      </c>
      <c r="J363" s="78" t="s">
        <v>4278</v>
      </c>
      <c r="K363" s="22">
        <v>1.0</v>
      </c>
      <c r="L363" s="22">
        <f>+SUMIF('حركه المخزن الرئيسي اليوميه'!$F:$F,$H:$H,'حركه المخزن الرئيسي اليوميه'!$H:$H)</f>
        <v>0.0</v>
      </c>
      <c r="M363" s="22">
        <f>+SUMIF('حركه المخزن الرئيسي اليوميه'!$F:$F,$H:$H,'حركه المخزن الرئيسي اليوميه'!$I:$I)</f>
        <v>0.0</v>
      </c>
      <c r="N363" s="22">
        <f>+K363+L363-M363</f>
        <v>1.0</v>
      </c>
      <c r="O363" s="22">
        <f>+N363</f>
        <v>1.0</v>
      </c>
      <c r="P363" s="22">
        <f>+N363-O363</f>
        <v>0.0</v>
      </c>
      <c r="Q363" s="57"/>
      <c r="R363" s="58"/>
    </row>
    <row r="364" spans="8:8" ht="15.0" customHeight="1">
      <c r="B364" s="54">
        <v>371.0</v>
      </c>
      <c r="C364" s="8" t="s">
        <v>8351</v>
      </c>
      <c r="D364" s="8" t="s">
        <v>1018</v>
      </c>
      <c r="E364" s="8" t="s">
        <v>879</v>
      </c>
      <c r="F364" s="8" t="s">
        <v>876</v>
      </c>
      <c r="G364" s="8" t="s">
        <v>2404</v>
      </c>
      <c r="H364" s="8" t="s">
        <v>879</v>
      </c>
      <c r="I364" s="8" t="s">
        <v>222</v>
      </c>
      <c r="J364" s="78" t="s">
        <v>4279</v>
      </c>
      <c r="K364" s="22">
        <v>6.0</v>
      </c>
      <c r="L364" s="22">
        <f>+SUMIF('حركه المخزن الرئيسي اليوميه'!$F:$F,$H:$H,'حركه المخزن الرئيسي اليوميه'!$H:$H)</f>
        <v>0.0</v>
      </c>
      <c r="M364" s="22">
        <f>+SUMIF('حركه المخزن الرئيسي اليوميه'!$F:$F,$H:$H,'حركه المخزن الرئيسي اليوميه'!$I:$I)</f>
        <v>0.0</v>
      </c>
      <c r="N364" s="22">
        <f>+K364+L364-M364</f>
        <v>6.0</v>
      </c>
      <c r="O364" s="22">
        <f>+N364</f>
        <v>6.0</v>
      </c>
      <c r="P364" s="22">
        <f>+N364-O364</f>
        <v>0.0</v>
      </c>
      <c r="Q364" s="57"/>
      <c r="R364" s="58"/>
    </row>
    <row r="365" spans="8:8" ht="15.0" customHeight="1">
      <c r="B365" s="54">
        <v>372.0</v>
      </c>
      <c r="C365" s="8" t="s">
        <v>8351</v>
      </c>
      <c r="D365" s="8" t="s">
        <v>1018</v>
      </c>
      <c r="E365" s="8" t="s">
        <v>878</v>
      </c>
      <c r="F365" s="8" t="s">
        <v>876</v>
      </c>
      <c r="G365" s="8" t="s">
        <v>2403</v>
      </c>
      <c r="H365" s="8" t="s">
        <v>878</v>
      </c>
      <c r="I365" s="8" t="s">
        <v>222</v>
      </c>
      <c r="J365" s="78" t="s">
        <v>4280</v>
      </c>
      <c r="K365" s="22">
        <v>10.0</v>
      </c>
      <c r="L365" s="22">
        <f>+SUMIF('حركه المخزن الرئيسي اليوميه'!$F:$F,$H:$H,'حركه المخزن الرئيسي اليوميه'!$H:$H)</f>
        <v>0.0</v>
      </c>
      <c r="M365" s="22">
        <f>+SUMIF('حركه المخزن الرئيسي اليوميه'!$F:$F,$H:$H,'حركه المخزن الرئيسي اليوميه'!$I:$I)</f>
        <v>0.0</v>
      </c>
      <c r="N365" s="22">
        <f>+K365+L365-M365</f>
        <v>10.0</v>
      </c>
      <c r="O365" s="22">
        <f>+N365</f>
        <v>10.0</v>
      </c>
      <c r="P365" s="22">
        <f>+N365-O365</f>
        <v>0.0</v>
      </c>
      <c r="Q365" s="57"/>
      <c r="R365" s="58"/>
    </row>
    <row r="366" spans="8:8" ht="15.0" customHeight="1">
      <c r="B366" s="54">
        <v>373.0</v>
      </c>
      <c r="C366" s="8" t="s">
        <v>8351</v>
      </c>
      <c r="D366" s="8" t="s">
        <v>1018</v>
      </c>
      <c r="E366" s="8" t="s">
        <v>881</v>
      </c>
      <c r="F366" s="8" t="s">
        <v>92</v>
      </c>
      <c r="G366" s="8" t="s">
        <v>2174</v>
      </c>
      <c r="H366" s="8" t="s">
        <v>881</v>
      </c>
      <c r="I366" s="8" t="s">
        <v>222</v>
      </c>
      <c r="J366" s="78" t="s">
        <v>4281</v>
      </c>
      <c r="K366" s="22">
        <v>0.0</v>
      </c>
      <c r="L366" s="22">
        <f>+SUMIF('حركه المخزن الرئيسي اليوميه'!$F:$F,$H:$H,'حركه المخزن الرئيسي اليوميه'!$H:$H)</f>
        <v>0.0</v>
      </c>
      <c r="M366" s="22">
        <f>+SUMIF('حركه المخزن الرئيسي اليوميه'!$F:$F,$H:$H,'حركه المخزن الرئيسي اليوميه'!$I:$I)</f>
        <v>0.0</v>
      </c>
      <c r="N366" s="22">
        <f>+K366+L366-M366</f>
        <v>0.0</v>
      </c>
      <c r="O366" s="22">
        <f>+N366</f>
        <v>0.0</v>
      </c>
      <c r="P366" s="22">
        <f>+N366-O366</f>
        <v>0.0</v>
      </c>
      <c r="Q366" s="57"/>
      <c r="R366" s="58"/>
    </row>
    <row r="367" spans="8:8" ht="15.0" customHeight="1">
      <c r="B367" s="54">
        <v>374.0</v>
      </c>
      <c r="C367" s="8" t="s">
        <v>8351</v>
      </c>
      <c r="D367" s="8" t="s">
        <v>1018</v>
      </c>
      <c r="E367" s="8" t="s">
        <v>882</v>
      </c>
      <c r="F367" s="8" t="s">
        <v>68</v>
      </c>
      <c r="G367" s="8" t="s">
        <v>2172</v>
      </c>
      <c r="H367" s="8" t="s">
        <v>880</v>
      </c>
      <c r="I367" s="8" t="s">
        <v>222</v>
      </c>
      <c r="J367" s="78" t="s">
        <v>4282</v>
      </c>
      <c r="K367" s="22">
        <v>0.0</v>
      </c>
      <c r="L367" s="22">
        <f>+SUMIF('حركه المخزن الرئيسي اليوميه'!$F:$F,$H:$H,'حركه المخزن الرئيسي اليوميه'!$H:$H)</f>
        <v>0.0</v>
      </c>
      <c r="M367" s="22">
        <f>+SUMIF('حركه المخزن الرئيسي اليوميه'!$F:$F,$H:$H,'حركه المخزن الرئيسي اليوميه'!$I:$I)</f>
        <v>0.0</v>
      </c>
      <c r="N367" s="22">
        <f>+K367+L367-M367</f>
        <v>0.0</v>
      </c>
      <c r="O367" s="22">
        <f>+N367</f>
        <v>0.0</v>
      </c>
      <c r="P367" s="22">
        <f>+N367-O367</f>
        <v>0.0</v>
      </c>
      <c r="Q367" s="57"/>
      <c r="R367" s="58"/>
    </row>
    <row r="368" spans="8:8" ht="15.0" customHeight="1">
      <c r="B368" s="54">
        <v>375.0</v>
      </c>
      <c r="C368" s="8" t="s">
        <v>8351</v>
      </c>
      <c r="D368" s="8" t="s">
        <v>1018</v>
      </c>
      <c r="E368" s="8" t="s">
        <v>3068</v>
      </c>
      <c r="F368" s="8" t="s">
        <v>68</v>
      </c>
      <c r="G368" s="8" t="s">
        <v>2262</v>
      </c>
      <c r="H368" s="8" t="s">
        <v>3068</v>
      </c>
      <c r="I368" s="8" t="s">
        <v>226</v>
      </c>
      <c r="J368" s="78" t="s">
        <v>4283</v>
      </c>
      <c r="K368" s="22">
        <v>0.0</v>
      </c>
      <c r="L368" s="22">
        <f>+SUMIF('حركه المخزن الرئيسي اليوميه'!$F:$F,$H:$H,'حركه المخزن الرئيسي اليوميه'!$H:$H)</f>
        <v>0.0</v>
      </c>
      <c r="M368" s="22">
        <f>+SUMIF('حركه المخزن الرئيسي اليوميه'!$F:$F,$H:$H,'حركه المخزن الرئيسي اليوميه'!$I:$I)</f>
        <v>0.0</v>
      </c>
      <c r="N368" s="22">
        <f>+K368+L368-M368</f>
        <v>0.0</v>
      </c>
      <c r="O368" s="22">
        <f>+N368</f>
        <v>0.0</v>
      </c>
      <c r="P368" s="22">
        <f>+N368-O368</f>
        <v>0.0</v>
      </c>
      <c r="Q368" s="57"/>
      <c r="R368" s="58"/>
    </row>
    <row r="369" spans="8:8" ht="15.0" customHeight="1">
      <c r="B369" s="54">
        <v>376.0</v>
      </c>
      <c r="C369" s="8" t="s">
        <v>8351</v>
      </c>
      <c r="D369" s="8" t="s">
        <v>1013</v>
      </c>
      <c r="E369" s="8" t="s">
        <v>2946</v>
      </c>
      <c r="F369" s="8" t="s">
        <v>68</v>
      </c>
      <c r="G369" s="8" t="s">
        <v>2099</v>
      </c>
      <c r="H369" s="8" t="s">
        <v>2946</v>
      </c>
      <c r="I369" s="8" t="s">
        <v>65</v>
      </c>
      <c r="J369" s="78" t="s">
        <v>4284</v>
      </c>
      <c r="K369" s="22">
        <v>2.0</v>
      </c>
      <c r="L369" s="22">
        <f>+SUMIF('حركه المخزن الرئيسي اليوميه'!$F:$F,$H:$H,'حركه المخزن الرئيسي اليوميه'!$H:$H)</f>
        <v>0.0</v>
      </c>
      <c r="M369" s="22">
        <f>+SUMIF('حركه المخزن الرئيسي اليوميه'!$F:$F,$H:$H,'حركه المخزن الرئيسي اليوميه'!$I:$I)</f>
        <v>0.0</v>
      </c>
      <c r="N369" s="22">
        <f>+K369+L369-M369</f>
        <v>2.0</v>
      </c>
      <c r="O369" s="22">
        <f>+N369</f>
        <v>2.0</v>
      </c>
      <c r="P369" s="22">
        <f>+N369-O369</f>
        <v>0.0</v>
      </c>
      <c r="Q369" s="57"/>
      <c r="R369" s="58"/>
    </row>
    <row r="370" spans="8:8" ht="15.0" customHeight="1">
      <c r="B370" s="54">
        <v>377.0</v>
      </c>
      <c r="C370" s="8" t="s">
        <v>8351</v>
      </c>
      <c r="D370" s="8" t="s">
        <v>1018</v>
      </c>
      <c r="E370" s="8" t="s">
        <v>2832</v>
      </c>
      <c r="F370" s="8" t="s">
        <v>876</v>
      </c>
      <c r="G370" s="8"/>
      <c r="H370" s="8" t="s">
        <v>2832</v>
      </c>
      <c r="I370" s="8" t="s">
        <v>222</v>
      </c>
      <c r="J370" s="78" t="s">
        <v>4285</v>
      </c>
      <c r="K370" s="22">
        <v>0.0</v>
      </c>
      <c r="L370" s="22">
        <f>+SUMIF('حركه المخزن الرئيسي اليوميه'!$F:$F,$H:$H,'حركه المخزن الرئيسي اليوميه'!$H:$H)</f>
        <v>0.0</v>
      </c>
      <c r="M370" s="22">
        <f>+SUMIF('حركه المخزن الرئيسي اليوميه'!$F:$F,$H:$H,'حركه المخزن الرئيسي اليوميه'!$I:$I)</f>
        <v>0.0</v>
      </c>
      <c r="N370" s="22">
        <f>+K370+L370-M370</f>
        <v>0.0</v>
      </c>
      <c r="O370" s="22">
        <f>+N370</f>
        <v>0.0</v>
      </c>
      <c r="P370" s="22">
        <f>+N370-O370</f>
        <v>0.0</v>
      </c>
      <c r="Q370" s="57"/>
      <c r="R370" s="58"/>
    </row>
    <row r="371" spans="8:8" ht="15.0" customHeight="1">
      <c r="B371" s="54">
        <v>378.0</v>
      </c>
      <c r="C371" s="8" t="s">
        <v>8351</v>
      </c>
      <c r="D371" s="8" t="s">
        <v>820</v>
      </c>
      <c r="E371" s="8" t="s">
        <v>826</v>
      </c>
      <c r="F371" s="8" t="s">
        <v>68</v>
      </c>
      <c r="G371" s="8"/>
      <c r="H371" s="8" t="s">
        <v>826</v>
      </c>
      <c r="I371" s="8" t="s">
        <v>224</v>
      </c>
      <c r="J371" s="78" t="s">
        <v>4286</v>
      </c>
      <c r="K371" s="22">
        <v>0.0</v>
      </c>
      <c r="L371" s="22">
        <f>+SUMIF('حركه المخزن الرئيسي اليوميه'!$F:$F,$H:$H,'حركه المخزن الرئيسي اليوميه'!$H:$H)</f>
        <v>0.0</v>
      </c>
      <c r="M371" s="22">
        <f>+SUMIF('حركه المخزن الرئيسي اليوميه'!$F:$F,$H:$H,'حركه المخزن الرئيسي اليوميه'!$I:$I)</f>
        <v>0.0</v>
      </c>
      <c r="N371" s="22">
        <f>+K371+L371-M371</f>
        <v>0.0</v>
      </c>
      <c r="O371" s="22">
        <f>+N371</f>
        <v>0.0</v>
      </c>
      <c r="P371" s="22">
        <f>+N371-O371</f>
        <v>0.0</v>
      </c>
      <c r="Q371" s="57"/>
      <c r="R371" s="58"/>
    </row>
    <row r="372" spans="8:8" ht="15.0" customHeight="1">
      <c r="B372" s="54">
        <v>379.0</v>
      </c>
      <c r="C372" s="8" t="s">
        <v>8351</v>
      </c>
      <c r="D372" s="8" t="s">
        <v>1018</v>
      </c>
      <c r="E372" s="8" t="s">
        <v>877</v>
      </c>
      <c r="F372" s="8" t="s">
        <v>68</v>
      </c>
      <c r="G372" s="8" t="s">
        <v>2402</v>
      </c>
      <c r="H372" s="8" t="s">
        <v>877</v>
      </c>
      <c r="I372" s="8" t="s">
        <v>224</v>
      </c>
      <c r="J372" s="78" t="s">
        <v>4287</v>
      </c>
      <c r="K372" s="22">
        <v>0.0</v>
      </c>
      <c r="L372" s="22">
        <f>+SUMIF('حركه المخزن الرئيسي اليوميه'!$F:$F,$H:$H,'حركه المخزن الرئيسي اليوميه'!$H:$H)</f>
        <v>0.0</v>
      </c>
      <c r="M372" s="22">
        <f>+SUMIF('حركه المخزن الرئيسي اليوميه'!$F:$F,$H:$H,'حركه المخزن الرئيسي اليوميه'!$I:$I)</f>
        <v>0.0</v>
      </c>
      <c r="N372" s="22">
        <f>+K372+L372-M372</f>
        <v>0.0</v>
      </c>
      <c r="O372" s="22">
        <f>+N372</f>
        <v>0.0</v>
      </c>
      <c r="P372" s="22">
        <f>+N372-O372</f>
        <v>0.0</v>
      </c>
      <c r="Q372" s="57"/>
      <c r="R372" s="58"/>
    </row>
    <row r="373" spans="8:8" ht="15.0" customHeight="1">
      <c r="B373" s="54">
        <v>380.0</v>
      </c>
      <c r="C373" s="8" t="s">
        <v>8351</v>
      </c>
      <c r="D373" s="8" t="s">
        <v>1018</v>
      </c>
      <c r="E373" s="8" t="s">
        <v>886</v>
      </c>
      <c r="F373" s="8" t="s">
        <v>876</v>
      </c>
      <c r="G373" s="8" t="s">
        <v>2406</v>
      </c>
      <c r="H373" s="8" t="s">
        <v>886</v>
      </c>
      <c r="I373" s="8" t="s">
        <v>224</v>
      </c>
      <c r="J373" s="78" t="s">
        <v>4288</v>
      </c>
      <c r="K373" s="22">
        <v>30.0</v>
      </c>
      <c r="L373" s="22">
        <f>+SUMIF('حركه المخزن الرئيسي اليوميه'!$F:$F,$H:$H,'حركه المخزن الرئيسي اليوميه'!$H:$H)</f>
        <v>0.0</v>
      </c>
      <c r="M373" s="22">
        <f>+SUMIF('حركه المخزن الرئيسي اليوميه'!$F:$F,$H:$H,'حركه المخزن الرئيسي اليوميه'!$I:$I)</f>
        <v>10.0</v>
      </c>
      <c r="N373" s="22">
        <f>+K373+L373-M373</f>
        <v>20.0</v>
      </c>
      <c r="O373" s="22">
        <f>+N373</f>
        <v>20.0</v>
      </c>
      <c r="P373" s="22">
        <f>+N373-O373</f>
        <v>0.0</v>
      </c>
      <c r="Q373" s="57"/>
      <c r="R373" s="58"/>
    </row>
    <row r="374" spans="8:8" ht="15.0" customHeight="1">
      <c r="B374" s="54">
        <v>381.0</v>
      </c>
      <c r="C374" s="8" t="s">
        <v>8351</v>
      </c>
      <c r="D374" s="8" t="s">
        <v>1018</v>
      </c>
      <c r="E374" s="8" t="s">
        <v>1408</v>
      </c>
      <c r="F374" s="8" t="s">
        <v>68</v>
      </c>
      <c r="G374" s="8" t="s">
        <v>2263</v>
      </c>
      <c r="H374" s="8" t="s">
        <v>1408</v>
      </c>
      <c r="I374" s="8" t="s">
        <v>224</v>
      </c>
      <c r="J374" s="78" t="s">
        <v>4289</v>
      </c>
      <c r="K374" s="22">
        <v>5.0</v>
      </c>
      <c r="L374" s="22">
        <f>+SUMIF('حركه المخزن الرئيسي اليوميه'!$F:$F,$H:$H,'حركه المخزن الرئيسي اليوميه'!$H:$H)</f>
        <v>0.0</v>
      </c>
      <c r="M374" s="22">
        <f>+SUMIF('حركه المخزن الرئيسي اليوميه'!$F:$F,$H:$H,'حركه المخزن الرئيسي اليوميه'!$I:$I)</f>
        <v>0.0</v>
      </c>
      <c r="N374" s="22">
        <f>+K374+L374-M374</f>
        <v>5.0</v>
      </c>
      <c r="O374" s="22">
        <f>+N374</f>
        <v>5.0</v>
      </c>
      <c r="P374" s="22">
        <f>+N374-O374</f>
        <v>0.0</v>
      </c>
      <c r="Q374" s="57"/>
      <c r="R374" s="58"/>
    </row>
    <row r="375" spans="8:8" ht="15.0" customHeight="1">
      <c r="B375" s="54">
        <v>382.0</v>
      </c>
      <c r="C375" s="8" t="s">
        <v>8351</v>
      </c>
      <c r="D375" s="8" t="s">
        <v>1013</v>
      </c>
      <c r="E375" s="8" t="s">
        <v>1373</v>
      </c>
      <c r="F375" s="8" t="s">
        <v>68</v>
      </c>
      <c r="G375" s="8" t="s">
        <v>2190</v>
      </c>
      <c r="H375" s="8" t="s">
        <v>1373</v>
      </c>
      <c r="I375" s="8" t="s">
        <v>224</v>
      </c>
      <c r="J375" s="78" t="s">
        <v>4290</v>
      </c>
      <c r="K375" s="22">
        <v>0.0</v>
      </c>
      <c r="L375" s="22">
        <f>+SUMIF('حركه المخزن الرئيسي اليوميه'!$F:$F,$H:$H,'حركه المخزن الرئيسي اليوميه'!$H:$H)</f>
        <v>0.0</v>
      </c>
      <c r="M375" s="22">
        <f>+SUMIF('حركه المخزن الرئيسي اليوميه'!$F:$F,$H:$H,'حركه المخزن الرئيسي اليوميه'!$I:$I)</f>
        <v>0.0</v>
      </c>
      <c r="N375" s="22">
        <f>+K375+L375-M375</f>
        <v>0.0</v>
      </c>
      <c r="O375" s="22">
        <f>+N375</f>
        <v>0.0</v>
      </c>
      <c r="P375" s="22">
        <f>+N375-O375</f>
        <v>0.0</v>
      </c>
      <c r="Q375" s="57"/>
      <c r="R375" s="58"/>
    </row>
    <row r="376" spans="8:8" ht="15.0" customHeight="1">
      <c r="B376" s="54">
        <v>383.0</v>
      </c>
      <c r="C376" s="8" t="s">
        <v>8351</v>
      </c>
      <c r="D376" s="8" t="s">
        <v>1018</v>
      </c>
      <c r="E376" s="8" t="s">
        <v>1516</v>
      </c>
      <c r="F376" s="8" t="s">
        <v>876</v>
      </c>
      <c r="G376" s="8" t="s">
        <v>2471</v>
      </c>
      <c r="H376" s="8" t="s">
        <v>1516</v>
      </c>
      <c r="I376" s="8" t="s">
        <v>224</v>
      </c>
      <c r="J376" s="78" t="s">
        <v>4291</v>
      </c>
      <c r="K376" s="22">
        <v>2.0</v>
      </c>
      <c r="L376" s="22">
        <f>+SUMIF('حركه المخزن الرئيسي اليوميه'!$F:$F,$H:$H,'حركه المخزن الرئيسي اليوميه'!$H:$H)</f>
        <v>0.0</v>
      </c>
      <c r="M376" s="22">
        <f>+SUMIF('حركه المخزن الرئيسي اليوميه'!$F:$F,$H:$H,'حركه المخزن الرئيسي اليوميه'!$I:$I)</f>
        <v>0.0</v>
      </c>
      <c r="N376" s="22">
        <f>+K376+L376-M376</f>
        <v>2.0</v>
      </c>
      <c r="O376" s="22">
        <f>+N376</f>
        <v>2.0</v>
      </c>
      <c r="P376" s="22">
        <f>+N376-O376</f>
        <v>0.0</v>
      </c>
      <c r="Q376" s="57"/>
      <c r="R376" s="58"/>
    </row>
    <row r="377" spans="8:8" ht="15.0" customHeight="1">
      <c r="B377" s="54">
        <v>384.0</v>
      </c>
      <c r="C377" s="8" t="s">
        <v>8351</v>
      </c>
      <c r="D377" s="8" t="s">
        <v>1013</v>
      </c>
      <c r="E377" s="8" t="s">
        <v>1112</v>
      </c>
      <c r="F377" s="8" t="s">
        <v>68</v>
      </c>
      <c r="G377" s="8" t="s">
        <v>1809</v>
      </c>
      <c r="H377" s="8" t="s">
        <v>1113</v>
      </c>
      <c r="I377" s="8" t="s">
        <v>224</v>
      </c>
      <c r="J377" s="78" t="s">
        <v>4292</v>
      </c>
      <c r="K377" s="22">
        <v>1.0</v>
      </c>
      <c r="L377" s="22">
        <f>+SUMIF('حركه المخزن الرئيسي اليوميه'!$F:$F,$H:$H,'حركه المخزن الرئيسي اليوميه'!$H:$H)</f>
        <v>0.0</v>
      </c>
      <c r="M377" s="22">
        <f>+SUMIF('حركه المخزن الرئيسي اليوميه'!$F:$F,$H:$H,'حركه المخزن الرئيسي اليوميه'!$I:$I)</f>
        <v>0.0</v>
      </c>
      <c r="N377" s="22">
        <f>+K377+L377-M377</f>
        <v>1.0</v>
      </c>
      <c r="O377" s="22">
        <f>+N377</f>
        <v>1.0</v>
      </c>
      <c r="P377" s="22">
        <f>+N377-O377</f>
        <v>0.0</v>
      </c>
      <c r="Q377" s="57"/>
      <c r="R377" s="58"/>
    </row>
    <row r="378" spans="8:8" ht="15.0" customHeight="1">
      <c r="B378" s="54">
        <v>385.0</v>
      </c>
      <c r="C378" s="8" t="s">
        <v>8351</v>
      </c>
      <c r="D378" s="8" t="s">
        <v>1018</v>
      </c>
      <c r="E378" s="8" t="s">
        <v>2508</v>
      </c>
      <c r="F378" s="8" t="s">
        <v>68</v>
      </c>
      <c r="G378" s="8"/>
      <c r="H378" s="8" t="s">
        <v>2508</v>
      </c>
      <c r="I378" s="8" t="s">
        <v>224</v>
      </c>
      <c r="J378" s="78" t="s">
        <v>4293</v>
      </c>
      <c r="K378" s="22">
        <v>21.0</v>
      </c>
      <c r="L378" s="22">
        <f>+SUMIF('حركه المخزن الرئيسي اليوميه'!$F:$F,$H:$H,'حركه المخزن الرئيسي اليوميه'!$H:$H)</f>
        <v>0.0</v>
      </c>
      <c r="M378" s="22">
        <f>+SUMIF('حركه المخزن الرئيسي اليوميه'!$F:$F,$H:$H,'حركه المخزن الرئيسي اليوميه'!$I:$I)</f>
        <v>0.0</v>
      </c>
      <c r="N378" s="22">
        <f>+K378+L378-M378</f>
        <v>21.0</v>
      </c>
      <c r="O378" s="22">
        <f>+N378</f>
        <v>21.0</v>
      </c>
      <c r="P378" s="22">
        <f>+N378-O378</f>
        <v>0.0</v>
      </c>
      <c r="Q378" s="57"/>
      <c r="R378" s="58"/>
    </row>
    <row r="379" spans="8:8" ht="15.0" customHeight="1">
      <c r="B379" s="54">
        <v>386.0</v>
      </c>
      <c r="C379" s="8" t="s">
        <v>8351</v>
      </c>
      <c r="D379" s="8" t="s">
        <v>1018</v>
      </c>
      <c r="E379" s="8" t="s">
        <v>2586</v>
      </c>
      <c r="F379" s="8" t="s">
        <v>68</v>
      </c>
      <c r="G379" s="8" t="s">
        <v>2315</v>
      </c>
      <c r="H379" s="8" t="s">
        <v>2586</v>
      </c>
      <c r="I379" s="8" t="s">
        <v>224</v>
      </c>
      <c r="J379" s="78" t="s">
        <v>4294</v>
      </c>
      <c r="K379" s="22">
        <v>0.0</v>
      </c>
      <c r="L379" s="22">
        <f>+SUMIF('حركه المخزن الرئيسي اليوميه'!$F:$F,$H:$H,'حركه المخزن الرئيسي اليوميه'!$H:$H)</f>
        <v>0.0</v>
      </c>
      <c r="M379" s="22">
        <f>+SUMIF('حركه المخزن الرئيسي اليوميه'!$F:$F,$H:$H,'حركه المخزن الرئيسي اليوميه'!$I:$I)</f>
        <v>0.0</v>
      </c>
      <c r="N379" s="22">
        <f>+K379+L379-M379</f>
        <v>0.0</v>
      </c>
      <c r="O379" s="22">
        <f>+N379</f>
        <v>0.0</v>
      </c>
      <c r="P379" s="22">
        <f>+N379-O379</f>
        <v>0.0</v>
      </c>
      <c r="Q379" s="57"/>
      <c r="R379" s="58"/>
    </row>
    <row r="380" spans="8:8" ht="15.0" customHeight="1">
      <c r="B380" s="54">
        <v>387.0</v>
      </c>
      <c r="C380" s="8" t="s">
        <v>8351</v>
      </c>
      <c r="D380" s="8" t="s">
        <v>1018</v>
      </c>
      <c r="E380" s="8" t="s">
        <v>1371</v>
      </c>
      <c r="F380" s="8" t="s">
        <v>1372</v>
      </c>
      <c r="G380" s="8" t="s">
        <v>2417</v>
      </c>
      <c r="H380" s="8" t="s">
        <v>1371</v>
      </c>
      <c r="I380" s="8" t="s">
        <v>224</v>
      </c>
      <c r="J380" s="78" t="s">
        <v>4295</v>
      </c>
      <c r="K380" s="22">
        <v>5.0</v>
      </c>
      <c r="L380" s="22">
        <f>+SUMIF('حركه المخزن الرئيسي اليوميه'!$F:$F,$H:$H,'حركه المخزن الرئيسي اليوميه'!$H:$H)</f>
        <v>0.0</v>
      </c>
      <c r="M380" s="22">
        <f>+SUMIF('حركه المخزن الرئيسي اليوميه'!$F:$F,$H:$H,'حركه المخزن الرئيسي اليوميه'!$I:$I)</f>
        <v>0.0</v>
      </c>
      <c r="N380" s="22">
        <f>+K380+L380-M380</f>
        <v>5.0</v>
      </c>
      <c r="O380" s="22">
        <f>+N380</f>
        <v>5.0</v>
      </c>
      <c r="P380" s="22">
        <f>+N380-O380</f>
        <v>0.0</v>
      </c>
      <c r="Q380" s="57"/>
      <c r="R380" s="58"/>
    </row>
    <row r="381" spans="8:8" ht="15.0" customHeight="1">
      <c r="B381" s="54">
        <v>388.0</v>
      </c>
      <c r="C381" s="8" t="s">
        <v>8351</v>
      </c>
      <c r="D381" s="8" t="s">
        <v>1018</v>
      </c>
      <c r="E381" s="8" t="s">
        <v>3391</v>
      </c>
      <c r="F381" s="8" t="s">
        <v>68</v>
      </c>
      <c r="G381" s="8"/>
      <c r="H381" s="8" t="s">
        <v>3391</v>
      </c>
      <c r="I381" s="8" t="s">
        <v>224</v>
      </c>
      <c r="J381" s="78" t="s">
        <v>4296</v>
      </c>
      <c r="K381" s="22">
        <v>0.0</v>
      </c>
      <c r="L381" s="22">
        <f>+SUMIF('حركه المخزن الرئيسي اليوميه'!$F:$F,$H:$H,'حركه المخزن الرئيسي اليوميه'!$H:$H)</f>
        <v>0.0</v>
      </c>
      <c r="M381" s="22">
        <f>+SUMIF('حركه المخزن الرئيسي اليوميه'!$F:$F,$H:$H,'حركه المخزن الرئيسي اليوميه'!$I:$I)</f>
        <v>0.0</v>
      </c>
      <c r="N381" s="22">
        <f>+K381+L381-M381</f>
        <v>0.0</v>
      </c>
      <c r="O381" s="22">
        <f>+N381</f>
        <v>0.0</v>
      </c>
      <c r="P381" s="22">
        <f>+N381-O381</f>
        <v>0.0</v>
      </c>
      <c r="Q381" s="57"/>
      <c r="R381" s="58"/>
    </row>
    <row r="382" spans="8:8" ht="15.0" customHeight="1">
      <c r="B382" s="54">
        <v>389.0</v>
      </c>
      <c r="C382" s="8" t="s">
        <v>8351</v>
      </c>
      <c r="D382" s="8" t="s">
        <v>820</v>
      </c>
      <c r="E382" s="8" t="s">
        <v>1335</v>
      </c>
      <c r="F382" s="8" t="s">
        <v>68</v>
      </c>
      <c r="G382" s="8"/>
      <c r="H382" s="8" t="s">
        <v>1338</v>
      </c>
      <c r="I382" s="8" t="s">
        <v>1337</v>
      </c>
      <c r="J382" s="78" t="s">
        <v>4297</v>
      </c>
      <c r="K382" s="22">
        <v>0.0</v>
      </c>
      <c r="L382" s="22">
        <f>+SUMIF('حركه المخزن الرئيسي اليوميه'!$F:$F,$H:$H,'حركه المخزن الرئيسي اليوميه'!$H:$H)</f>
        <v>0.0</v>
      </c>
      <c r="M382" s="22">
        <f>+SUMIF('حركه المخزن الرئيسي اليوميه'!$F:$F,$H:$H,'حركه المخزن الرئيسي اليوميه'!$I:$I)</f>
        <v>0.0</v>
      </c>
      <c r="N382" s="22">
        <f>+K382+L382-M382</f>
        <v>0.0</v>
      </c>
      <c r="O382" s="22">
        <f>+N382</f>
        <v>0.0</v>
      </c>
      <c r="P382" s="22">
        <f>+N382-O382</f>
        <v>0.0</v>
      </c>
      <c r="Q382" s="57"/>
      <c r="R382" s="58"/>
    </row>
    <row r="383" spans="8:8" ht="15.0" customHeight="1">
      <c r="B383" s="54">
        <v>390.0</v>
      </c>
      <c r="C383" s="8" t="s">
        <v>8351</v>
      </c>
      <c r="D383" s="8" t="s">
        <v>820</v>
      </c>
      <c r="E383" s="8" t="s">
        <v>1335</v>
      </c>
      <c r="F383" s="8" t="s">
        <v>68</v>
      </c>
      <c r="G383" s="8"/>
      <c r="H383" s="8" t="s">
        <v>1336</v>
      </c>
      <c r="I383" s="8" t="s">
        <v>1337</v>
      </c>
      <c r="J383" s="78" t="s">
        <v>4298</v>
      </c>
      <c r="K383" s="22">
        <v>0.0</v>
      </c>
      <c r="L383" s="22">
        <f>+SUMIF('حركه المخزن الرئيسي اليوميه'!$F:$F,$H:$H,'حركه المخزن الرئيسي اليوميه'!$H:$H)</f>
        <v>0.0</v>
      </c>
      <c r="M383" s="22">
        <f>+SUMIF('حركه المخزن الرئيسي اليوميه'!$F:$F,$H:$H,'حركه المخزن الرئيسي اليوميه'!$I:$I)</f>
        <v>0.0</v>
      </c>
      <c r="N383" s="22">
        <f>+K383+L383-M383</f>
        <v>0.0</v>
      </c>
      <c r="O383" s="22">
        <f>+N383</f>
        <v>0.0</v>
      </c>
      <c r="P383" s="22">
        <f>+N383-O383</f>
        <v>0.0</v>
      </c>
      <c r="Q383" s="57"/>
      <c r="R383" s="58"/>
    </row>
    <row r="384" spans="8:8" ht="15.0" customHeight="1">
      <c r="B384" s="54">
        <v>391.0</v>
      </c>
      <c r="C384" s="8" t="s">
        <v>8351</v>
      </c>
      <c r="D384" s="8" t="s">
        <v>820</v>
      </c>
      <c r="E384" s="8" t="s">
        <v>944</v>
      </c>
      <c r="F384" s="8" t="s">
        <v>68</v>
      </c>
      <c r="G384" s="8" t="s">
        <v>1963</v>
      </c>
      <c r="H384" s="8" t="s">
        <v>944</v>
      </c>
      <c r="I384" s="8" t="s">
        <v>3282</v>
      </c>
      <c r="J384" s="78" t="s">
        <v>4299</v>
      </c>
      <c r="K384" s="22">
        <v>154.0</v>
      </c>
      <c r="L384" s="22">
        <f>+SUMIF('حركه المخزن الرئيسي اليوميه'!$F:$F,$H:$H,'حركه المخزن الرئيسي اليوميه'!$H:$H)</f>
        <v>0.0</v>
      </c>
      <c r="M384" s="22">
        <f>+SUMIF('حركه المخزن الرئيسي اليوميه'!$F:$F,$H:$H,'حركه المخزن الرئيسي اليوميه'!$I:$I)</f>
        <v>0.0</v>
      </c>
      <c r="N384" s="22">
        <f>+K384+L384-M384</f>
        <v>154.0</v>
      </c>
      <c r="O384" s="22">
        <f>+N384</f>
        <v>154.0</v>
      </c>
      <c r="P384" s="22">
        <f>+N384-O384</f>
        <v>0.0</v>
      </c>
      <c r="Q384" s="57"/>
      <c r="R384" s="58"/>
    </row>
    <row r="385" spans="8:8" ht="15.0" customHeight="1">
      <c r="B385" s="54">
        <v>392.0</v>
      </c>
      <c r="C385" s="8" t="s">
        <v>8351</v>
      </c>
      <c r="D385" s="8" t="s">
        <v>1444</v>
      </c>
      <c r="E385" s="8" t="s">
        <v>3623</v>
      </c>
      <c r="F385" s="8" t="s">
        <v>68</v>
      </c>
      <c r="G385" s="8"/>
      <c r="H385" s="8" t="s">
        <v>3623</v>
      </c>
      <c r="I385" s="8" t="s">
        <v>3624</v>
      </c>
      <c r="J385" s="78" t="s">
        <v>4300</v>
      </c>
      <c r="K385" s="22">
        <v>5.0</v>
      </c>
      <c r="L385" s="22">
        <f>+SUMIF('حركه المخزن الرئيسي اليوميه'!$F:$F,$H:$H,'حركه المخزن الرئيسي اليوميه'!$H:$H)</f>
        <v>0.0</v>
      </c>
      <c r="M385" s="22">
        <f>+SUMIF('حركه المخزن الرئيسي اليوميه'!$F:$F,$H:$H,'حركه المخزن الرئيسي اليوميه'!$I:$I)</f>
        <v>0.0</v>
      </c>
      <c r="N385" s="22">
        <f>+K385+L385-M385</f>
        <v>5.0</v>
      </c>
      <c r="O385" s="22">
        <f>+N385</f>
        <v>5.0</v>
      </c>
      <c r="P385" s="22">
        <f>+N385-O385</f>
        <v>0.0</v>
      </c>
      <c r="Q385" s="57"/>
      <c r="R385" s="59"/>
    </row>
    <row r="386" spans="8:8" ht="15.0" customHeight="1">
      <c r="B386" s="54">
        <v>396.0</v>
      </c>
      <c r="C386" s="8" t="s">
        <v>8351</v>
      </c>
      <c r="D386" s="8" t="s">
        <v>1013</v>
      </c>
      <c r="E386" s="8" t="s">
        <v>290</v>
      </c>
      <c r="F386" s="8" t="s">
        <v>68</v>
      </c>
      <c r="G386" s="8" t="s">
        <v>1814</v>
      </c>
      <c r="H386" s="8" t="s">
        <v>1962</v>
      </c>
      <c r="I386" s="8" t="s">
        <v>384</v>
      </c>
      <c r="J386" s="78" t="s">
        <v>4301</v>
      </c>
      <c r="K386" s="22">
        <v>0.0</v>
      </c>
      <c r="L386" s="22">
        <f>+SUMIF('حركه المخزن الرئيسي اليوميه'!$F:$F,$H:$H,'حركه المخزن الرئيسي اليوميه'!$H:$H)</f>
        <v>0.0</v>
      </c>
      <c r="M386" s="22">
        <f>+SUMIF('حركه المخزن الرئيسي اليوميه'!$F:$F,$H:$H,'حركه المخزن الرئيسي اليوميه'!$I:$I)</f>
        <v>0.0</v>
      </c>
      <c r="N386" s="22">
        <f>+K386+L386-M386</f>
        <v>0.0</v>
      </c>
      <c r="O386" s="22">
        <f>+N386</f>
        <v>0.0</v>
      </c>
      <c r="P386" s="22">
        <f>+N386-O386</f>
        <v>0.0</v>
      </c>
      <c r="Q386" s="57"/>
      <c r="R386" s="58"/>
    </row>
    <row r="387" spans="8:8" ht="15.0" customHeight="1">
      <c r="B387" s="54">
        <v>397.0</v>
      </c>
      <c r="C387" s="8" t="s">
        <v>8351</v>
      </c>
      <c r="D387" s="8" t="s">
        <v>1013</v>
      </c>
      <c r="E387" s="8" t="s">
        <v>383</v>
      </c>
      <c r="F387" s="8" t="s">
        <v>68</v>
      </c>
      <c r="G387" s="8" t="s">
        <v>2127</v>
      </c>
      <c r="H387" s="8" t="s">
        <v>640</v>
      </c>
      <c r="I387" s="8" t="s">
        <v>352</v>
      </c>
      <c r="J387" s="78" t="s">
        <v>4302</v>
      </c>
      <c r="K387" s="22">
        <v>0.0</v>
      </c>
      <c r="L387" s="22">
        <f>+SUMIF('حركه المخزن الرئيسي اليوميه'!$F:$F,$H:$H,'حركه المخزن الرئيسي اليوميه'!$H:$H)</f>
        <v>0.0</v>
      </c>
      <c r="M387" s="22">
        <f>+SUMIF('حركه المخزن الرئيسي اليوميه'!$F:$F,$H:$H,'حركه المخزن الرئيسي اليوميه'!$I:$I)</f>
        <v>0.0</v>
      </c>
      <c r="N387" s="22">
        <f>+K387+L387-M387</f>
        <v>0.0</v>
      </c>
      <c r="O387" s="22">
        <f>+N387</f>
        <v>0.0</v>
      </c>
      <c r="P387" s="22">
        <f>+N387-O387</f>
        <v>0.0</v>
      </c>
      <c r="Q387" s="57"/>
      <c r="R387" s="58"/>
    </row>
    <row r="388" spans="8:8" ht="15.0" customHeight="1">
      <c r="B388" s="54">
        <v>398.0</v>
      </c>
      <c r="C388" s="8" t="s">
        <v>8351</v>
      </c>
      <c r="D388" s="8" t="s">
        <v>1013</v>
      </c>
      <c r="E388" s="8" t="s">
        <v>383</v>
      </c>
      <c r="F388" s="8" t="s">
        <v>68</v>
      </c>
      <c r="G388" s="8" t="s">
        <v>2126</v>
      </c>
      <c r="H388" s="8" t="s">
        <v>627</v>
      </c>
      <c r="I388" s="8" t="s">
        <v>384</v>
      </c>
      <c r="J388" s="78" t="s">
        <v>4303</v>
      </c>
      <c r="K388" s="22">
        <v>0.0</v>
      </c>
      <c r="L388" s="22">
        <f>+SUMIF('حركه المخزن الرئيسي اليوميه'!$F:$F,$H:$H,'حركه المخزن الرئيسي اليوميه'!$H:$H)</f>
        <v>0.0</v>
      </c>
      <c r="M388" s="22">
        <f>+SUMIF('حركه المخزن الرئيسي اليوميه'!$F:$F,$H:$H,'حركه المخزن الرئيسي اليوميه'!$I:$I)</f>
        <v>0.0</v>
      </c>
      <c r="N388" s="22">
        <f>+K388+L388-M388</f>
        <v>0.0</v>
      </c>
      <c r="O388" s="22">
        <f>+N388</f>
        <v>0.0</v>
      </c>
      <c r="P388" s="22">
        <f>+N388-O388</f>
        <v>0.0</v>
      </c>
      <c r="Q388" s="57"/>
      <c r="R388" s="58"/>
    </row>
    <row r="389" spans="8:8" ht="15.0" customHeight="1">
      <c r="B389" s="54">
        <v>399.0</v>
      </c>
      <c r="C389" s="8" t="s">
        <v>8351</v>
      </c>
      <c r="D389" s="8" t="s">
        <v>1013</v>
      </c>
      <c r="E389" s="8" t="s">
        <v>383</v>
      </c>
      <c r="F389" s="8" t="s">
        <v>68</v>
      </c>
      <c r="G389" s="8"/>
      <c r="H389" s="8" t="s">
        <v>647</v>
      </c>
      <c r="I389" s="8" t="s">
        <v>384</v>
      </c>
      <c r="J389" s="78" t="s">
        <v>4304</v>
      </c>
      <c r="K389" s="22">
        <v>0.0</v>
      </c>
      <c r="L389" s="22">
        <f>+SUMIF('حركه المخزن الرئيسي اليوميه'!$F:$F,$H:$H,'حركه المخزن الرئيسي اليوميه'!$H:$H)</f>
        <v>0.0</v>
      </c>
      <c r="M389" s="22">
        <f>+SUMIF('حركه المخزن الرئيسي اليوميه'!$F:$F,$H:$H,'حركه المخزن الرئيسي اليوميه'!$I:$I)</f>
        <v>0.0</v>
      </c>
      <c r="N389" s="22">
        <f>+K389+L389-M389</f>
        <v>0.0</v>
      </c>
      <c r="O389" s="22">
        <f>+N389</f>
        <v>0.0</v>
      </c>
      <c r="P389" s="22">
        <f>+N389-O389</f>
        <v>0.0</v>
      </c>
      <c r="Q389" s="57"/>
      <c r="R389" s="58"/>
    </row>
    <row r="390" spans="8:8" ht="15.0" customHeight="1">
      <c r="B390" s="54">
        <v>400.0</v>
      </c>
      <c r="C390" s="8" t="s">
        <v>8351</v>
      </c>
      <c r="D390" s="8" t="s">
        <v>820</v>
      </c>
      <c r="E390" s="8" t="s">
        <v>943</v>
      </c>
      <c r="F390" s="8" t="s">
        <v>68</v>
      </c>
      <c r="G390" s="8" t="s">
        <v>1963</v>
      </c>
      <c r="H390" s="8" t="s">
        <v>943</v>
      </c>
      <c r="I390" s="8" t="s">
        <v>2949</v>
      </c>
      <c r="J390" s="78" t="s">
        <v>4305</v>
      </c>
      <c r="K390" s="22">
        <v>83.0</v>
      </c>
      <c r="L390" s="22">
        <f>+SUMIF('حركه المخزن الرئيسي اليوميه'!$F:$F,$H:$H,'حركه المخزن الرئيسي اليوميه'!$H:$H)</f>
        <v>0.0</v>
      </c>
      <c r="M390" s="22">
        <f>+SUMIF('حركه المخزن الرئيسي اليوميه'!$F:$F,$H:$H,'حركه المخزن الرئيسي اليوميه'!$I:$I)</f>
        <v>0.0</v>
      </c>
      <c r="N390" s="22">
        <f>+K390+L390-M390</f>
        <v>83.0</v>
      </c>
      <c r="O390" s="22">
        <f>+N390</f>
        <v>83.0</v>
      </c>
      <c r="P390" s="22">
        <f>+N390-O390</f>
        <v>0.0</v>
      </c>
      <c r="Q390" s="57"/>
      <c r="R390" s="58"/>
    </row>
    <row r="391" spans="8:8" ht="15.0" customHeight="1">
      <c r="B391" s="54">
        <v>406.0</v>
      </c>
      <c r="C391" s="8" t="s">
        <v>8351</v>
      </c>
      <c r="D391" s="8" t="s">
        <v>816</v>
      </c>
      <c r="E391" s="8" t="s">
        <v>69</v>
      </c>
      <c r="F391" s="8" t="s">
        <v>67</v>
      </c>
      <c r="G391" s="8" t="s">
        <v>2312</v>
      </c>
      <c r="H391" s="8" t="s">
        <v>601</v>
      </c>
      <c r="I391" s="8" t="s">
        <v>351</v>
      </c>
      <c r="J391" s="78" t="s">
        <v>4306</v>
      </c>
      <c r="K391" s="22">
        <v>189.0</v>
      </c>
      <c r="L391" s="22">
        <f>+SUMIF('حركه المخزن الرئيسي اليوميه'!$F:$F,$H:$H,'حركه المخزن الرئيسي اليوميه'!$H:$H)</f>
        <v>0.0</v>
      </c>
      <c r="M391" s="22">
        <f>+SUMIF('حركه المخزن الرئيسي اليوميه'!$F:$F,$H:$H,'حركه المخزن الرئيسي اليوميه'!$I:$I)</f>
        <v>3.0</v>
      </c>
      <c r="N391" s="22">
        <f>+K391+L391-M391</f>
        <v>186.0</v>
      </c>
      <c r="O391" s="22">
        <f>+N391</f>
        <v>186.0</v>
      </c>
      <c r="P391" s="22">
        <f>+N391-O391</f>
        <v>0.0</v>
      </c>
      <c r="Q391" s="57"/>
      <c r="R391" s="58"/>
    </row>
    <row r="392" spans="8:8" ht="15.0" customHeight="1">
      <c r="B392" s="54">
        <v>407.0</v>
      </c>
      <c r="C392" s="8" t="s">
        <v>8351</v>
      </c>
      <c r="D392" s="8" t="s">
        <v>828</v>
      </c>
      <c r="E392" s="8" t="s">
        <v>2624</v>
      </c>
      <c r="F392" s="8" t="s">
        <v>68</v>
      </c>
      <c r="G392" s="8"/>
      <c r="H392" s="8" t="s">
        <v>2624</v>
      </c>
      <c r="I392" s="8" t="s">
        <v>65</v>
      </c>
      <c r="J392" s="78" t="s">
        <v>4307</v>
      </c>
      <c r="K392" s="22">
        <v>0.0</v>
      </c>
      <c r="L392" s="22">
        <f>+SUMIF('حركه المخزن الرئيسي اليوميه'!$F:$F,$H:$H,'حركه المخزن الرئيسي اليوميه'!$H:$H)</f>
        <v>0.0</v>
      </c>
      <c r="M392" s="22">
        <f>+SUMIF('حركه المخزن الرئيسي اليوميه'!$F:$F,$H:$H,'حركه المخزن الرئيسي اليوميه'!$I:$I)</f>
        <v>0.0</v>
      </c>
      <c r="N392" s="22">
        <f>+K392+L392-M392</f>
        <v>0.0</v>
      </c>
      <c r="O392" s="22">
        <f>+N392</f>
        <v>0.0</v>
      </c>
      <c r="P392" s="22">
        <f>+N392-O392</f>
        <v>0.0</v>
      </c>
      <c r="Q392" s="57"/>
      <c r="R392" s="58"/>
    </row>
    <row r="393" spans="8:8" ht="15.0" customHeight="1">
      <c r="B393" s="54">
        <v>408.0</v>
      </c>
      <c r="C393" s="8" t="s">
        <v>8351</v>
      </c>
      <c r="D393" s="8" t="s">
        <v>828</v>
      </c>
      <c r="E393" s="8" t="s">
        <v>2625</v>
      </c>
      <c r="F393" s="8" t="s">
        <v>68</v>
      </c>
      <c r="G393" s="8" t="s">
        <v>1724</v>
      </c>
      <c r="H393" s="8" t="s">
        <v>3208</v>
      </c>
      <c r="I393" s="8" t="s">
        <v>65</v>
      </c>
      <c r="J393" s="78" t="s">
        <v>4308</v>
      </c>
      <c r="K393" s="22">
        <v>2.0</v>
      </c>
      <c r="L393" s="22">
        <f>+SUMIF('حركه المخزن الرئيسي اليوميه'!$F:$F,$H:$H,'حركه المخزن الرئيسي اليوميه'!$H:$H)</f>
        <v>0.0</v>
      </c>
      <c r="M393" s="22">
        <f>+SUMIF('حركه المخزن الرئيسي اليوميه'!$F:$F,$H:$H,'حركه المخزن الرئيسي اليوميه'!$I:$I)</f>
        <v>0.0</v>
      </c>
      <c r="N393" s="22">
        <f>+K393+L393-M393</f>
        <v>2.0</v>
      </c>
      <c r="O393" s="22">
        <f>+N393</f>
        <v>2.0</v>
      </c>
      <c r="P393" s="22">
        <f>+N393-O393</f>
        <v>0.0</v>
      </c>
      <c r="Q393" s="57"/>
      <c r="R393" s="58"/>
    </row>
    <row r="394" spans="8:8" ht="15.0" customHeight="1">
      <c r="B394" s="54">
        <v>409.0</v>
      </c>
      <c r="C394" s="8" t="s">
        <v>8351</v>
      </c>
      <c r="D394" s="8" t="s">
        <v>828</v>
      </c>
      <c r="E394" s="8" t="s">
        <v>2620</v>
      </c>
      <c r="F394" s="8" t="s">
        <v>68</v>
      </c>
      <c r="G394" s="8" t="s">
        <v>2100</v>
      </c>
      <c r="H394" s="8" t="s">
        <v>2620</v>
      </c>
      <c r="I394" s="8" t="s">
        <v>65</v>
      </c>
      <c r="J394" s="78" t="s">
        <v>4309</v>
      </c>
      <c r="K394" s="22">
        <v>5.0</v>
      </c>
      <c r="L394" s="22">
        <f>+SUMIF('حركه المخزن الرئيسي اليوميه'!$F:$F,$H:$H,'حركه المخزن الرئيسي اليوميه'!$H:$H)</f>
        <v>0.0</v>
      </c>
      <c r="M394" s="22">
        <f>+SUMIF('حركه المخزن الرئيسي اليوميه'!$F:$F,$H:$H,'حركه المخزن الرئيسي اليوميه'!$I:$I)</f>
        <v>0.0</v>
      </c>
      <c r="N394" s="22">
        <f>+K394+L394-M394</f>
        <v>5.0</v>
      </c>
      <c r="O394" s="22">
        <f>+N394</f>
        <v>5.0</v>
      </c>
      <c r="P394" s="22">
        <f>+N394-O394</f>
        <v>0.0</v>
      </c>
      <c r="Q394" s="57"/>
      <c r="R394" s="58"/>
    </row>
    <row r="395" spans="8:8" ht="15.0" customHeight="1">
      <c r="B395" s="54">
        <v>410.0</v>
      </c>
      <c r="C395" s="8" t="s">
        <v>8351</v>
      </c>
      <c r="D395" s="8" t="s">
        <v>828</v>
      </c>
      <c r="E395" s="8" t="s">
        <v>2622</v>
      </c>
      <c r="F395" s="8" t="s">
        <v>68</v>
      </c>
      <c r="G395" s="8" t="s">
        <v>2347</v>
      </c>
      <c r="H395" s="8" t="s">
        <v>2622</v>
      </c>
      <c r="I395" s="8" t="s">
        <v>65</v>
      </c>
      <c r="J395" s="78" t="s">
        <v>4310</v>
      </c>
      <c r="K395" s="22">
        <v>3.0</v>
      </c>
      <c r="L395" s="22">
        <f>+SUMIF('حركه المخزن الرئيسي اليوميه'!$F:$F,$H:$H,'حركه المخزن الرئيسي اليوميه'!$H:$H)</f>
        <v>0.0</v>
      </c>
      <c r="M395" s="22">
        <f>+SUMIF('حركه المخزن الرئيسي اليوميه'!$F:$F,$H:$H,'حركه المخزن الرئيسي اليوميه'!$I:$I)</f>
        <v>0.0</v>
      </c>
      <c r="N395" s="22">
        <f>+K395+L395-M395</f>
        <v>3.0</v>
      </c>
      <c r="O395" s="22">
        <f>+N395</f>
        <v>3.0</v>
      </c>
      <c r="P395" s="22">
        <f>+N395-O395</f>
        <v>0.0</v>
      </c>
      <c r="Q395" s="57"/>
      <c r="R395" s="58"/>
    </row>
    <row r="396" spans="8:8" ht="15.0" customHeight="1">
      <c r="B396" s="54">
        <v>411.0</v>
      </c>
      <c r="C396" s="8" t="s">
        <v>8351</v>
      </c>
      <c r="D396" s="8" t="s">
        <v>828</v>
      </c>
      <c r="E396" s="8" t="s">
        <v>2621</v>
      </c>
      <c r="F396" s="8" t="s">
        <v>68</v>
      </c>
      <c r="G396" s="8" t="s">
        <v>1580</v>
      </c>
      <c r="H396" s="8" t="s">
        <v>2621</v>
      </c>
      <c r="I396" s="8" t="s">
        <v>65</v>
      </c>
      <c r="J396" s="78" t="s">
        <v>4311</v>
      </c>
      <c r="K396" s="22">
        <v>1.0</v>
      </c>
      <c r="L396" s="22">
        <f>+SUMIF('حركه المخزن الرئيسي اليوميه'!$F:$F,$H:$H,'حركه المخزن الرئيسي اليوميه'!$H:$H)</f>
        <v>0.0</v>
      </c>
      <c r="M396" s="22">
        <f>+SUMIF('حركه المخزن الرئيسي اليوميه'!$F:$F,$H:$H,'حركه المخزن الرئيسي اليوميه'!$I:$I)</f>
        <v>0.0</v>
      </c>
      <c r="N396" s="22">
        <f>+K396+L396-M396</f>
        <v>1.0</v>
      </c>
      <c r="O396" s="22">
        <f>+N396</f>
        <v>1.0</v>
      </c>
      <c r="P396" s="22">
        <f>+N396-O396</f>
        <v>0.0</v>
      </c>
      <c r="Q396" s="57"/>
      <c r="R396" s="58"/>
    </row>
    <row r="397" spans="8:8" ht="15.0" customHeight="1">
      <c r="B397" s="54">
        <v>412.0</v>
      </c>
      <c r="C397" s="8" t="s">
        <v>8351</v>
      </c>
      <c r="D397" s="8" t="s">
        <v>828</v>
      </c>
      <c r="E397" s="8" t="s">
        <v>2623</v>
      </c>
      <c r="F397" s="8" t="s">
        <v>68</v>
      </c>
      <c r="G397" s="8" t="s">
        <v>2348</v>
      </c>
      <c r="H397" s="8" t="s">
        <v>2623</v>
      </c>
      <c r="I397" s="8" t="s">
        <v>65</v>
      </c>
      <c r="J397" s="78" t="s">
        <v>4312</v>
      </c>
      <c r="K397" s="22">
        <v>5.0</v>
      </c>
      <c r="L397" s="22">
        <f>+SUMIF('حركه المخزن الرئيسي اليوميه'!$F:$F,$H:$H,'حركه المخزن الرئيسي اليوميه'!$H:$H)</f>
        <v>0.0</v>
      </c>
      <c r="M397" s="22">
        <f>+SUMIF('حركه المخزن الرئيسي اليوميه'!$F:$F,$H:$H,'حركه المخزن الرئيسي اليوميه'!$I:$I)</f>
        <v>0.0</v>
      </c>
      <c r="N397" s="22">
        <f>+K397+L397-M397</f>
        <v>5.0</v>
      </c>
      <c r="O397" s="22">
        <f>+N397</f>
        <v>5.0</v>
      </c>
      <c r="P397" s="22">
        <f>+N397-O397</f>
        <v>0.0</v>
      </c>
      <c r="Q397" s="57"/>
      <c r="R397" s="58"/>
    </row>
    <row r="398" spans="8:8" ht="15.0" customHeight="1">
      <c r="B398" s="54">
        <v>413.0</v>
      </c>
      <c r="C398" s="8" t="s">
        <v>8351</v>
      </c>
      <c r="D398" s="8" t="s">
        <v>828</v>
      </c>
      <c r="E398" s="8" t="s">
        <v>2619</v>
      </c>
      <c r="F398" s="8" t="s">
        <v>68</v>
      </c>
      <c r="G398" s="8" t="s">
        <v>2338</v>
      </c>
      <c r="H398" s="8" t="s">
        <v>2619</v>
      </c>
      <c r="I398" s="8" t="s">
        <v>65</v>
      </c>
      <c r="J398" s="78" t="s">
        <v>4313</v>
      </c>
      <c r="K398" s="22">
        <v>3.0</v>
      </c>
      <c r="L398" s="22">
        <f>+SUMIF('حركه المخزن الرئيسي اليوميه'!$F:$F,$H:$H,'حركه المخزن الرئيسي اليوميه'!$H:$H)</f>
        <v>0.0</v>
      </c>
      <c r="M398" s="22">
        <f>+SUMIF('حركه المخزن الرئيسي اليوميه'!$F:$F,$H:$H,'حركه المخزن الرئيسي اليوميه'!$I:$I)</f>
        <v>0.0</v>
      </c>
      <c r="N398" s="22">
        <f>+K398+L398-M398</f>
        <v>3.0</v>
      </c>
      <c r="O398" s="22">
        <f>+N398</f>
        <v>3.0</v>
      </c>
      <c r="P398" s="22">
        <f>+N398-O398</f>
        <v>0.0</v>
      </c>
      <c r="Q398" s="57"/>
      <c r="R398" s="58"/>
    </row>
    <row r="399" spans="8:8" ht="15.0" customHeight="1">
      <c r="B399" s="54">
        <v>414.0</v>
      </c>
      <c r="C399" s="8" t="s">
        <v>8351</v>
      </c>
      <c r="D399" s="8" t="s">
        <v>828</v>
      </c>
      <c r="E399" s="8" t="s">
        <v>2618</v>
      </c>
      <c r="F399" s="8" t="s">
        <v>68</v>
      </c>
      <c r="G399" s="8"/>
      <c r="H399" s="8" t="s">
        <v>3271</v>
      </c>
      <c r="I399" s="8" t="s">
        <v>65</v>
      </c>
      <c r="J399" s="78" t="s">
        <v>4314</v>
      </c>
      <c r="K399" s="22">
        <v>3.0</v>
      </c>
      <c r="L399" s="22">
        <f>+SUMIF('حركه المخزن الرئيسي اليوميه'!$F:$F,$H:$H,'حركه المخزن الرئيسي اليوميه'!$H:$H)</f>
        <v>0.0</v>
      </c>
      <c r="M399" s="22">
        <f>+SUMIF('حركه المخزن الرئيسي اليوميه'!$F:$F,$H:$H,'حركه المخزن الرئيسي اليوميه'!$I:$I)</f>
        <v>0.0</v>
      </c>
      <c r="N399" s="22">
        <f>+K399+L399-M399</f>
        <v>3.0</v>
      </c>
      <c r="O399" s="22">
        <f>+N399</f>
        <v>3.0</v>
      </c>
      <c r="P399" s="22">
        <f>+N399-O399</f>
        <v>0.0</v>
      </c>
      <c r="Q399" s="57"/>
      <c r="R399" s="58"/>
    </row>
    <row r="400" spans="8:8" ht="15.0" customHeight="1">
      <c r="B400" s="54">
        <v>416.0</v>
      </c>
      <c r="C400" s="8" t="s">
        <v>8351</v>
      </c>
      <c r="D400" s="8" t="s">
        <v>820</v>
      </c>
      <c r="E400" s="8" t="s">
        <v>985</v>
      </c>
      <c r="F400" s="8" t="s">
        <v>68</v>
      </c>
      <c r="G400" s="8" t="s">
        <v>1963</v>
      </c>
      <c r="H400" s="8" t="s">
        <v>916</v>
      </c>
      <c r="I400" s="8" t="s">
        <v>3283</v>
      </c>
      <c r="J400" s="78" t="s">
        <v>4315</v>
      </c>
      <c r="K400" s="22">
        <v>146.0</v>
      </c>
      <c r="L400" s="22">
        <f>+SUMIF('حركه المخزن الرئيسي اليوميه'!$F:$F,$H:$H,'حركه المخزن الرئيسي اليوميه'!$H:$H)</f>
        <v>0.0</v>
      </c>
      <c r="M400" s="22">
        <f>+SUMIF('حركه المخزن الرئيسي اليوميه'!$F:$F,$H:$H,'حركه المخزن الرئيسي اليوميه'!$I:$I)</f>
        <v>0.0</v>
      </c>
      <c r="N400" s="22">
        <f>+K400+L400-M400</f>
        <v>146.0</v>
      </c>
      <c r="O400" s="22">
        <f>+N400</f>
        <v>146.0</v>
      </c>
      <c r="P400" s="22">
        <f>+N400-O400</f>
        <v>0.0</v>
      </c>
      <c r="Q400" s="57"/>
      <c r="R400" s="58"/>
    </row>
    <row r="401" spans="8:8" ht="15.0" customHeight="1">
      <c r="B401" s="54">
        <v>417.0</v>
      </c>
      <c r="C401" s="8" t="s">
        <v>8351</v>
      </c>
      <c r="D401" s="8" t="s">
        <v>820</v>
      </c>
      <c r="E401" s="8" t="s">
        <v>983</v>
      </c>
      <c r="F401" s="8" t="s">
        <v>68</v>
      </c>
      <c r="G401" s="8" t="s">
        <v>1963</v>
      </c>
      <c r="H401" s="8" t="s">
        <v>915</v>
      </c>
      <c r="I401" s="8" t="s">
        <v>3263</v>
      </c>
      <c r="J401" s="78" t="s">
        <v>4316</v>
      </c>
      <c r="K401" s="22">
        <v>160.0</v>
      </c>
      <c r="L401" s="22">
        <f>+SUMIF('حركه المخزن الرئيسي اليوميه'!$F:$F,$H:$H,'حركه المخزن الرئيسي اليوميه'!$H:$H)</f>
        <v>0.0</v>
      </c>
      <c r="M401" s="22">
        <f>+SUMIF('حركه المخزن الرئيسي اليوميه'!$F:$F,$H:$H,'حركه المخزن الرئيسي اليوميه'!$I:$I)</f>
        <v>4.0</v>
      </c>
      <c r="N401" s="22">
        <f>+K401+L401-M401</f>
        <v>156.0</v>
      </c>
      <c r="O401" s="22">
        <f>+N401</f>
        <v>156.0</v>
      </c>
      <c r="P401" s="22">
        <f>+N401-O401</f>
        <v>0.0</v>
      </c>
      <c r="Q401" s="57"/>
      <c r="R401" s="58"/>
    </row>
    <row r="402" spans="8:8" ht="15.0" customHeight="1">
      <c r="B402" s="54">
        <v>418.0</v>
      </c>
      <c r="C402" s="8" t="s">
        <v>8351</v>
      </c>
      <c r="D402" s="8" t="s">
        <v>766</v>
      </c>
      <c r="E402" s="8" t="s">
        <v>2006</v>
      </c>
      <c r="F402" s="8" t="s">
        <v>1501</v>
      </c>
      <c r="G402" s="8" t="s">
        <v>2007</v>
      </c>
      <c r="H402" s="8" t="s">
        <v>2535</v>
      </c>
      <c r="I402" s="8" t="s">
        <v>818</v>
      </c>
      <c r="J402" s="78" t="s">
        <v>4317</v>
      </c>
      <c r="K402" s="22">
        <v>2.0</v>
      </c>
      <c r="L402" s="22">
        <f>+SUMIF('حركه المخزن الرئيسي اليوميه'!$F:$F,$H:$H,'حركه المخزن الرئيسي اليوميه'!$H:$H)</f>
        <v>0.0</v>
      </c>
      <c r="M402" s="22">
        <f>+SUMIF('حركه المخزن الرئيسي اليوميه'!$F:$F,$H:$H,'حركه المخزن الرئيسي اليوميه'!$I:$I)</f>
        <v>0.0</v>
      </c>
      <c r="N402" s="22">
        <f>+K402+L402-M402</f>
        <v>2.0</v>
      </c>
      <c r="O402" s="22">
        <f>+N402</f>
        <v>2.0</v>
      </c>
      <c r="P402" s="22">
        <f>+N402-O402</f>
        <v>0.0</v>
      </c>
      <c r="Q402" s="57"/>
      <c r="R402" s="58"/>
    </row>
    <row r="403" spans="8:8" ht="15.0" customHeight="1">
      <c r="B403" s="54">
        <v>424.0</v>
      </c>
      <c r="C403" s="8" t="s">
        <v>8351</v>
      </c>
      <c r="D403" s="8" t="s">
        <v>820</v>
      </c>
      <c r="E403" s="8" t="s">
        <v>1071</v>
      </c>
      <c r="F403" s="8" t="s">
        <v>68</v>
      </c>
      <c r="G403" s="8" t="s">
        <v>1649</v>
      </c>
      <c r="H403" s="8" t="s">
        <v>1071</v>
      </c>
      <c r="I403" s="8" t="s">
        <v>382</v>
      </c>
      <c r="J403" s="78" t="s">
        <v>4318</v>
      </c>
      <c r="K403" s="22">
        <v>0.0</v>
      </c>
      <c r="L403" s="22">
        <f>+SUMIF('حركه المخزن الرئيسي اليوميه'!$F:$F,$H:$H,'حركه المخزن الرئيسي اليوميه'!$H:$H)</f>
        <v>0.0</v>
      </c>
      <c r="M403" s="22">
        <f>+SUMIF('حركه المخزن الرئيسي اليوميه'!$F:$F,$H:$H,'حركه المخزن الرئيسي اليوميه'!$I:$I)</f>
        <v>0.0</v>
      </c>
      <c r="N403" s="22">
        <f>+K403+L403-M403</f>
        <v>0.0</v>
      </c>
      <c r="O403" s="22">
        <f>+N403</f>
        <v>0.0</v>
      </c>
      <c r="P403" s="22">
        <f>+N403-O403</f>
        <v>0.0</v>
      </c>
      <c r="Q403" s="57"/>
      <c r="R403" s="58"/>
    </row>
    <row r="404" spans="8:8" ht="15.0" customHeight="1">
      <c r="B404" s="54">
        <v>428.0</v>
      </c>
      <c r="C404" s="8" t="s">
        <v>8351</v>
      </c>
      <c r="D404" s="8" t="s">
        <v>713</v>
      </c>
      <c r="E404" s="8" t="s">
        <v>799</v>
      </c>
      <c r="F404" s="8" t="s">
        <v>68</v>
      </c>
      <c r="G404" s="8" t="s">
        <v>1770</v>
      </c>
      <c r="H404" s="8" t="s">
        <v>758</v>
      </c>
      <c r="I404" s="8" t="s">
        <v>712</v>
      </c>
      <c r="J404" s="78" t="s">
        <v>4319</v>
      </c>
      <c r="K404" s="22">
        <v>6.0</v>
      </c>
      <c r="L404" s="22">
        <f>+SUMIF('حركه المخزن الرئيسي اليوميه'!$F:$F,$H:$H,'حركه المخزن الرئيسي اليوميه'!$H:$H)</f>
        <v>0.0</v>
      </c>
      <c r="M404" s="22">
        <f>+SUMIF('حركه المخزن الرئيسي اليوميه'!$F:$F,$H:$H,'حركه المخزن الرئيسي اليوميه'!$I:$I)</f>
        <v>0.0</v>
      </c>
      <c r="N404" s="22">
        <f>+K404+L404-M404</f>
        <v>6.0</v>
      </c>
      <c r="O404" s="22">
        <f>+N404</f>
        <v>6.0</v>
      </c>
      <c r="P404" s="22">
        <f>+N404-O404</f>
        <v>0.0</v>
      </c>
      <c r="Q404" s="57"/>
      <c r="R404" s="58"/>
    </row>
    <row r="405" spans="8:8" ht="15.0" customHeight="1">
      <c r="B405" s="54">
        <v>429.0</v>
      </c>
      <c r="C405" s="8" t="s">
        <v>8351</v>
      </c>
      <c r="D405" s="8" t="s">
        <v>713</v>
      </c>
      <c r="E405" s="8" t="s">
        <v>799</v>
      </c>
      <c r="F405" s="8" t="s">
        <v>68</v>
      </c>
      <c r="G405" s="8" t="s">
        <v>1770</v>
      </c>
      <c r="H405" s="8" t="s">
        <v>736</v>
      </c>
      <c r="I405" s="8" t="s">
        <v>712</v>
      </c>
      <c r="J405" s="78" t="s">
        <v>4320</v>
      </c>
      <c r="K405" s="22">
        <v>0.0</v>
      </c>
      <c r="L405" s="22">
        <f>+SUMIF('حركه المخزن الرئيسي اليوميه'!$F:$F,$H:$H,'حركه المخزن الرئيسي اليوميه'!$H:$H)</f>
        <v>0.0</v>
      </c>
      <c r="M405" s="22">
        <f>+SUMIF('حركه المخزن الرئيسي اليوميه'!$F:$F,$H:$H,'حركه المخزن الرئيسي اليوميه'!$I:$I)</f>
        <v>0.0</v>
      </c>
      <c r="N405" s="22">
        <f>+K405+L405-M405</f>
        <v>0.0</v>
      </c>
      <c r="O405" s="22">
        <f>+N405</f>
        <v>0.0</v>
      </c>
      <c r="P405" s="22">
        <f>+N405-O405</f>
        <v>0.0</v>
      </c>
      <c r="Q405" s="57"/>
      <c r="R405" s="58"/>
    </row>
    <row r="406" spans="8:8" ht="15.0" customHeight="1">
      <c r="B406" s="54">
        <v>430.0</v>
      </c>
      <c r="C406" s="8" t="s">
        <v>8351</v>
      </c>
      <c r="D406" s="8" t="s">
        <v>713</v>
      </c>
      <c r="E406" s="8" t="s">
        <v>799</v>
      </c>
      <c r="F406" s="8" t="s">
        <v>68</v>
      </c>
      <c r="G406" s="8" t="s">
        <v>1770</v>
      </c>
      <c r="H406" s="8" t="s">
        <v>757</v>
      </c>
      <c r="I406" s="8" t="s">
        <v>712</v>
      </c>
      <c r="J406" s="78" t="s">
        <v>4321</v>
      </c>
      <c r="K406" s="22">
        <v>1.0</v>
      </c>
      <c r="L406" s="22">
        <f>+SUMIF('حركه المخزن الرئيسي اليوميه'!$F:$F,$H:$H,'حركه المخزن الرئيسي اليوميه'!$H:$H)</f>
        <v>0.0</v>
      </c>
      <c r="M406" s="22">
        <f>+SUMIF('حركه المخزن الرئيسي اليوميه'!$F:$F,$H:$H,'حركه المخزن الرئيسي اليوميه'!$I:$I)</f>
        <v>0.0</v>
      </c>
      <c r="N406" s="22">
        <f>+K406+L406-M406</f>
        <v>1.0</v>
      </c>
      <c r="O406" s="22">
        <f>+N406</f>
        <v>1.0</v>
      </c>
      <c r="P406" s="22">
        <f>+N406-O406</f>
        <v>0.0</v>
      </c>
      <c r="Q406" s="57"/>
      <c r="R406" s="58"/>
    </row>
    <row r="407" spans="8:8" ht="15.0" customHeight="1">
      <c r="B407" s="54">
        <v>431.0</v>
      </c>
      <c r="C407" s="8" t="s">
        <v>8351</v>
      </c>
      <c r="D407" s="8" t="s">
        <v>713</v>
      </c>
      <c r="E407" s="8" t="s">
        <v>803</v>
      </c>
      <c r="F407" s="8" t="s">
        <v>68</v>
      </c>
      <c r="G407" s="8" t="s">
        <v>1773</v>
      </c>
      <c r="H407" s="8" t="s">
        <v>759</v>
      </c>
      <c r="I407" s="8" t="s">
        <v>712</v>
      </c>
      <c r="J407" s="78" t="s">
        <v>4322</v>
      </c>
      <c r="K407" s="22">
        <v>0.0</v>
      </c>
      <c r="L407" s="22">
        <f>+SUMIF('حركه المخزن الرئيسي اليوميه'!$F:$F,$H:$H,'حركه المخزن الرئيسي اليوميه'!$H:$H)</f>
        <v>0.0</v>
      </c>
      <c r="M407" s="22">
        <f>+SUMIF('حركه المخزن الرئيسي اليوميه'!$F:$F,$H:$H,'حركه المخزن الرئيسي اليوميه'!$I:$I)</f>
        <v>0.0</v>
      </c>
      <c r="N407" s="22">
        <f>+K407+L407-M407</f>
        <v>0.0</v>
      </c>
      <c r="O407" s="22">
        <f>+N407</f>
        <v>0.0</v>
      </c>
      <c r="P407" s="22">
        <f>+N407-O407</f>
        <v>0.0</v>
      </c>
      <c r="Q407" s="57"/>
      <c r="R407" s="58"/>
    </row>
    <row r="408" spans="8:8" ht="15.0" customHeight="1">
      <c r="B408" s="54">
        <v>432.0</v>
      </c>
      <c r="C408" s="8" t="s">
        <v>8351</v>
      </c>
      <c r="D408" s="8" t="s">
        <v>713</v>
      </c>
      <c r="E408" s="8" t="s">
        <v>799</v>
      </c>
      <c r="F408" s="8" t="s">
        <v>68</v>
      </c>
      <c r="G408" s="8" t="s">
        <v>1770</v>
      </c>
      <c r="H408" s="8" t="s">
        <v>756</v>
      </c>
      <c r="I408" s="8" t="s">
        <v>712</v>
      </c>
      <c r="J408" s="78" t="s">
        <v>4323</v>
      </c>
      <c r="K408" s="22">
        <v>7.0</v>
      </c>
      <c r="L408" s="22">
        <f>+SUMIF('حركه المخزن الرئيسي اليوميه'!$F:$F,$H:$H,'حركه المخزن الرئيسي اليوميه'!$H:$H)</f>
        <v>0.0</v>
      </c>
      <c r="M408" s="22">
        <f>+SUMIF('حركه المخزن الرئيسي اليوميه'!$F:$F,$H:$H,'حركه المخزن الرئيسي اليوميه'!$I:$I)</f>
        <v>0.0</v>
      </c>
      <c r="N408" s="22">
        <f>+K408+L408-M408</f>
        <v>7.0</v>
      </c>
      <c r="O408" s="22">
        <f>+N408</f>
        <v>7.0</v>
      </c>
      <c r="P408" s="22">
        <f>+N408-O408</f>
        <v>0.0</v>
      </c>
      <c r="Q408" s="57"/>
      <c r="R408" s="58"/>
    </row>
    <row r="409" spans="8:8" ht="15.0" customHeight="1">
      <c r="B409" s="54">
        <v>433.0</v>
      </c>
      <c r="C409" s="8" t="s">
        <v>8351</v>
      </c>
      <c r="D409" s="8" t="s">
        <v>713</v>
      </c>
      <c r="E409" s="8" t="s">
        <v>799</v>
      </c>
      <c r="F409" s="8" t="s">
        <v>68</v>
      </c>
      <c r="G409" s="8" t="s">
        <v>1770</v>
      </c>
      <c r="H409" s="8" t="s">
        <v>735</v>
      </c>
      <c r="I409" s="8" t="s">
        <v>712</v>
      </c>
      <c r="J409" s="78" t="s">
        <v>4324</v>
      </c>
      <c r="K409" s="22">
        <v>4.0</v>
      </c>
      <c r="L409" s="22">
        <f>+SUMIF('حركه المخزن الرئيسي اليوميه'!$F:$F,$H:$H,'حركه المخزن الرئيسي اليوميه'!$H:$H)</f>
        <v>0.0</v>
      </c>
      <c r="M409" s="22">
        <f>+SUMIF('حركه المخزن الرئيسي اليوميه'!$F:$F,$H:$H,'حركه المخزن الرئيسي اليوميه'!$I:$I)</f>
        <v>0.0</v>
      </c>
      <c r="N409" s="22">
        <f>+K409+L409-M409</f>
        <v>4.0</v>
      </c>
      <c r="O409" s="22">
        <f>+N409</f>
        <v>4.0</v>
      </c>
      <c r="P409" s="22">
        <f>+N409-O409</f>
        <v>0.0</v>
      </c>
      <c r="Q409" s="57"/>
      <c r="R409" s="58"/>
    </row>
    <row r="410" spans="8:8" ht="15.0" customHeight="1">
      <c r="B410" s="54">
        <v>434.0</v>
      </c>
      <c r="C410" s="8" t="s">
        <v>8351</v>
      </c>
      <c r="D410" s="8" t="s">
        <v>1013</v>
      </c>
      <c r="E410" s="8" t="s">
        <v>378</v>
      </c>
      <c r="F410" s="8" t="s">
        <v>282</v>
      </c>
      <c r="G410" s="8" t="s">
        <v>2125</v>
      </c>
      <c r="H410" s="8" t="s">
        <v>626</v>
      </c>
      <c r="I410" s="8" t="s">
        <v>357</v>
      </c>
      <c r="J410" s="78" t="s">
        <v>4325</v>
      </c>
      <c r="K410" s="22">
        <v>0.0</v>
      </c>
      <c r="L410" s="22">
        <f>+SUMIF('حركه المخزن الرئيسي اليوميه'!$F:$F,$H:$H,'حركه المخزن الرئيسي اليوميه'!$H:$H)</f>
        <v>0.0</v>
      </c>
      <c r="M410" s="22">
        <f>+SUMIF('حركه المخزن الرئيسي اليوميه'!$F:$F,$H:$H,'حركه المخزن الرئيسي اليوميه'!$I:$I)</f>
        <v>0.0</v>
      </c>
      <c r="N410" s="22">
        <f>+K410+L410-M410</f>
        <v>0.0</v>
      </c>
      <c r="O410" s="22">
        <f>+N410</f>
        <v>0.0</v>
      </c>
      <c r="P410" s="22">
        <f>+N410-O410</f>
        <v>0.0</v>
      </c>
      <c r="Q410" s="57"/>
      <c r="R410" s="58"/>
    </row>
    <row r="411" spans="8:8" ht="15.0" customHeight="1">
      <c r="B411" s="54">
        <v>440.0</v>
      </c>
      <c r="C411" s="8" t="s">
        <v>8351</v>
      </c>
      <c r="D411" s="8" t="s">
        <v>1013</v>
      </c>
      <c r="E411" s="8" t="s">
        <v>1369</v>
      </c>
      <c r="F411" s="8" t="s">
        <v>873</v>
      </c>
      <c r="G411" s="8" t="s">
        <v>2415</v>
      </c>
      <c r="H411" s="8" t="s">
        <v>1370</v>
      </c>
      <c r="I411" s="8" t="s">
        <v>357</v>
      </c>
      <c r="J411" s="78" t="s">
        <v>4326</v>
      </c>
      <c r="K411" s="22">
        <v>0.0</v>
      </c>
      <c r="L411" s="22">
        <f>+SUMIF('حركه المخزن الرئيسي اليوميه'!$F:$F,$H:$H,'حركه المخزن الرئيسي اليوميه'!$H:$H)</f>
        <v>0.0</v>
      </c>
      <c r="M411" s="22">
        <f>+SUMIF('حركه المخزن الرئيسي اليوميه'!$F:$F,$H:$H,'حركه المخزن الرئيسي اليوميه'!$I:$I)</f>
        <v>0.0</v>
      </c>
      <c r="N411" s="22">
        <f>+K411+L411-M411</f>
        <v>0.0</v>
      </c>
      <c r="O411" s="22">
        <f>+N411</f>
        <v>0.0</v>
      </c>
      <c r="P411" s="22">
        <f>+N411-O411</f>
        <v>0.0</v>
      </c>
      <c r="Q411" s="57"/>
      <c r="R411" s="58"/>
    </row>
    <row r="412" spans="8:8" ht="15.0" customHeight="1">
      <c r="B412" s="54">
        <v>442.0</v>
      </c>
      <c r="C412" s="8" t="s">
        <v>8351</v>
      </c>
      <c r="D412" s="8" t="s">
        <v>1013</v>
      </c>
      <c r="E412" s="8" t="s">
        <v>290</v>
      </c>
      <c r="F412" s="8" t="s">
        <v>68</v>
      </c>
      <c r="G412" s="8"/>
      <c r="H412" s="8" t="s">
        <v>1959</v>
      </c>
      <c r="I412" s="8" t="s">
        <v>377</v>
      </c>
      <c r="J412" s="78" t="s">
        <v>4327</v>
      </c>
      <c r="K412" s="22">
        <v>0.0</v>
      </c>
      <c r="L412" s="22">
        <f>+SUMIF('حركه المخزن الرئيسي اليوميه'!$F:$F,$H:$H,'حركه المخزن الرئيسي اليوميه'!$H:$H)</f>
        <v>0.0</v>
      </c>
      <c r="M412" s="22">
        <f>+SUMIF('حركه المخزن الرئيسي اليوميه'!$F:$F,$H:$H,'حركه المخزن الرئيسي اليوميه'!$I:$I)</f>
        <v>0.0</v>
      </c>
      <c r="N412" s="22">
        <f>+K412+L412-M412</f>
        <v>0.0</v>
      </c>
      <c r="O412" s="22">
        <f>+N412</f>
        <v>0.0</v>
      </c>
      <c r="P412" s="22">
        <f>+N412-O412</f>
        <v>0.0</v>
      </c>
      <c r="Q412" s="57"/>
      <c r="R412" s="58"/>
    </row>
    <row r="413" spans="8:8" ht="15.0" customHeight="1">
      <c r="B413" s="54">
        <v>443.0</v>
      </c>
      <c r="C413" s="8" t="s">
        <v>8351</v>
      </c>
      <c r="D413" s="8" t="s">
        <v>1013</v>
      </c>
      <c r="E413" s="8" t="s">
        <v>1334</v>
      </c>
      <c r="F413" s="8" t="s">
        <v>68</v>
      </c>
      <c r="G413" s="8"/>
      <c r="H413" s="8" t="s">
        <v>2734</v>
      </c>
      <c r="I413" s="8" t="s">
        <v>377</v>
      </c>
      <c r="J413" s="78" t="s">
        <v>4328</v>
      </c>
      <c r="K413" s="22">
        <v>0.0</v>
      </c>
      <c r="L413" s="22">
        <f>+SUMIF('حركه المخزن الرئيسي اليوميه'!$F:$F,$H:$H,'حركه المخزن الرئيسي اليوميه'!$H:$H)</f>
        <v>0.0</v>
      </c>
      <c r="M413" s="22">
        <f>+SUMIF('حركه المخزن الرئيسي اليوميه'!$F:$F,$H:$H,'حركه المخزن الرئيسي اليوميه'!$I:$I)</f>
        <v>0.0</v>
      </c>
      <c r="N413" s="22">
        <f>+K413+L413-M413</f>
        <v>0.0</v>
      </c>
      <c r="O413" s="22">
        <f>+N413</f>
        <v>0.0</v>
      </c>
      <c r="P413" s="22">
        <f>+N413-O413</f>
        <v>0.0</v>
      </c>
      <c r="Q413" s="57"/>
      <c r="R413" s="58"/>
    </row>
    <row r="414" spans="8:8" ht="15.0" customHeight="1">
      <c r="B414" s="54">
        <v>445.0</v>
      </c>
      <c r="C414" s="8" t="s">
        <v>8351</v>
      </c>
      <c r="D414" s="8" t="s">
        <v>820</v>
      </c>
      <c r="E414" s="8" t="s">
        <v>1335</v>
      </c>
      <c r="F414" s="8" t="s">
        <v>68</v>
      </c>
      <c r="G414" s="8"/>
      <c r="H414" s="8" t="s">
        <v>1339</v>
      </c>
      <c r="I414" s="8" t="s">
        <v>377</v>
      </c>
      <c r="J414" s="78" t="s">
        <v>4329</v>
      </c>
      <c r="K414" s="22">
        <v>0.0</v>
      </c>
      <c r="L414" s="22">
        <f>+SUMIF('حركه المخزن الرئيسي اليوميه'!$F:$F,$H:$H,'حركه المخزن الرئيسي اليوميه'!$H:$H)</f>
        <v>0.0</v>
      </c>
      <c r="M414" s="22">
        <f>+SUMIF('حركه المخزن الرئيسي اليوميه'!$F:$F,$H:$H,'حركه المخزن الرئيسي اليوميه'!$I:$I)</f>
        <v>0.0</v>
      </c>
      <c r="N414" s="22">
        <f>+K414+L414-M414</f>
        <v>0.0</v>
      </c>
      <c r="O414" s="22">
        <f>+N414</f>
        <v>0.0</v>
      </c>
      <c r="P414" s="22">
        <f>+N414-O414</f>
        <v>0.0</v>
      </c>
      <c r="Q414" s="57"/>
      <c r="R414" s="58"/>
    </row>
    <row r="415" spans="8:8" ht="15.0" customHeight="1">
      <c r="B415" s="54">
        <v>446.0</v>
      </c>
      <c r="C415" s="8" t="s">
        <v>8351</v>
      </c>
      <c r="D415" s="8" t="s">
        <v>713</v>
      </c>
      <c r="E415" s="8" t="s">
        <v>771</v>
      </c>
      <c r="F415" s="8" t="s">
        <v>68</v>
      </c>
      <c r="G415" s="8" t="s">
        <v>1921</v>
      </c>
      <c r="H415" s="8" t="s">
        <v>695</v>
      </c>
      <c r="I415" s="8" t="s">
        <v>2533</v>
      </c>
      <c r="J415" s="78" t="s">
        <v>4330</v>
      </c>
      <c r="K415" s="22">
        <v>10.0</v>
      </c>
      <c r="L415" s="22">
        <f>+SUMIF('حركه المخزن الرئيسي اليوميه'!$F:$F,$H:$H,'حركه المخزن الرئيسي اليوميه'!$H:$H)</f>
        <v>0.0</v>
      </c>
      <c r="M415" s="22">
        <f>+SUMIF('حركه المخزن الرئيسي اليوميه'!$F:$F,$H:$H,'حركه المخزن الرئيسي اليوميه'!$I:$I)</f>
        <v>0.0</v>
      </c>
      <c r="N415" s="22">
        <f>+K415+L415-M415</f>
        <v>10.0</v>
      </c>
      <c r="O415" s="22">
        <f>+N415</f>
        <v>10.0</v>
      </c>
      <c r="P415" s="22">
        <f>+N415-O415</f>
        <v>0.0</v>
      </c>
      <c r="Q415" s="57"/>
      <c r="R415" s="58"/>
    </row>
    <row r="416" spans="8:8" ht="15.0" customHeight="1">
      <c r="B416" s="54">
        <v>447.0</v>
      </c>
      <c r="C416" s="8" t="s">
        <v>8351</v>
      </c>
      <c r="D416" s="8" t="s">
        <v>713</v>
      </c>
      <c r="E416" s="8" t="s">
        <v>770</v>
      </c>
      <c r="F416" s="8" t="s">
        <v>92</v>
      </c>
      <c r="G416" s="8"/>
      <c r="H416" s="8" t="s">
        <v>2997</v>
      </c>
      <c r="I416" s="8" t="s">
        <v>2533</v>
      </c>
      <c r="J416" s="78" t="s">
        <v>4331</v>
      </c>
      <c r="K416" s="22">
        <v>0.0</v>
      </c>
      <c r="L416" s="22">
        <f>+SUMIF('حركه المخزن الرئيسي اليوميه'!$F:$F,$H:$H,'حركه المخزن الرئيسي اليوميه'!$H:$H)</f>
        <v>0.0</v>
      </c>
      <c r="M416" s="22">
        <f>+SUMIF('حركه المخزن الرئيسي اليوميه'!$F:$F,$H:$H,'حركه المخزن الرئيسي اليوميه'!$I:$I)</f>
        <v>0.0</v>
      </c>
      <c r="N416" s="22">
        <f>+K416+L416-M416</f>
        <v>0.0</v>
      </c>
      <c r="O416" s="22">
        <f>+N416</f>
        <v>0.0</v>
      </c>
      <c r="P416" s="22">
        <f>+N416-O416</f>
        <v>0.0</v>
      </c>
      <c r="Q416" s="57"/>
      <c r="R416" s="58"/>
    </row>
    <row r="417" spans="8:8" ht="15.0" customHeight="1">
      <c r="B417" s="54">
        <v>448.0</v>
      </c>
      <c r="C417" s="8" t="s">
        <v>8351</v>
      </c>
      <c r="D417" s="8" t="s">
        <v>713</v>
      </c>
      <c r="E417" s="8" t="s">
        <v>799</v>
      </c>
      <c r="F417" s="8" t="s">
        <v>68</v>
      </c>
      <c r="G417" s="8" t="s">
        <v>1770</v>
      </c>
      <c r="H417" s="8" t="s">
        <v>761</v>
      </c>
      <c r="I417" s="8" t="s">
        <v>2533</v>
      </c>
      <c r="J417" s="78" t="s">
        <v>4332</v>
      </c>
      <c r="K417" s="22">
        <v>1.0</v>
      </c>
      <c r="L417" s="22">
        <f>+SUMIF('حركه المخزن الرئيسي اليوميه'!$F:$F,$H:$H,'حركه المخزن الرئيسي اليوميه'!$H:$H)</f>
        <v>0.0</v>
      </c>
      <c r="M417" s="22">
        <f>+SUMIF('حركه المخزن الرئيسي اليوميه'!$F:$F,$H:$H,'حركه المخزن الرئيسي اليوميه'!$I:$I)</f>
        <v>0.0</v>
      </c>
      <c r="N417" s="22">
        <f>+K417+L417-M417</f>
        <v>1.0</v>
      </c>
      <c r="O417" s="22">
        <f>+N417</f>
        <v>1.0</v>
      </c>
      <c r="P417" s="22">
        <f>+N417-O417</f>
        <v>0.0</v>
      </c>
      <c r="Q417" s="57"/>
      <c r="R417" s="58"/>
    </row>
    <row r="418" spans="8:8" ht="15.0" customHeight="1">
      <c r="B418" s="54">
        <v>449.0</v>
      </c>
      <c r="C418" s="8" t="s">
        <v>8351</v>
      </c>
      <c r="D418" s="8" t="s">
        <v>713</v>
      </c>
      <c r="E418" s="8" t="s">
        <v>799</v>
      </c>
      <c r="F418" s="8" t="s">
        <v>68</v>
      </c>
      <c r="G418" s="8" t="s">
        <v>1770</v>
      </c>
      <c r="H418" s="8" t="s">
        <v>762</v>
      </c>
      <c r="I418" s="8" t="s">
        <v>2533</v>
      </c>
      <c r="J418" s="78" t="s">
        <v>4333</v>
      </c>
      <c r="K418" s="22">
        <v>1.0</v>
      </c>
      <c r="L418" s="22">
        <f>+SUMIF('حركه المخزن الرئيسي اليوميه'!$F:$F,$H:$H,'حركه المخزن الرئيسي اليوميه'!$H:$H)</f>
        <v>0.0</v>
      </c>
      <c r="M418" s="22">
        <f>+SUMIF('حركه المخزن الرئيسي اليوميه'!$F:$F,$H:$H,'حركه المخزن الرئيسي اليوميه'!$I:$I)</f>
        <v>0.0</v>
      </c>
      <c r="N418" s="22">
        <f>+K418+L418-M418</f>
        <v>1.0</v>
      </c>
      <c r="O418" s="22">
        <f>+N418</f>
        <v>1.0</v>
      </c>
      <c r="P418" s="22">
        <f>+N418-O418</f>
        <v>0.0</v>
      </c>
      <c r="Q418" s="57"/>
      <c r="R418" s="58"/>
    </row>
    <row r="419" spans="8:8" ht="15.0" customHeight="1">
      <c r="B419" s="54">
        <v>450.0</v>
      </c>
      <c r="C419" s="8" t="s">
        <v>8351</v>
      </c>
      <c r="D419" s="8" t="s">
        <v>1013</v>
      </c>
      <c r="E419" s="8" t="s">
        <v>2013</v>
      </c>
      <c r="F419" s="8" t="s">
        <v>1573</v>
      </c>
      <c r="G419" s="8"/>
      <c r="H419" s="8" t="s">
        <v>2013</v>
      </c>
      <c r="I419" s="8" t="s">
        <v>8138</v>
      </c>
      <c r="J419" s="78" t="s">
        <v>4334</v>
      </c>
      <c r="K419" s="22">
        <v>6.0</v>
      </c>
      <c r="L419" s="22">
        <f>+SUMIF('حركه المخزن الرئيسي اليوميه'!$F:$F,$H:$H,'حركه المخزن الرئيسي اليوميه'!$H:$H)</f>
        <v>0.0</v>
      </c>
      <c r="M419" s="22">
        <f>+SUMIF('حركه المخزن الرئيسي اليوميه'!$F:$F,$H:$H,'حركه المخزن الرئيسي اليوميه'!$I:$I)</f>
        <v>1.0</v>
      </c>
      <c r="N419" s="22">
        <f>+K419+L419-M419</f>
        <v>5.0</v>
      </c>
      <c r="O419" s="22">
        <f>+N419</f>
        <v>5.0</v>
      </c>
      <c r="P419" s="22">
        <f>+N419-O419</f>
        <v>0.0</v>
      </c>
      <c r="Q419" s="57"/>
      <c r="R419" s="58"/>
    </row>
    <row r="420" spans="8:8" ht="15.0" customHeight="1">
      <c r="B420" s="54">
        <v>451.0</v>
      </c>
      <c r="C420" s="8" t="s">
        <v>8351</v>
      </c>
      <c r="D420" s="8" t="s">
        <v>765</v>
      </c>
      <c r="E420" s="8" t="s">
        <v>2824</v>
      </c>
      <c r="F420" s="8" t="s">
        <v>68</v>
      </c>
      <c r="G420" s="8"/>
      <c r="H420" s="8" t="s">
        <v>2824</v>
      </c>
      <c r="I420" s="8" t="s">
        <v>8103</v>
      </c>
      <c r="J420" s="78" t="s">
        <v>4335</v>
      </c>
      <c r="K420" s="22">
        <v>1.0</v>
      </c>
      <c r="L420" s="22">
        <f>+SUMIF('حركه المخزن الرئيسي اليوميه'!$F:$F,$H:$H,'حركه المخزن الرئيسي اليوميه'!$H:$H)</f>
        <v>0.0</v>
      </c>
      <c r="M420" s="22">
        <f>+SUMIF('حركه المخزن الرئيسي اليوميه'!$F:$F,$H:$H,'حركه المخزن الرئيسي اليوميه'!$I:$I)</f>
        <v>0.0</v>
      </c>
      <c r="N420" s="22">
        <f>+K420+L420-M420</f>
        <v>1.0</v>
      </c>
      <c r="O420" s="22">
        <f>+N420</f>
        <v>1.0</v>
      </c>
      <c r="P420" s="22">
        <f>+N420-O420</f>
        <v>0.0</v>
      </c>
      <c r="Q420" s="57"/>
      <c r="R420" s="58"/>
    </row>
    <row r="421" spans="8:8" ht="15.0" customHeight="1">
      <c r="B421" s="54">
        <v>452.0</v>
      </c>
      <c r="C421" s="8" t="s">
        <v>8351</v>
      </c>
      <c r="D421" s="8" t="s">
        <v>1013</v>
      </c>
      <c r="E421" s="8" t="s">
        <v>331</v>
      </c>
      <c r="F421" s="8" t="s">
        <v>282</v>
      </c>
      <c r="G421" s="8"/>
      <c r="H421" s="8" t="s">
        <v>3081</v>
      </c>
      <c r="I421" s="8" t="s">
        <v>8138</v>
      </c>
      <c r="J421" s="78" t="s">
        <v>4336</v>
      </c>
      <c r="K421" s="22">
        <v>6.0</v>
      </c>
      <c r="L421" s="22">
        <f>+SUMIF('حركه المخزن الرئيسي اليوميه'!$F:$F,$H:$H,'حركه المخزن الرئيسي اليوميه'!$H:$H)</f>
        <v>0.0</v>
      </c>
      <c r="M421" s="22">
        <f>+SUMIF('حركه المخزن الرئيسي اليوميه'!$F:$F,$H:$H,'حركه المخزن الرئيسي اليوميه'!$I:$I)</f>
        <v>0.0</v>
      </c>
      <c r="N421" s="22">
        <f>+K421+L421-M421</f>
        <v>6.0</v>
      </c>
      <c r="O421" s="22">
        <f>+N421</f>
        <v>6.0</v>
      </c>
      <c r="P421" s="22">
        <f>+N421-O421</f>
        <v>0.0</v>
      </c>
      <c r="Q421" s="57"/>
      <c r="R421" s="58"/>
    </row>
    <row r="422" spans="8:8" ht="15.0" customHeight="1">
      <c r="B422" s="54">
        <v>453.0</v>
      </c>
      <c r="C422" s="8" t="s">
        <v>8351</v>
      </c>
      <c r="D422" s="8" t="s">
        <v>1013</v>
      </c>
      <c r="E422" s="8" t="s">
        <v>376</v>
      </c>
      <c r="F422" s="8" t="s">
        <v>282</v>
      </c>
      <c r="G422" s="8" t="s">
        <v>2124</v>
      </c>
      <c r="H422" s="8" t="s">
        <v>376</v>
      </c>
      <c r="I422" s="8" t="s">
        <v>375</v>
      </c>
      <c r="J422" s="78" t="s">
        <v>4337</v>
      </c>
      <c r="K422" s="22">
        <v>0.0</v>
      </c>
      <c r="L422" s="22">
        <f>+SUMIF('حركه المخزن الرئيسي اليوميه'!$F:$F,$H:$H,'حركه المخزن الرئيسي اليوميه'!$H:$H)</f>
        <v>0.0</v>
      </c>
      <c r="M422" s="22">
        <f>+SUMIF('حركه المخزن الرئيسي اليوميه'!$F:$F,$H:$H,'حركه المخزن الرئيسي اليوميه'!$I:$I)</f>
        <v>0.0</v>
      </c>
      <c r="N422" s="22">
        <f>+K422+L422-M422</f>
        <v>0.0</v>
      </c>
      <c r="O422" s="22">
        <f>+N422</f>
        <v>0.0</v>
      </c>
      <c r="P422" s="22">
        <f>+N422-O422</f>
        <v>0.0</v>
      </c>
      <c r="Q422" s="57"/>
      <c r="R422" s="58"/>
    </row>
    <row r="423" spans="8:8" ht="15.0" customHeight="1">
      <c r="B423" s="54">
        <v>454.0</v>
      </c>
      <c r="C423" s="8" t="s">
        <v>8351</v>
      </c>
      <c r="D423" s="8" t="s">
        <v>1013</v>
      </c>
      <c r="E423" s="8" t="s">
        <v>1426</v>
      </c>
      <c r="F423" s="8" t="s">
        <v>68</v>
      </c>
      <c r="G423" s="8" t="s">
        <v>2122</v>
      </c>
      <c r="H423" s="8" t="s">
        <v>1368</v>
      </c>
      <c r="I423" s="8" t="s">
        <v>361</v>
      </c>
      <c r="J423" s="78" t="s">
        <v>4338</v>
      </c>
      <c r="K423" s="22">
        <v>0.0</v>
      </c>
      <c r="L423" s="22">
        <f>+SUMIF('حركه المخزن الرئيسي اليوميه'!$F:$F,$H:$H,'حركه المخزن الرئيسي اليوميه'!$H:$H)</f>
        <v>0.0</v>
      </c>
      <c r="M423" s="22">
        <f>+SUMIF('حركه المخزن الرئيسي اليوميه'!$F:$F,$H:$H,'حركه المخزن الرئيسي اليوميه'!$I:$I)</f>
        <v>0.0</v>
      </c>
      <c r="N423" s="22">
        <f>+K423+L423-M423</f>
        <v>0.0</v>
      </c>
      <c r="O423" s="22">
        <f>+N423</f>
        <v>0.0</v>
      </c>
      <c r="P423" s="22">
        <f>+N423-O423</f>
        <v>0.0</v>
      </c>
      <c r="Q423" s="57"/>
      <c r="R423" s="58"/>
    </row>
    <row r="424" spans="8:8" ht="15.0" customHeight="1">
      <c r="B424" s="54">
        <v>457.0</v>
      </c>
      <c r="C424" s="8" t="s">
        <v>8351</v>
      </c>
      <c r="D424" s="8" t="s">
        <v>713</v>
      </c>
      <c r="E424" s="8" t="s">
        <v>792</v>
      </c>
      <c r="F424" s="8" t="s">
        <v>68</v>
      </c>
      <c r="G424" s="8" t="s">
        <v>1764</v>
      </c>
      <c r="H424" s="8" t="s">
        <v>788</v>
      </c>
      <c r="I424" s="8" t="s">
        <v>1434</v>
      </c>
      <c r="J424" s="78" t="s">
        <v>4339</v>
      </c>
      <c r="K424" s="22">
        <v>2.0</v>
      </c>
      <c r="L424" s="22">
        <f>+SUMIF('حركه المخزن الرئيسي اليوميه'!$F:$F,$H:$H,'حركه المخزن الرئيسي اليوميه'!$H:$H)</f>
        <v>0.0</v>
      </c>
      <c r="M424" s="22">
        <f>+SUMIF('حركه المخزن الرئيسي اليوميه'!$F:$F,$H:$H,'حركه المخزن الرئيسي اليوميه'!$I:$I)</f>
        <v>0.0</v>
      </c>
      <c r="N424" s="22">
        <f>+K424+L424-M424</f>
        <v>2.0</v>
      </c>
      <c r="O424" s="22">
        <f>+N424</f>
        <v>2.0</v>
      </c>
      <c r="P424" s="22">
        <f>+N424-O424</f>
        <v>0.0</v>
      </c>
      <c r="Q424" s="57"/>
      <c r="R424" s="58"/>
    </row>
    <row r="425" spans="8:8" ht="15.0" customHeight="1">
      <c r="B425" s="54">
        <v>458.0</v>
      </c>
      <c r="C425" s="8" t="s">
        <v>8351</v>
      </c>
      <c r="D425" s="8" t="s">
        <v>713</v>
      </c>
      <c r="E425" s="8" t="s">
        <v>770</v>
      </c>
      <c r="F425" s="8" t="s">
        <v>92</v>
      </c>
      <c r="G425" s="8" t="s">
        <v>1762</v>
      </c>
      <c r="H425" s="8" t="s">
        <v>694</v>
      </c>
      <c r="I425" s="8" t="s">
        <v>1434</v>
      </c>
      <c r="J425" s="78" t="s">
        <v>4340</v>
      </c>
      <c r="K425" s="22">
        <v>3.0</v>
      </c>
      <c r="L425" s="22">
        <f>+SUMIF('حركه المخزن الرئيسي اليوميه'!$F:$F,$H:$H,'حركه المخزن الرئيسي اليوميه'!$H:$H)</f>
        <v>0.0</v>
      </c>
      <c r="M425" s="22">
        <f>+SUMIF('حركه المخزن الرئيسي اليوميه'!$F:$F,$H:$H,'حركه المخزن الرئيسي اليوميه'!$I:$I)</f>
        <v>0.0</v>
      </c>
      <c r="N425" s="22">
        <f>+K425+L425-M425</f>
        <v>3.0</v>
      </c>
      <c r="O425" s="22">
        <f>+N425</f>
        <v>3.0</v>
      </c>
      <c r="P425" s="22">
        <f>+N425-O425</f>
        <v>0.0</v>
      </c>
      <c r="Q425" s="57"/>
      <c r="R425" s="58"/>
    </row>
    <row r="426" spans="8:8" ht="15.0" customHeight="1">
      <c r="B426" s="54">
        <v>459.0</v>
      </c>
      <c r="C426" s="8" t="s">
        <v>8351</v>
      </c>
      <c r="D426" s="8" t="s">
        <v>713</v>
      </c>
      <c r="E426" s="8" t="s">
        <v>770</v>
      </c>
      <c r="F426" s="8" t="s">
        <v>68</v>
      </c>
      <c r="G426" s="8" t="s">
        <v>1762</v>
      </c>
      <c r="H426" s="8" t="s">
        <v>701</v>
      </c>
      <c r="I426" s="8" t="s">
        <v>1434</v>
      </c>
      <c r="J426" s="78" t="s">
        <v>4341</v>
      </c>
      <c r="K426" s="22">
        <v>0.0</v>
      </c>
      <c r="L426" s="22">
        <f>+SUMIF('حركه المخزن الرئيسي اليوميه'!$F:$F,$H:$H,'حركه المخزن الرئيسي اليوميه'!$H:$H)</f>
        <v>0.0</v>
      </c>
      <c r="M426" s="22">
        <f>+SUMIF('حركه المخزن الرئيسي اليوميه'!$F:$F,$H:$H,'حركه المخزن الرئيسي اليوميه'!$I:$I)</f>
        <v>0.0</v>
      </c>
      <c r="N426" s="22">
        <f>+K426+L426-M426</f>
        <v>0.0</v>
      </c>
      <c r="O426" s="22">
        <f>+N426</f>
        <v>0.0</v>
      </c>
      <c r="P426" s="22">
        <f>+N426-O426</f>
        <v>0.0</v>
      </c>
      <c r="Q426" s="57"/>
      <c r="R426" s="58"/>
    </row>
    <row r="427" spans="8:8" ht="15.0" customHeight="1">
      <c r="B427" s="54">
        <v>460.0</v>
      </c>
      <c r="C427" s="8" t="s">
        <v>8351</v>
      </c>
      <c r="D427" s="8" t="s">
        <v>713</v>
      </c>
      <c r="E427" s="8" t="s">
        <v>770</v>
      </c>
      <c r="F427" s="8" t="s">
        <v>68</v>
      </c>
      <c r="G427" s="8" t="s">
        <v>1762</v>
      </c>
      <c r="H427" s="8" t="s">
        <v>690</v>
      </c>
      <c r="I427" s="8" t="s">
        <v>1434</v>
      </c>
      <c r="J427" s="78" t="s">
        <v>4342</v>
      </c>
      <c r="K427" s="22">
        <v>0.0</v>
      </c>
      <c r="L427" s="22">
        <f>+SUMIF('حركه المخزن الرئيسي اليوميه'!$F:$F,$H:$H,'حركه المخزن الرئيسي اليوميه'!$H:$H)</f>
        <v>0.0</v>
      </c>
      <c r="M427" s="22">
        <f>+SUMIF('حركه المخزن الرئيسي اليوميه'!$F:$F,$H:$H,'حركه المخزن الرئيسي اليوميه'!$I:$I)</f>
        <v>0.0</v>
      </c>
      <c r="N427" s="22">
        <f>+K427+L427-M427</f>
        <v>0.0</v>
      </c>
      <c r="O427" s="22">
        <f>+N427</f>
        <v>0.0</v>
      </c>
      <c r="P427" s="22">
        <f>+N427-O427</f>
        <v>0.0</v>
      </c>
      <c r="Q427" s="57"/>
      <c r="R427" s="58"/>
    </row>
    <row r="428" spans="8:8" ht="15.0" customHeight="1">
      <c r="B428" s="54">
        <v>461.0</v>
      </c>
      <c r="C428" s="8" t="s">
        <v>8351</v>
      </c>
      <c r="D428" s="8" t="s">
        <v>713</v>
      </c>
      <c r="E428" s="8" t="s">
        <v>770</v>
      </c>
      <c r="F428" s="8" t="s">
        <v>68</v>
      </c>
      <c r="G428" s="8" t="s">
        <v>1762</v>
      </c>
      <c r="H428" s="8" t="s">
        <v>691</v>
      </c>
      <c r="I428" s="8" t="s">
        <v>1434</v>
      </c>
      <c r="J428" s="78" t="s">
        <v>4343</v>
      </c>
      <c r="K428" s="22">
        <v>0.0</v>
      </c>
      <c r="L428" s="22">
        <f>+SUMIF('حركه المخزن الرئيسي اليوميه'!$F:$F,$H:$H,'حركه المخزن الرئيسي اليوميه'!$H:$H)</f>
        <v>0.0</v>
      </c>
      <c r="M428" s="22">
        <f>+SUMIF('حركه المخزن الرئيسي اليوميه'!$F:$F,$H:$H,'حركه المخزن الرئيسي اليوميه'!$I:$I)</f>
        <v>0.0</v>
      </c>
      <c r="N428" s="22">
        <f>+K428+L428-M428</f>
        <v>0.0</v>
      </c>
      <c r="O428" s="22">
        <f>+N428</f>
        <v>0.0</v>
      </c>
      <c r="P428" s="22">
        <f>+N428-O428</f>
        <v>0.0</v>
      </c>
      <c r="Q428" s="57"/>
      <c r="R428" s="58"/>
    </row>
    <row r="429" spans="8:8" ht="15.0" customHeight="1">
      <c r="B429" s="54">
        <v>462.0</v>
      </c>
      <c r="C429" s="8" t="s">
        <v>8351</v>
      </c>
      <c r="D429" s="8" t="s">
        <v>713</v>
      </c>
      <c r="E429" s="8" t="s">
        <v>770</v>
      </c>
      <c r="F429" s="8" t="s">
        <v>68</v>
      </c>
      <c r="G429" s="8" t="s">
        <v>1762</v>
      </c>
      <c r="H429" s="8" t="s">
        <v>685</v>
      </c>
      <c r="I429" s="8" t="s">
        <v>1434</v>
      </c>
      <c r="J429" s="78" t="s">
        <v>4344</v>
      </c>
      <c r="K429" s="22">
        <v>0.0</v>
      </c>
      <c r="L429" s="22">
        <f>+SUMIF('حركه المخزن الرئيسي اليوميه'!$F:$F,$H:$H,'حركه المخزن الرئيسي اليوميه'!$H:$H)</f>
        <v>0.0</v>
      </c>
      <c r="M429" s="22">
        <f>+SUMIF('حركه المخزن الرئيسي اليوميه'!$F:$F,$H:$H,'حركه المخزن الرئيسي اليوميه'!$I:$I)</f>
        <v>0.0</v>
      </c>
      <c r="N429" s="22">
        <f>+K429+L429-M429</f>
        <v>0.0</v>
      </c>
      <c r="O429" s="22">
        <f>+N429</f>
        <v>0.0</v>
      </c>
      <c r="P429" s="22">
        <f>+N429-O429</f>
        <v>0.0</v>
      </c>
      <c r="Q429" s="57"/>
      <c r="R429" s="58"/>
    </row>
    <row r="430" spans="8:8" ht="15.0" customHeight="1">
      <c r="B430" s="54">
        <v>463.0</v>
      </c>
      <c r="C430" s="8" t="s">
        <v>8351</v>
      </c>
      <c r="D430" s="8" t="s">
        <v>713</v>
      </c>
      <c r="E430" s="8" t="s">
        <v>770</v>
      </c>
      <c r="F430" s="8" t="s">
        <v>68</v>
      </c>
      <c r="G430" s="8" t="s">
        <v>1762</v>
      </c>
      <c r="H430" s="8" t="s">
        <v>686</v>
      </c>
      <c r="I430" s="8" t="s">
        <v>1434</v>
      </c>
      <c r="J430" s="78" t="s">
        <v>4345</v>
      </c>
      <c r="K430" s="22">
        <v>0.0</v>
      </c>
      <c r="L430" s="22">
        <f>+SUMIF('حركه المخزن الرئيسي اليوميه'!$F:$F,$H:$H,'حركه المخزن الرئيسي اليوميه'!$H:$H)</f>
        <v>0.0</v>
      </c>
      <c r="M430" s="22">
        <f>+SUMIF('حركه المخزن الرئيسي اليوميه'!$F:$F,$H:$H,'حركه المخزن الرئيسي اليوميه'!$I:$I)</f>
        <v>0.0</v>
      </c>
      <c r="N430" s="22">
        <f>+K430+L430-M430</f>
        <v>0.0</v>
      </c>
      <c r="O430" s="22">
        <f>+N430</f>
        <v>0.0</v>
      </c>
      <c r="P430" s="22">
        <f>+N430-O430</f>
        <v>0.0</v>
      </c>
      <c r="Q430" s="57"/>
      <c r="R430" s="58"/>
    </row>
    <row r="431" spans="8:8" ht="15.0" customHeight="1">
      <c r="B431" s="54">
        <v>464.0</v>
      </c>
      <c r="C431" s="8" t="s">
        <v>8351</v>
      </c>
      <c r="D431" s="8" t="s">
        <v>713</v>
      </c>
      <c r="E431" s="8" t="s">
        <v>770</v>
      </c>
      <c r="F431" s="8" t="s">
        <v>68</v>
      </c>
      <c r="G431" s="8" t="s">
        <v>1762</v>
      </c>
      <c r="H431" s="8" t="s">
        <v>684</v>
      </c>
      <c r="I431" s="8" t="s">
        <v>1434</v>
      </c>
      <c r="J431" s="78" t="s">
        <v>4346</v>
      </c>
      <c r="K431" s="22">
        <v>0.0</v>
      </c>
      <c r="L431" s="22">
        <f>+SUMIF('حركه المخزن الرئيسي اليوميه'!$F:$F,$H:$H,'حركه المخزن الرئيسي اليوميه'!$H:$H)</f>
        <v>0.0</v>
      </c>
      <c r="M431" s="22">
        <f>+SUMIF('حركه المخزن الرئيسي اليوميه'!$F:$F,$H:$H,'حركه المخزن الرئيسي اليوميه'!$I:$I)</f>
        <v>0.0</v>
      </c>
      <c r="N431" s="22">
        <f>+K431+L431-M431</f>
        <v>0.0</v>
      </c>
      <c r="O431" s="22">
        <f>+N431</f>
        <v>0.0</v>
      </c>
      <c r="P431" s="22">
        <f>+N431-O431</f>
        <v>0.0</v>
      </c>
      <c r="Q431" s="57"/>
      <c r="R431" s="58"/>
    </row>
    <row r="432" spans="8:8" ht="15.0" customHeight="1">
      <c r="B432" s="54">
        <v>465.0</v>
      </c>
      <c r="C432" s="8" t="s">
        <v>8351</v>
      </c>
      <c r="D432" s="8" t="s">
        <v>713</v>
      </c>
      <c r="E432" s="8" t="s">
        <v>770</v>
      </c>
      <c r="F432" s="8" t="s">
        <v>68</v>
      </c>
      <c r="G432" s="8" t="s">
        <v>1762</v>
      </c>
      <c r="H432" s="8" t="s">
        <v>683</v>
      </c>
      <c r="I432" s="8" t="s">
        <v>1434</v>
      </c>
      <c r="J432" s="78" t="s">
        <v>4347</v>
      </c>
      <c r="K432" s="22">
        <v>0.0</v>
      </c>
      <c r="L432" s="22">
        <f>+SUMIF('حركه المخزن الرئيسي اليوميه'!$F:$F,$H:$H,'حركه المخزن الرئيسي اليوميه'!$H:$H)</f>
        <v>0.0</v>
      </c>
      <c r="M432" s="22">
        <f>+SUMIF('حركه المخزن الرئيسي اليوميه'!$F:$F,$H:$H,'حركه المخزن الرئيسي اليوميه'!$I:$I)</f>
        <v>0.0</v>
      </c>
      <c r="N432" s="22">
        <f>+K432+L432-M432</f>
        <v>0.0</v>
      </c>
      <c r="O432" s="22">
        <f>+N432</f>
        <v>0.0</v>
      </c>
      <c r="P432" s="22">
        <f>+N432-O432</f>
        <v>0.0</v>
      </c>
      <c r="Q432" s="57"/>
      <c r="R432" s="58"/>
    </row>
    <row r="433" spans="8:8" ht="15.0" customHeight="1">
      <c r="B433" s="54">
        <v>466.0</v>
      </c>
      <c r="C433" s="8" t="s">
        <v>8351</v>
      </c>
      <c r="D433" s="8" t="s">
        <v>713</v>
      </c>
      <c r="E433" s="8" t="s">
        <v>770</v>
      </c>
      <c r="F433" s="8" t="s">
        <v>68</v>
      </c>
      <c r="G433" s="8" t="s">
        <v>1762</v>
      </c>
      <c r="H433" s="8" t="s">
        <v>687</v>
      </c>
      <c r="I433" s="8" t="s">
        <v>1434</v>
      </c>
      <c r="J433" s="78" t="s">
        <v>4348</v>
      </c>
      <c r="K433" s="22">
        <v>0.0</v>
      </c>
      <c r="L433" s="22">
        <f>+SUMIF('حركه المخزن الرئيسي اليوميه'!$F:$F,$H:$H,'حركه المخزن الرئيسي اليوميه'!$H:$H)</f>
        <v>0.0</v>
      </c>
      <c r="M433" s="22">
        <f>+SUMIF('حركه المخزن الرئيسي اليوميه'!$F:$F,$H:$H,'حركه المخزن الرئيسي اليوميه'!$I:$I)</f>
        <v>0.0</v>
      </c>
      <c r="N433" s="22">
        <f>+K433+L433-M433</f>
        <v>0.0</v>
      </c>
      <c r="O433" s="22">
        <f>+N433</f>
        <v>0.0</v>
      </c>
      <c r="P433" s="22">
        <f>+N433-O433</f>
        <v>0.0</v>
      </c>
      <c r="Q433" s="57"/>
      <c r="R433" s="58"/>
    </row>
    <row r="434" spans="8:8" ht="15.0" customHeight="1">
      <c r="B434" s="54">
        <v>467.0</v>
      </c>
      <c r="C434" s="8" t="s">
        <v>8351</v>
      </c>
      <c r="D434" s="8" t="s">
        <v>713</v>
      </c>
      <c r="E434" s="8" t="s">
        <v>770</v>
      </c>
      <c r="F434" s="8" t="s">
        <v>68</v>
      </c>
      <c r="G434" s="8" t="s">
        <v>1762</v>
      </c>
      <c r="H434" s="8" t="s">
        <v>682</v>
      </c>
      <c r="I434" s="8" t="s">
        <v>1434</v>
      </c>
      <c r="J434" s="78" t="s">
        <v>4349</v>
      </c>
      <c r="K434" s="22">
        <v>0.0</v>
      </c>
      <c r="L434" s="22">
        <f>+SUMIF('حركه المخزن الرئيسي اليوميه'!$F:$F,$H:$H,'حركه المخزن الرئيسي اليوميه'!$H:$H)</f>
        <v>0.0</v>
      </c>
      <c r="M434" s="22">
        <f>+SUMIF('حركه المخزن الرئيسي اليوميه'!$F:$F,$H:$H,'حركه المخزن الرئيسي اليوميه'!$I:$I)</f>
        <v>0.0</v>
      </c>
      <c r="N434" s="22">
        <f>+K434+L434-M434</f>
        <v>0.0</v>
      </c>
      <c r="O434" s="22">
        <f>+N434</f>
        <v>0.0</v>
      </c>
      <c r="P434" s="22">
        <f>+N434-O434</f>
        <v>0.0</v>
      </c>
      <c r="Q434" s="57"/>
      <c r="R434" s="58"/>
    </row>
    <row r="435" spans="8:8" ht="15.0" customHeight="1">
      <c r="B435" s="54">
        <v>468.0</v>
      </c>
      <c r="C435" s="8" t="s">
        <v>8351</v>
      </c>
      <c r="D435" s="8" t="s">
        <v>713</v>
      </c>
      <c r="E435" s="8" t="s">
        <v>770</v>
      </c>
      <c r="F435" s="8" t="s">
        <v>68</v>
      </c>
      <c r="G435" s="8" t="s">
        <v>1762</v>
      </c>
      <c r="H435" s="8" t="s">
        <v>689</v>
      </c>
      <c r="I435" s="8" t="s">
        <v>1434</v>
      </c>
      <c r="J435" s="78" t="s">
        <v>4350</v>
      </c>
      <c r="K435" s="22">
        <v>0.0</v>
      </c>
      <c r="L435" s="22">
        <f>+SUMIF('حركه المخزن الرئيسي اليوميه'!$F:$F,$H:$H,'حركه المخزن الرئيسي اليوميه'!$H:$H)</f>
        <v>0.0</v>
      </c>
      <c r="M435" s="22">
        <f>+SUMIF('حركه المخزن الرئيسي اليوميه'!$F:$F,$H:$H,'حركه المخزن الرئيسي اليوميه'!$I:$I)</f>
        <v>0.0</v>
      </c>
      <c r="N435" s="22">
        <f>+K435+L435-M435</f>
        <v>0.0</v>
      </c>
      <c r="O435" s="22">
        <f>+N435</f>
        <v>0.0</v>
      </c>
      <c r="P435" s="22">
        <f>+N435-O435</f>
        <v>0.0</v>
      </c>
      <c r="Q435" s="57"/>
      <c r="R435" s="58"/>
    </row>
    <row r="436" spans="8:8" ht="15.0" customHeight="1">
      <c r="B436" s="54">
        <v>469.0</v>
      </c>
      <c r="C436" s="8" t="s">
        <v>8351</v>
      </c>
      <c r="D436" s="8" t="s">
        <v>713</v>
      </c>
      <c r="E436" s="8" t="s">
        <v>770</v>
      </c>
      <c r="F436" s="8" t="s">
        <v>68</v>
      </c>
      <c r="G436" s="8" t="s">
        <v>1762</v>
      </c>
      <c r="H436" s="8" t="s">
        <v>681</v>
      </c>
      <c r="I436" s="8" t="s">
        <v>1434</v>
      </c>
      <c r="J436" s="78" t="s">
        <v>4351</v>
      </c>
      <c r="K436" s="22">
        <v>0.0</v>
      </c>
      <c r="L436" s="22">
        <f>+SUMIF('حركه المخزن الرئيسي اليوميه'!$F:$F,$H:$H,'حركه المخزن الرئيسي اليوميه'!$H:$H)</f>
        <v>0.0</v>
      </c>
      <c r="M436" s="22">
        <f>+SUMIF('حركه المخزن الرئيسي اليوميه'!$F:$F,$H:$H,'حركه المخزن الرئيسي اليوميه'!$I:$I)</f>
        <v>0.0</v>
      </c>
      <c r="N436" s="22">
        <f>+K436+L436-M436</f>
        <v>0.0</v>
      </c>
      <c r="O436" s="22">
        <f>+N436</f>
        <v>0.0</v>
      </c>
      <c r="P436" s="22">
        <f>+N436-O436</f>
        <v>0.0</v>
      </c>
      <c r="Q436" s="57"/>
      <c r="R436" s="58"/>
    </row>
    <row r="437" spans="8:8" ht="15.0" customHeight="1">
      <c r="B437" s="54">
        <v>470.0</v>
      </c>
      <c r="C437" s="8" t="s">
        <v>8351</v>
      </c>
      <c r="D437" s="8" t="s">
        <v>713</v>
      </c>
      <c r="E437" s="8" t="s">
        <v>770</v>
      </c>
      <c r="F437" s="8" t="s">
        <v>68</v>
      </c>
      <c r="G437" s="8" t="s">
        <v>1762</v>
      </c>
      <c r="H437" s="8" t="s">
        <v>692</v>
      </c>
      <c r="I437" s="8" t="s">
        <v>1434</v>
      </c>
      <c r="J437" s="78" t="s">
        <v>4352</v>
      </c>
      <c r="K437" s="22">
        <v>0.0</v>
      </c>
      <c r="L437" s="22">
        <f>+SUMIF('حركه المخزن الرئيسي اليوميه'!$F:$F,$H:$H,'حركه المخزن الرئيسي اليوميه'!$H:$H)</f>
        <v>0.0</v>
      </c>
      <c r="M437" s="22">
        <f>+SUMIF('حركه المخزن الرئيسي اليوميه'!$F:$F,$H:$H,'حركه المخزن الرئيسي اليوميه'!$I:$I)</f>
        <v>0.0</v>
      </c>
      <c r="N437" s="22">
        <f>+K437+L437-M437</f>
        <v>0.0</v>
      </c>
      <c r="O437" s="22">
        <f>+N437</f>
        <v>0.0</v>
      </c>
      <c r="P437" s="22">
        <f>+N437-O437</f>
        <v>0.0</v>
      </c>
      <c r="Q437" s="57"/>
      <c r="R437" s="58"/>
    </row>
    <row r="438" spans="8:8" ht="15.0" customHeight="1">
      <c r="B438" s="54">
        <v>471.0</v>
      </c>
      <c r="C438" s="8" t="s">
        <v>8351</v>
      </c>
      <c r="D438" s="8" t="s">
        <v>713</v>
      </c>
      <c r="E438" s="8" t="s">
        <v>770</v>
      </c>
      <c r="F438" s="8" t="s">
        <v>68</v>
      </c>
      <c r="G438" s="8" t="s">
        <v>1762</v>
      </c>
      <c r="H438" s="8" t="s">
        <v>693</v>
      </c>
      <c r="I438" s="8" t="s">
        <v>1434</v>
      </c>
      <c r="J438" s="78" t="s">
        <v>4353</v>
      </c>
      <c r="K438" s="22">
        <v>0.0</v>
      </c>
      <c r="L438" s="22">
        <f>+SUMIF('حركه المخزن الرئيسي اليوميه'!$F:$F,$H:$H,'حركه المخزن الرئيسي اليوميه'!$H:$H)</f>
        <v>0.0</v>
      </c>
      <c r="M438" s="22">
        <f>+SUMIF('حركه المخزن الرئيسي اليوميه'!$F:$F,$H:$H,'حركه المخزن الرئيسي اليوميه'!$I:$I)</f>
        <v>0.0</v>
      </c>
      <c r="N438" s="22">
        <f>+K438+L438-M438</f>
        <v>0.0</v>
      </c>
      <c r="O438" s="22">
        <f>+N438</f>
        <v>0.0</v>
      </c>
      <c r="P438" s="22">
        <f>+N438-O438</f>
        <v>0.0</v>
      </c>
      <c r="Q438" s="57"/>
      <c r="R438" s="58"/>
    </row>
    <row r="439" spans="8:8" ht="15.0" customHeight="1">
      <c r="B439" s="54">
        <v>472.0</v>
      </c>
      <c r="C439" s="8" t="s">
        <v>8351</v>
      </c>
      <c r="D439" s="8" t="s">
        <v>713</v>
      </c>
      <c r="E439" s="8" t="s">
        <v>770</v>
      </c>
      <c r="F439" s="8" t="s">
        <v>68</v>
      </c>
      <c r="G439" s="8" t="s">
        <v>1762</v>
      </c>
      <c r="H439" s="8" t="s">
        <v>688</v>
      </c>
      <c r="I439" s="8" t="s">
        <v>1434</v>
      </c>
      <c r="J439" s="78" t="s">
        <v>4354</v>
      </c>
      <c r="K439" s="22">
        <v>0.0</v>
      </c>
      <c r="L439" s="22">
        <f>+SUMIF('حركه المخزن الرئيسي اليوميه'!$F:$F,$H:$H,'حركه المخزن الرئيسي اليوميه'!$H:$H)</f>
        <v>0.0</v>
      </c>
      <c r="M439" s="22">
        <f>+SUMIF('حركه المخزن الرئيسي اليوميه'!$F:$F,$H:$H,'حركه المخزن الرئيسي اليوميه'!$I:$I)</f>
        <v>0.0</v>
      </c>
      <c r="N439" s="22">
        <f>+K439+L439-M439</f>
        <v>0.0</v>
      </c>
      <c r="O439" s="22">
        <f>+N439</f>
        <v>0.0</v>
      </c>
      <c r="P439" s="22">
        <f>+N439-O439</f>
        <v>0.0</v>
      </c>
      <c r="Q439" s="57"/>
      <c r="R439" s="58"/>
    </row>
    <row r="440" spans="8:8" ht="15.0" customHeight="1">
      <c r="B440" s="54">
        <v>473.0</v>
      </c>
      <c r="C440" s="8" t="s">
        <v>8351</v>
      </c>
      <c r="D440" s="8" t="s">
        <v>828</v>
      </c>
      <c r="E440" s="8" t="s">
        <v>1061</v>
      </c>
      <c r="F440" s="8" t="s">
        <v>68</v>
      </c>
      <c r="G440" s="8" t="s">
        <v>2198</v>
      </c>
      <c r="H440" s="8" t="s">
        <v>1061</v>
      </c>
      <c r="I440" s="8" t="s">
        <v>1434</v>
      </c>
      <c r="J440" s="78" t="s">
        <v>4355</v>
      </c>
      <c r="K440" s="22">
        <v>0.0</v>
      </c>
      <c r="L440" s="22">
        <f>+SUMIF('حركه المخزن الرئيسي اليوميه'!$F:$F,$H:$H,'حركه المخزن الرئيسي اليوميه'!$H:$H)</f>
        <v>0.0</v>
      </c>
      <c r="M440" s="22">
        <f>+SUMIF('حركه المخزن الرئيسي اليوميه'!$F:$F,$H:$H,'حركه المخزن الرئيسي اليوميه'!$I:$I)</f>
        <v>0.0</v>
      </c>
      <c r="N440" s="22">
        <f>+K440+L440-M440</f>
        <v>0.0</v>
      </c>
      <c r="O440" s="22">
        <f>+N440</f>
        <v>0.0</v>
      </c>
      <c r="P440" s="22">
        <f>+N440-O440</f>
        <v>0.0</v>
      </c>
      <c r="Q440" s="57"/>
      <c r="R440" s="58"/>
    </row>
    <row r="441" spans="8:8" ht="15.0" customHeight="1">
      <c r="B441" s="54">
        <v>474.0</v>
      </c>
      <c r="C441" s="8" t="s">
        <v>8351</v>
      </c>
      <c r="D441" s="8" t="s">
        <v>1013</v>
      </c>
      <c r="E441" s="8" t="s">
        <v>1367</v>
      </c>
      <c r="F441" s="8" t="s">
        <v>68</v>
      </c>
      <c r="G441" s="8" t="s">
        <v>2189</v>
      </c>
      <c r="H441" s="8" t="s">
        <v>1367</v>
      </c>
      <c r="I441" s="8" t="s">
        <v>1365</v>
      </c>
      <c r="J441" s="78" t="s">
        <v>4356</v>
      </c>
      <c r="K441" s="22">
        <v>0.0</v>
      </c>
      <c r="L441" s="22">
        <f>+SUMIF('حركه المخزن الرئيسي اليوميه'!$F:$F,$H:$H,'حركه المخزن الرئيسي اليوميه'!$H:$H)</f>
        <v>0.0</v>
      </c>
      <c r="M441" s="22">
        <f>+SUMIF('حركه المخزن الرئيسي اليوميه'!$F:$F,$H:$H,'حركه المخزن الرئيسي اليوميه'!$I:$I)</f>
        <v>0.0</v>
      </c>
      <c r="N441" s="22">
        <f>+K441+L441-M441</f>
        <v>0.0</v>
      </c>
      <c r="O441" s="22">
        <f>+N441</f>
        <v>0.0</v>
      </c>
      <c r="P441" s="22">
        <f>+N441-O441</f>
        <v>0.0</v>
      </c>
      <c r="Q441" s="57"/>
      <c r="R441" s="58"/>
    </row>
    <row r="442" spans="8:8" ht="15.0" customHeight="1">
      <c r="B442" s="54">
        <v>475.0</v>
      </c>
      <c r="C442" s="8" t="s">
        <v>8351</v>
      </c>
      <c r="D442" s="8" t="s">
        <v>1013</v>
      </c>
      <c r="E442" s="8" t="s">
        <v>1366</v>
      </c>
      <c r="F442" s="8" t="s">
        <v>68</v>
      </c>
      <c r="G442" s="8" t="s">
        <v>2189</v>
      </c>
      <c r="H442" s="8" t="s">
        <v>1366</v>
      </c>
      <c r="I442" s="8" t="s">
        <v>363</v>
      </c>
      <c r="J442" s="78" t="s">
        <v>4357</v>
      </c>
      <c r="K442" s="22">
        <v>0.0</v>
      </c>
      <c r="L442" s="22">
        <f>+SUMIF('حركه المخزن الرئيسي اليوميه'!$F:$F,$H:$H,'حركه المخزن الرئيسي اليوميه'!$H:$H)</f>
        <v>0.0</v>
      </c>
      <c r="M442" s="22">
        <f>+SUMIF('حركه المخزن الرئيسي اليوميه'!$F:$F,$H:$H,'حركه المخزن الرئيسي اليوميه'!$I:$I)</f>
        <v>0.0</v>
      </c>
      <c r="N442" s="22">
        <f>+K442+L442-M442</f>
        <v>0.0</v>
      </c>
      <c r="O442" s="22">
        <f>+N442</f>
        <v>0.0</v>
      </c>
      <c r="P442" s="22">
        <f>+N442-O442</f>
        <v>0.0</v>
      </c>
      <c r="Q442" s="57"/>
      <c r="R442" s="58"/>
    </row>
    <row r="443" spans="8:8" ht="15.0" customHeight="1">
      <c r="B443" s="54">
        <v>476.0</v>
      </c>
      <c r="C443" s="8" t="s">
        <v>8351</v>
      </c>
      <c r="D443" s="8" t="s">
        <v>1013</v>
      </c>
      <c r="E443" s="8" t="s">
        <v>2769</v>
      </c>
      <c r="F443" s="8" t="s">
        <v>873</v>
      </c>
      <c r="G443" s="8" t="s">
        <v>2188</v>
      </c>
      <c r="H443" s="8" t="s">
        <v>2769</v>
      </c>
      <c r="I443" s="8" t="s">
        <v>1365</v>
      </c>
      <c r="J443" s="78" t="s">
        <v>4358</v>
      </c>
      <c r="K443" s="22">
        <v>0.0</v>
      </c>
      <c r="L443" s="22">
        <f>+SUMIF('حركه المخزن الرئيسي اليوميه'!$F:$F,$H:$H,'حركه المخزن الرئيسي اليوميه'!$H:$H)</f>
        <v>0.0</v>
      </c>
      <c r="M443" s="22">
        <f>+SUMIF('حركه المخزن الرئيسي اليوميه'!$F:$F,$H:$H,'حركه المخزن الرئيسي اليوميه'!$I:$I)</f>
        <v>0.0</v>
      </c>
      <c r="N443" s="22">
        <f>+K443+L443-M443</f>
        <v>0.0</v>
      </c>
      <c r="O443" s="22">
        <f>+N443</f>
        <v>0.0</v>
      </c>
      <c r="P443" s="22">
        <f>+N443-O443</f>
        <v>0.0</v>
      </c>
      <c r="Q443" s="57"/>
      <c r="R443" s="58"/>
    </row>
    <row r="444" spans="8:8" ht="15.0" customHeight="1">
      <c r="B444" s="54">
        <v>478.0</v>
      </c>
      <c r="C444" s="8" t="s">
        <v>8351</v>
      </c>
      <c r="D444" s="8" t="s">
        <v>713</v>
      </c>
      <c r="E444" s="8" t="s">
        <v>657</v>
      </c>
      <c r="F444" s="8" t="s">
        <v>68</v>
      </c>
      <c r="G444" s="8" t="s">
        <v>2161</v>
      </c>
      <c r="H444" s="8" t="s">
        <v>2746</v>
      </c>
      <c r="I444" s="8" t="s">
        <v>326</v>
      </c>
      <c r="J444" s="78" t="s">
        <v>4359</v>
      </c>
      <c r="K444" s="22">
        <v>2.0</v>
      </c>
      <c r="L444" s="22">
        <f>+SUMIF('حركه المخزن الرئيسي اليوميه'!$F:$F,$H:$H,'حركه المخزن الرئيسي اليوميه'!$H:$H)</f>
        <v>0.0</v>
      </c>
      <c r="M444" s="22">
        <f>+SUMIF('حركه المخزن الرئيسي اليوميه'!$F:$F,$H:$H,'حركه المخزن الرئيسي اليوميه'!$I:$I)</f>
        <v>0.0</v>
      </c>
      <c r="N444" s="22">
        <f>+K444+L444-M444</f>
        <v>2.0</v>
      </c>
      <c r="O444" s="22">
        <f>+N444</f>
        <v>2.0</v>
      </c>
      <c r="P444" s="22">
        <f>+N444-O444</f>
        <v>0.0</v>
      </c>
      <c r="Q444" s="57"/>
      <c r="R444" s="58"/>
    </row>
    <row r="445" spans="8:8" ht="15.0" customHeight="1">
      <c r="B445" s="54">
        <v>479.0</v>
      </c>
      <c r="C445" s="8" t="s">
        <v>8351</v>
      </c>
      <c r="D445" s="8" t="s">
        <v>713</v>
      </c>
      <c r="E445" s="8" t="s">
        <v>657</v>
      </c>
      <c r="F445" s="8" t="s">
        <v>68</v>
      </c>
      <c r="G445" s="8"/>
      <c r="H445" s="8" t="s">
        <v>2992</v>
      </c>
      <c r="I445" s="8" t="s">
        <v>181</v>
      </c>
      <c r="J445" s="78" t="s">
        <v>4360</v>
      </c>
      <c r="K445" s="22">
        <v>3.0</v>
      </c>
      <c r="L445" s="22">
        <f>+SUMIF('حركه المخزن الرئيسي اليوميه'!$F:$F,$H:$H,'حركه المخزن الرئيسي اليوميه'!$H:$H)</f>
        <v>0.0</v>
      </c>
      <c r="M445" s="22">
        <f>+SUMIF('حركه المخزن الرئيسي اليوميه'!$F:$F,$H:$H,'حركه المخزن الرئيسي اليوميه'!$I:$I)</f>
        <v>0.0</v>
      </c>
      <c r="N445" s="22">
        <f>+K445+L445-M445</f>
        <v>3.0</v>
      </c>
      <c r="O445" s="22">
        <f>+N445</f>
        <v>3.0</v>
      </c>
      <c r="P445" s="22">
        <f>+N445-O445</f>
        <v>0.0</v>
      </c>
      <c r="Q445" s="57"/>
      <c r="R445" s="58"/>
    </row>
    <row r="446" spans="8:8" ht="15.0" customHeight="1">
      <c r="B446" s="54">
        <v>480.0</v>
      </c>
      <c r="C446" s="8" t="s">
        <v>8351</v>
      </c>
      <c r="D446" s="8" t="s">
        <v>1013</v>
      </c>
      <c r="E446" s="8" t="s">
        <v>360</v>
      </c>
      <c r="F446" s="8" t="s">
        <v>68</v>
      </c>
      <c r="G446" s="8" t="s">
        <v>2121</v>
      </c>
      <c r="H446" s="8" t="s">
        <v>360</v>
      </c>
      <c r="I446" s="8" t="s">
        <v>359</v>
      </c>
      <c r="J446" s="78" t="s">
        <v>4361</v>
      </c>
      <c r="K446" s="22">
        <v>0.0</v>
      </c>
      <c r="L446" s="22">
        <f>+SUMIF('حركه المخزن الرئيسي اليوميه'!$F:$F,$H:$H,'حركه المخزن الرئيسي اليوميه'!$H:$H)</f>
        <v>0.0</v>
      </c>
      <c r="M446" s="22">
        <f>+SUMIF('حركه المخزن الرئيسي اليوميه'!$F:$F,$H:$H,'حركه المخزن الرئيسي اليوميه'!$I:$I)</f>
        <v>0.0</v>
      </c>
      <c r="N446" s="22">
        <f>+K446+L446-M446</f>
        <v>0.0</v>
      </c>
      <c r="O446" s="22">
        <f>+N446</f>
        <v>0.0</v>
      </c>
      <c r="P446" s="22">
        <f>+N446-O446</f>
        <v>0.0</v>
      </c>
      <c r="Q446" s="57"/>
      <c r="R446" s="58"/>
    </row>
    <row r="447" spans="8:8" ht="15.0" customHeight="1">
      <c r="B447" s="54">
        <v>491.0</v>
      </c>
      <c r="C447" s="8" t="s">
        <v>8351</v>
      </c>
      <c r="D447" s="8" t="s">
        <v>820</v>
      </c>
      <c r="E447" s="8" t="s">
        <v>821</v>
      </c>
      <c r="F447" s="8" t="s">
        <v>68</v>
      </c>
      <c r="G447" s="8" t="s">
        <v>2391</v>
      </c>
      <c r="H447" s="8" t="s">
        <v>821</v>
      </c>
      <c r="I447" s="8" t="s">
        <v>822</v>
      </c>
      <c r="J447" s="78" t="s">
        <v>4362</v>
      </c>
      <c r="K447" s="22">
        <v>10.0</v>
      </c>
      <c r="L447" s="22">
        <f>+SUMIF('حركه المخزن الرئيسي اليوميه'!$F:$F,$H:$H,'حركه المخزن الرئيسي اليوميه'!$H:$H)</f>
        <v>0.0</v>
      </c>
      <c r="M447" s="22">
        <f>+SUMIF('حركه المخزن الرئيسي اليوميه'!$F:$F,$H:$H,'حركه المخزن الرئيسي اليوميه'!$I:$I)</f>
        <v>0.0</v>
      </c>
      <c r="N447" s="22">
        <f>+K447+L447-M447</f>
        <v>10.0</v>
      </c>
      <c r="O447" s="22">
        <f>+N447</f>
        <v>10.0</v>
      </c>
      <c r="P447" s="22">
        <f>+N447-O447</f>
        <v>0.0</v>
      </c>
      <c r="Q447" s="57"/>
      <c r="R447" s="58"/>
    </row>
    <row r="448" spans="8:8" ht="15.0" customHeight="1">
      <c r="B448" s="54">
        <v>492.0</v>
      </c>
      <c r="C448" s="8" t="s">
        <v>8351</v>
      </c>
      <c r="D448" s="8" t="s">
        <v>1022</v>
      </c>
      <c r="E448" s="8" t="s">
        <v>141</v>
      </c>
      <c r="F448" s="8" t="s">
        <v>68</v>
      </c>
      <c r="G448" s="8" t="s">
        <v>2159</v>
      </c>
      <c r="H448" s="8" t="s">
        <v>3596</v>
      </c>
      <c r="I448" s="8" t="s">
        <v>286</v>
      </c>
      <c r="J448" s="78" t="s">
        <v>4363</v>
      </c>
      <c r="K448" s="22">
        <v>0.0</v>
      </c>
      <c r="L448" s="22">
        <f>+SUMIF('حركه المخزن الرئيسي اليوميه'!$F:$F,$H:$H,'حركه المخزن الرئيسي اليوميه'!$H:$H)</f>
        <v>0.0</v>
      </c>
      <c r="M448" s="22">
        <f>+SUMIF('حركه المخزن الرئيسي اليوميه'!$F:$F,$H:$H,'حركه المخزن الرئيسي اليوميه'!$I:$I)</f>
        <v>0.0</v>
      </c>
      <c r="N448" s="22">
        <f>+K448+L448-M448</f>
        <v>0.0</v>
      </c>
      <c r="O448" s="22">
        <f>+N448</f>
        <v>0.0</v>
      </c>
      <c r="P448" s="22">
        <f>+N448-O448</f>
        <v>0.0</v>
      </c>
      <c r="Q448" s="57"/>
      <c r="R448" s="58"/>
    </row>
    <row r="449" spans="8:8" ht="15.0" customHeight="1">
      <c r="B449" s="54">
        <v>493.0</v>
      </c>
      <c r="C449" s="8" t="s">
        <v>8351</v>
      </c>
      <c r="D449" s="8" t="s">
        <v>1013</v>
      </c>
      <c r="E449" s="8" t="s">
        <v>141</v>
      </c>
      <c r="F449" s="8" t="s">
        <v>1046</v>
      </c>
      <c r="G449" s="8" t="s">
        <v>2424</v>
      </c>
      <c r="H449" s="8" t="s">
        <v>1054</v>
      </c>
      <c r="I449" s="8" t="s">
        <v>286</v>
      </c>
      <c r="J449" s="78" t="s">
        <v>4364</v>
      </c>
      <c r="K449" s="22">
        <v>0.0</v>
      </c>
      <c r="L449" s="22">
        <f>+SUMIF('حركه المخزن الرئيسي اليوميه'!$F:$F,$H:$H,'حركه المخزن الرئيسي اليوميه'!$H:$H)</f>
        <v>0.0</v>
      </c>
      <c r="M449" s="22">
        <f>+SUMIF('حركه المخزن الرئيسي اليوميه'!$F:$F,$H:$H,'حركه المخزن الرئيسي اليوميه'!$I:$I)</f>
        <v>0.0</v>
      </c>
      <c r="N449" s="22">
        <f>+K449+L449-M449</f>
        <v>0.0</v>
      </c>
      <c r="O449" s="22">
        <f>+N449</f>
        <v>0.0</v>
      </c>
      <c r="P449" s="22">
        <f>+N449-O449</f>
        <v>0.0</v>
      </c>
      <c r="Q449" s="57"/>
      <c r="R449" s="58"/>
    </row>
    <row r="450" spans="8:8" ht="15.0" customHeight="1">
      <c r="B450" s="54">
        <v>494.0</v>
      </c>
      <c r="C450" s="8" t="s">
        <v>8351</v>
      </c>
      <c r="D450" s="8" t="s">
        <v>820</v>
      </c>
      <c r="E450" s="8" t="s">
        <v>1427</v>
      </c>
      <c r="F450" s="8" t="s">
        <v>68</v>
      </c>
      <c r="G450" s="8" t="s">
        <v>2453</v>
      </c>
      <c r="H450" s="8" t="s">
        <v>1427</v>
      </c>
      <c r="I450" s="8" t="s">
        <v>286</v>
      </c>
      <c r="J450" s="78" t="s">
        <v>4365</v>
      </c>
      <c r="K450" s="22">
        <v>0.0</v>
      </c>
      <c r="L450" s="22">
        <f>+SUMIF('حركه المخزن الرئيسي اليوميه'!$F:$F,$H:$H,'حركه المخزن الرئيسي اليوميه'!$H:$H)</f>
        <v>0.0</v>
      </c>
      <c r="M450" s="22">
        <f>+SUMIF('حركه المخزن الرئيسي اليوميه'!$F:$F,$H:$H,'حركه المخزن الرئيسي اليوميه'!$I:$I)</f>
        <v>0.0</v>
      </c>
      <c r="N450" s="22">
        <f>+K450+L450-M450</f>
        <v>0.0</v>
      </c>
      <c r="O450" s="22">
        <f>+N450</f>
        <v>0.0</v>
      </c>
      <c r="P450" s="22">
        <f>+N450-O450</f>
        <v>0.0</v>
      </c>
      <c r="Q450" s="57"/>
      <c r="R450" s="58"/>
    </row>
    <row r="451" spans="8:8" ht="15.0" customHeight="1">
      <c r="B451" s="54">
        <v>495.0</v>
      </c>
      <c r="C451" s="8" t="s">
        <v>8351</v>
      </c>
      <c r="D451" s="8" t="s">
        <v>1022</v>
      </c>
      <c r="E451" s="8" t="s">
        <v>214</v>
      </c>
      <c r="F451" s="8" t="s">
        <v>68</v>
      </c>
      <c r="G451" s="8" t="s">
        <v>2050</v>
      </c>
      <c r="H451" s="8" t="s">
        <v>1110</v>
      </c>
      <c r="I451" s="8" t="s">
        <v>2794</v>
      </c>
      <c r="J451" s="78" t="s">
        <v>4366</v>
      </c>
      <c r="K451" s="22">
        <v>22.0</v>
      </c>
      <c r="L451" s="22">
        <f>+SUMIF('حركه المخزن الرئيسي اليوميه'!$F:$F,$H:$H,'حركه المخزن الرئيسي اليوميه'!$H:$H)</f>
        <v>0.0</v>
      </c>
      <c r="M451" s="22">
        <f>+SUMIF('حركه المخزن الرئيسي اليوميه'!$F:$F,$H:$H,'حركه المخزن الرئيسي اليوميه'!$I:$I)</f>
        <v>0.0</v>
      </c>
      <c r="N451" s="22">
        <f>+K451+L451-M451</f>
        <v>22.0</v>
      </c>
      <c r="O451" s="22">
        <f>+N451</f>
        <v>22.0</v>
      </c>
      <c r="P451" s="22">
        <f>+N451-O451</f>
        <v>0.0</v>
      </c>
      <c r="Q451" s="57"/>
      <c r="R451" s="58"/>
    </row>
    <row r="452" spans="8:8" ht="15.0" customHeight="1">
      <c r="B452" s="54">
        <v>498.0</v>
      </c>
      <c r="C452" s="8" t="s">
        <v>8351</v>
      </c>
      <c r="D452" s="8" t="s">
        <v>568</v>
      </c>
      <c r="E452" s="8" t="s">
        <v>1161</v>
      </c>
      <c r="F452" s="8" t="s">
        <v>68</v>
      </c>
      <c r="G452" s="8" t="s">
        <v>1901</v>
      </c>
      <c r="H452" s="8" t="s">
        <v>1161</v>
      </c>
      <c r="I452" s="8" t="s">
        <v>39</v>
      </c>
      <c r="J452" s="78" t="s">
        <v>4367</v>
      </c>
      <c r="K452" s="22">
        <v>0.0</v>
      </c>
      <c r="L452" s="22">
        <f>+SUMIF('حركه المخزن الرئيسي اليوميه'!$F:$F,$H:$H,'حركه المخزن الرئيسي اليوميه'!$H:$H)</f>
        <v>0.0</v>
      </c>
      <c r="M452" s="22">
        <f>+SUMIF('حركه المخزن الرئيسي اليوميه'!$F:$F,$H:$H,'حركه المخزن الرئيسي اليوميه'!$I:$I)</f>
        <v>0.0</v>
      </c>
      <c r="N452" s="22">
        <f>+K452+L452-M452</f>
        <v>0.0</v>
      </c>
      <c r="O452" s="22">
        <f>+N452</f>
        <v>0.0</v>
      </c>
      <c r="P452" s="22">
        <f>+N452-O452</f>
        <v>0.0</v>
      </c>
      <c r="Q452" s="57"/>
      <c r="R452" s="58"/>
    </row>
    <row r="453" spans="8:8" ht="15.0" customHeight="1">
      <c r="B453" s="54">
        <v>499.0</v>
      </c>
      <c r="C453" s="8" t="s">
        <v>8351</v>
      </c>
      <c r="D453" s="8" t="s">
        <v>568</v>
      </c>
      <c r="E453" s="8" t="s">
        <v>2042</v>
      </c>
      <c r="F453" s="8" t="s">
        <v>68</v>
      </c>
      <c r="G453" s="8" t="s">
        <v>1853</v>
      </c>
      <c r="H453" s="8" t="s">
        <v>2042</v>
      </c>
      <c r="I453" s="8" t="s">
        <v>294</v>
      </c>
      <c r="J453" s="78" t="s">
        <v>4368</v>
      </c>
      <c r="K453" s="22">
        <v>4.0</v>
      </c>
      <c r="L453" s="22">
        <f>+SUMIF('حركه المخزن الرئيسي اليوميه'!$F:$F,$H:$H,'حركه المخزن الرئيسي اليوميه'!$H:$H)</f>
        <v>0.0</v>
      </c>
      <c r="M453" s="22">
        <f>+SUMIF('حركه المخزن الرئيسي اليوميه'!$F:$F,$H:$H,'حركه المخزن الرئيسي اليوميه'!$I:$I)</f>
        <v>0.0</v>
      </c>
      <c r="N453" s="22">
        <f>+K453+L453-M453</f>
        <v>4.0</v>
      </c>
      <c r="O453" s="22">
        <f>+N453</f>
        <v>4.0</v>
      </c>
      <c r="P453" s="22">
        <f>+N453-O453</f>
        <v>0.0</v>
      </c>
      <c r="Q453" s="57"/>
      <c r="R453" s="58"/>
    </row>
    <row r="454" spans="8:8" ht="15.0" customHeight="1">
      <c r="B454" s="54">
        <v>501.0</v>
      </c>
      <c r="C454" s="8" t="s">
        <v>8351</v>
      </c>
      <c r="D454" s="8" t="s">
        <v>568</v>
      </c>
      <c r="E454" s="8" t="s">
        <v>1144</v>
      </c>
      <c r="F454" s="8" t="s">
        <v>68</v>
      </c>
      <c r="G454" s="8" t="s">
        <v>2207</v>
      </c>
      <c r="H454" s="8" t="s">
        <v>1144</v>
      </c>
      <c r="I454" s="8" t="s">
        <v>294</v>
      </c>
      <c r="J454" s="78" t="s">
        <v>4369</v>
      </c>
      <c r="K454" s="22">
        <v>1.0</v>
      </c>
      <c r="L454" s="22">
        <f>+SUMIF('حركه المخزن الرئيسي اليوميه'!$F:$F,$H:$H,'حركه المخزن الرئيسي اليوميه'!$H:$H)</f>
        <v>0.0</v>
      </c>
      <c r="M454" s="22">
        <f>+SUMIF('حركه المخزن الرئيسي اليوميه'!$F:$F,$H:$H,'حركه المخزن الرئيسي اليوميه'!$I:$I)</f>
        <v>0.0</v>
      </c>
      <c r="N454" s="22">
        <f>+K454+L454-M454</f>
        <v>1.0</v>
      </c>
      <c r="O454" s="22">
        <f>+N454</f>
        <v>1.0</v>
      </c>
      <c r="P454" s="22">
        <f>+N454-O454</f>
        <v>0.0</v>
      </c>
      <c r="Q454" s="57"/>
      <c r="R454" s="58"/>
    </row>
    <row r="455" spans="8:8" ht="15.0" customHeight="1">
      <c r="B455" s="54">
        <v>503.0</v>
      </c>
      <c r="C455" s="8" t="s">
        <v>8351</v>
      </c>
      <c r="D455" s="8" t="s">
        <v>568</v>
      </c>
      <c r="E455" s="8" t="s">
        <v>1241</v>
      </c>
      <c r="F455" s="8" t="s">
        <v>68</v>
      </c>
      <c r="G455" s="8" t="s">
        <v>1903</v>
      </c>
      <c r="H455" s="8" t="s">
        <v>1241</v>
      </c>
      <c r="I455" s="8" t="s">
        <v>294</v>
      </c>
      <c r="J455" s="78" t="s">
        <v>4370</v>
      </c>
      <c r="K455" s="22">
        <v>10.0</v>
      </c>
      <c r="L455" s="22">
        <f>+SUMIF('حركه المخزن الرئيسي اليوميه'!$F:$F,$H:$H,'حركه المخزن الرئيسي اليوميه'!$H:$H)</f>
        <v>0.0</v>
      </c>
      <c r="M455" s="22">
        <f>+SUMIF('حركه المخزن الرئيسي اليوميه'!$F:$F,$H:$H,'حركه المخزن الرئيسي اليوميه'!$I:$I)</f>
        <v>0.0</v>
      </c>
      <c r="N455" s="22">
        <f>+K455+L455-M455</f>
        <v>10.0</v>
      </c>
      <c r="O455" s="22">
        <f>+N455</f>
        <v>10.0</v>
      </c>
      <c r="P455" s="22">
        <f>+N455-O455</f>
        <v>0.0</v>
      </c>
      <c r="Q455" s="57"/>
      <c r="R455" s="58"/>
    </row>
    <row r="456" spans="8:8" ht="15.0" customHeight="1">
      <c r="B456" s="54">
        <v>505.0</v>
      </c>
      <c r="C456" s="8" t="s">
        <v>8351</v>
      </c>
      <c r="D456" s="8" t="s">
        <v>1013</v>
      </c>
      <c r="E456" s="8" t="s">
        <v>8350</v>
      </c>
      <c r="F456" s="8" t="s">
        <v>1501</v>
      </c>
      <c r="G456" s="8" t="s">
        <v>2470</v>
      </c>
      <c r="H456" s="8" t="s">
        <v>8350</v>
      </c>
      <c r="I456" s="8" t="s">
        <v>43</v>
      </c>
      <c r="J456" s="78" t="s">
        <v>4371</v>
      </c>
      <c r="K456" s="22">
        <v>11.0</v>
      </c>
      <c r="L456" s="22">
        <f>+SUMIF('حركه المخزن الرئيسي اليوميه'!$F:$F,$H:$H,'حركه المخزن الرئيسي اليوميه'!$H:$H)</f>
        <v>0.0</v>
      </c>
      <c r="M456" s="22">
        <f>+SUMIF('حركه المخزن الرئيسي اليوميه'!$F:$F,$H:$H,'حركه المخزن الرئيسي اليوميه'!$I:$I)</f>
        <v>1.0</v>
      </c>
      <c r="N456" s="22">
        <f>+K456+L456-M456</f>
        <v>10.0</v>
      </c>
      <c r="O456" s="22">
        <f>+N456</f>
        <v>10.0</v>
      </c>
      <c r="P456" s="22">
        <f>+N456-O456</f>
        <v>0.0</v>
      </c>
      <c r="Q456" s="57"/>
      <c r="R456" s="59"/>
    </row>
    <row r="457" spans="8:8" ht="15.0" customHeight="1">
      <c r="B457" s="54">
        <v>506.0</v>
      </c>
      <c r="C457" s="8" t="s">
        <v>8351</v>
      </c>
      <c r="D457" s="8" t="s">
        <v>1017</v>
      </c>
      <c r="E457" s="8" t="s">
        <v>42</v>
      </c>
      <c r="F457" s="8" t="s">
        <v>68</v>
      </c>
      <c r="G457" s="8" t="s">
        <v>2048</v>
      </c>
      <c r="H457" s="8" t="s">
        <v>1036</v>
      </c>
      <c r="I457" s="8" t="s">
        <v>43</v>
      </c>
      <c r="J457" s="78" t="s">
        <v>4372</v>
      </c>
      <c r="K457" s="22">
        <v>40.0</v>
      </c>
      <c r="L457" s="22">
        <f>+SUMIF('حركه المخزن الرئيسي اليوميه'!$F:$F,$H:$H,'حركه المخزن الرئيسي اليوميه'!$H:$H)</f>
        <v>0.0</v>
      </c>
      <c r="M457" s="22">
        <f>+SUMIF('حركه المخزن الرئيسي اليوميه'!$F:$F,$H:$H,'حركه المخزن الرئيسي اليوميه'!$I:$I)</f>
        <v>2.0</v>
      </c>
      <c r="N457" s="22">
        <f>+K457+L457-M457</f>
        <v>38.0</v>
      </c>
      <c r="O457" s="22">
        <f>+N457</f>
        <v>38.0</v>
      </c>
      <c r="P457" s="22">
        <f>+N457-O457</f>
        <v>0.0</v>
      </c>
      <c r="Q457" s="57"/>
      <c r="R457" s="58"/>
    </row>
    <row r="458" spans="8:8" ht="15.0" customHeight="1">
      <c r="B458" s="54">
        <v>507.0</v>
      </c>
      <c r="C458" s="8" t="s">
        <v>8351</v>
      </c>
      <c r="D458" s="8" t="s">
        <v>1017</v>
      </c>
      <c r="E458" s="8" t="s">
        <v>42</v>
      </c>
      <c r="F458" s="8" t="s">
        <v>68</v>
      </c>
      <c r="G458" s="8" t="s">
        <v>2048</v>
      </c>
      <c r="H458" s="8" t="s">
        <v>1034</v>
      </c>
      <c r="I458" s="8" t="s">
        <v>43</v>
      </c>
      <c r="J458" s="78" t="s">
        <v>4373</v>
      </c>
      <c r="K458" s="22">
        <v>0.0</v>
      </c>
      <c r="L458" s="22">
        <f>+SUMIF('حركه المخزن الرئيسي اليوميه'!$F:$F,$H:$H,'حركه المخزن الرئيسي اليوميه'!$H:$H)</f>
        <v>0.0</v>
      </c>
      <c r="M458" s="22">
        <f>+SUMIF('حركه المخزن الرئيسي اليوميه'!$F:$F,$H:$H,'حركه المخزن الرئيسي اليوميه'!$I:$I)</f>
        <v>0.0</v>
      </c>
      <c r="N458" s="22">
        <f>+K458+L458-M458</f>
        <v>0.0</v>
      </c>
      <c r="O458" s="22">
        <f>+N458</f>
        <v>0.0</v>
      </c>
      <c r="P458" s="22">
        <f>+N458-O458</f>
        <v>0.0</v>
      </c>
      <c r="Q458" s="57"/>
      <c r="R458" s="58"/>
    </row>
    <row r="459" spans="8:8" ht="15.0" customHeight="1">
      <c r="B459" s="54">
        <v>508.0</v>
      </c>
      <c r="C459" s="8" t="s">
        <v>8351</v>
      </c>
      <c r="D459" s="8" t="s">
        <v>1017</v>
      </c>
      <c r="E459" s="8" t="s">
        <v>42</v>
      </c>
      <c r="F459" s="8" t="s">
        <v>68</v>
      </c>
      <c r="G459" s="8" t="s">
        <v>2048</v>
      </c>
      <c r="H459" s="8" t="s">
        <v>587</v>
      </c>
      <c r="I459" s="8" t="s">
        <v>43</v>
      </c>
      <c r="J459" s="78" t="s">
        <v>4374</v>
      </c>
      <c r="K459" s="22">
        <v>6.0</v>
      </c>
      <c r="L459" s="22">
        <f>+SUMIF('حركه المخزن الرئيسي اليوميه'!$F:$F,$H:$H,'حركه المخزن الرئيسي اليوميه'!$H:$H)</f>
        <v>0.0</v>
      </c>
      <c r="M459" s="22">
        <f>+SUMIF('حركه المخزن الرئيسي اليوميه'!$F:$F,$H:$H,'حركه المخزن الرئيسي اليوميه'!$I:$I)</f>
        <v>1.0</v>
      </c>
      <c r="N459" s="22">
        <f>+K459+L459-M459</f>
        <v>5.0</v>
      </c>
      <c r="O459" s="22">
        <f>+N459</f>
        <v>5.0</v>
      </c>
      <c r="P459" s="22">
        <f>+N459-O459</f>
        <v>0.0</v>
      </c>
      <c r="Q459" s="57"/>
      <c r="R459" s="59"/>
    </row>
    <row r="460" spans="8:8" ht="15.0" customHeight="1">
      <c r="B460" s="54">
        <v>509.0</v>
      </c>
      <c r="C460" s="8" t="s">
        <v>8351</v>
      </c>
      <c r="D460" s="8" t="s">
        <v>1017</v>
      </c>
      <c r="E460" s="8" t="s">
        <v>42</v>
      </c>
      <c r="F460" s="8" t="s">
        <v>68</v>
      </c>
      <c r="G460" s="8" t="s">
        <v>2048</v>
      </c>
      <c r="H460" s="8" t="s">
        <v>574</v>
      </c>
      <c r="I460" s="8" t="s">
        <v>43</v>
      </c>
      <c r="J460" s="78" t="s">
        <v>4375</v>
      </c>
      <c r="K460" s="22">
        <v>0.0</v>
      </c>
      <c r="L460" s="22">
        <f>+SUMIF('حركه المخزن الرئيسي اليوميه'!$F:$F,$H:$H,'حركه المخزن الرئيسي اليوميه'!$H:$H)</f>
        <v>0.0</v>
      </c>
      <c r="M460" s="22">
        <f>+SUMIF('حركه المخزن الرئيسي اليوميه'!$F:$F,$H:$H,'حركه المخزن الرئيسي اليوميه'!$I:$I)</f>
        <v>0.0</v>
      </c>
      <c r="N460" s="22">
        <f>+K460+L460-M460</f>
        <v>0.0</v>
      </c>
      <c r="O460" s="22">
        <f>+N460</f>
        <v>0.0</v>
      </c>
      <c r="P460" s="22">
        <f>+N460-O460</f>
        <v>0.0</v>
      </c>
      <c r="Q460" s="57"/>
      <c r="R460" s="58"/>
    </row>
    <row r="461" spans="8:8" ht="15.0" customHeight="1">
      <c r="B461" s="54">
        <v>510.0</v>
      </c>
      <c r="C461" s="8" t="s">
        <v>8351</v>
      </c>
      <c r="D461" s="8" t="s">
        <v>1017</v>
      </c>
      <c r="E461" s="8" t="s">
        <v>42</v>
      </c>
      <c r="F461" s="8" t="s">
        <v>68</v>
      </c>
      <c r="G461" s="8" t="s">
        <v>2048</v>
      </c>
      <c r="H461" s="8" t="s">
        <v>1035</v>
      </c>
      <c r="I461" s="8" t="s">
        <v>43</v>
      </c>
      <c r="J461" s="78" t="s">
        <v>4376</v>
      </c>
      <c r="K461" s="22">
        <v>10.0</v>
      </c>
      <c r="L461" s="22">
        <f>+SUMIF('حركه المخزن الرئيسي اليوميه'!$F:$F,$H:$H,'حركه المخزن الرئيسي اليوميه'!$H:$H)</f>
        <v>0.0</v>
      </c>
      <c r="M461" s="22">
        <f>+SUMIF('حركه المخزن الرئيسي اليوميه'!$F:$F,$H:$H,'حركه المخزن الرئيسي اليوميه'!$I:$I)</f>
        <v>0.0</v>
      </c>
      <c r="N461" s="22">
        <f>+K461+L461-M461</f>
        <v>10.0</v>
      </c>
      <c r="O461" s="22">
        <f>+N461</f>
        <v>10.0</v>
      </c>
      <c r="P461" s="22">
        <f>+N461-O461</f>
        <v>0.0</v>
      </c>
      <c r="Q461" s="57"/>
      <c r="R461" s="59"/>
    </row>
    <row r="462" spans="8:8" ht="15.0" customHeight="1">
      <c r="B462" s="54">
        <v>511.0</v>
      </c>
      <c r="C462" s="8" t="s">
        <v>8351</v>
      </c>
      <c r="D462" s="8" t="s">
        <v>1017</v>
      </c>
      <c r="E462" s="8" t="s">
        <v>42</v>
      </c>
      <c r="F462" s="8" t="s">
        <v>68</v>
      </c>
      <c r="G462" s="8" t="s">
        <v>2048</v>
      </c>
      <c r="H462" s="8" t="s">
        <v>603</v>
      </c>
      <c r="I462" s="8" t="s">
        <v>43</v>
      </c>
      <c r="J462" s="78" t="s">
        <v>4377</v>
      </c>
      <c r="K462" s="22">
        <v>0.0</v>
      </c>
      <c r="L462" s="22">
        <f>+SUMIF('حركه المخزن الرئيسي اليوميه'!$F:$F,$H:$H,'حركه المخزن الرئيسي اليوميه'!$H:$H)</f>
        <v>0.0</v>
      </c>
      <c r="M462" s="22">
        <f>+SUMIF('حركه المخزن الرئيسي اليوميه'!$F:$F,$H:$H,'حركه المخزن الرئيسي اليوميه'!$I:$I)</f>
        <v>0.0</v>
      </c>
      <c r="N462" s="22">
        <f>+K462+L462-M462</f>
        <v>0.0</v>
      </c>
      <c r="O462" s="22">
        <f>+N462</f>
        <v>0.0</v>
      </c>
      <c r="P462" s="22">
        <f>+N462-O462</f>
        <v>0.0</v>
      </c>
      <c r="Q462" s="57"/>
      <c r="R462" s="58"/>
    </row>
    <row r="463" spans="8:8" ht="15.0" customHeight="1">
      <c r="B463" s="54">
        <v>512.0</v>
      </c>
      <c r="C463" s="8" t="s">
        <v>8351</v>
      </c>
      <c r="D463" s="8" t="s">
        <v>1013</v>
      </c>
      <c r="E463" s="8" t="s">
        <v>1523</v>
      </c>
      <c r="F463" s="8" t="s">
        <v>1501</v>
      </c>
      <c r="G463" s="8"/>
      <c r="H463" s="8" t="s">
        <v>1523</v>
      </c>
      <c r="I463" s="8" t="s">
        <v>43</v>
      </c>
      <c r="J463" s="78" t="s">
        <v>4378</v>
      </c>
      <c r="K463" s="22">
        <v>0.0</v>
      </c>
      <c r="L463" s="22">
        <f>+SUMIF('حركه المخزن الرئيسي اليوميه'!$F:$F,$H:$H,'حركه المخزن الرئيسي اليوميه'!$H:$H)</f>
        <v>0.0</v>
      </c>
      <c r="M463" s="22">
        <f>+SUMIF('حركه المخزن الرئيسي اليوميه'!$F:$F,$H:$H,'حركه المخزن الرئيسي اليوميه'!$I:$I)</f>
        <v>0.0</v>
      </c>
      <c r="N463" s="22">
        <f>+K463+L463-M463</f>
        <v>0.0</v>
      </c>
      <c r="O463" s="22">
        <f>+N463</f>
        <v>0.0</v>
      </c>
      <c r="P463" s="22">
        <f>+N463-O463</f>
        <v>0.0</v>
      </c>
      <c r="Q463" s="57"/>
      <c r="R463" s="58"/>
    </row>
    <row r="464" spans="8:8" ht="15.0" customHeight="1">
      <c r="B464" s="54">
        <v>513.0</v>
      </c>
      <c r="C464" s="8" t="s">
        <v>8351</v>
      </c>
      <c r="D464" s="8" t="s">
        <v>1013</v>
      </c>
      <c r="E464" s="8" t="s">
        <v>1524</v>
      </c>
      <c r="F464" s="8" t="s">
        <v>1501</v>
      </c>
      <c r="G464" s="8"/>
      <c r="H464" s="8" t="s">
        <v>1524</v>
      </c>
      <c r="I464" s="8" t="s">
        <v>43</v>
      </c>
      <c r="J464" s="78" t="s">
        <v>4379</v>
      </c>
      <c r="K464" s="22">
        <v>7.0</v>
      </c>
      <c r="L464" s="22">
        <f>+SUMIF('حركه المخزن الرئيسي اليوميه'!$F:$F,$H:$H,'حركه المخزن الرئيسي اليوميه'!$H:$H)</f>
        <v>0.0</v>
      </c>
      <c r="M464" s="22">
        <f>+SUMIF('حركه المخزن الرئيسي اليوميه'!$F:$F,$H:$H,'حركه المخزن الرئيسي اليوميه'!$I:$I)</f>
        <v>1.0</v>
      </c>
      <c r="N464" s="22">
        <f>+K464+L464-M464</f>
        <v>6.0</v>
      </c>
      <c r="O464" s="22">
        <f>+N464</f>
        <v>6.0</v>
      </c>
      <c r="P464" s="22">
        <f>+N464-O464</f>
        <v>0.0</v>
      </c>
      <c r="Q464" s="57"/>
      <c r="R464" s="58"/>
    </row>
    <row r="465" spans="8:8" ht="15.0" customHeight="1">
      <c r="B465" s="54">
        <v>514.0</v>
      </c>
      <c r="C465" s="8" t="s">
        <v>8351</v>
      </c>
      <c r="D465" s="8" t="s">
        <v>1017</v>
      </c>
      <c r="E465" s="8" t="s">
        <v>42</v>
      </c>
      <c r="F465" s="8" t="s">
        <v>68</v>
      </c>
      <c r="G465" s="8" t="s">
        <v>2048</v>
      </c>
      <c r="H465" s="8" t="s">
        <v>604</v>
      </c>
      <c r="I465" s="8" t="s">
        <v>43</v>
      </c>
      <c r="J465" s="78" t="s">
        <v>4380</v>
      </c>
      <c r="K465" s="22">
        <v>0.0</v>
      </c>
      <c r="L465" s="22">
        <f>+SUMIF('حركه المخزن الرئيسي اليوميه'!$F:$F,$H:$H,'حركه المخزن الرئيسي اليوميه'!$H:$H)</f>
        <v>0.0</v>
      </c>
      <c r="M465" s="22">
        <f>+SUMIF('حركه المخزن الرئيسي اليوميه'!$F:$F,$H:$H,'حركه المخزن الرئيسي اليوميه'!$I:$I)</f>
        <v>0.0</v>
      </c>
      <c r="N465" s="22">
        <f>+K465+L465-M465</f>
        <v>0.0</v>
      </c>
      <c r="O465" s="22">
        <f>+N465</f>
        <v>0.0</v>
      </c>
      <c r="P465" s="22">
        <f>+N465-O465</f>
        <v>0.0</v>
      </c>
      <c r="Q465" s="57"/>
      <c r="R465" s="58"/>
    </row>
    <row r="466" spans="8:8" ht="15.0" customHeight="1">
      <c r="B466" s="54">
        <v>515.0</v>
      </c>
      <c r="C466" s="8" t="s">
        <v>8351</v>
      </c>
      <c r="D466" s="8" t="s">
        <v>820</v>
      </c>
      <c r="E466" s="8" t="s">
        <v>3155</v>
      </c>
      <c r="F466" s="8" t="s">
        <v>68</v>
      </c>
      <c r="G466" s="8" t="s">
        <v>2441</v>
      </c>
      <c r="H466" s="8" t="s">
        <v>3155</v>
      </c>
      <c r="I466" s="8" t="s">
        <v>43</v>
      </c>
      <c r="J466" s="78" t="s">
        <v>4381</v>
      </c>
      <c r="K466" s="22">
        <v>32.0</v>
      </c>
      <c r="L466" s="22">
        <f>+SUMIF('حركه المخزن الرئيسي اليوميه'!$F:$F,$H:$H,'حركه المخزن الرئيسي اليوميه'!$H:$H)</f>
        <v>0.0</v>
      </c>
      <c r="M466" s="22">
        <f>+SUMIF('حركه المخزن الرئيسي اليوميه'!$F:$F,$H:$H,'حركه المخزن الرئيسي اليوميه'!$I:$I)</f>
        <v>0.0</v>
      </c>
      <c r="N466" s="22">
        <f>+K466+L466-M466</f>
        <v>32.0</v>
      </c>
      <c r="O466" s="22">
        <f>+N466</f>
        <v>32.0</v>
      </c>
      <c r="P466" s="22">
        <f>+N466-O466</f>
        <v>0.0</v>
      </c>
      <c r="Q466" s="57"/>
      <c r="R466" s="59"/>
    </row>
    <row r="467" spans="8:8" ht="15.0" customHeight="1">
      <c r="B467" s="54">
        <v>516.0</v>
      </c>
      <c r="C467" s="8" t="s">
        <v>8351</v>
      </c>
      <c r="D467" s="8" t="s">
        <v>820</v>
      </c>
      <c r="E467" s="8" t="s">
        <v>1242</v>
      </c>
      <c r="F467" s="8" t="s">
        <v>68</v>
      </c>
      <c r="G467" s="8" t="s">
        <v>2440</v>
      </c>
      <c r="H467" s="8" t="s">
        <v>1242</v>
      </c>
      <c r="I467" s="8" t="s">
        <v>43</v>
      </c>
      <c r="J467" s="78" t="s">
        <v>4382</v>
      </c>
      <c r="K467" s="22">
        <v>1.0</v>
      </c>
      <c r="L467" s="22">
        <f>+SUMIF('حركه المخزن الرئيسي اليوميه'!$F:$F,$H:$H,'حركه المخزن الرئيسي اليوميه'!$H:$H)</f>
        <v>0.0</v>
      </c>
      <c r="M467" s="22">
        <f>+SUMIF('حركه المخزن الرئيسي اليوميه'!$F:$F,$H:$H,'حركه المخزن الرئيسي اليوميه'!$I:$I)</f>
        <v>0.0</v>
      </c>
      <c r="N467" s="22">
        <f>+K467+L467-M467</f>
        <v>1.0</v>
      </c>
      <c r="O467" s="22">
        <f>+N467</f>
        <v>1.0</v>
      </c>
      <c r="P467" s="22">
        <f>+N467-O467</f>
        <v>0.0</v>
      </c>
      <c r="Q467" s="57"/>
      <c r="R467" s="58"/>
    </row>
    <row r="468" spans="8:8" ht="15.0" customHeight="1">
      <c r="B468" s="54">
        <v>517.0</v>
      </c>
      <c r="C468" s="8" t="s">
        <v>8351</v>
      </c>
      <c r="D468" s="8" t="s">
        <v>820</v>
      </c>
      <c r="E468" s="8" t="s">
        <v>1326</v>
      </c>
      <c r="F468" s="8" t="s">
        <v>68</v>
      </c>
      <c r="G468" s="8" t="s">
        <v>2051</v>
      </c>
      <c r="H468" s="8" t="s">
        <v>1326</v>
      </c>
      <c r="I468" s="8" t="s">
        <v>45</v>
      </c>
      <c r="J468" s="78" t="s">
        <v>4383</v>
      </c>
      <c r="K468" s="22">
        <v>14.0</v>
      </c>
      <c r="L468" s="22">
        <f>+SUMIF('حركه المخزن الرئيسي اليوميه'!$F:$F,$H:$H,'حركه المخزن الرئيسي اليوميه'!$H:$H)</f>
        <v>0.0</v>
      </c>
      <c r="M468" s="22">
        <f>+SUMIF('حركه المخزن الرئيسي اليوميه'!$F:$F,$H:$H,'حركه المخزن الرئيسي اليوميه'!$I:$I)</f>
        <v>0.0</v>
      </c>
      <c r="N468" s="22">
        <f>+K468+L468-M468</f>
        <v>14.0</v>
      </c>
      <c r="O468" s="22">
        <f>+N468</f>
        <v>14.0</v>
      </c>
      <c r="P468" s="22">
        <f>+N468-O468</f>
        <v>0.0</v>
      </c>
      <c r="Q468" s="57"/>
      <c r="R468" s="58"/>
    </row>
    <row r="469" spans="8:8" ht="15.0" customHeight="1">
      <c r="B469" s="54">
        <v>519.0</v>
      </c>
      <c r="C469" s="8" t="s">
        <v>8351</v>
      </c>
      <c r="D469" s="8" t="s">
        <v>1017</v>
      </c>
      <c r="E469" s="8" t="s">
        <v>44</v>
      </c>
      <c r="F469" s="8" t="s">
        <v>68</v>
      </c>
      <c r="G469" s="8" t="s">
        <v>2049</v>
      </c>
      <c r="H469" s="8" t="s">
        <v>2819</v>
      </c>
      <c r="I469" s="8" t="s">
        <v>45</v>
      </c>
      <c r="J469" s="78" t="s">
        <v>4384</v>
      </c>
      <c r="K469" s="22">
        <v>0.0</v>
      </c>
      <c r="L469" s="22">
        <f>+SUMIF('حركه المخزن الرئيسي اليوميه'!$F:$F,$H:$H,'حركه المخزن الرئيسي اليوميه'!$H:$H)</f>
        <v>0.0</v>
      </c>
      <c r="M469" s="22">
        <f>+SUMIF('حركه المخزن الرئيسي اليوميه'!$F:$F,$H:$H,'حركه المخزن الرئيسي اليوميه'!$I:$I)</f>
        <v>0.0</v>
      </c>
      <c r="N469" s="22">
        <f>+K469+L469-M469</f>
        <v>0.0</v>
      </c>
      <c r="O469" s="22">
        <f>+N469</f>
        <v>0.0</v>
      </c>
      <c r="P469" s="22">
        <f>+N469-O469</f>
        <v>0.0</v>
      </c>
      <c r="Q469" s="57"/>
      <c r="R469" s="58"/>
    </row>
    <row r="470" spans="8:8" ht="15.0" customHeight="1">
      <c r="B470" s="54">
        <v>520.0</v>
      </c>
      <c r="C470" s="8" t="s">
        <v>8351</v>
      </c>
      <c r="D470" s="8" t="s">
        <v>1017</v>
      </c>
      <c r="E470" s="8" t="s">
        <v>46</v>
      </c>
      <c r="F470" s="8" t="s">
        <v>68</v>
      </c>
      <c r="G470" s="8" t="s">
        <v>1822</v>
      </c>
      <c r="H470" s="8" t="s">
        <v>606</v>
      </c>
      <c r="I470" s="8" t="s">
        <v>45</v>
      </c>
      <c r="J470" s="78" t="s">
        <v>4385</v>
      </c>
      <c r="K470" s="22">
        <v>0.0</v>
      </c>
      <c r="L470" s="22">
        <f>+SUMIF('حركه المخزن الرئيسي اليوميه'!$F:$F,$H:$H,'حركه المخزن الرئيسي اليوميه'!$H:$H)</f>
        <v>0.0</v>
      </c>
      <c r="M470" s="22">
        <f>+SUMIF('حركه المخزن الرئيسي اليوميه'!$F:$F,$H:$H,'حركه المخزن الرئيسي اليوميه'!$I:$I)</f>
        <v>0.0</v>
      </c>
      <c r="N470" s="22">
        <f>+K470+L470-M470</f>
        <v>0.0</v>
      </c>
      <c r="O470" s="22">
        <f>+N470</f>
        <v>0.0</v>
      </c>
      <c r="P470" s="22">
        <f>+N470-O470</f>
        <v>0.0</v>
      </c>
      <c r="Q470" s="57"/>
      <c r="R470" s="58"/>
    </row>
    <row r="471" spans="8:8" ht="15.0" customHeight="1">
      <c r="B471" s="54">
        <v>521.0</v>
      </c>
      <c r="C471" s="8" t="s">
        <v>8351</v>
      </c>
      <c r="D471" s="8" t="s">
        <v>1017</v>
      </c>
      <c r="E471" s="8" t="s">
        <v>47</v>
      </c>
      <c r="F471" s="8" t="s">
        <v>68</v>
      </c>
      <c r="G471" s="8" t="s">
        <v>2050</v>
      </c>
      <c r="H471" s="8" t="s">
        <v>1328</v>
      </c>
      <c r="I471" s="8" t="s">
        <v>45</v>
      </c>
      <c r="J471" s="78" t="s">
        <v>4386</v>
      </c>
      <c r="K471" s="22">
        <v>0.0</v>
      </c>
      <c r="L471" s="22">
        <f>+SUMIF('حركه المخزن الرئيسي اليوميه'!$F:$F,$H:$H,'حركه المخزن الرئيسي اليوميه'!$H:$H)</f>
        <v>0.0</v>
      </c>
      <c r="M471" s="22">
        <f>+SUMIF('حركه المخزن الرئيسي اليوميه'!$F:$F,$H:$H,'حركه المخزن الرئيسي اليوميه'!$I:$I)</f>
        <v>0.0</v>
      </c>
      <c r="N471" s="22">
        <f>+K471+L471-M471</f>
        <v>0.0</v>
      </c>
      <c r="O471" s="22">
        <f>+N471</f>
        <v>0.0</v>
      </c>
      <c r="P471" s="22">
        <f>+N471-O471</f>
        <v>0.0</v>
      </c>
      <c r="Q471" s="57"/>
      <c r="R471" s="58"/>
    </row>
    <row r="472" spans="8:8" ht="15.0" customHeight="1">
      <c r="B472" s="54">
        <v>522.0</v>
      </c>
      <c r="C472" s="8" t="s">
        <v>8351</v>
      </c>
      <c r="D472" s="8" t="s">
        <v>1017</v>
      </c>
      <c r="E472" s="8" t="s">
        <v>44</v>
      </c>
      <c r="F472" s="8" t="s">
        <v>68</v>
      </c>
      <c r="G472" s="8" t="s">
        <v>2049</v>
      </c>
      <c r="H472" s="8" t="s">
        <v>1078</v>
      </c>
      <c r="I472" s="8" t="s">
        <v>45</v>
      </c>
      <c r="J472" s="78" t="s">
        <v>4387</v>
      </c>
      <c r="K472" s="22">
        <v>4.0</v>
      </c>
      <c r="L472" s="22">
        <f>+SUMIF('حركه المخزن الرئيسي اليوميه'!$F:$F,$H:$H,'حركه المخزن الرئيسي اليوميه'!$H:$H)</f>
        <v>0.0</v>
      </c>
      <c r="M472" s="22">
        <f>+SUMIF('حركه المخزن الرئيسي اليوميه'!$F:$F,$H:$H,'حركه المخزن الرئيسي اليوميه'!$I:$I)</f>
        <v>0.0</v>
      </c>
      <c r="N472" s="22">
        <f>+K472+L472-M472</f>
        <v>4.0</v>
      </c>
      <c r="O472" s="22">
        <f>+N472</f>
        <v>4.0</v>
      </c>
      <c r="P472" s="22">
        <f>+N472-O472</f>
        <v>0.0</v>
      </c>
      <c r="Q472" s="57"/>
      <c r="R472" s="58"/>
    </row>
    <row r="473" spans="8:8" ht="15.0" customHeight="1">
      <c r="B473" s="54">
        <v>523.0</v>
      </c>
      <c r="C473" s="8" t="s">
        <v>8351</v>
      </c>
      <c r="D473" s="8" t="s">
        <v>1013</v>
      </c>
      <c r="E473" s="8" t="s">
        <v>1623</v>
      </c>
      <c r="F473" s="8" t="s">
        <v>1501</v>
      </c>
      <c r="G473" s="8" t="s">
        <v>2297</v>
      </c>
      <c r="H473" s="8" t="s">
        <v>1623</v>
      </c>
      <c r="I473" s="8" t="s">
        <v>45</v>
      </c>
      <c r="J473" s="78" t="s">
        <v>4388</v>
      </c>
      <c r="K473" s="22">
        <v>0.0</v>
      </c>
      <c r="L473" s="22">
        <f>+SUMIF('حركه المخزن الرئيسي اليوميه'!$F:$F,$H:$H,'حركه المخزن الرئيسي اليوميه'!$H:$H)</f>
        <v>0.0</v>
      </c>
      <c r="M473" s="22">
        <f>+SUMIF('حركه المخزن الرئيسي اليوميه'!$F:$F,$H:$H,'حركه المخزن الرئيسي اليوميه'!$I:$I)</f>
        <v>0.0</v>
      </c>
      <c r="N473" s="22">
        <f>+K473+L473-M473</f>
        <v>0.0</v>
      </c>
      <c r="O473" s="22">
        <f>+N473</f>
        <v>0.0</v>
      </c>
      <c r="P473" s="22">
        <f>+N473-O473</f>
        <v>0.0</v>
      </c>
      <c r="Q473" s="57"/>
      <c r="R473" s="58"/>
    </row>
    <row r="474" spans="8:8" ht="15.0" customHeight="1">
      <c r="B474" s="54">
        <v>524.0</v>
      </c>
      <c r="C474" s="8" t="s">
        <v>8351</v>
      </c>
      <c r="D474" s="8" t="s">
        <v>1017</v>
      </c>
      <c r="E474" s="8" t="s">
        <v>49</v>
      </c>
      <c r="F474" s="8" t="s">
        <v>68</v>
      </c>
      <c r="G474" s="8" t="s">
        <v>1852</v>
      </c>
      <c r="H474" s="8" t="s">
        <v>1087</v>
      </c>
      <c r="I474" s="8" t="s">
        <v>45</v>
      </c>
      <c r="J474" s="78" t="s">
        <v>4389</v>
      </c>
      <c r="K474" s="22">
        <v>3.0</v>
      </c>
      <c r="L474" s="22">
        <f>+SUMIF('حركه المخزن الرئيسي اليوميه'!$F:$F,$H:$H,'حركه المخزن الرئيسي اليوميه'!$H:$H)</f>
        <v>0.0</v>
      </c>
      <c r="M474" s="22">
        <f>+SUMIF('حركه المخزن الرئيسي اليوميه'!$F:$F,$H:$H,'حركه المخزن الرئيسي اليوميه'!$I:$I)</f>
        <v>1.0</v>
      </c>
      <c r="N474" s="22">
        <f>+K474+L474-M474</f>
        <v>2.0</v>
      </c>
      <c r="O474" s="22">
        <f>+N474</f>
        <v>2.0</v>
      </c>
      <c r="P474" s="22">
        <f>+N474-O474</f>
        <v>0.0</v>
      </c>
      <c r="Q474" s="57"/>
      <c r="R474" s="59"/>
    </row>
    <row r="475" spans="8:8" ht="15.0" customHeight="1">
      <c r="B475" s="54">
        <v>525.0</v>
      </c>
      <c r="C475" s="8" t="s">
        <v>8351</v>
      </c>
      <c r="D475" s="8" t="s">
        <v>1017</v>
      </c>
      <c r="E475" s="8" t="s">
        <v>48</v>
      </c>
      <c r="F475" s="8" t="s">
        <v>68</v>
      </c>
      <c r="G475" s="8" t="s">
        <v>2051</v>
      </c>
      <c r="H475" s="8" t="s">
        <v>607</v>
      </c>
      <c r="I475" s="8" t="s">
        <v>45</v>
      </c>
      <c r="J475" s="78" t="s">
        <v>4390</v>
      </c>
      <c r="K475" s="22">
        <v>0.0</v>
      </c>
      <c r="L475" s="22">
        <f>+SUMIF('حركه المخزن الرئيسي اليوميه'!$F:$F,$H:$H,'حركه المخزن الرئيسي اليوميه'!$H:$H)</f>
        <v>0.0</v>
      </c>
      <c r="M475" s="22">
        <f>+SUMIF('حركه المخزن الرئيسي اليوميه'!$F:$F,$H:$H,'حركه المخزن الرئيسي اليوميه'!$I:$I)</f>
        <v>0.0</v>
      </c>
      <c r="N475" s="22">
        <f>+K475+L475-M475</f>
        <v>0.0</v>
      </c>
      <c r="O475" s="22">
        <f>+N475</f>
        <v>0.0</v>
      </c>
      <c r="P475" s="22">
        <f>+N475-O475</f>
        <v>0.0</v>
      </c>
      <c r="Q475" s="57"/>
      <c r="R475" s="58"/>
    </row>
    <row r="476" spans="8:8" ht="15.0" customHeight="1">
      <c r="B476" s="54">
        <v>526.0</v>
      </c>
      <c r="C476" s="8" t="s">
        <v>8351</v>
      </c>
      <c r="D476" s="8" t="s">
        <v>1017</v>
      </c>
      <c r="E476" s="8" t="s">
        <v>1079</v>
      </c>
      <c r="F476" s="8" t="s">
        <v>68</v>
      </c>
      <c r="G476" s="8" t="s">
        <v>1823</v>
      </c>
      <c r="H476" s="8" t="s">
        <v>1080</v>
      </c>
      <c r="I476" s="8" t="s">
        <v>45</v>
      </c>
      <c r="J476" s="78" t="s">
        <v>4391</v>
      </c>
      <c r="K476" s="22">
        <v>2.0</v>
      </c>
      <c r="L476" s="22">
        <f>+SUMIF('حركه المخزن الرئيسي اليوميه'!$F:$F,$H:$H,'حركه المخزن الرئيسي اليوميه'!$H:$H)</f>
        <v>0.0</v>
      </c>
      <c r="M476" s="22">
        <f>+SUMIF('حركه المخزن الرئيسي اليوميه'!$F:$F,$H:$H,'حركه المخزن الرئيسي اليوميه'!$I:$I)</f>
        <v>0.0</v>
      </c>
      <c r="N476" s="22">
        <f>+K476+L476-M476</f>
        <v>2.0</v>
      </c>
      <c r="O476" s="22">
        <f>+N476</f>
        <v>2.0</v>
      </c>
      <c r="P476" s="22">
        <f>+N476-O476</f>
        <v>0.0</v>
      </c>
      <c r="Q476" s="57"/>
      <c r="R476" s="59"/>
    </row>
    <row r="477" spans="8:8" ht="15.0" customHeight="1">
      <c r="B477" s="54">
        <v>527.0</v>
      </c>
      <c r="C477" s="8" t="s">
        <v>8351</v>
      </c>
      <c r="D477" s="8" t="s">
        <v>1017</v>
      </c>
      <c r="E477" s="8" t="s">
        <v>50</v>
      </c>
      <c r="F477" s="8" t="s">
        <v>68</v>
      </c>
      <c r="G477" s="8" t="s">
        <v>1851</v>
      </c>
      <c r="H477" s="8" t="s">
        <v>1090</v>
      </c>
      <c r="I477" s="8" t="s">
        <v>45</v>
      </c>
      <c r="J477" s="78" t="s">
        <v>4392</v>
      </c>
      <c r="K477" s="22">
        <v>3.0</v>
      </c>
      <c r="L477" s="22">
        <f>+SUMIF('حركه المخزن الرئيسي اليوميه'!$F:$F,$H:$H,'حركه المخزن الرئيسي اليوميه'!$H:$H)</f>
        <v>0.0</v>
      </c>
      <c r="M477" s="22">
        <f>+SUMIF('حركه المخزن الرئيسي اليوميه'!$F:$F,$H:$H,'حركه المخزن الرئيسي اليوميه'!$I:$I)</f>
        <v>0.0</v>
      </c>
      <c r="N477" s="22">
        <f>+K477+L477-M477</f>
        <v>3.0</v>
      </c>
      <c r="O477" s="22">
        <f>+N477</f>
        <v>3.0</v>
      </c>
      <c r="P477" s="22">
        <f>+N477-O477</f>
        <v>0.0</v>
      </c>
      <c r="Q477" s="57"/>
      <c r="R477" s="58"/>
    </row>
    <row r="478" spans="8:8" ht="15.0" customHeight="1">
      <c r="B478" s="54">
        <v>528.0</v>
      </c>
      <c r="C478" s="8" t="s">
        <v>8351</v>
      </c>
      <c r="D478" s="8" t="s">
        <v>1017</v>
      </c>
      <c r="E478" s="8" t="s">
        <v>44</v>
      </c>
      <c r="F478" s="8" t="s">
        <v>68</v>
      </c>
      <c r="G478" s="8" t="s">
        <v>2049</v>
      </c>
      <c r="H478" s="8" t="s">
        <v>588</v>
      </c>
      <c r="I478" s="8" t="s">
        <v>45</v>
      </c>
      <c r="J478" s="78" t="s">
        <v>4393</v>
      </c>
      <c r="K478" s="22">
        <v>5.0</v>
      </c>
      <c r="L478" s="22">
        <f>+SUMIF('حركه المخزن الرئيسي اليوميه'!$F:$F,$H:$H,'حركه المخزن الرئيسي اليوميه'!$H:$H)</f>
        <v>0.0</v>
      </c>
      <c r="M478" s="22">
        <f>+SUMIF('حركه المخزن الرئيسي اليوميه'!$F:$F,$H:$H,'حركه المخزن الرئيسي اليوميه'!$I:$I)</f>
        <v>3.0</v>
      </c>
      <c r="N478" s="22">
        <f>+K478+L478-M478</f>
        <v>2.0</v>
      </c>
      <c r="O478" s="22">
        <f>+N478</f>
        <v>2.0</v>
      </c>
      <c r="P478" s="22">
        <f>+N478-O478</f>
        <v>0.0</v>
      </c>
      <c r="Q478" s="57"/>
      <c r="R478" s="58"/>
    </row>
    <row r="479" spans="8:8" ht="15.0" customHeight="1">
      <c r="B479" s="54">
        <v>529.0</v>
      </c>
      <c r="C479" s="8" t="s">
        <v>8351</v>
      </c>
      <c r="D479" s="8" t="s">
        <v>1017</v>
      </c>
      <c r="E479" s="8" t="s">
        <v>44</v>
      </c>
      <c r="F479" s="8" t="s">
        <v>68</v>
      </c>
      <c r="G479" s="8" t="s">
        <v>2049</v>
      </c>
      <c r="H479" s="8" t="s">
        <v>1082</v>
      </c>
      <c r="I479" s="8" t="s">
        <v>45</v>
      </c>
      <c r="J479" s="78" t="s">
        <v>4394</v>
      </c>
      <c r="K479" s="22">
        <v>10.0</v>
      </c>
      <c r="L479" s="22">
        <f>+SUMIF('حركه المخزن الرئيسي اليوميه'!$F:$F,$H:$H,'حركه المخزن الرئيسي اليوميه'!$H:$H)</f>
        <v>0.0</v>
      </c>
      <c r="M479" s="22">
        <f>+SUMIF('حركه المخزن الرئيسي اليوميه'!$F:$F,$H:$H,'حركه المخزن الرئيسي اليوميه'!$I:$I)</f>
        <v>0.0</v>
      </c>
      <c r="N479" s="22">
        <f>+K479+L479-M479</f>
        <v>10.0</v>
      </c>
      <c r="O479" s="22">
        <f>+N479</f>
        <v>10.0</v>
      </c>
      <c r="P479" s="22">
        <f>+N479-O479</f>
        <v>0.0</v>
      </c>
      <c r="Q479" s="57"/>
      <c r="R479" s="59"/>
    </row>
    <row r="480" spans="8:8" ht="15.0" customHeight="1">
      <c r="B480" s="54">
        <v>530.0</v>
      </c>
      <c r="C480" s="8" t="s">
        <v>8351</v>
      </c>
      <c r="D480" s="8" t="s">
        <v>1017</v>
      </c>
      <c r="E480" s="8" t="s">
        <v>49</v>
      </c>
      <c r="F480" s="8" t="s">
        <v>68</v>
      </c>
      <c r="G480" s="8" t="s">
        <v>1850</v>
      </c>
      <c r="H480" s="8" t="s">
        <v>569</v>
      </c>
      <c r="I480" s="8" t="s">
        <v>45</v>
      </c>
      <c r="J480" s="78" t="s">
        <v>4395</v>
      </c>
      <c r="K480" s="22">
        <v>1.0</v>
      </c>
      <c r="L480" s="22">
        <f>+SUMIF('حركه المخزن الرئيسي اليوميه'!$F:$F,$H:$H,'حركه المخزن الرئيسي اليوميه'!$H:$H)</f>
        <v>0.0</v>
      </c>
      <c r="M480" s="22">
        <f>+SUMIF('حركه المخزن الرئيسي اليوميه'!$F:$F,$H:$H,'حركه المخزن الرئيسي اليوميه'!$I:$I)</f>
        <v>1.0</v>
      </c>
      <c r="N480" s="22">
        <f>+K480+L480-M480</f>
        <v>0.0</v>
      </c>
      <c r="O480" s="22">
        <f>+N480</f>
        <v>0.0</v>
      </c>
      <c r="P480" s="22">
        <f>+N480-O480</f>
        <v>0.0</v>
      </c>
      <c r="Q480" s="57"/>
      <c r="R480" s="58"/>
    </row>
    <row r="481" spans="8:8" ht="15.0" customHeight="1">
      <c r="B481" s="54">
        <v>531.0</v>
      </c>
      <c r="C481" s="8" t="s">
        <v>8351</v>
      </c>
      <c r="D481" s="8" t="s">
        <v>1017</v>
      </c>
      <c r="E481" s="8" t="s">
        <v>50</v>
      </c>
      <c r="F481" s="8" t="s">
        <v>68</v>
      </c>
      <c r="G481" s="8" t="s">
        <v>1851</v>
      </c>
      <c r="H481" s="8" t="s">
        <v>1089</v>
      </c>
      <c r="I481" s="8" t="s">
        <v>45</v>
      </c>
      <c r="J481" s="78" t="s">
        <v>4396</v>
      </c>
      <c r="K481" s="22">
        <v>4.0</v>
      </c>
      <c r="L481" s="22">
        <f>+SUMIF('حركه المخزن الرئيسي اليوميه'!$F:$F,$H:$H,'حركه المخزن الرئيسي اليوميه'!$H:$H)</f>
        <v>0.0</v>
      </c>
      <c r="M481" s="22">
        <f>+SUMIF('حركه المخزن الرئيسي اليوميه'!$F:$F,$H:$H,'حركه المخزن الرئيسي اليوميه'!$I:$I)</f>
        <v>1.0</v>
      </c>
      <c r="N481" s="22">
        <f>+K481+L481-M481</f>
        <v>3.0</v>
      </c>
      <c r="O481" s="22">
        <f>+N481</f>
        <v>3.0</v>
      </c>
      <c r="P481" s="22">
        <f>+N481-O481</f>
        <v>0.0</v>
      </c>
      <c r="Q481" s="57"/>
      <c r="R481" s="58"/>
    </row>
    <row r="482" spans="8:8" ht="15.0" customHeight="1">
      <c r="B482" s="54">
        <v>532.0</v>
      </c>
      <c r="C482" s="8" t="s">
        <v>8351</v>
      </c>
      <c r="D482" s="8" t="s">
        <v>1017</v>
      </c>
      <c r="E482" s="8" t="s">
        <v>49</v>
      </c>
      <c r="F482" s="8" t="s">
        <v>68</v>
      </c>
      <c r="G482" s="8" t="s">
        <v>1852</v>
      </c>
      <c r="H482" s="8" t="s">
        <v>1085</v>
      </c>
      <c r="I482" s="8" t="s">
        <v>45</v>
      </c>
      <c r="J482" s="78" t="s">
        <v>4397</v>
      </c>
      <c r="K482" s="22">
        <v>9.0</v>
      </c>
      <c r="L482" s="22">
        <f>+SUMIF('حركه المخزن الرئيسي اليوميه'!$F:$F,$H:$H,'حركه المخزن الرئيسي اليوميه'!$H:$H)</f>
        <v>0.0</v>
      </c>
      <c r="M482" s="22">
        <f>+SUMIF('حركه المخزن الرئيسي اليوميه'!$F:$F,$H:$H,'حركه المخزن الرئيسي اليوميه'!$I:$I)</f>
        <v>0.0</v>
      </c>
      <c r="N482" s="22">
        <f>+K482+L482-M482</f>
        <v>9.0</v>
      </c>
      <c r="O482" s="22">
        <f>+N482</f>
        <v>9.0</v>
      </c>
      <c r="P482" s="22">
        <f>+N482-O482</f>
        <v>0.0</v>
      </c>
      <c r="Q482" s="57"/>
      <c r="R482" s="58"/>
    </row>
    <row r="483" spans="8:8" ht="15.0" customHeight="1">
      <c r="B483" s="54">
        <v>533.0</v>
      </c>
      <c r="C483" s="8" t="s">
        <v>8351</v>
      </c>
      <c r="D483" s="8" t="s">
        <v>1017</v>
      </c>
      <c r="E483" s="8" t="s">
        <v>49</v>
      </c>
      <c r="F483" s="8" t="s">
        <v>68</v>
      </c>
      <c r="G483" s="8" t="s">
        <v>1852</v>
      </c>
      <c r="H483" s="8" t="s">
        <v>1088</v>
      </c>
      <c r="I483" s="8" t="s">
        <v>45</v>
      </c>
      <c r="J483" s="78" t="s">
        <v>4398</v>
      </c>
      <c r="K483" s="22">
        <v>0.0</v>
      </c>
      <c r="L483" s="22">
        <f>+SUMIF('حركه المخزن الرئيسي اليوميه'!$F:$F,$H:$H,'حركه المخزن الرئيسي اليوميه'!$H:$H)</f>
        <v>0.0</v>
      </c>
      <c r="M483" s="22">
        <f>+SUMIF('حركه المخزن الرئيسي اليوميه'!$F:$F,$H:$H,'حركه المخزن الرئيسي اليوميه'!$I:$I)</f>
        <v>0.0</v>
      </c>
      <c r="N483" s="22">
        <f>+K483+L483-M483</f>
        <v>0.0</v>
      </c>
      <c r="O483" s="22">
        <f>+N483</f>
        <v>0.0</v>
      </c>
      <c r="P483" s="22">
        <f>+N483-O483</f>
        <v>0.0</v>
      </c>
      <c r="Q483" s="57"/>
      <c r="R483" s="58"/>
    </row>
    <row r="484" spans="8:8" ht="15.0" customHeight="1">
      <c r="B484" s="54">
        <v>534.0</v>
      </c>
      <c r="C484" s="8" t="s">
        <v>8351</v>
      </c>
      <c r="D484" s="8" t="s">
        <v>1017</v>
      </c>
      <c r="E484" s="8" t="s">
        <v>49</v>
      </c>
      <c r="F484" s="8" t="s">
        <v>68</v>
      </c>
      <c r="G484" s="8" t="s">
        <v>1852</v>
      </c>
      <c r="H484" s="8" t="s">
        <v>1086</v>
      </c>
      <c r="I484" s="8" t="s">
        <v>45</v>
      </c>
      <c r="J484" s="78" t="s">
        <v>4399</v>
      </c>
      <c r="K484" s="22">
        <v>0.0</v>
      </c>
      <c r="L484" s="22">
        <f>+SUMIF('حركه المخزن الرئيسي اليوميه'!$F:$F,$H:$H,'حركه المخزن الرئيسي اليوميه'!$H:$H)</f>
        <v>0.0</v>
      </c>
      <c r="M484" s="22">
        <f>+SUMIF('حركه المخزن الرئيسي اليوميه'!$F:$F,$H:$H,'حركه المخزن الرئيسي اليوميه'!$I:$I)</f>
        <v>0.0</v>
      </c>
      <c r="N484" s="22">
        <f>+K484+L484-M484</f>
        <v>0.0</v>
      </c>
      <c r="O484" s="22">
        <f>+N484</f>
        <v>0.0</v>
      </c>
      <c r="P484" s="22">
        <f>+N484-O484</f>
        <v>0.0</v>
      </c>
      <c r="Q484" s="57"/>
      <c r="R484" s="58"/>
    </row>
    <row r="485" spans="8:8" ht="15.0" customHeight="1">
      <c r="B485" s="54">
        <v>535.0</v>
      </c>
      <c r="C485" s="8" t="s">
        <v>8351</v>
      </c>
      <c r="D485" s="8" t="s">
        <v>1017</v>
      </c>
      <c r="E485" s="8" t="s">
        <v>44</v>
      </c>
      <c r="F485" s="8" t="s">
        <v>68</v>
      </c>
      <c r="G485" s="8" t="s">
        <v>2049</v>
      </c>
      <c r="H485" s="8" t="s">
        <v>591</v>
      </c>
      <c r="I485" s="8" t="s">
        <v>45</v>
      </c>
      <c r="J485" s="78" t="s">
        <v>4400</v>
      </c>
      <c r="K485" s="22">
        <v>4.0</v>
      </c>
      <c r="L485" s="22">
        <f>+SUMIF('حركه المخزن الرئيسي اليوميه'!$F:$F,$H:$H,'حركه المخزن الرئيسي اليوميه'!$H:$H)</f>
        <v>0.0</v>
      </c>
      <c r="M485" s="22">
        <f>+SUMIF('حركه المخزن الرئيسي اليوميه'!$F:$F,$H:$H,'حركه المخزن الرئيسي اليوميه'!$I:$I)</f>
        <v>3.0</v>
      </c>
      <c r="N485" s="22">
        <f>+K485+L485-M485</f>
        <v>1.0</v>
      </c>
      <c r="O485" s="22">
        <f>+N485</f>
        <v>1.0</v>
      </c>
      <c r="P485" s="22">
        <f>+N485-O485</f>
        <v>0.0</v>
      </c>
      <c r="Q485" s="57"/>
      <c r="R485" s="58"/>
    </row>
    <row r="486" spans="8:8" ht="15.0" customHeight="1">
      <c r="B486" s="54">
        <v>536.0</v>
      </c>
      <c r="C486" s="8" t="s">
        <v>8351</v>
      </c>
      <c r="D486" s="8" t="s">
        <v>1017</v>
      </c>
      <c r="E486" s="8" t="s">
        <v>48</v>
      </c>
      <c r="F486" s="8" t="s">
        <v>68</v>
      </c>
      <c r="G486" s="8" t="s">
        <v>2051</v>
      </c>
      <c r="H486" s="8" t="s">
        <v>1084</v>
      </c>
      <c r="I486" s="8" t="s">
        <v>45</v>
      </c>
      <c r="J486" s="78" t="s">
        <v>4401</v>
      </c>
      <c r="K486" s="22">
        <v>0.0</v>
      </c>
      <c r="L486" s="22">
        <f>+SUMIF('حركه المخزن الرئيسي اليوميه'!$F:$F,$H:$H,'حركه المخزن الرئيسي اليوميه'!$H:$H)</f>
        <v>0.0</v>
      </c>
      <c r="M486" s="22">
        <f>+SUMIF('حركه المخزن الرئيسي اليوميه'!$F:$F,$H:$H,'حركه المخزن الرئيسي اليوميه'!$I:$I)</f>
        <v>0.0</v>
      </c>
      <c r="N486" s="22">
        <f>+K486+L486-M486</f>
        <v>0.0</v>
      </c>
      <c r="O486" s="22">
        <f>+N486</f>
        <v>0.0</v>
      </c>
      <c r="P486" s="22">
        <f>+N486-O486</f>
        <v>0.0</v>
      </c>
      <c r="Q486" s="57"/>
      <c r="R486" s="58"/>
    </row>
    <row r="487" spans="8:8" ht="15.0" customHeight="1">
      <c r="B487" s="54">
        <v>537.0</v>
      </c>
      <c r="C487" s="8" t="s">
        <v>8351</v>
      </c>
      <c r="D487" s="8" t="s">
        <v>1017</v>
      </c>
      <c r="E487" s="8" t="s">
        <v>44</v>
      </c>
      <c r="F487" s="8" t="s">
        <v>68</v>
      </c>
      <c r="G487" s="8" t="s">
        <v>2049</v>
      </c>
      <c r="H487" s="8" t="s">
        <v>605</v>
      </c>
      <c r="I487" s="8" t="s">
        <v>174</v>
      </c>
      <c r="J487" s="78" t="s">
        <v>4402</v>
      </c>
      <c r="K487" s="22">
        <v>1.0</v>
      </c>
      <c r="L487" s="22">
        <f>+SUMIF('حركه المخزن الرئيسي اليوميه'!$F:$F,$H:$H,'حركه المخزن الرئيسي اليوميه'!$H:$H)</f>
        <v>0.0</v>
      </c>
      <c r="M487" s="22">
        <f>+SUMIF('حركه المخزن الرئيسي اليوميه'!$F:$F,$H:$H,'حركه المخزن الرئيسي اليوميه'!$I:$I)</f>
        <v>0.0</v>
      </c>
      <c r="N487" s="22">
        <f>+K487+L487-M487</f>
        <v>1.0</v>
      </c>
      <c r="O487" s="22">
        <f>+N487</f>
        <v>1.0</v>
      </c>
      <c r="P487" s="22">
        <f>+N487-O487</f>
        <v>0.0</v>
      </c>
      <c r="Q487" s="57"/>
      <c r="R487" s="58"/>
    </row>
    <row r="488" spans="8:8" ht="15.0" customHeight="1">
      <c r="B488" s="54">
        <v>538.0</v>
      </c>
      <c r="C488" s="8" t="s">
        <v>8351</v>
      </c>
      <c r="D488" s="8" t="s">
        <v>1017</v>
      </c>
      <c r="E488" s="8" t="s">
        <v>44</v>
      </c>
      <c r="F488" s="8" t="s">
        <v>68</v>
      </c>
      <c r="G488" s="8" t="s">
        <v>2049</v>
      </c>
      <c r="H488" s="8" t="s">
        <v>1081</v>
      </c>
      <c r="I488" s="8" t="s">
        <v>45</v>
      </c>
      <c r="J488" s="78" t="s">
        <v>4403</v>
      </c>
      <c r="K488" s="22">
        <v>13.0</v>
      </c>
      <c r="L488" s="22">
        <f>+SUMIF('حركه المخزن الرئيسي اليوميه'!$F:$F,$H:$H,'حركه المخزن الرئيسي اليوميه'!$H:$H)</f>
        <v>0.0</v>
      </c>
      <c r="M488" s="22">
        <f>+SUMIF('حركه المخزن الرئيسي اليوميه'!$F:$F,$H:$H,'حركه المخزن الرئيسي اليوميه'!$I:$I)</f>
        <v>0.0</v>
      </c>
      <c r="N488" s="22">
        <f>+K488+L488-M488</f>
        <v>13.0</v>
      </c>
      <c r="O488" s="22">
        <f>+N488</f>
        <v>13.0</v>
      </c>
      <c r="P488" s="22">
        <f>+N488-O488</f>
        <v>0.0</v>
      </c>
      <c r="Q488" s="57"/>
      <c r="R488" s="59"/>
    </row>
    <row r="489" spans="8:8" ht="15.0" customHeight="1">
      <c r="B489" s="54">
        <v>539.0</v>
      </c>
      <c r="C489" s="8" t="s">
        <v>8351</v>
      </c>
      <c r="D489" s="8" t="s">
        <v>1017</v>
      </c>
      <c r="E489" s="8" t="s">
        <v>47</v>
      </c>
      <c r="F489" s="8" t="s">
        <v>68</v>
      </c>
      <c r="G489" s="8" t="s">
        <v>2050</v>
      </c>
      <c r="H489" s="8" t="s">
        <v>1083</v>
      </c>
      <c r="I489" s="8" t="s">
        <v>45</v>
      </c>
      <c r="J489" s="78" t="s">
        <v>4404</v>
      </c>
      <c r="K489" s="22">
        <v>0.0</v>
      </c>
      <c r="L489" s="22">
        <f>+SUMIF('حركه المخزن الرئيسي اليوميه'!$F:$F,$H:$H,'حركه المخزن الرئيسي اليوميه'!$H:$H)</f>
        <v>0.0</v>
      </c>
      <c r="M489" s="22">
        <f>+SUMIF('حركه المخزن الرئيسي اليوميه'!$F:$F,$H:$H,'حركه المخزن الرئيسي اليوميه'!$I:$I)</f>
        <v>0.0</v>
      </c>
      <c r="N489" s="22">
        <f>+K489+L489-M489</f>
        <v>0.0</v>
      </c>
      <c r="O489" s="22">
        <f>+N489</f>
        <v>0.0</v>
      </c>
      <c r="P489" s="22">
        <f>+N489-O489</f>
        <v>0.0</v>
      </c>
      <c r="Q489" s="57"/>
      <c r="R489" s="58"/>
    </row>
    <row r="490" spans="8:8" ht="15.0" customHeight="1">
      <c r="B490" s="54">
        <v>540.0</v>
      </c>
      <c r="C490" s="8" t="s">
        <v>8351</v>
      </c>
      <c r="D490" s="8" t="s">
        <v>1017</v>
      </c>
      <c r="E490" s="8" t="s">
        <v>47</v>
      </c>
      <c r="F490" s="8" t="s">
        <v>68</v>
      </c>
      <c r="G490" s="8" t="s">
        <v>2050</v>
      </c>
      <c r="H490" s="8" t="s">
        <v>1543</v>
      </c>
      <c r="I490" s="8" t="s">
        <v>45</v>
      </c>
      <c r="J490" s="78" t="s">
        <v>4405</v>
      </c>
      <c r="K490" s="22">
        <v>14.0</v>
      </c>
      <c r="L490" s="22">
        <f>+SUMIF('حركه المخزن الرئيسي اليوميه'!$F:$F,$H:$H,'حركه المخزن الرئيسي اليوميه'!$H:$H)</f>
        <v>0.0</v>
      </c>
      <c r="M490" s="22">
        <f>+SUMIF('حركه المخزن الرئيسي اليوميه'!$F:$F,$H:$H,'حركه المخزن الرئيسي اليوميه'!$I:$I)</f>
        <v>3.0</v>
      </c>
      <c r="N490" s="22">
        <f>+K490+L490-M490</f>
        <v>11.0</v>
      </c>
      <c r="O490" s="22">
        <f>+N490</f>
        <v>11.0</v>
      </c>
      <c r="P490" s="22">
        <f>+N490-O490</f>
        <v>0.0</v>
      </c>
      <c r="Q490" s="57"/>
      <c r="R490" s="58"/>
    </row>
    <row r="491" spans="8:8" ht="15.0" customHeight="1">
      <c r="B491" s="54">
        <v>541.0</v>
      </c>
      <c r="C491" s="8" t="s">
        <v>8351</v>
      </c>
      <c r="D491" s="8" t="s">
        <v>1022</v>
      </c>
      <c r="E491" s="8" t="s">
        <v>2821</v>
      </c>
      <c r="F491" s="8" t="s">
        <v>68</v>
      </c>
      <c r="G491" s="8" t="s">
        <v>2079</v>
      </c>
      <c r="H491" s="8" t="s">
        <v>2820</v>
      </c>
      <c r="I491" s="8" t="s">
        <v>52</v>
      </c>
      <c r="J491" s="78" t="s">
        <v>4406</v>
      </c>
      <c r="K491" s="22">
        <v>0.0</v>
      </c>
      <c r="L491" s="22">
        <f>+SUMIF('حركه المخزن الرئيسي اليوميه'!$F:$F,$H:$H,'حركه المخزن الرئيسي اليوميه'!$H:$H)</f>
        <v>0.0</v>
      </c>
      <c r="M491" s="22">
        <f>+SUMIF('حركه المخزن الرئيسي اليوميه'!$F:$F,$H:$H,'حركه المخزن الرئيسي اليوميه'!$I:$I)</f>
        <v>0.0</v>
      </c>
      <c r="N491" s="22">
        <f>+K491+L491-M491</f>
        <v>0.0</v>
      </c>
      <c r="O491" s="22">
        <f>+N491</f>
        <v>0.0</v>
      </c>
      <c r="P491" s="22">
        <f>+N491-O491</f>
        <v>0.0</v>
      </c>
      <c r="Q491" s="57"/>
      <c r="R491" s="58"/>
    </row>
    <row r="492" spans="8:8" ht="15.0" customHeight="1">
      <c r="B492" s="54">
        <v>542.0</v>
      </c>
      <c r="C492" s="8" t="s">
        <v>8351</v>
      </c>
      <c r="D492" s="8" t="s">
        <v>1022</v>
      </c>
      <c r="E492" s="8" t="s">
        <v>137</v>
      </c>
      <c r="F492" s="8" t="s">
        <v>68</v>
      </c>
      <c r="G492" s="8" t="s">
        <v>2072</v>
      </c>
      <c r="H492" s="8" t="s">
        <v>581</v>
      </c>
      <c r="I492" s="8" t="s">
        <v>52</v>
      </c>
      <c r="J492" s="78" t="s">
        <v>4407</v>
      </c>
      <c r="K492" s="22">
        <v>0.0</v>
      </c>
      <c r="L492" s="22">
        <f>+SUMIF('حركه المخزن الرئيسي اليوميه'!$F:$F,$H:$H,'حركه المخزن الرئيسي اليوميه'!$H:$H)</f>
        <v>0.0</v>
      </c>
      <c r="M492" s="22">
        <f>+SUMIF('حركه المخزن الرئيسي اليوميه'!$F:$F,$H:$H,'حركه المخزن الرئيسي اليوميه'!$I:$I)</f>
        <v>0.0</v>
      </c>
      <c r="N492" s="22">
        <f>+K492+L492-M492</f>
        <v>0.0</v>
      </c>
      <c r="O492" s="22">
        <f>+N492</f>
        <v>0.0</v>
      </c>
      <c r="P492" s="22">
        <f>+N492-O492</f>
        <v>0.0</v>
      </c>
      <c r="Q492" s="57"/>
      <c r="R492" s="58"/>
    </row>
    <row r="493" spans="8:8" ht="15.0" customHeight="1">
      <c r="B493" s="54">
        <v>543.0</v>
      </c>
      <c r="C493" s="8" t="s">
        <v>8351</v>
      </c>
      <c r="D493" s="8" t="s">
        <v>1022</v>
      </c>
      <c r="E493" s="8" t="s">
        <v>53</v>
      </c>
      <c r="F493" s="8" t="s">
        <v>68</v>
      </c>
      <c r="G493" s="8" t="s">
        <v>2053</v>
      </c>
      <c r="H493" s="8" t="s">
        <v>630</v>
      </c>
      <c r="I493" s="8" t="s">
        <v>52</v>
      </c>
      <c r="J493" s="78" t="s">
        <v>4408</v>
      </c>
      <c r="K493" s="22">
        <v>3.0</v>
      </c>
      <c r="L493" s="22">
        <f>+SUMIF('حركه المخزن الرئيسي اليوميه'!$F:$F,$H:$H,'حركه المخزن الرئيسي اليوميه'!$H:$H)</f>
        <v>0.0</v>
      </c>
      <c r="M493" s="22">
        <f>+SUMIF('حركه المخزن الرئيسي اليوميه'!$F:$F,$H:$H,'حركه المخزن الرئيسي اليوميه'!$I:$I)</f>
        <v>0.0</v>
      </c>
      <c r="N493" s="22">
        <f>+K493+L493-M493</f>
        <v>3.0</v>
      </c>
      <c r="O493" s="22">
        <f>+N493</f>
        <v>3.0</v>
      </c>
      <c r="P493" s="22">
        <f>+N493-O493</f>
        <v>0.0</v>
      </c>
      <c r="Q493" s="57"/>
      <c r="R493" s="59"/>
    </row>
    <row r="494" spans="8:8" ht="15.0" customHeight="1">
      <c r="B494" s="54">
        <v>544.0</v>
      </c>
      <c r="C494" s="8" t="s">
        <v>8351</v>
      </c>
      <c r="D494" s="8" t="s">
        <v>1022</v>
      </c>
      <c r="E494" s="8" t="s">
        <v>137</v>
      </c>
      <c r="F494" s="8" t="s">
        <v>68</v>
      </c>
      <c r="G494" s="8" t="s">
        <v>2072</v>
      </c>
      <c r="H494" s="8" t="s">
        <v>579</v>
      </c>
      <c r="I494" s="8" t="s">
        <v>52</v>
      </c>
      <c r="J494" s="78" t="s">
        <v>4409</v>
      </c>
      <c r="K494" s="22">
        <v>0.0</v>
      </c>
      <c r="L494" s="22">
        <f>+SUMIF('حركه المخزن الرئيسي اليوميه'!$F:$F,$H:$H,'حركه المخزن الرئيسي اليوميه'!$H:$H)</f>
        <v>0.0</v>
      </c>
      <c r="M494" s="22">
        <f>+SUMIF('حركه المخزن الرئيسي اليوميه'!$F:$F,$H:$H,'حركه المخزن الرئيسي اليوميه'!$I:$I)</f>
        <v>0.0</v>
      </c>
      <c r="N494" s="22">
        <f>+K494+L494-M494</f>
        <v>0.0</v>
      </c>
      <c r="O494" s="22">
        <f>+N494</f>
        <v>0.0</v>
      </c>
      <c r="P494" s="22">
        <f>+N494-O494</f>
        <v>0.0</v>
      </c>
      <c r="Q494" s="57"/>
      <c r="R494" s="58"/>
    </row>
    <row r="495" spans="8:8" ht="15.0" customHeight="1">
      <c r="B495" s="54">
        <v>545.0</v>
      </c>
      <c r="C495" s="8" t="s">
        <v>8351</v>
      </c>
      <c r="D495" s="8" t="s">
        <v>1022</v>
      </c>
      <c r="E495" s="8" t="s">
        <v>51</v>
      </c>
      <c r="F495" s="8" t="s">
        <v>68</v>
      </c>
      <c r="G495" s="8" t="s">
        <v>2069</v>
      </c>
      <c r="H495" s="8" t="s">
        <v>2823</v>
      </c>
      <c r="I495" s="8" t="s">
        <v>52</v>
      </c>
      <c r="J495" s="78" t="s">
        <v>4410</v>
      </c>
      <c r="K495" s="22">
        <v>0.0</v>
      </c>
      <c r="L495" s="22">
        <f>+SUMIF('حركه المخزن الرئيسي اليوميه'!$F:$F,$H:$H,'حركه المخزن الرئيسي اليوميه'!$H:$H)</f>
        <v>0.0</v>
      </c>
      <c r="M495" s="22">
        <f>+SUMIF('حركه المخزن الرئيسي اليوميه'!$F:$F,$H:$H,'حركه المخزن الرئيسي اليوميه'!$I:$I)</f>
        <v>0.0</v>
      </c>
      <c r="N495" s="22">
        <f>+K495+L495-M495</f>
        <v>0.0</v>
      </c>
      <c r="O495" s="22">
        <f>+N495</f>
        <v>0.0</v>
      </c>
      <c r="P495" s="22">
        <f>+N495-O495</f>
        <v>0.0</v>
      </c>
      <c r="Q495" s="57"/>
      <c r="R495" s="58"/>
    </row>
    <row r="496" spans="8:8" ht="15.0" customHeight="1">
      <c r="B496" s="54">
        <v>546.0</v>
      </c>
      <c r="C496" s="8" t="s">
        <v>8351</v>
      </c>
      <c r="D496" s="8" t="s">
        <v>1022</v>
      </c>
      <c r="E496" s="8" t="s">
        <v>53</v>
      </c>
      <c r="F496" s="8" t="s">
        <v>68</v>
      </c>
      <c r="G496" s="8" t="s">
        <v>2070</v>
      </c>
      <c r="H496" s="8" t="s">
        <v>608</v>
      </c>
      <c r="I496" s="8" t="s">
        <v>52</v>
      </c>
      <c r="J496" s="78" t="s">
        <v>4411</v>
      </c>
      <c r="K496" s="22">
        <v>0.0</v>
      </c>
      <c r="L496" s="22">
        <f>+SUMIF('حركه المخزن الرئيسي اليوميه'!$F:$F,$H:$H,'حركه المخزن الرئيسي اليوميه'!$H:$H)</f>
        <v>0.0</v>
      </c>
      <c r="M496" s="22">
        <f>+SUMIF('حركه المخزن الرئيسي اليوميه'!$F:$F,$H:$H,'حركه المخزن الرئيسي اليوميه'!$I:$I)</f>
        <v>0.0</v>
      </c>
      <c r="N496" s="22">
        <f>+K496+L496-M496</f>
        <v>0.0</v>
      </c>
      <c r="O496" s="22">
        <f>+N496</f>
        <v>0.0</v>
      </c>
      <c r="P496" s="22">
        <f>+N496-O496</f>
        <v>0.0</v>
      </c>
      <c r="Q496" s="57"/>
      <c r="R496" s="58"/>
    </row>
    <row r="497" spans="8:8" ht="15.0" customHeight="1">
      <c r="B497" s="54">
        <v>547.0</v>
      </c>
      <c r="C497" s="8" t="s">
        <v>8351</v>
      </c>
      <c r="D497" s="8" t="s">
        <v>1022</v>
      </c>
      <c r="E497" s="8" t="s">
        <v>136</v>
      </c>
      <c r="F497" s="8" t="s">
        <v>68</v>
      </c>
      <c r="G497" s="8" t="s">
        <v>2071</v>
      </c>
      <c r="H497" s="8" t="s">
        <v>1037</v>
      </c>
      <c r="I497" s="8" t="s">
        <v>52</v>
      </c>
      <c r="J497" s="78" t="s">
        <v>4412</v>
      </c>
      <c r="K497" s="22">
        <v>8.0</v>
      </c>
      <c r="L497" s="22">
        <f>+SUMIF('حركه المخزن الرئيسي اليوميه'!$F:$F,$H:$H,'حركه المخزن الرئيسي اليوميه'!$H:$H)</f>
        <v>0.0</v>
      </c>
      <c r="M497" s="22">
        <f>+SUMIF('حركه المخزن الرئيسي اليوميه'!$F:$F,$H:$H,'حركه المخزن الرئيسي اليوميه'!$I:$I)</f>
        <v>5.0</v>
      </c>
      <c r="N497" s="22">
        <f>+K497+L497-M497</f>
        <v>3.0</v>
      </c>
      <c r="O497" s="22">
        <f>+N497</f>
        <v>3.0</v>
      </c>
      <c r="P497" s="22">
        <f>+N497-O497</f>
        <v>0.0</v>
      </c>
      <c r="Q497" s="57"/>
      <c r="R497" s="58"/>
    </row>
    <row r="498" spans="8:8" ht="15.0" customHeight="1">
      <c r="B498" s="54">
        <v>548.0</v>
      </c>
      <c r="C498" s="8" t="s">
        <v>8351</v>
      </c>
      <c r="D498" s="8" t="s">
        <v>1022</v>
      </c>
      <c r="E498" s="8" t="s">
        <v>51</v>
      </c>
      <c r="F498" s="8" t="s">
        <v>68</v>
      </c>
      <c r="G498" s="8" t="s">
        <v>2069</v>
      </c>
      <c r="H498" s="8" t="s">
        <v>578</v>
      </c>
      <c r="I498" s="8" t="s">
        <v>52</v>
      </c>
      <c r="J498" s="78" t="s">
        <v>4413</v>
      </c>
      <c r="K498" s="22">
        <v>0.0</v>
      </c>
      <c r="L498" s="22">
        <f>+SUMIF('حركه المخزن الرئيسي اليوميه'!$F:$F,$H:$H,'حركه المخزن الرئيسي اليوميه'!$H:$H)</f>
        <v>0.0</v>
      </c>
      <c r="M498" s="22">
        <f>+SUMIF('حركه المخزن الرئيسي اليوميه'!$F:$F,$H:$H,'حركه المخزن الرئيسي اليوميه'!$I:$I)</f>
        <v>0.0</v>
      </c>
      <c r="N498" s="22">
        <f>+K498+L498-M498</f>
        <v>0.0</v>
      </c>
      <c r="O498" s="22">
        <f>+N498</f>
        <v>0.0</v>
      </c>
      <c r="P498" s="22">
        <f>+N498-O498</f>
        <v>0.0</v>
      </c>
      <c r="Q498" s="57"/>
      <c r="R498" s="58"/>
    </row>
    <row r="499" spans="8:8" ht="15.0" customHeight="1">
      <c r="B499" s="54">
        <v>549.0</v>
      </c>
      <c r="C499" s="8" t="s">
        <v>8351</v>
      </c>
      <c r="D499" s="8" t="s">
        <v>1022</v>
      </c>
      <c r="E499" s="8" t="s">
        <v>137</v>
      </c>
      <c r="F499" s="8" t="s">
        <v>68</v>
      </c>
      <c r="G499" s="8" t="s">
        <v>2072</v>
      </c>
      <c r="H499" s="8" t="s">
        <v>580</v>
      </c>
      <c r="I499" s="8" t="s">
        <v>52</v>
      </c>
      <c r="J499" s="78" t="s">
        <v>4414</v>
      </c>
      <c r="K499" s="22">
        <v>0.0</v>
      </c>
      <c r="L499" s="22">
        <f>+SUMIF('حركه المخزن الرئيسي اليوميه'!$F:$F,$H:$H,'حركه المخزن الرئيسي اليوميه'!$H:$H)</f>
        <v>0.0</v>
      </c>
      <c r="M499" s="22">
        <f>+SUMIF('حركه المخزن الرئيسي اليوميه'!$F:$F,$H:$H,'حركه المخزن الرئيسي اليوميه'!$I:$I)</f>
        <v>0.0</v>
      </c>
      <c r="N499" s="22">
        <f>+K499+L499-M499</f>
        <v>0.0</v>
      </c>
      <c r="O499" s="22">
        <f>+N499</f>
        <v>0.0</v>
      </c>
      <c r="P499" s="22">
        <f>+N499-O499</f>
        <v>0.0</v>
      </c>
      <c r="Q499" s="57"/>
      <c r="R499" s="58"/>
    </row>
    <row r="500" spans="8:8" ht="15.0" customHeight="1">
      <c r="B500" s="54">
        <v>550.0</v>
      </c>
      <c r="C500" s="8" t="s">
        <v>8351</v>
      </c>
      <c r="D500" s="8" t="s">
        <v>1017</v>
      </c>
      <c r="E500" s="8" t="s">
        <v>51</v>
      </c>
      <c r="F500" s="8" t="s">
        <v>68</v>
      </c>
      <c r="G500" s="8" t="s">
        <v>2052</v>
      </c>
      <c r="H500" s="8" t="s">
        <v>570</v>
      </c>
      <c r="I500" s="8" t="s">
        <v>52</v>
      </c>
      <c r="J500" s="78" t="s">
        <v>4415</v>
      </c>
      <c r="K500" s="22">
        <v>6.0</v>
      </c>
      <c r="L500" s="22">
        <f>+SUMIF('حركه المخزن الرئيسي اليوميه'!$F:$F,$H:$H,'حركه المخزن الرئيسي اليوميه'!$H:$H)</f>
        <v>0.0</v>
      </c>
      <c r="M500" s="22">
        <f>+SUMIF('حركه المخزن الرئيسي اليوميه'!$F:$F,$H:$H,'حركه المخزن الرئيسي اليوميه'!$I:$I)</f>
        <v>0.0</v>
      </c>
      <c r="N500" s="22">
        <f>+K500+L500-M500</f>
        <v>6.0</v>
      </c>
      <c r="O500" s="22">
        <f>+N500</f>
        <v>6.0</v>
      </c>
      <c r="P500" s="22">
        <f>+N500-O500</f>
        <v>0.0</v>
      </c>
      <c r="Q500" s="57"/>
      <c r="R500" s="59"/>
    </row>
    <row r="501" spans="8:8" ht="15.0" customHeight="1">
      <c r="B501" s="54">
        <v>551.0</v>
      </c>
      <c r="C501" s="8" t="s">
        <v>8351</v>
      </c>
      <c r="D501" s="8" t="s">
        <v>1022</v>
      </c>
      <c r="E501" s="8" t="s">
        <v>51</v>
      </c>
      <c r="F501" s="8" t="s">
        <v>68</v>
      </c>
      <c r="G501" s="8" t="s">
        <v>2069</v>
      </c>
      <c r="H501" s="8" t="s">
        <v>573</v>
      </c>
      <c r="I501" s="8" t="s">
        <v>52</v>
      </c>
      <c r="J501" s="78" t="s">
        <v>4416</v>
      </c>
      <c r="K501" s="22">
        <v>0.0</v>
      </c>
      <c r="L501" s="22">
        <f>+SUMIF('حركه المخزن الرئيسي اليوميه'!$F:$F,$H:$H,'حركه المخزن الرئيسي اليوميه'!$H:$H)</f>
        <v>0.0</v>
      </c>
      <c r="M501" s="22">
        <f>+SUMIF('حركه المخزن الرئيسي اليوميه'!$F:$F,$H:$H,'حركه المخزن الرئيسي اليوميه'!$I:$I)</f>
        <v>0.0</v>
      </c>
      <c r="N501" s="22">
        <f>+K501+L501-M501</f>
        <v>0.0</v>
      </c>
      <c r="O501" s="22">
        <f>+N501</f>
        <v>0.0</v>
      </c>
      <c r="P501" s="22">
        <f>+N501-O501</f>
        <v>0.0</v>
      </c>
      <c r="Q501" s="57"/>
      <c r="R501" s="59"/>
    </row>
    <row r="502" spans="8:8" ht="15.0" customHeight="1">
      <c r="B502" s="54">
        <v>552.0</v>
      </c>
      <c r="C502" s="8" t="s">
        <v>8351</v>
      </c>
      <c r="D502" s="8" t="s">
        <v>1013</v>
      </c>
      <c r="E502" s="8" t="s">
        <v>1896</v>
      </c>
      <c r="F502" s="8" t="s">
        <v>1501</v>
      </c>
      <c r="G502" s="8" t="s">
        <v>2307</v>
      </c>
      <c r="H502" s="8" t="s">
        <v>1896</v>
      </c>
      <c r="I502" s="8" t="s">
        <v>52</v>
      </c>
      <c r="J502" s="78" t="s">
        <v>4417</v>
      </c>
      <c r="K502" s="22">
        <v>0.0</v>
      </c>
      <c r="L502" s="22">
        <f>+SUMIF('حركه المخزن الرئيسي اليوميه'!$F:$F,$H:$H,'حركه المخزن الرئيسي اليوميه'!$H:$H)</f>
        <v>0.0</v>
      </c>
      <c r="M502" s="22">
        <f>+SUMIF('حركه المخزن الرئيسي اليوميه'!$F:$F,$H:$H,'حركه المخزن الرئيسي اليوميه'!$I:$I)</f>
        <v>0.0</v>
      </c>
      <c r="N502" s="22">
        <f>+K502+L502-M502</f>
        <v>0.0</v>
      </c>
      <c r="O502" s="22">
        <f>+N502</f>
        <v>0.0</v>
      </c>
      <c r="P502" s="22">
        <f>+N502-O502</f>
        <v>0.0</v>
      </c>
      <c r="Q502" s="57"/>
      <c r="R502" s="58"/>
    </row>
    <row r="503" spans="8:8" ht="15.0" customHeight="1">
      <c r="B503" s="54">
        <v>553.0</v>
      </c>
      <c r="C503" s="8" t="s">
        <v>8351</v>
      </c>
      <c r="D503" s="8" t="s">
        <v>1013</v>
      </c>
      <c r="E503" s="8" t="s">
        <v>1474</v>
      </c>
      <c r="F503" s="8" t="s">
        <v>68</v>
      </c>
      <c r="G503" s="8" t="s">
        <v>2097</v>
      </c>
      <c r="H503" s="8" t="s">
        <v>1476</v>
      </c>
      <c r="I503" s="8" t="s">
        <v>153</v>
      </c>
      <c r="J503" s="78" t="s">
        <v>4418</v>
      </c>
      <c r="K503" s="22">
        <v>3.0</v>
      </c>
      <c r="L503" s="22">
        <f>+SUMIF('حركه المخزن الرئيسي اليوميه'!$F:$F,$H:$H,'حركه المخزن الرئيسي اليوميه'!$H:$H)</f>
        <v>0.0</v>
      </c>
      <c r="M503" s="22">
        <f>+SUMIF('حركه المخزن الرئيسي اليوميه'!$F:$F,$H:$H,'حركه المخزن الرئيسي اليوميه'!$I:$I)</f>
        <v>0.0</v>
      </c>
      <c r="N503" s="22">
        <f>+K503+L503-M503</f>
        <v>3.0</v>
      </c>
      <c r="O503" s="22">
        <f>+N503</f>
        <v>3.0</v>
      </c>
      <c r="P503" s="22">
        <f>+N503-O503</f>
        <v>0.0</v>
      </c>
      <c r="Q503" s="57"/>
      <c r="R503" s="58"/>
    </row>
    <row r="504" spans="8:8" ht="15.0" customHeight="1">
      <c r="B504" s="54">
        <v>554.0</v>
      </c>
      <c r="C504" s="8" t="s">
        <v>8351</v>
      </c>
      <c r="D504" s="8" t="s">
        <v>1013</v>
      </c>
      <c r="E504" s="8" t="s">
        <v>1474</v>
      </c>
      <c r="F504" s="8" t="s">
        <v>68</v>
      </c>
      <c r="G504" s="8" t="s">
        <v>2097</v>
      </c>
      <c r="H504" s="8" t="s">
        <v>1475</v>
      </c>
      <c r="I504" s="8" t="s">
        <v>52</v>
      </c>
      <c r="J504" s="78" t="s">
        <v>4419</v>
      </c>
      <c r="K504" s="22">
        <v>0.0</v>
      </c>
      <c r="L504" s="22">
        <f>+SUMIF('حركه المخزن الرئيسي اليوميه'!$F:$F,$H:$H,'حركه المخزن الرئيسي اليوميه'!$H:$H)</f>
        <v>0.0</v>
      </c>
      <c r="M504" s="22">
        <f>+SUMIF('حركه المخزن الرئيسي اليوميه'!$F:$F,$H:$H,'حركه المخزن الرئيسي اليوميه'!$I:$I)</f>
        <v>0.0</v>
      </c>
      <c r="N504" s="22">
        <f>+K504+L504-M504</f>
        <v>0.0</v>
      </c>
      <c r="O504" s="22">
        <f>+N504</f>
        <v>0.0</v>
      </c>
      <c r="P504" s="22">
        <f>+N504-O504</f>
        <v>0.0</v>
      </c>
      <c r="Q504" s="57"/>
      <c r="R504" s="58"/>
    </row>
    <row r="505" spans="8:8" ht="15.0" customHeight="1">
      <c r="B505" s="54">
        <v>555.0</v>
      </c>
      <c r="C505" s="8" t="s">
        <v>8351</v>
      </c>
      <c r="D505" s="8" t="s">
        <v>1017</v>
      </c>
      <c r="E505" s="8" t="s">
        <v>51</v>
      </c>
      <c r="F505" s="8" t="s">
        <v>68</v>
      </c>
      <c r="G505" s="8" t="s">
        <v>2054</v>
      </c>
      <c r="H505" s="8" t="s">
        <v>572</v>
      </c>
      <c r="I505" s="8" t="s">
        <v>52</v>
      </c>
      <c r="J505" s="78" t="s">
        <v>4420</v>
      </c>
      <c r="K505" s="22">
        <v>4.0</v>
      </c>
      <c r="L505" s="22">
        <f>+SUMIF('حركه المخزن الرئيسي اليوميه'!$F:$F,$H:$H,'حركه المخزن الرئيسي اليوميه'!$H:$H)</f>
        <v>0.0</v>
      </c>
      <c r="M505" s="22">
        <f>+SUMIF('حركه المخزن الرئيسي اليوميه'!$F:$F,$H:$H,'حركه المخزن الرئيسي اليوميه'!$I:$I)</f>
        <v>0.0</v>
      </c>
      <c r="N505" s="22">
        <f>+K505+L505-M505</f>
        <v>4.0</v>
      </c>
      <c r="O505" s="22">
        <f>+N505</f>
        <v>4.0</v>
      </c>
      <c r="P505" s="22">
        <f>+N505-O505</f>
        <v>0.0</v>
      </c>
      <c r="Q505" s="57"/>
      <c r="R505" s="58"/>
    </row>
    <row r="506" spans="8:8" ht="15.0" customHeight="1">
      <c r="B506" s="54">
        <v>556.0</v>
      </c>
      <c r="C506" s="8" t="s">
        <v>8351</v>
      </c>
      <c r="D506" s="8" t="s">
        <v>1013</v>
      </c>
      <c r="E506" s="8" t="s">
        <v>53</v>
      </c>
      <c r="F506" s="8" t="s">
        <v>1501</v>
      </c>
      <c r="G506" s="8" t="s">
        <v>2298</v>
      </c>
      <c r="H506" s="8" t="s">
        <v>1626</v>
      </c>
      <c r="I506" s="8" t="s">
        <v>160</v>
      </c>
      <c r="J506" s="78" t="s">
        <v>4421</v>
      </c>
      <c r="K506" s="22">
        <v>3.0</v>
      </c>
      <c r="L506" s="22">
        <f>+SUMIF('حركه المخزن الرئيسي اليوميه'!$F:$F,$H:$H,'حركه المخزن الرئيسي اليوميه'!$H:$H)</f>
        <v>0.0</v>
      </c>
      <c r="M506" s="22">
        <f>+SUMIF('حركه المخزن الرئيسي اليوميه'!$F:$F,$H:$H,'حركه المخزن الرئيسي اليوميه'!$I:$I)</f>
        <v>1.0</v>
      </c>
      <c r="N506" s="22">
        <f>+K506+L506-M506</f>
        <v>2.0</v>
      </c>
      <c r="O506" s="22">
        <f>+N506</f>
        <v>2.0</v>
      </c>
      <c r="P506" s="22">
        <f>+N506-O506</f>
        <v>0.0</v>
      </c>
      <c r="Q506" s="57"/>
      <c r="R506" s="58"/>
    </row>
    <row r="507" spans="8:8" ht="15.0" customHeight="1">
      <c r="B507" s="54">
        <v>557.0</v>
      </c>
      <c r="C507" s="8" t="s">
        <v>8351</v>
      </c>
      <c r="D507" s="8" t="s">
        <v>1013</v>
      </c>
      <c r="E507" s="8" t="s">
        <v>1898</v>
      </c>
      <c r="F507" s="8" t="s">
        <v>1501</v>
      </c>
      <c r="G507" s="8" t="s">
        <v>2308</v>
      </c>
      <c r="H507" s="8" t="s">
        <v>1898</v>
      </c>
      <c r="I507" s="8" t="s">
        <v>52</v>
      </c>
      <c r="J507" s="78" t="s">
        <v>4422</v>
      </c>
      <c r="K507" s="22">
        <v>0.0</v>
      </c>
      <c r="L507" s="22">
        <f>+SUMIF('حركه المخزن الرئيسي اليوميه'!$F:$F,$H:$H,'حركه المخزن الرئيسي اليوميه'!$H:$H)</f>
        <v>0.0</v>
      </c>
      <c r="M507" s="22">
        <f>+SUMIF('حركه المخزن الرئيسي اليوميه'!$F:$F,$H:$H,'حركه المخزن الرئيسي اليوميه'!$I:$I)</f>
        <v>0.0</v>
      </c>
      <c r="N507" s="22">
        <f>+K507+L507-M507</f>
        <v>0.0</v>
      </c>
      <c r="O507" s="22">
        <f>+N507</f>
        <v>0.0</v>
      </c>
      <c r="P507" s="22">
        <f>+N507-O507</f>
        <v>0.0</v>
      </c>
      <c r="Q507" s="57"/>
      <c r="R507" s="58"/>
    </row>
    <row r="508" spans="8:8" ht="15.0" customHeight="1">
      <c r="B508" s="54">
        <v>558.0</v>
      </c>
      <c r="C508" s="8" t="s">
        <v>8351</v>
      </c>
      <c r="D508" s="8" t="s">
        <v>820</v>
      </c>
      <c r="E508" s="8" t="s">
        <v>1220</v>
      </c>
      <c r="F508" s="8" t="s">
        <v>68</v>
      </c>
      <c r="G508" s="8" t="s">
        <v>2436</v>
      </c>
      <c r="H508" s="8" t="s">
        <v>1220</v>
      </c>
      <c r="I508" s="8" t="s">
        <v>286</v>
      </c>
      <c r="J508" s="78" t="s">
        <v>4423</v>
      </c>
      <c r="K508" s="22">
        <v>9.0</v>
      </c>
      <c r="L508" s="22">
        <f>+SUMIF('حركه المخزن الرئيسي اليوميه'!$F:$F,$H:$H,'حركه المخزن الرئيسي اليوميه'!$H:$H)</f>
        <v>0.0</v>
      </c>
      <c r="M508" s="22">
        <f>+SUMIF('حركه المخزن الرئيسي اليوميه'!$F:$F,$H:$H,'حركه المخزن الرئيسي اليوميه'!$I:$I)</f>
        <v>2.0</v>
      </c>
      <c r="N508" s="22">
        <f>+K508+L508-M508</f>
        <v>7.0</v>
      </c>
      <c r="O508" s="22">
        <f>+N508</f>
        <v>7.0</v>
      </c>
      <c r="P508" s="22">
        <f>+N508-O508</f>
        <v>0.0</v>
      </c>
      <c r="Q508" s="57"/>
      <c r="R508" s="58"/>
    </row>
    <row r="509" spans="8:8" ht="15.0" customHeight="1">
      <c r="B509" s="54">
        <v>559.0</v>
      </c>
      <c r="C509" s="8" t="s">
        <v>8351</v>
      </c>
      <c r="D509" s="8" t="s">
        <v>1017</v>
      </c>
      <c r="E509" s="8" t="s">
        <v>53</v>
      </c>
      <c r="F509" s="8" t="s">
        <v>68</v>
      </c>
      <c r="G509" s="8" t="s">
        <v>2053</v>
      </c>
      <c r="H509" s="8" t="s">
        <v>562</v>
      </c>
      <c r="I509" s="8" t="s">
        <v>52</v>
      </c>
      <c r="J509" s="78" t="s">
        <v>4424</v>
      </c>
      <c r="K509" s="22">
        <v>2.0</v>
      </c>
      <c r="L509" s="22">
        <f>+SUMIF('حركه المخزن الرئيسي اليوميه'!$F:$F,$H:$H,'حركه المخزن الرئيسي اليوميه'!$H:$H)</f>
        <v>0.0</v>
      </c>
      <c r="M509" s="22">
        <f>+SUMIF('حركه المخزن الرئيسي اليوميه'!$F:$F,$H:$H,'حركه المخزن الرئيسي اليوميه'!$I:$I)</f>
        <v>0.0</v>
      </c>
      <c r="N509" s="22">
        <f>+K509+L509-M509</f>
        <v>2.0</v>
      </c>
      <c r="O509" s="22">
        <f>+N509</f>
        <v>2.0</v>
      </c>
      <c r="P509" s="22">
        <f>+N509-O509</f>
        <v>0.0</v>
      </c>
      <c r="Q509" s="57"/>
      <c r="R509" s="59"/>
    </row>
    <row r="510" spans="8:8" ht="15.0" customHeight="1">
      <c r="B510" s="54">
        <v>560.0</v>
      </c>
      <c r="C510" s="8" t="s">
        <v>8351</v>
      </c>
      <c r="D510" s="8" t="s">
        <v>1017</v>
      </c>
      <c r="E510" s="8" t="s">
        <v>54</v>
      </c>
      <c r="F510" s="8" t="s">
        <v>68</v>
      </c>
      <c r="G510" s="8" t="s">
        <v>2053</v>
      </c>
      <c r="H510" s="8" t="s">
        <v>571</v>
      </c>
      <c r="I510" s="8" t="s">
        <v>52</v>
      </c>
      <c r="J510" s="78" t="s">
        <v>4425</v>
      </c>
      <c r="K510" s="22">
        <v>0.0</v>
      </c>
      <c r="L510" s="22">
        <f>+SUMIF('حركه المخزن الرئيسي اليوميه'!$F:$F,$H:$H,'حركه المخزن الرئيسي اليوميه'!$H:$H)</f>
        <v>0.0</v>
      </c>
      <c r="M510" s="22">
        <f>+SUMIF('حركه المخزن الرئيسي اليوميه'!$F:$F,$H:$H,'حركه المخزن الرئيسي اليوميه'!$I:$I)</f>
        <v>0.0</v>
      </c>
      <c r="N510" s="22">
        <f>+K510+L510-M510</f>
        <v>0.0</v>
      </c>
      <c r="O510" s="22">
        <f>+N510</f>
        <v>0.0</v>
      </c>
      <c r="P510" s="22">
        <f>+N510-O510</f>
        <v>0.0</v>
      </c>
      <c r="Q510" s="57"/>
      <c r="R510" s="58"/>
    </row>
    <row r="511" spans="8:8" ht="15.0" customHeight="1">
      <c r="B511" s="54">
        <v>561.0</v>
      </c>
      <c r="C511" s="8" t="s">
        <v>8351</v>
      </c>
      <c r="D511" s="8" t="s">
        <v>765</v>
      </c>
      <c r="E511" s="8" t="s">
        <v>2862</v>
      </c>
      <c r="F511" s="8" t="s">
        <v>1501</v>
      </c>
      <c r="G511" s="8"/>
      <c r="H511" s="8" t="s">
        <v>2862</v>
      </c>
      <c r="I511" s="8" t="s">
        <v>52</v>
      </c>
      <c r="J511" s="78" t="s">
        <v>4426</v>
      </c>
      <c r="K511" s="22">
        <v>2.0</v>
      </c>
      <c r="L511" s="22">
        <f>+SUMIF('حركه المخزن الرئيسي اليوميه'!$F:$F,$H:$H,'حركه المخزن الرئيسي اليوميه'!$H:$H)</f>
        <v>0.0</v>
      </c>
      <c r="M511" s="22">
        <f>+SUMIF('حركه المخزن الرئيسي اليوميه'!$F:$F,$H:$H,'حركه المخزن الرئيسي اليوميه'!$I:$I)</f>
        <v>0.0</v>
      </c>
      <c r="N511" s="22">
        <f>+K511+L511-M511</f>
        <v>2.0</v>
      </c>
      <c r="O511" s="22">
        <f>+N511</f>
        <v>2.0</v>
      </c>
      <c r="P511" s="22">
        <f>+N511-O511</f>
        <v>0.0</v>
      </c>
      <c r="Q511" s="57"/>
      <c r="R511" s="58"/>
    </row>
    <row r="512" spans="8:8" ht="15.0" customHeight="1">
      <c r="B512" s="54">
        <v>562.0</v>
      </c>
      <c r="C512" s="8" t="s">
        <v>8351</v>
      </c>
      <c r="D512" s="8" t="s">
        <v>1013</v>
      </c>
      <c r="E512" s="8" t="s">
        <v>1891</v>
      </c>
      <c r="F512" s="8" t="s">
        <v>1501</v>
      </c>
      <c r="G512" s="8" t="s">
        <v>2055</v>
      </c>
      <c r="H512" s="8" t="s">
        <v>1891</v>
      </c>
      <c r="I512" s="8" t="s">
        <v>52</v>
      </c>
      <c r="J512" s="78" t="s">
        <v>4427</v>
      </c>
      <c r="K512" s="22">
        <v>0.0</v>
      </c>
      <c r="L512" s="22">
        <f>+SUMIF('حركه المخزن الرئيسي اليوميه'!$F:$F,$H:$H,'حركه المخزن الرئيسي اليوميه'!$H:$H)</f>
        <v>0.0</v>
      </c>
      <c r="M512" s="22">
        <f>+SUMIF('حركه المخزن الرئيسي اليوميه'!$F:$F,$H:$H,'حركه المخزن الرئيسي اليوميه'!$I:$I)</f>
        <v>0.0</v>
      </c>
      <c r="N512" s="22">
        <f>+K512+L512-M512</f>
        <v>0.0</v>
      </c>
      <c r="O512" s="22">
        <f>+N512</f>
        <v>0.0</v>
      </c>
      <c r="P512" s="22">
        <f>+N512-O512</f>
        <v>0.0</v>
      </c>
      <c r="Q512" s="57"/>
      <c r="R512" s="58"/>
    </row>
    <row r="513" spans="8:8" ht="15.0" customHeight="1">
      <c r="B513" s="54">
        <v>563.0</v>
      </c>
      <c r="C513" s="8" t="s">
        <v>8351</v>
      </c>
      <c r="D513" s="8" t="s">
        <v>1013</v>
      </c>
      <c r="E513" s="8" t="s">
        <v>3649</v>
      </c>
      <c r="F513" s="8" t="s">
        <v>68</v>
      </c>
      <c r="G513" s="8"/>
      <c r="H513" s="8" t="s">
        <v>2724</v>
      </c>
      <c r="I513" s="8" t="s">
        <v>52</v>
      </c>
      <c r="J513" s="78" t="s">
        <v>4428</v>
      </c>
      <c r="K513" s="22">
        <v>0.0</v>
      </c>
      <c r="L513" s="22">
        <f>+SUMIF('حركه المخزن الرئيسي اليوميه'!$F:$F,$H:$H,'حركه المخزن الرئيسي اليوميه'!$H:$H)</f>
        <v>0.0</v>
      </c>
      <c r="M513" s="22">
        <f>+SUMIF('حركه المخزن الرئيسي اليوميه'!$F:$F,$H:$H,'حركه المخزن الرئيسي اليوميه'!$I:$I)</f>
        <v>0.0</v>
      </c>
      <c r="N513" s="22">
        <f>+K513+L513-M513</f>
        <v>0.0</v>
      </c>
      <c r="O513" s="22">
        <f>+N513</f>
        <v>0.0</v>
      </c>
      <c r="P513" s="22">
        <f>+N513-O513</f>
        <v>0.0</v>
      </c>
      <c r="Q513" s="57"/>
      <c r="R513" s="59"/>
    </row>
    <row r="514" spans="8:8" ht="15.0" customHeight="1">
      <c r="B514" s="54">
        <v>564.0</v>
      </c>
      <c r="C514" s="8" t="s">
        <v>8351</v>
      </c>
      <c r="D514" s="8" t="s">
        <v>765</v>
      </c>
      <c r="E514" s="8" t="s">
        <v>2882</v>
      </c>
      <c r="F514" s="8" t="s">
        <v>1501</v>
      </c>
      <c r="G514" s="8"/>
      <c r="H514" s="8" t="s">
        <v>2883</v>
      </c>
      <c r="I514" s="8" t="s">
        <v>52</v>
      </c>
      <c r="J514" s="78" t="s">
        <v>4429</v>
      </c>
      <c r="K514" s="22">
        <v>0.0</v>
      </c>
      <c r="L514" s="22">
        <f>+SUMIF('حركه المخزن الرئيسي اليوميه'!$F:$F,$H:$H,'حركه المخزن الرئيسي اليوميه'!$H:$H)</f>
        <v>0.0</v>
      </c>
      <c r="M514" s="22">
        <f>+SUMIF('حركه المخزن الرئيسي اليوميه'!$F:$F,$H:$H,'حركه المخزن الرئيسي اليوميه'!$I:$I)</f>
        <v>0.0</v>
      </c>
      <c r="N514" s="22">
        <f>+K514+L514-M514</f>
        <v>0.0</v>
      </c>
      <c r="O514" s="22">
        <f>+N514</f>
        <v>0.0</v>
      </c>
      <c r="P514" s="22">
        <f>+N514-O514</f>
        <v>0.0</v>
      </c>
      <c r="Q514" s="57"/>
      <c r="R514" s="59"/>
    </row>
    <row r="515" spans="8:8" ht="15.0" customHeight="1">
      <c r="B515" s="54">
        <v>565.0</v>
      </c>
      <c r="C515" s="8" t="s">
        <v>8351</v>
      </c>
      <c r="D515" s="8" t="s">
        <v>765</v>
      </c>
      <c r="E515" s="8" t="s">
        <v>2868</v>
      </c>
      <c r="F515" s="8" t="s">
        <v>1501</v>
      </c>
      <c r="G515" s="8"/>
      <c r="H515" s="8" t="s">
        <v>2868</v>
      </c>
      <c r="I515" s="8" t="s">
        <v>52</v>
      </c>
      <c r="J515" s="78" t="s">
        <v>4430</v>
      </c>
      <c r="K515" s="22">
        <v>0.0</v>
      </c>
      <c r="L515" s="22">
        <f>+SUMIF('حركه المخزن الرئيسي اليوميه'!$F:$F,$H:$H,'حركه المخزن الرئيسي اليوميه'!$H:$H)</f>
        <v>0.0</v>
      </c>
      <c r="M515" s="22">
        <f>+SUMIF('حركه المخزن الرئيسي اليوميه'!$F:$F,$H:$H,'حركه المخزن الرئيسي اليوميه'!$I:$I)</f>
        <v>0.0</v>
      </c>
      <c r="N515" s="22">
        <f>+K515+L515-M515</f>
        <v>0.0</v>
      </c>
      <c r="O515" s="22">
        <f>+N515</f>
        <v>0.0</v>
      </c>
      <c r="P515" s="22">
        <f>+N515-O515</f>
        <v>0.0</v>
      </c>
      <c r="Q515" s="57"/>
      <c r="R515" s="58"/>
    </row>
    <row r="516" spans="8:8" ht="15.0" customHeight="1">
      <c r="B516" s="54">
        <v>566.0</v>
      </c>
      <c r="C516" s="8" t="s">
        <v>8351</v>
      </c>
      <c r="D516" s="8" t="s">
        <v>1013</v>
      </c>
      <c r="E516" s="8" t="s">
        <v>1521</v>
      </c>
      <c r="F516" s="8" t="s">
        <v>1501</v>
      </c>
      <c r="G516" s="8" t="s">
        <v>2288</v>
      </c>
      <c r="H516" s="8" t="s">
        <v>1521</v>
      </c>
      <c r="I516" s="8" t="s">
        <v>8178</v>
      </c>
      <c r="J516" s="78" t="s">
        <v>4431</v>
      </c>
      <c r="K516" s="22">
        <v>27.0</v>
      </c>
      <c r="L516" s="22">
        <f>+SUMIF('حركه المخزن الرئيسي اليوميه'!$F:$F,$H:$H,'حركه المخزن الرئيسي اليوميه'!$H:$H)</f>
        <v>0.0</v>
      </c>
      <c r="M516" s="22">
        <f>+SUMIF('حركه المخزن الرئيسي اليوميه'!$F:$F,$H:$H,'حركه المخزن الرئيسي اليوميه'!$I:$I)</f>
        <v>0.0</v>
      </c>
      <c r="N516" s="22">
        <f>+K516+L516-M516</f>
        <v>27.0</v>
      </c>
      <c r="O516" s="22">
        <f>+N516</f>
        <v>27.0</v>
      </c>
      <c r="P516" s="22">
        <f>+N516-O516</f>
        <v>0.0</v>
      </c>
      <c r="Q516" s="57"/>
      <c r="R516" s="59"/>
    </row>
    <row r="517" spans="8:8" ht="15.0" customHeight="1">
      <c r="B517" s="54">
        <v>567.0</v>
      </c>
      <c r="C517" s="8" t="s">
        <v>8351</v>
      </c>
      <c r="D517" s="8" t="s">
        <v>1013</v>
      </c>
      <c r="E517" s="8" t="s">
        <v>1895</v>
      </c>
      <c r="F517" s="8" t="s">
        <v>1501</v>
      </c>
      <c r="G517" s="8" t="s">
        <v>2055</v>
      </c>
      <c r="H517" s="8" t="s">
        <v>1895</v>
      </c>
      <c r="I517" s="8" t="s">
        <v>139</v>
      </c>
      <c r="J517" s="78" t="s">
        <v>4432</v>
      </c>
      <c r="K517" s="22">
        <v>0.0</v>
      </c>
      <c r="L517" s="22">
        <f>+SUMIF('حركه المخزن الرئيسي اليوميه'!$F:$F,$H:$H,'حركه المخزن الرئيسي اليوميه'!$H:$H)</f>
        <v>0.0</v>
      </c>
      <c r="M517" s="22">
        <f>+SUMIF('حركه المخزن الرئيسي اليوميه'!$F:$F,$H:$H,'حركه المخزن الرئيسي اليوميه'!$I:$I)</f>
        <v>0.0</v>
      </c>
      <c r="N517" s="22">
        <f>+K517+L517-M517</f>
        <v>0.0</v>
      </c>
      <c r="O517" s="22">
        <f>+N517</f>
        <v>0.0</v>
      </c>
      <c r="P517" s="22">
        <f>+N517-O517</f>
        <v>0.0</v>
      </c>
      <c r="Q517" s="57"/>
      <c r="R517" s="58"/>
    </row>
    <row r="518" spans="8:8" ht="15.0" customHeight="1">
      <c r="B518" s="54">
        <v>568.0</v>
      </c>
      <c r="C518" s="8" t="s">
        <v>8351</v>
      </c>
      <c r="D518" s="8" t="s">
        <v>1022</v>
      </c>
      <c r="E518" s="8" t="s">
        <v>138</v>
      </c>
      <c r="F518" s="8" t="s">
        <v>68</v>
      </c>
      <c r="G518" s="8" t="s">
        <v>2050</v>
      </c>
      <c r="H518" s="8" t="s">
        <v>1092</v>
      </c>
      <c r="I518" s="8" t="s">
        <v>139</v>
      </c>
      <c r="J518" s="78" t="s">
        <v>4433</v>
      </c>
      <c r="K518" s="22">
        <v>0.0</v>
      </c>
      <c r="L518" s="22">
        <f>+SUMIF('حركه المخزن الرئيسي اليوميه'!$F:$F,$H:$H,'حركه المخزن الرئيسي اليوميه'!$H:$H)</f>
        <v>0.0</v>
      </c>
      <c r="M518" s="22">
        <f>+SUMIF('حركه المخزن الرئيسي اليوميه'!$F:$F,$H:$H,'حركه المخزن الرئيسي اليوميه'!$I:$I)</f>
        <v>0.0</v>
      </c>
      <c r="N518" s="22">
        <f>+K518+L518-M518</f>
        <v>0.0</v>
      </c>
      <c r="O518" s="22">
        <f>+N518</f>
        <v>0.0</v>
      </c>
      <c r="P518" s="22">
        <f>+N518-O518</f>
        <v>0.0</v>
      </c>
      <c r="Q518" s="57"/>
      <c r="R518" s="58"/>
    </row>
    <row r="519" spans="8:8" ht="15.0" customHeight="1">
      <c r="B519" s="54">
        <v>569.0</v>
      </c>
      <c r="C519" s="8" t="s">
        <v>8351</v>
      </c>
      <c r="D519" s="8" t="s">
        <v>1022</v>
      </c>
      <c r="E519" s="8" t="s">
        <v>140</v>
      </c>
      <c r="F519" s="8" t="s">
        <v>68</v>
      </c>
      <c r="G519" s="8" t="s">
        <v>2073</v>
      </c>
      <c r="H519" s="8" t="s">
        <v>584</v>
      </c>
      <c r="I519" s="8" t="s">
        <v>139</v>
      </c>
      <c r="J519" s="78" t="s">
        <v>4434</v>
      </c>
      <c r="K519" s="22">
        <v>1.0</v>
      </c>
      <c r="L519" s="22">
        <f>+SUMIF('حركه المخزن الرئيسي اليوميه'!$F:$F,$H:$H,'حركه المخزن الرئيسي اليوميه'!$H:$H)</f>
        <v>0.0</v>
      </c>
      <c r="M519" s="22">
        <f>+SUMIF('حركه المخزن الرئيسي اليوميه'!$F:$F,$H:$H,'حركه المخزن الرئيسي اليوميه'!$I:$I)</f>
        <v>0.0</v>
      </c>
      <c r="N519" s="22">
        <f>+K519+L519-M519</f>
        <v>1.0</v>
      </c>
      <c r="O519" s="22">
        <f>+N519</f>
        <v>1.0</v>
      </c>
      <c r="P519" s="22">
        <f>+N519-O519</f>
        <v>0.0</v>
      </c>
      <c r="Q519" s="57"/>
      <c r="R519" s="58"/>
    </row>
    <row r="520" spans="8:8" ht="15.0" customHeight="1">
      <c r="B520" s="54">
        <v>570.0</v>
      </c>
      <c r="C520" s="8" t="s">
        <v>8351</v>
      </c>
      <c r="D520" s="8" t="s">
        <v>1022</v>
      </c>
      <c r="E520" s="8" t="s">
        <v>140</v>
      </c>
      <c r="F520" s="8" t="s">
        <v>68</v>
      </c>
      <c r="G520" s="8" t="s">
        <v>2073</v>
      </c>
      <c r="H520" s="8" t="s">
        <v>1093</v>
      </c>
      <c r="I520" s="8" t="s">
        <v>139</v>
      </c>
      <c r="J520" s="78" t="s">
        <v>4435</v>
      </c>
      <c r="K520" s="22">
        <v>0.0</v>
      </c>
      <c r="L520" s="22">
        <f>+SUMIF('حركه المخزن الرئيسي اليوميه'!$F:$F,$H:$H,'حركه المخزن الرئيسي اليوميه'!$H:$H)</f>
        <v>0.0</v>
      </c>
      <c r="M520" s="22">
        <f>+SUMIF('حركه المخزن الرئيسي اليوميه'!$F:$F,$H:$H,'حركه المخزن الرئيسي اليوميه'!$I:$I)</f>
        <v>0.0</v>
      </c>
      <c r="N520" s="22">
        <f>+K520+L520-M520</f>
        <v>0.0</v>
      </c>
      <c r="O520" s="22">
        <f>+N520</f>
        <v>0.0</v>
      </c>
      <c r="P520" s="22">
        <f>+N520-O520</f>
        <v>0.0</v>
      </c>
      <c r="Q520" s="57"/>
      <c r="R520" s="58"/>
    </row>
    <row r="521" spans="8:8" ht="15.0" customHeight="1">
      <c r="B521" s="54">
        <v>571.0</v>
      </c>
      <c r="C521" s="8" t="s">
        <v>8351</v>
      </c>
      <c r="D521" s="8" t="s">
        <v>1022</v>
      </c>
      <c r="E521" s="8" t="s">
        <v>140</v>
      </c>
      <c r="F521" s="8" t="s">
        <v>68</v>
      </c>
      <c r="G521" s="8" t="s">
        <v>2073</v>
      </c>
      <c r="H521" s="8" t="s">
        <v>590</v>
      </c>
      <c r="I521" s="8" t="s">
        <v>139</v>
      </c>
      <c r="J521" s="78" t="s">
        <v>4436</v>
      </c>
      <c r="K521" s="22">
        <v>2.0</v>
      </c>
      <c r="L521" s="22">
        <f>+SUMIF('حركه المخزن الرئيسي اليوميه'!$F:$F,$H:$H,'حركه المخزن الرئيسي اليوميه'!$H:$H)</f>
        <v>0.0</v>
      </c>
      <c r="M521" s="22">
        <f>+SUMIF('حركه المخزن الرئيسي اليوميه'!$F:$F,$H:$H,'حركه المخزن الرئيسي اليوميه'!$I:$I)</f>
        <v>1.0</v>
      </c>
      <c r="N521" s="22">
        <f>+K521+L521-M521</f>
        <v>1.0</v>
      </c>
      <c r="O521" s="22">
        <f>+N521</f>
        <v>1.0</v>
      </c>
      <c r="P521" s="22">
        <f>+N521-O521</f>
        <v>0.0</v>
      </c>
      <c r="Q521" s="57"/>
      <c r="R521" s="59"/>
    </row>
    <row r="522" spans="8:8" ht="15.0" customHeight="1">
      <c r="B522" s="54">
        <v>572.0</v>
      </c>
      <c r="C522" s="8" t="s">
        <v>8351</v>
      </c>
      <c r="D522" s="8" t="s">
        <v>1017</v>
      </c>
      <c r="E522" s="8" t="s">
        <v>141</v>
      </c>
      <c r="F522" s="8" t="s">
        <v>68</v>
      </c>
      <c r="G522" s="8" t="s">
        <v>1850</v>
      </c>
      <c r="H522" s="8" t="s">
        <v>592</v>
      </c>
      <c r="I522" s="8" t="s">
        <v>286</v>
      </c>
      <c r="J522" s="78" t="s">
        <v>4437</v>
      </c>
      <c r="K522" s="22">
        <v>3.0</v>
      </c>
      <c r="L522" s="22">
        <f>+SUMIF('حركه المخزن الرئيسي اليوميه'!$F:$F,$H:$H,'حركه المخزن الرئيسي اليوميه'!$H:$H)</f>
        <v>0.0</v>
      </c>
      <c r="M522" s="22">
        <f>+SUMIF('حركه المخزن الرئيسي اليوميه'!$F:$F,$H:$H,'حركه المخزن الرئيسي اليوميه'!$I:$I)</f>
        <v>0.0</v>
      </c>
      <c r="N522" s="22">
        <f>+K522+L522-M522</f>
        <v>3.0</v>
      </c>
      <c r="O522" s="22">
        <f>+N522</f>
        <v>3.0</v>
      </c>
      <c r="P522" s="22">
        <f>+N522-O522</f>
        <v>0.0</v>
      </c>
      <c r="Q522" s="57"/>
      <c r="R522" s="59"/>
    </row>
    <row r="523" spans="8:8" ht="15.0" customHeight="1">
      <c r="B523" s="54">
        <v>573.0</v>
      </c>
      <c r="C523" s="8" t="s">
        <v>8351</v>
      </c>
      <c r="D523" s="8" t="s">
        <v>1022</v>
      </c>
      <c r="E523" s="8" t="s">
        <v>140</v>
      </c>
      <c r="F523" s="8" t="s">
        <v>68</v>
      </c>
      <c r="G523" s="8" t="s">
        <v>2073</v>
      </c>
      <c r="H523" s="8" t="s">
        <v>609</v>
      </c>
      <c r="I523" s="8" t="s">
        <v>174</v>
      </c>
      <c r="J523" s="78" t="s">
        <v>4438</v>
      </c>
      <c r="K523" s="22">
        <v>1.0</v>
      </c>
      <c r="L523" s="22">
        <f>+SUMIF('حركه المخزن الرئيسي اليوميه'!$F:$F,$H:$H,'حركه المخزن الرئيسي اليوميه'!$H:$H)</f>
        <v>0.0</v>
      </c>
      <c r="M523" s="22">
        <f>+SUMIF('حركه المخزن الرئيسي اليوميه'!$F:$F,$H:$H,'حركه المخزن الرئيسي اليوميه'!$I:$I)</f>
        <v>0.0</v>
      </c>
      <c r="N523" s="22">
        <f>+K523+L523-M523</f>
        <v>1.0</v>
      </c>
      <c r="O523" s="22">
        <f>+N523</f>
        <v>1.0</v>
      </c>
      <c r="P523" s="22">
        <f>+N523-O523</f>
        <v>0.0</v>
      </c>
      <c r="Q523" s="57"/>
      <c r="R523" s="59"/>
    </row>
    <row r="524" spans="8:8" ht="15.0" customHeight="1">
      <c r="B524" s="54">
        <v>574.0</v>
      </c>
      <c r="C524" s="8" t="s">
        <v>8351</v>
      </c>
      <c r="D524" s="8" t="s">
        <v>1022</v>
      </c>
      <c r="E524" s="8" t="s">
        <v>141</v>
      </c>
      <c r="F524" s="8" t="s">
        <v>68</v>
      </c>
      <c r="G524" s="8" t="s">
        <v>2171</v>
      </c>
      <c r="H524" s="8" t="s">
        <v>1504</v>
      </c>
      <c r="I524" s="8" t="s">
        <v>286</v>
      </c>
      <c r="J524" s="78" t="s">
        <v>4439</v>
      </c>
      <c r="K524" s="22">
        <v>0.0</v>
      </c>
      <c r="L524" s="22">
        <f>+SUMIF('حركه المخزن الرئيسي اليوميه'!$F:$F,$H:$H,'حركه المخزن الرئيسي اليوميه'!$H:$H)</f>
        <v>0.0</v>
      </c>
      <c r="M524" s="22">
        <f>+SUMIF('حركه المخزن الرئيسي اليوميه'!$F:$F,$H:$H,'حركه المخزن الرئيسي اليوميه'!$I:$I)</f>
        <v>0.0</v>
      </c>
      <c r="N524" s="22">
        <f>+K524+L524-M524</f>
        <v>0.0</v>
      </c>
      <c r="O524" s="22">
        <f>+N524</f>
        <v>0.0</v>
      </c>
      <c r="P524" s="22">
        <f>+N524-O524</f>
        <v>0.0</v>
      </c>
      <c r="Q524" s="57"/>
      <c r="R524" s="58"/>
    </row>
    <row r="525" spans="8:8" ht="15.0" customHeight="1">
      <c r="B525" s="54">
        <v>575.0</v>
      </c>
      <c r="C525" s="8" t="s">
        <v>8351</v>
      </c>
      <c r="D525" s="8" t="s">
        <v>1013</v>
      </c>
      <c r="E525" s="8" t="s">
        <v>1522</v>
      </c>
      <c r="F525" s="8" t="s">
        <v>1501</v>
      </c>
      <c r="G525" s="8" t="s">
        <v>2289</v>
      </c>
      <c r="H525" s="8" t="s">
        <v>1522</v>
      </c>
      <c r="I525" s="8" t="s">
        <v>139</v>
      </c>
      <c r="J525" s="78" t="s">
        <v>4440</v>
      </c>
      <c r="K525" s="22">
        <v>0.0</v>
      </c>
      <c r="L525" s="22">
        <f>+SUMIF('حركه المخزن الرئيسي اليوميه'!$F:$F,$H:$H,'حركه المخزن الرئيسي اليوميه'!$H:$H)</f>
        <v>0.0</v>
      </c>
      <c r="M525" s="22">
        <f>+SUMIF('حركه المخزن الرئيسي اليوميه'!$F:$F,$H:$H,'حركه المخزن الرئيسي اليوميه'!$I:$I)</f>
        <v>0.0</v>
      </c>
      <c r="N525" s="22">
        <f>+K525+L525-M525</f>
        <v>0.0</v>
      </c>
      <c r="O525" s="22">
        <f>+N525</f>
        <v>0.0</v>
      </c>
      <c r="P525" s="22">
        <f>+N525-O525</f>
        <v>0.0</v>
      </c>
      <c r="Q525" s="57"/>
      <c r="R525" s="58"/>
    </row>
    <row r="526" spans="8:8" ht="15.0" customHeight="1">
      <c r="B526" s="54">
        <v>577.0</v>
      </c>
      <c r="C526" s="8" t="s">
        <v>8351</v>
      </c>
      <c r="D526" s="8" t="s">
        <v>1013</v>
      </c>
      <c r="E526" s="8" t="s">
        <v>1514</v>
      </c>
      <c r="F526" s="8" t="s">
        <v>1501</v>
      </c>
      <c r="G526" s="8"/>
      <c r="H526" s="8" t="s">
        <v>1514</v>
      </c>
      <c r="I526" s="8" t="s">
        <v>139</v>
      </c>
      <c r="J526" s="78" t="s">
        <v>4441</v>
      </c>
      <c r="K526" s="22">
        <v>6.0</v>
      </c>
      <c r="L526" s="22">
        <f>+SUMIF('حركه المخزن الرئيسي اليوميه'!$F:$F,$H:$H,'حركه المخزن الرئيسي اليوميه'!$H:$H)</f>
        <v>0.0</v>
      </c>
      <c r="M526" s="22">
        <f>+SUMIF('حركه المخزن الرئيسي اليوميه'!$F:$F,$H:$H,'حركه المخزن الرئيسي اليوميه'!$I:$I)</f>
        <v>0.0</v>
      </c>
      <c r="N526" s="22">
        <f>+K526+L526-M526</f>
        <v>6.0</v>
      </c>
      <c r="O526" s="22">
        <f>+N526</f>
        <v>6.0</v>
      </c>
      <c r="P526" s="22">
        <f>+N526-O526</f>
        <v>0.0</v>
      </c>
      <c r="Q526" s="57"/>
      <c r="R526" s="59"/>
    </row>
    <row r="527" spans="8:8" ht="15.0" customHeight="1">
      <c r="B527" s="54">
        <v>578.0</v>
      </c>
      <c r="C527" s="8" t="s">
        <v>8351</v>
      </c>
      <c r="D527" s="8" t="s">
        <v>1022</v>
      </c>
      <c r="E527" s="8" t="s">
        <v>51</v>
      </c>
      <c r="F527" s="8" t="s">
        <v>68</v>
      </c>
      <c r="G527" s="8" t="s">
        <v>2069</v>
      </c>
      <c r="H527" s="8" t="s">
        <v>1091</v>
      </c>
      <c r="I527" s="8" t="s">
        <v>139</v>
      </c>
      <c r="J527" s="78" t="s">
        <v>4442</v>
      </c>
      <c r="K527" s="22">
        <v>0.0</v>
      </c>
      <c r="L527" s="22">
        <f>+SUMIF('حركه المخزن الرئيسي اليوميه'!$F:$F,$H:$H,'حركه المخزن الرئيسي اليوميه'!$H:$H)</f>
        <v>0.0</v>
      </c>
      <c r="M527" s="22">
        <f>+SUMIF('حركه المخزن الرئيسي اليوميه'!$F:$F,$H:$H,'حركه المخزن الرئيسي اليوميه'!$I:$I)</f>
        <v>0.0</v>
      </c>
      <c r="N527" s="22">
        <f>+K527+L527-M527</f>
        <v>0.0</v>
      </c>
      <c r="O527" s="22">
        <f>+N527</f>
        <v>0.0</v>
      </c>
      <c r="P527" s="22">
        <f>+N527-O527</f>
        <v>0.0</v>
      </c>
      <c r="Q527" s="57"/>
      <c r="R527" s="58"/>
    </row>
    <row r="528" spans="8:8" ht="15.0" customHeight="1">
      <c r="B528" s="54">
        <v>579.0</v>
      </c>
      <c r="C528" s="8" t="s">
        <v>8351</v>
      </c>
      <c r="D528" s="8" t="s">
        <v>1022</v>
      </c>
      <c r="E528" s="8" t="s">
        <v>140</v>
      </c>
      <c r="F528" s="8" t="s">
        <v>68</v>
      </c>
      <c r="G528" s="8" t="s">
        <v>2073</v>
      </c>
      <c r="H528" s="8" t="s">
        <v>589</v>
      </c>
      <c r="I528" s="8" t="s">
        <v>139</v>
      </c>
      <c r="J528" s="78" t="s">
        <v>4443</v>
      </c>
      <c r="K528" s="22">
        <v>0.0</v>
      </c>
      <c r="L528" s="22">
        <f>+SUMIF('حركه المخزن الرئيسي اليوميه'!$F:$F,$H:$H,'حركه المخزن الرئيسي اليوميه'!$H:$H)</f>
        <v>0.0</v>
      </c>
      <c r="M528" s="22">
        <f>+SUMIF('حركه المخزن الرئيسي اليوميه'!$F:$F,$H:$H,'حركه المخزن الرئيسي اليوميه'!$I:$I)</f>
        <v>0.0</v>
      </c>
      <c r="N528" s="22">
        <f>+K528+L528-M528</f>
        <v>0.0</v>
      </c>
      <c r="O528" s="22">
        <f>+N528</f>
        <v>0.0</v>
      </c>
      <c r="P528" s="22">
        <f>+N528-O528</f>
        <v>0.0</v>
      </c>
      <c r="Q528" s="57"/>
      <c r="R528" s="58"/>
    </row>
    <row r="529" spans="8:8" ht="15.0" customHeight="1">
      <c r="B529" s="54">
        <v>580.0</v>
      </c>
      <c r="C529" s="8" t="s">
        <v>8351</v>
      </c>
      <c r="D529" s="8" t="s">
        <v>1022</v>
      </c>
      <c r="E529" s="8" t="s">
        <v>140</v>
      </c>
      <c r="F529" s="8" t="s">
        <v>68</v>
      </c>
      <c r="G529" s="8" t="s">
        <v>2073</v>
      </c>
      <c r="H529" s="8" t="s">
        <v>629</v>
      </c>
      <c r="I529" s="8" t="s">
        <v>139</v>
      </c>
      <c r="J529" s="78" t="s">
        <v>4444</v>
      </c>
      <c r="K529" s="22">
        <v>6.0</v>
      </c>
      <c r="L529" s="22">
        <f>+SUMIF('حركه المخزن الرئيسي اليوميه'!$F:$F,$H:$H,'حركه المخزن الرئيسي اليوميه'!$H:$H)</f>
        <v>0.0</v>
      </c>
      <c r="M529" s="22">
        <f>+SUMIF('حركه المخزن الرئيسي اليوميه'!$F:$F,$H:$H,'حركه المخزن الرئيسي اليوميه'!$I:$I)</f>
        <v>0.0</v>
      </c>
      <c r="N529" s="22">
        <f>+K529+L529-M529</f>
        <v>6.0</v>
      </c>
      <c r="O529" s="22">
        <f>+N529</f>
        <v>6.0</v>
      </c>
      <c r="P529" s="22">
        <f>+N529-O529</f>
        <v>0.0</v>
      </c>
      <c r="Q529" s="57"/>
      <c r="R529" s="58"/>
    </row>
    <row r="530" spans="8:8" ht="15.0" customHeight="1">
      <c r="B530" s="54">
        <v>581.0</v>
      </c>
      <c r="C530" s="8" t="s">
        <v>8351</v>
      </c>
      <c r="D530" s="8" t="s">
        <v>1022</v>
      </c>
      <c r="E530" s="8" t="s">
        <v>138</v>
      </c>
      <c r="F530" s="8" t="s">
        <v>68</v>
      </c>
      <c r="G530" s="8" t="s">
        <v>2050</v>
      </c>
      <c r="H530" s="8" t="s">
        <v>641</v>
      </c>
      <c r="I530" s="8" t="s">
        <v>139</v>
      </c>
      <c r="J530" s="78" t="s">
        <v>4445</v>
      </c>
      <c r="K530" s="22">
        <v>3.0</v>
      </c>
      <c r="L530" s="22">
        <f>+SUMIF('حركه المخزن الرئيسي اليوميه'!$F:$F,$H:$H,'حركه المخزن الرئيسي اليوميه'!$H:$H)</f>
        <v>0.0</v>
      </c>
      <c r="M530" s="22">
        <f>+SUMIF('حركه المخزن الرئيسي اليوميه'!$F:$F,$H:$H,'حركه المخزن الرئيسي اليوميه'!$I:$I)</f>
        <v>0.0</v>
      </c>
      <c r="N530" s="22">
        <f>+K530+L530-M530</f>
        <v>3.0</v>
      </c>
      <c r="O530" s="22">
        <f>+N530</f>
        <v>3.0</v>
      </c>
      <c r="P530" s="22">
        <f>+N530-O530</f>
        <v>0.0</v>
      </c>
      <c r="Q530" s="57"/>
      <c r="R530" s="59"/>
    </row>
    <row r="531" spans="8:8" ht="15.0" customHeight="1">
      <c r="B531" s="54">
        <v>585.0</v>
      </c>
      <c r="C531" s="8" t="s">
        <v>8351</v>
      </c>
      <c r="D531" s="8" t="s">
        <v>1013</v>
      </c>
      <c r="E531" s="8" t="s">
        <v>1875</v>
      </c>
      <c r="F531" s="8" t="s">
        <v>1501</v>
      </c>
      <c r="G531" s="8" t="s">
        <v>2303</v>
      </c>
      <c r="H531" s="8" t="s">
        <v>1875</v>
      </c>
      <c r="I531" s="8" t="s">
        <v>465</v>
      </c>
      <c r="J531" s="78" t="s">
        <v>4446</v>
      </c>
      <c r="K531" s="22">
        <v>0.0</v>
      </c>
      <c r="L531" s="22">
        <f>+SUMIF('حركه المخزن الرئيسي اليوميه'!$F:$F,$H:$H,'حركه المخزن الرئيسي اليوميه'!$H:$H)</f>
        <v>0.0</v>
      </c>
      <c r="M531" s="22">
        <f>+SUMIF('حركه المخزن الرئيسي اليوميه'!$F:$F,$H:$H,'حركه المخزن الرئيسي اليوميه'!$I:$I)</f>
        <v>0.0</v>
      </c>
      <c r="N531" s="22">
        <f>+K531+L531-M531</f>
        <v>0.0</v>
      </c>
      <c r="O531" s="22">
        <f>+N531</f>
        <v>0.0</v>
      </c>
      <c r="P531" s="22">
        <f>+N531-O531</f>
        <v>0.0</v>
      </c>
      <c r="Q531" s="57"/>
      <c r="R531" s="58"/>
    </row>
    <row r="532" spans="8:8" ht="15.0" customHeight="1">
      <c r="B532" s="54">
        <v>586.0</v>
      </c>
      <c r="C532" s="8" t="s">
        <v>8351</v>
      </c>
      <c r="D532" s="8" t="s">
        <v>1013</v>
      </c>
      <c r="E532" s="8" t="s">
        <v>1874</v>
      </c>
      <c r="F532" s="8" t="s">
        <v>1501</v>
      </c>
      <c r="G532" s="8" t="s">
        <v>2302</v>
      </c>
      <c r="H532" s="8" t="s">
        <v>1874</v>
      </c>
      <c r="I532" s="8" t="s">
        <v>465</v>
      </c>
      <c r="J532" s="78" t="s">
        <v>4447</v>
      </c>
      <c r="K532" s="22">
        <v>0.0</v>
      </c>
      <c r="L532" s="22">
        <f>+SUMIF('حركه المخزن الرئيسي اليوميه'!$F:$F,$H:$H,'حركه المخزن الرئيسي اليوميه'!$H:$H)</f>
        <v>0.0</v>
      </c>
      <c r="M532" s="22">
        <f>+SUMIF('حركه المخزن الرئيسي اليوميه'!$F:$F,$H:$H,'حركه المخزن الرئيسي اليوميه'!$I:$I)</f>
        <v>0.0</v>
      </c>
      <c r="N532" s="22">
        <f>+K532+L532-M532</f>
        <v>0.0</v>
      </c>
      <c r="O532" s="22">
        <f>+N532</f>
        <v>0.0</v>
      </c>
      <c r="P532" s="22">
        <f>+N532-O532</f>
        <v>0.0</v>
      </c>
      <c r="Q532" s="57"/>
      <c r="R532" s="58"/>
    </row>
    <row r="533" spans="8:8" ht="16.5" customHeight="1">
      <c r="B533" s="54">
        <v>589.0</v>
      </c>
      <c r="C533" s="8" t="s">
        <v>8351</v>
      </c>
      <c r="D533" s="8" t="s">
        <v>1013</v>
      </c>
      <c r="E533" s="8" t="s">
        <v>8188</v>
      </c>
      <c r="F533" s="8" t="s">
        <v>1501</v>
      </c>
      <c r="G533" s="8"/>
      <c r="H533" s="8" t="s">
        <v>8188</v>
      </c>
      <c r="I533" s="8" t="s">
        <v>818</v>
      </c>
      <c r="J533" s="78" t="s">
        <v>4448</v>
      </c>
      <c r="K533" s="22">
        <v>1.0</v>
      </c>
      <c r="L533" s="22">
        <f>+SUMIF('حركه المخزن الرئيسي اليوميه'!$F:$F,$H:$H,'حركه المخزن الرئيسي اليوميه'!$H:$H)</f>
        <v>0.0</v>
      </c>
      <c r="M533" s="22">
        <f>+SUMIF('حركه المخزن الرئيسي اليوميه'!$F:$F,$H:$H,'حركه المخزن الرئيسي اليوميه'!$I:$I)</f>
        <v>0.0</v>
      </c>
      <c r="N533" s="22">
        <f>+K533+L533-M533</f>
        <v>1.0</v>
      </c>
      <c r="O533" s="22">
        <f>+N533</f>
        <v>1.0</v>
      </c>
      <c r="P533" s="22">
        <f>+N533-O533</f>
        <v>0.0</v>
      </c>
      <c r="Q533" s="57"/>
      <c r="R533" s="58"/>
    </row>
    <row r="534" spans="8:8" ht="15.0" customHeight="1">
      <c r="B534" s="54">
        <v>590.0</v>
      </c>
      <c r="C534" s="8" t="s">
        <v>8351</v>
      </c>
      <c r="D534" s="8" t="s">
        <v>1023</v>
      </c>
      <c r="E534" s="8" t="s">
        <v>17</v>
      </c>
      <c r="F534" s="8" t="s">
        <v>68</v>
      </c>
      <c r="G534" s="8" t="s">
        <v>2320</v>
      </c>
      <c r="H534" s="8" t="s">
        <v>3564</v>
      </c>
      <c r="I534" s="8" t="s">
        <v>144</v>
      </c>
      <c r="J534" s="78" t="s">
        <v>4449</v>
      </c>
      <c r="K534" s="22">
        <v>0.0</v>
      </c>
      <c r="L534" s="22">
        <f>+SUMIF('حركه المخزن الرئيسي اليوميه'!$F:$F,$H:$H,'حركه المخزن الرئيسي اليوميه'!$H:$H)</f>
        <v>0.0</v>
      </c>
      <c r="M534" s="22">
        <f>+SUMIF('حركه المخزن الرئيسي اليوميه'!$F:$F,$H:$H,'حركه المخزن الرئيسي اليوميه'!$I:$I)</f>
        <v>0.0</v>
      </c>
      <c r="N534" s="22">
        <f>+K534+L534-M534</f>
        <v>0.0</v>
      </c>
      <c r="O534" s="22">
        <f>+N534</f>
        <v>0.0</v>
      </c>
      <c r="P534" s="22">
        <f>+N534-O534</f>
        <v>0.0</v>
      </c>
      <c r="Q534" s="57"/>
      <c r="R534" s="58"/>
    </row>
    <row r="535" spans="8:8" ht="15.0" customHeight="1">
      <c r="B535" s="54">
        <v>591.0</v>
      </c>
      <c r="C535" s="8" t="s">
        <v>8351</v>
      </c>
      <c r="D535" s="8"/>
      <c r="E535" s="8"/>
      <c r="F535" s="8"/>
      <c r="G535" s="8"/>
      <c r="H535" s="8"/>
      <c r="I535" s="8"/>
      <c r="J535" s="78" t="s">
        <v>4450</v>
      </c>
      <c r="K535" s="22">
        <v>0.0</v>
      </c>
      <c r="L535" s="22">
        <f>+SUMIF('حركه المخزن الرئيسي اليوميه'!$F:$F,$H:$H,'حركه المخزن الرئيسي اليوميه'!$H:$H)</f>
        <v>0.0</v>
      </c>
      <c r="M535" s="22">
        <f>+SUMIF('حركه المخزن الرئيسي اليوميه'!$F:$F,$H:$H,'حركه المخزن الرئيسي اليوميه'!$I:$I)</f>
        <v>0.0</v>
      </c>
      <c r="N535" s="22">
        <f>+K535+L535-M535</f>
        <v>0.0</v>
      </c>
      <c r="O535" s="22">
        <f>+N535</f>
        <v>0.0</v>
      </c>
      <c r="P535" s="22">
        <f>+N535-O535</f>
        <v>0.0</v>
      </c>
      <c r="Q535" s="57"/>
      <c r="R535" s="58"/>
    </row>
    <row r="536" spans="8:8" ht="15.0" customHeight="1">
      <c r="B536" s="54">
        <v>593.0</v>
      </c>
      <c r="C536" s="8" t="s">
        <v>828</v>
      </c>
      <c r="D536" s="8" t="s">
        <v>820</v>
      </c>
      <c r="E536" s="8" t="s">
        <v>1418</v>
      </c>
      <c r="F536" s="8" t="s">
        <v>68</v>
      </c>
      <c r="G536" s="8" t="s">
        <v>2268</v>
      </c>
      <c r="H536" s="8" t="s">
        <v>1418</v>
      </c>
      <c r="I536" s="8" t="s">
        <v>148</v>
      </c>
      <c r="J536" s="78" t="s">
        <v>4451</v>
      </c>
      <c r="K536" s="22">
        <v>0.0</v>
      </c>
      <c r="L536" s="22">
        <f>+SUMIF('حركه المخزن الرئيسي اليوميه'!$F:$F,$H:$H,'حركه المخزن الرئيسي اليوميه'!$H:$H)</f>
        <v>0.0</v>
      </c>
      <c r="M536" s="22">
        <f>+SUMIF('حركه المخزن الرئيسي اليوميه'!$F:$F,$H:$H,'حركه المخزن الرئيسي اليوميه'!$I:$I)</f>
        <v>0.0</v>
      </c>
      <c r="N536" s="22">
        <f>+K536+L536-M536</f>
        <v>0.0</v>
      </c>
      <c r="O536" s="22">
        <f>+N536</f>
        <v>0.0</v>
      </c>
      <c r="P536" s="22">
        <f>+N536-O536</f>
        <v>0.0</v>
      </c>
      <c r="Q536" s="57"/>
      <c r="R536" s="58"/>
    </row>
    <row r="537" spans="8:8" ht="15.0" customHeight="1">
      <c r="B537" s="54">
        <v>594.0</v>
      </c>
      <c r="C537" s="8" t="s">
        <v>8351</v>
      </c>
      <c r="D537" s="8" t="s">
        <v>1022</v>
      </c>
      <c r="E537" s="8" t="s">
        <v>149</v>
      </c>
      <c r="F537" s="8" t="s">
        <v>68</v>
      </c>
      <c r="G537" s="8" t="s">
        <v>2074</v>
      </c>
      <c r="H537" s="8" t="s">
        <v>2873</v>
      </c>
      <c r="I537" s="8" t="s">
        <v>148</v>
      </c>
      <c r="J537" s="78" t="s">
        <v>4452</v>
      </c>
      <c r="K537" s="22">
        <v>6.0</v>
      </c>
      <c r="L537" s="22">
        <f>+SUMIF('حركه المخزن الرئيسي اليوميه'!$F:$F,$H:$H,'حركه المخزن الرئيسي اليوميه'!$H:$H)</f>
        <v>0.0</v>
      </c>
      <c r="M537" s="22">
        <f>+SUMIF('حركه المخزن الرئيسي اليوميه'!$F:$F,$H:$H,'حركه المخزن الرئيسي اليوميه'!$I:$I)</f>
        <v>0.0</v>
      </c>
      <c r="N537" s="22">
        <f>+K537+L537-M537</f>
        <v>6.0</v>
      </c>
      <c r="O537" s="22">
        <f>+N537</f>
        <v>6.0</v>
      </c>
      <c r="P537" s="22">
        <f>+N537-O537</f>
        <v>0.0</v>
      </c>
      <c r="Q537" s="57"/>
      <c r="R537" s="59"/>
    </row>
    <row r="538" spans="8:8" ht="15.0" customHeight="1">
      <c r="B538" s="54">
        <v>595.0</v>
      </c>
      <c r="C538" s="8" t="s">
        <v>8351</v>
      </c>
      <c r="D538" s="8" t="s">
        <v>1022</v>
      </c>
      <c r="E538" s="8" t="s">
        <v>149</v>
      </c>
      <c r="F538" s="8" t="s">
        <v>68</v>
      </c>
      <c r="G538" s="8" t="s">
        <v>2074</v>
      </c>
      <c r="H538" s="8" t="s">
        <v>1094</v>
      </c>
      <c r="I538" s="8" t="s">
        <v>148</v>
      </c>
      <c r="J538" s="78" t="s">
        <v>4453</v>
      </c>
      <c r="K538" s="22">
        <v>11.0</v>
      </c>
      <c r="L538" s="22">
        <f>+SUMIF('حركه المخزن الرئيسي اليوميه'!$F:$F,$H:$H,'حركه المخزن الرئيسي اليوميه'!$H:$H)</f>
        <v>0.0</v>
      </c>
      <c r="M538" s="22">
        <f>+SUMIF('حركه المخزن الرئيسي اليوميه'!$F:$F,$H:$H,'حركه المخزن الرئيسي اليوميه'!$I:$I)</f>
        <v>0.0</v>
      </c>
      <c r="N538" s="22">
        <f>+K538+L538-M538</f>
        <v>11.0</v>
      </c>
      <c r="O538" s="22">
        <f>+N538</f>
        <v>11.0</v>
      </c>
      <c r="P538" s="22">
        <f>+N538-O538</f>
        <v>0.0</v>
      </c>
      <c r="Q538" s="57"/>
      <c r="R538" s="58"/>
    </row>
    <row r="539" spans="8:8" ht="15.0" customHeight="1">
      <c r="B539" s="54">
        <v>596.0</v>
      </c>
      <c r="C539" s="8"/>
      <c r="D539" s="8" t="s">
        <v>1013</v>
      </c>
      <c r="E539" s="8" t="s">
        <v>3027</v>
      </c>
      <c r="F539" s="8" t="s">
        <v>68</v>
      </c>
      <c r="G539" s="8"/>
      <c r="H539" s="8" t="s">
        <v>3027</v>
      </c>
      <c r="I539" s="8" t="s">
        <v>148</v>
      </c>
      <c r="J539" s="78" t="s">
        <v>4454</v>
      </c>
      <c r="K539" s="22">
        <v>0.0</v>
      </c>
      <c r="L539" s="22">
        <f>+SUMIF('حركه المخزن الرئيسي اليوميه'!$F:$F,$H:$H,'حركه المخزن الرئيسي اليوميه'!$H:$H)</f>
        <v>0.0</v>
      </c>
      <c r="M539" s="22">
        <f>+SUMIF('حركه المخزن الرئيسي اليوميه'!$F:$F,$H:$H,'حركه المخزن الرئيسي اليوميه'!$I:$I)</f>
        <v>0.0</v>
      </c>
      <c r="N539" s="22">
        <f>+K539+L539-M539</f>
        <v>0.0</v>
      </c>
      <c r="O539" s="22">
        <f>+N539</f>
        <v>0.0</v>
      </c>
      <c r="P539" s="22">
        <f>+N539-O539</f>
        <v>0.0</v>
      </c>
      <c r="Q539" s="57"/>
      <c r="R539" s="58"/>
    </row>
    <row r="540" spans="8:8" ht="15.0" customHeight="1">
      <c r="B540" s="54">
        <v>597.0</v>
      </c>
      <c r="C540" s="8" t="s">
        <v>8351</v>
      </c>
      <c r="D540" s="8" t="s">
        <v>1022</v>
      </c>
      <c r="E540" s="8" t="s">
        <v>150</v>
      </c>
      <c r="F540" s="8" t="s">
        <v>68</v>
      </c>
      <c r="G540" s="8" t="s">
        <v>2322</v>
      </c>
      <c r="H540" s="8" t="s">
        <v>631</v>
      </c>
      <c r="I540" s="8" t="s">
        <v>148</v>
      </c>
      <c r="J540" s="78" t="s">
        <v>4455</v>
      </c>
      <c r="K540" s="22">
        <v>2.0</v>
      </c>
      <c r="L540" s="22">
        <f>+SUMIF('حركه المخزن الرئيسي اليوميه'!$F:$F,$H:$H,'حركه المخزن الرئيسي اليوميه'!$H:$H)</f>
        <v>0.0</v>
      </c>
      <c r="M540" s="22">
        <f>+SUMIF('حركه المخزن الرئيسي اليوميه'!$F:$F,$H:$H,'حركه المخزن الرئيسي اليوميه'!$I:$I)</f>
        <v>2.0</v>
      </c>
      <c r="N540" s="22">
        <f>+K540+L540-M540</f>
        <v>0.0</v>
      </c>
      <c r="O540" s="22">
        <f>+N540</f>
        <v>0.0</v>
      </c>
      <c r="P540" s="22">
        <f>+N540-O540</f>
        <v>0.0</v>
      </c>
      <c r="Q540" s="57"/>
      <c r="R540" s="59"/>
    </row>
    <row r="541" spans="8:8" ht="15.0" customHeight="1">
      <c r="B541" s="54">
        <v>598.0</v>
      </c>
      <c r="C541" s="8" t="s">
        <v>8351</v>
      </c>
      <c r="D541" s="8" t="s">
        <v>1022</v>
      </c>
      <c r="E541" s="8" t="s">
        <v>3504</v>
      </c>
      <c r="F541" s="8" t="s">
        <v>68</v>
      </c>
      <c r="G541" s="8" t="s">
        <v>2074</v>
      </c>
      <c r="H541" s="8" t="s">
        <v>3504</v>
      </c>
      <c r="I541" s="8" t="s">
        <v>148</v>
      </c>
      <c r="J541" s="78" t="s">
        <v>4456</v>
      </c>
      <c r="K541" s="22">
        <v>7.0</v>
      </c>
      <c r="L541" s="22">
        <f>+SUMIF('حركه المخزن الرئيسي اليوميه'!$F:$F,$H:$H,'حركه المخزن الرئيسي اليوميه'!$H:$H)</f>
        <v>0.0</v>
      </c>
      <c r="M541" s="22">
        <f>+SUMIF('حركه المخزن الرئيسي اليوميه'!$F:$F,$H:$H,'حركه المخزن الرئيسي اليوميه'!$I:$I)</f>
        <v>3.0</v>
      </c>
      <c r="N541" s="22">
        <f>+K541+L541-M541</f>
        <v>4.0</v>
      </c>
      <c r="O541" s="22">
        <f>+N541</f>
        <v>4.0</v>
      </c>
      <c r="P541" s="22">
        <f>+N541-O541</f>
        <v>0.0</v>
      </c>
      <c r="Q541" s="57"/>
      <c r="R541" s="59"/>
    </row>
    <row r="542" spans="8:8" ht="15.0" customHeight="1">
      <c r="B542" s="54">
        <v>599.0</v>
      </c>
      <c r="C542" s="8" t="s">
        <v>8351</v>
      </c>
      <c r="D542" s="8" t="s">
        <v>1022</v>
      </c>
      <c r="E542" s="8" t="s">
        <v>147</v>
      </c>
      <c r="F542" s="8" t="s">
        <v>68</v>
      </c>
      <c r="G542" s="8" t="s">
        <v>2321</v>
      </c>
      <c r="H542" s="8" t="s">
        <v>652</v>
      </c>
      <c r="I542" s="8" t="s">
        <v>148</v>
      </c>
      <c r="J542" s="78" t="s">
        <v>4457</v>
      </c>
      <c r="K542" s="22">
        <v>9.0</v>
      </c>
      <c r="L542" s="22">
        <f>+SUMIF('حركه المخزن الرئيسي اليوميه'!$F:$F,$H:$H,'حركه المخزن الرئيسي اليوميه'!$H:$H)</f>
        <v>0.0</v>
      </c>
      <c r="M542" s="22">
        <f>+SUMIF('حركه المخزن الرئيسي اليوميه'!$F:$F,$H:$H,'حركه المخزن الرئيسي اليوميه'!$I:$I)</f>
        <v>1.0</v>
      </c>
      <c r="N542" s="22">
        <f>+K542+L542-M542</f>
        <v>8.0</v>
      </c>
      <c r="O542" s="22">
        <f>+N542</f>
        <v>8.0</v>
      </c>
      <c r="P542" s="22">
        <f>+N542-O542</f>
        <v>0.0</v>
      </c>
      <c r="Q542" s="57"/>
      <c r="R542" s="58"/>
    </row>
    <row r="543" spans="8:8" ht="15.0" customHeight="1">
      <c r="B543" s="54">
        <v>600.0</v>
      </c>
      <c r="C543" s="8" t="s">
        <v>8351</v>
      </c>
      <c r="D543" s="8" t="s">
        <v>1013</v>
      </c>
      <c r="E543" s="8" t="s">
        <v>1256</v>
      </c>
      <c r="F543" s="8" t="s">
        <v>68</v>
      </c>
      <c r="G543" s="8" t="s">
        <v>2090</v>
      </c>
      <c r="H543" s="8" t="s">
        <v>1256</v>
      </c>
      <c r="I543" s="8" t="s">
        <v>148</v>
      </c>
      <c r="J543" s="78" t="s">
        <v>4458</v>
      </c>
      <c r="K543" s="22">
        <v>0.0</v>
      </c>
      <c r="L543" s="22">
        <f>+SUMIF('حركه المخزن الرئيسي اليوميه'!$F:$F,$H:$H,'حركه المخزن الرئيسي اليوميه'!$H:$H)</f>
        <v>0.0</v>
      </c>
      <c r="M543" s="22">
        <f>+SUMIF('حركه المخزن الرئيسي اليوميه'!$F:$F,$H:$H,'حركه المخزن الرئيسي اليوميه'!$I:$I)</f>
        <v>0.0</v>
      </c>
      <c r="N543" s="22">
        <f>+K543+L543-M543</f>
        <v>0.0</v>
      </c>
      <c r="O543" s="22">
        <f>+N543</f>
        <v>0.0</v>
      </c>
      <c r="P543" s="22">
        <f>+N543-O543</f>
        <v>0.0</v>
      </c>
      <c r="Q543" s="57"/>
      <c r="R543" s="58"/>
    </row>
    <row r="544" spans="8:8" ht="15.0" customHeight="1">
      <c r="B544" s="54">
        <v>601.0</v>
      </c>
      <c r="C544" s="8" t="s">
        <v>8351</v>
      </c>
      <c r="D544" s="8" t="s">
        <v>1022</v>
      </c>
      <c r="E544" s="8" t="s">
        <v>149</v>
      </c>
      <c r="F544" s="8" t="s">
        <v>68</v>
      </c>
      <c r="G544" s="8" t="s">
        <v>2074</v>
      </c>
      <c r="H544" s="8" t="s">
        <v>998</v>
      </c>
      <c r="I544" s="8" t="s">
        <v>148</v>
      </c>
      <c r="J544" s="78" t="s">
        <v>4459</v>
      </c>
      <c r="K544" s="22">
        <v>5.0</v>
      </c>
      <c r="L544" s="22">
        <f>+SUMIF('حركه المخزن الرئيسي اليوميه'!$F:$F,$H:$H,'حركه المخزن الرئيسي اليوميه'!$H:$H)</f>
        <v>0.0</v>
      </c>
      <c r="M544" s="22">
        <f>+SUMIF('حركه المخزن الرئيسي اليوميه'!$F:$F,$H:$H,'حركه المخزن الرئيسي اليوميه'!$I:$I)</f>
        <v>0.0</v>
      </c>
      <c r="N544" s="22">
        <f>+K544+L544-M544</f>
        <v>5.0</v>
      </c>
      <c r="O544" s="22">
        <f>+N544</f>
        <v>5.0</v>
      </c>
      <c r="P544" s="22">
        <f>+N544-O544</f>
        <v>0.0</v>
      </c>
      <c r="Q544" s="57"/>
      <c r="R544" s="59"/>
    </row>
    <row r="545" spans="8:8" ht="15.0" customHeight="1">
      <c r="B545" s="54">
        <v>602.0</v>
      </c>
      <c r="C545" s="8" t="s">
        <v>8351</v>
      </c>
      <c r="D545" s="8" t="s">
        <v>1022</v>
      </c>
      <c r="E545" s="8" t="s">
        <v>149</v>
      </c>
      <c r="F545" s="8" t="s">
        <v>68</v>
      </c>
      <c r="G545" s="8" t="s">
        <v>2074</v>
      </c>
      <c r="H545" s="8" t="s">
        <v>997</v>
      </c>
      <c r="I545" s="8" t="s">
        <v>148</v>
      </c>
      <c r="J545" s="78" t="s">
        <v>4460</v>
      </c>
      <c r="K545" s="22">
        <v>12.0</v>
      </c>
      <c r="L545" s="22">
        <f>+SUMIF('حركه المخزن الرئيسي اليوميه'!$F:$F,$H:$H,'حركه المخزن الرئيسي اليوميه'!$H:$H)</f>
        <v>0.0</v>
      </c>
      <c r="M545" s="22">
        <f>+SUMIF('حركه المخزن الرئيسي اليوميه'!$F:$F,$H:$H,'حركه المخزن الرئيسي اليوميه'!$I:$I)</f>
        <v>0.0</v>
      </c>
      <c r="N545" s="22">
        <f>+K545+L545-M545</f>
        <v>12.0</v>
      </c>
      <c r="O545" s="22">
        <f>+N545</f>
        <v>12.0</v>
      </c>
      <c r="P545" s="22">
        <f>+N545-O545</f>
        <v>0.0</v>
      </c>
      <c r="Q545" s="57"/>
      <c r="R545" s="59"/>
    </row>
    <row r="546" spans="8:8" ht="15.0" customHeight="1">
      <c r="B546" s="54">
        <v>603.0</v>
      </c>
      <c r="C546" s="8" t="s">
        <v>8351</v>
      </c>
      <c r="D546" s="8" t="s">
        <v>811</v>
      </c>
      <c r="E546" s="8" t="s">
        <v>1011</v>
      </c>
      <c r="F546" s="8" t="s">
        <v>68</v>
      </c>
      <c r="G546" s="8" t="s">
        <v>2055</v>
      </c>
      <c r="H546" s="8" t="s">
        <v>812</v>
      </c>
      <c r="I546" s="8" t="s">
        <v>148</v>
      </c>
      <c r="J546" s="78" t="s">
        <v>4461</v>
      </c>
      <c r="K546" s="22">
        <v>0.0</v>
      </c>
      <c r="L546" s="22">
        <f>+SUMIF('حركه المخزن الرئيسي اليوميه'!$F:$F,$H:$H,'حركه المخزن الرئيسي اليوميه'!$H:$H)</f>
        <v>0.0</v>
      </c>
      <c r="M546" s="22">
        <f>+SUMIF('حركه المخزن الرئيسي اليوميه'!$F:$F,$H:$H,'حركه المخزن الرئيسي اليوميه'!$I:$I)</f>
        <v>0.0</v>
      </c>
      <c r="N546" s="22">
        <f>+K546+L546-M546</f>
        <v>0.0</v>
      </c>
      <c r="O546" s="22">
        <f>+N546</f>
        <v>0.0</v>
      </c>
      <c r="P546" s="22">
        <f>+N546-O546</f>
        <v>0.0</v>
      </c>
      <c r="Q546" s="57"/>
      <c r="R546" s="58"/>
    </row>
    <row r="547" spans="8:8" ht="15.0" customHeight="1">
      <c r="B547" s="54">
        <v>605.0</v>
      </c>
      <c r="C547" s="8" t="s">
        <v>8351</v>
      </c>
      <c r="D547" s="8" t="s">
        <v>1013</v>
      </c>
      <c r="E547" s="8" t="s">
        <v>1897</v>
      </c>
      <c r="F547" s="8" t="s">
        <v>1501</v>
      </c>
      <c r="G547" s="8" t="s">
        <v>2076</v>
      </c>
      <c r="H547" s="8" t="s">
        <v>1897</v>
      </c>
      <c r="I547" s="8" t="s">
        <v>153</v>
      </c>
      <c r="J547" s="78" t="s">
        <v>4462</v>
      </c>
      <c r="K547" s="22">
        <v>0.0</v>
      </c>
      <c r="L547" s="22">
        <f>+SUMIF('حركه المخزن الرئيسي اليوميه'!$F:$F,$H:$H,'حركه المخزن الرئيسي اليوميه'!$H:$H)</f>
        <v>0.0</v>
      </c>
      <c r="M547" s="22">
        <f>+SUMIF('حركه المخزن الرئيسي اليوميه'!$F:$F,$H:$H,'حركه المخزن الرئيسي اليوميه'!$I:$I)</f>
        <v>0.0</v>
      </c>
      <c r="N547" s="22">
        <f>+K547+L547-M547</f>
        <v>0.0</v>
      </c>
      <c r="O547" s="22">
        <f>+N547</f>
        <v>0.0</v>
      </c>
      <c r="P547" s="22">
        <f>+N547-O547</f>
        <v>0.0</v>
      </c>
      <c r="Q547" s="57"/>
      <c r="R547" s="58"/>
    </row>
    <row r="548" spans="8:8" ht="15.0" customHeight="1">
      <c r="B548" s="54">
        <v>606.0</v>
      </c>
      <c r="C548" s="8" t="s">
        <v>8351</v>
      </c>
      <c r="D548" s="8" t="s">
        <v>1022</v>
      </c>
      <c r="E548" s="8" t="s">
        <v>151</v>
      </c>
      <c r="F548" s="8" t="s">
        <v>68</v>
      </c>
      <c r="G548" s="8" t="s">
        <v>2076</v>
      </c>
      <c r="H548" s="8" t="s">
        <v>1002</v>
      </c>
      <c r="I548" s="8" t="s">
        <v>153</v>
      </c>
      <c r="J548" s="78" t="s">
        <v>4463</v>
      </c>
      <c r="K548" s="22">
        <v>2.0</v>
      </c>
      <c r="L548" s="22">
        <f>+SUMIF('حركه المخزن الرئيسي اليوميه'!$F:$F,$H:$H,'حركه المخزن الرئيسي اليوميه'!$H:$H)</f>
        <v>0.0</v>
      </c>
      <c r="M548" s="22">
        <f>+SUMIF('حركه المخزن الرئيسي اليوميه'!$F:$F,$H:$H,'حركه المخزن الرئيسي اليوميه'!$I:$I)</f>
        <v>1.0</v>
      </c>
      <c r="N548" s="22">
        <f>+K548+L548-M548</f>
        <v>1.0</v>
      </c>
      <c r="O548" s="22">
        <f>+N548</f>
        <v>1.0</v>
      </c>
      <c r="P548" s="22">
        <f>+N548-O548</f>
        <v>0.0</v>
      </c>
      <c r="Q548" s="57"/>
      <c r="R548" s="59"/>
    </row>
    <row r="549" spans="8:8" ht="15.0" customHeight="1">
      <c r="B549" s="54">
        <v>607.0</v>
      </c>
      <c r="C549" s="8" t="s">
        <v>8351</v>
      </c>
      <c r="D549" s="8" t="s">
        <v>1022</v>
      </c>
      <c r="E549" s="8" t="s">
        <v>154</v>
      </c>
      <c r="F549" s="8" t="s">
        <v>68</v>
      </c>
      <c r="G549" s="8" t="s">
        <v>2076</v>
      </c>
      <c r="H549" s="8" t="s">
        <v>1101</v>
      </c>
      <c r="I549" s="8" t="s">
        <v>153</v>
      </c>
      <c r="J549" s="78" t="s">
        <v>4464</v>
      </c>
      <c r="K549" s="22">
        <v>0.0</v>
      </c>
      <c r="L549" s="22">
        <f>+SUMIF('حركه المخزن الرئيسي اليوميه'!$F:$F,$H:$H,'حركه المخزن الرئيسي اليوميه'!$H:$H)</f>
        <v>0.0</v>
      </c>
      <c r="M549" s="22">
        <f>+SUMIF('حركه المخزن الرئيسي اليوميه'!$F:$F,$H:$H,'حركه المخزن الرئيسي اليوميه'!$I:$I)</f>
        <v>0.0</v>
      </c>
      <c r="N549" s="22">
        <f>+K549+L549-M549</f>
        <v>0.0</v>
      </c>
      <c r="O549" s="22">
        <f>+N549</f>
        <v>0.0</v>
      </c>
      <c r="P549" s="22">
        <f>+N549-O549</f>
        <v>0.0</v>
      </c>
      <c r="Q549" s="57"/>
      <c r="R549" s="58"/>
    </row>
    <row r="550" spans="8:8" ht="15.0" customHeight="1">
      <c r="B550" s="54">
        <v>608.0</v>
      </c>
      <c r="C550" s="8" t="s">
        <v>8351</v>
      </c>
      <c r="D550" s="8" t="s">
        <v>1022</v>
      </c>
      <c r="E550" s="8" t="s">
        <v>151</v>
      </c>
      <c r="F550" s="8" t="s">
        <v>68</v>
      </c>
      <c r="G550" s="8" t="s">
        <v>2076</v>
      </c>
      <c r="H550" s="8" t="s">
        <v>1103</v>
      </c>
      <c r="I550" s="8" t="s">
        <v>153</v>
      </c>
      <c r="J550" s="78" t="s">
        <v>4465</v>
      </c>
      <c r="K550" s="22">
        <v>21.0</v>
      </c>
      <c r="L550" s="22">
        <f>+SUMIF('حركه المخزن الرئيسي اليوميه'!$F:$F,$H:$H,'حركه المخزن الرئيسي اليوميه'!$H:$H)</f>
        <v>0.0</v>
      </c>
      <c r="M550" s="22">
        <f>+SUMIF('حركه المخزن الرئيسي اليوميه'!$F:$F,$H:$H,'حركه المخزن الرئيسي اليوميه'!$I:$I)</f>
        <v>0.0</v>
      </c>
      <c r="N550" s="22">
        <f>+K550+L550-M550</f>
        <v>21.0</v>
      </c>
      <c r="O550" s="22">
        <f>+N550</f>
        <v>21.0</v>
      </c>
      <c r="P550" s="22">
        <f>+N550-O550</f>
        <v>0.0</v>
      </c>
      <c r="Q550" s="57"/>
      <c r="R550" s="58"/>
    </row>
    <row r="551" spans="8:8" ht="15.0" customHeight="1">
      <c r="B551" s="54">
        <v>609.0</v>
      </c>
      <c r="C551" s="8" t="s">
        <v>8351</v>
      </c>
      <c r="D551" s="8" t="s">
        <v>1022</v>
      </c>
      <c r="E551" s="8" t="s">
        <v>151</v>
      </c>
      <c r="F551" s="8" t="s">
        <v>68</v>
      </c>
      <c r="G551" s="8" t="s">
        <v>2076</v>
      </c>
      <c r="H551" s="8" t="s">
        <v>1104</v>
      </c>
      <c r="I551" s="8" t="s">
        <v>153</v>
      </c>
      <c r="J551" s="78" t="s">
        <v>4466</v>
      </c>
      <c r="K551" s="22">
        <v>8.0</v>
      </c>
      <c r="L551" s="22">
        <f>+SUMIF('حركه المخزن الرئيسي اليوميه'!$F:$F,$H:$H,'حركه المخزن الرئيسي اليوميه'!$H:$H)</f>
        <v>0.0</v>
      </c>
      <c r="M551" s="22">
        <f>+SUMIF('حركه المخزن الرئيسي اليوميه'!$F:$F,$H:$H,'حركه المخزن الرئيسي اليوميه'!$I:$I)</f>
        <v>0.0</v>
      </c>
      <c r="N551" s="22">
        <f>+K551+L551-M551</f>
        <v>8.0</v>
      </c>
      <c r="O551" s="22">
        <f>+N551</f>
        <v>8.0</v>
      </c>
      <c r="P551" s="22">
        <f>+N551-O551</f>
        <v>0.0</v>
      </c>
      <c r="Q551" s="57"/>
      <c r="R551" s="58"/>
    </row>
    <row r="552" spans="8:8" ht="15.0" customHeight="1">
      <c r="B552" s="54">
        <v>610.0</v>
      </c>
      <c r="C552" s="8" t="s">
        <v>8351</v>
      </c>
      <c r="D552" s="8" t="s">
        <v>1022</v>
      </c>
      <c r="E552" s="8" t="s">
        <v>152</v>
      </c>
      <c r="F552" s="8" t="s">
        <v>68</v>
      </c>
      <c r="G552" s="8" t="s">
        <v>2076</v>
      </c>
      <c r="H552" s="8" t="s">
        <v>1096</v>
      </c>
      <c r="I552" s="8" t="s">
        <v>153</v>
      </c>
      <c r="J552" s="78" t="s">
        <v>4467</v>
      </c>
      <c r="K552" s="22">
        <v>3.0</v>
      </c>
      <c r="L552" s="22">
        <f>+SUMIF('حركه المخزن الرئيسي اليوميه'!$F:$F,$H:$H,'حركه المخزن الرئيسي اليوميه'!$H:$H)</f>
        <v>0.0</v>
      </c>
      <c r="M552" s="22">
        <f>+SUMIF('حركه المخزن الرئيسي اليوميه'!$F:$F,$H:$H,'حركه المخزن الرئيسي اليوميه'!$I:$I)</f>
        <v>0.0</v>
      </c>
      <c r="N552" s="22">
        <f>+K552+L552-M552</f>
        <v>3.0</v>
      </c>
      <c r="O552" s="22">
        <f>+N552</f>
        <v>3.0</v>
      </c>
      <c r="P552" s="22">
        <f>+N552-O552</f>
        <v>0.0</v>
      </c>
      <c r="Q552" s="57"/>
      <c r="R552" s="59"/>
    </row>
    <row r="553" spans="8:8" ht="15.0" customHeight="1">
      <c r="B553" s="54">
        <v>611.0</v>
      </c>
      <c r="C553" s="8" t="s">
        <v>8351</v>
      </c>
      <c r="D553" s="8" t="s">
        <v>1022</v>
      </c>
      <c r="E553" s="8" t="s">
        <v>152</v>
      </c>
      <c r="F553" s="8" t="s">
        <v>68</v>
      </c>
      <c r="G553" s="8" t="s">
        <v>2076</v>
      </c>
      <c r="H553" s="8" t="s">
        <v>2985</v>
      </c>
      <c r="I553" s="8" t="s">
        <v>153</v>
      </c>
      <c r="J553" s="78" t="s">
        <v>4468</v>
      </c>
      <c r="K553" s="22">
        <v>2.0</v>
      </c>
      <c r="L553" s="22">
        <f>+SUMIF('حركه المخزن الرئيسي اليوميه'!$F:$F,$H:$H,'حركه المخزن الرئيسي اليوميه'!$H:$H)</f>
        <v>0.0</v>
      </c>
      <c r="M553" s="22">
        <f>+SUMIF('حركه المخزن الرئيسي اليوميه'!$F:$F,$H:$H,'حركه المخزن الرئيسي اليوميه'!$I:$I)</f>
        <v>0.0</v>
      </c>
      <c r="N553" s="22">
        <f>+K553+L553-M553</f>
        <v>2.0</v>
      </c>
      <c r="O553" s="22">
        <f>+N553</f>
        <v>2.0</v>
      </c>
      <c r="P553" s="22">
        <f>+N553-O553</f>
        <v>0.0</v>
      </c>
      <c r="Q553" s="57"/>
      <c r="R553" s="58"/>
    </row>
    <row r="554" spans="8:8" ht="15.0" customHeight="1">
      <c r="B554" s="54">
        <v>612.0</v>
      </c>
      <c r="C554" s="8" t="s">
        <v>8351</v>
      </c>
      <c r="D554" s="8" t="s">
        <v>1022</v>
      </c>
      <c r="E554" s="8" t="s">
        <v>151</v>
      </c>
      <c r="F554" s="8" t="s">
        <v>68</v>
      </c>
      <c r="G554" s="8" t="s">
        <v>2076</v>
      </c>
      <c r="H554" s="8" t="s">
        <v>1001</v>
      </c>
      <c r="I554" s="8" t="s">
        <v>153</v>
      </c>
      <c r="J554" s="78" t="s">
        <v>4469</v>
      </c>
      <c r="K554" s="22">
        <v>1.0</v>
      </c>
      <c r="L554" s="22">
        <f>+SUMIF('حركه المخزن الرئيسي اليوميه'!$F:$F,$H:$H,'حركه المخزن الرئيسي اليوميه'!$H:$H)</f>
        <v>0.0</v>
      </c>
      <c r="M554" s="22">
        <f>+SUMIF('حركه المخزن الرئيسي اليوميه'!$F:$F,$H:$H,'حركه المخزن الرئيسي اليوميه'!$I:$I)</f>
        <v>0.0</v>
      </c>
      <c r="N554" s="22">
        <f>+K554+L554-M554</f>
        <v>1.0</v>
      </c>
      <c r="O554" s="22">
        <f>+N554</f>
        <v>1.0</v>
      </c>
      <c r="P554" s="22">
        <f>+N554-O554</f>
        <v>0.0</v>
      </c>
      <c r="Q554" s="57"/>
      <c r="R554" s="58" t="s">
        <v>2805</v>
      </c>
    </row>
    <row r="555" spans="8:8" ht="15.0" customHeight="1">
      <c r="B555" s="54">
        <v>613.0</v>
      </c>
      <c r="C555" s="8" t="s">
        <v>8351</v>
      </c>
      <c r="D555" s="8" t="s">
        <v>1022</v>
      </c>
      <c r="E555" s="8" t="s">
        <v>152</v>
      </c>
      <c r="F555" s="8" t="s">
        <v>68</v>
      </c>
      <c r="G555" s="8" t="s">
        <v>2076</v>
      </c>
      <c r="H555" s="8" t="s">
        <v>1098</v>
      </c>
      <c r="I555" s="8" t="s">
        <v>153</v>
      </c>
      <c r="J555" s="78" t="s">
        <v>4470</v>
      </c>
      <c r="K555" s="22">
        <v>0.0</v>
      </c>
      <c r="L555" s="22">
        <f>+SUMIF('حركه المخزن الرئيسي اليوميه'!$F:$F,$H:$H,'حركه المخزن الرئيسي اليوميه'!$H:$H)</f>
        <v>0.0</v>
      </c>
      <c r="M555" s="22">
        <f>+SUMIF('حركه المخزن الرئيسي اليوميه'!$F:$F,$H:$H,'حركه المخزن الرئيسي اليوميه'!$I:$I)</f>
        <v>0.0</v>
      </c>
      <c r="N555" s="22">
        <f>+K555+L555-M555</f>
        <v>0.0</v>
      </c>
      <c r="O555" s="22">
        <f>+N555</f>
        <v>0.0</v>
      </c>
      <c r="P555" s="22">
        <f>+N555-O555</f>
        <v>0.0</v>
      </c>
      <c r="Q555" s="57"/>
      <c r="R555" s="58"/>
    </row>
    <row r="556" spans="8:8" ht="15.0" customHeight="1">
      <c r="B556" s="54">
        <v>614.0</v>
      </c>
      <c r="C556" s="8" t="s">
        <v>8351</v>
      </c>
      <c r="D556" s="8" t="s">
        <v>811</v>
      </c>
      <c r="E556" s="8" t="s">
        <v>8095</v>
      </c>
      <c r="F556" s="8" t="s">
        <v>68</v>
      </c>
      <c r="G556" s="8" t="s">
        <v>1922</v>
      </c>
      <c r="H556" s="8" t="s">
        <v>8095</v>
      </c>
      <c r="I556" s="8" t="s">
        <v>160</v>
      </c>
      <c r="J556" s="78" t="s">
        <v>4471</v>
      </c>
      <c r="K556" s="22">
        <v>3.0</v>
      </c>
      <c r="L556" s="22">
        <f>+SUMIF('حركه المخزن الرئيسي اليوميه'!$F:$F,$H:$H,'حركه المخزن الرئيسي اليوميه'!$H:$H)</f>
        <v>0.0</v>
      </c>
      <c r="M556" s="22">
        <f>+SUMIF('حركه المخزن الرئيسي اليوميه'!$F:$F,$H:$H,'حركه المخزن الرئيسي اليوميه'!$I:$I)</f>
        <v>3.0</v>
      </c>
      <c r="N556" s="22">
        <f>+K556+L556-M556</f>
        <v>0.0</v>
      </c>
      <c r="O556" s="22">
        <f>+N556</f>
        <v>0.0</v>
      </c>
      <c r="P556" s="22">
        <f>+N556-O556</f>
        <v>0.0</v>
      </c>
      <c r="Q556" s="57"/>
      <c r="R556" s="59"/>
    </row>
    <row r="557" spans="8:8" ht="15.0" customHeight="1">
      <c r="B557" s="54">
        <v>615.0</v>
      </c>
      <c r="C557" s="8" t="s">
        <v>8351</v>
      </c>
      <c r="D557" s="8" t="s">
        <v>1022</v>
      </c>
      <c r="E557" s="8" t="s">
        <v>155</v>
      </c>
      <c r="F557" s="8" t="s">
        <v>68</v>
      </c>
      <c r="G557" s="8" t="s">
        <v>2075</v>
      </c>
      <c r="H557" s="8" t="s">
        <v>642</v>
      </c>
      <c r="I557" s="8" t="s">
        <v>153</v>
      </c>
      <c r="J557" s="78" t="s">
        <v>4472</v>
      </c>
      <c r="K557" s="22">
        <v>0.0</v>
      </c>
      <c r="L557" s="22">
        <f>+SUMIF('حركه المخزن الرئيسي اليوميه'!$F:$F,$H:$H,'حركه المخزن الرئيسي اليوميه'!$H:$H)</f>
        <v>0.0</v>
      </c>
      <c r="M557" s="22">
        <f>+SUMIF('حركه المخزن الرئيسي اليوميه'!$F:$F,$H:$H,'حركه المخزن الرئيسي اليوميه'!$I:$I)</f>
        <v>0.0</v>
      </c>
      <c r="N557" s="22">
        <f>+K557+L557-M557</f>
        <v>0.0</v>
      </c>
      <c r="O557" s="22">
        <f>+N557</f>
        <v>0.0</v>
      </c>
      <c r="P557" s="22">
        <f>+N557-O557</f>
        <v>0.0</v>
      </c>
      <c r="Q557" s="57"/>
      <c r="R557" s="58"/>
    </row>
    <row r="558" spans="8:8" ht="15.0" customHeight="1">
      <c r="B558" s="54">
        <v>616.0</v>
      </c>
      <c r="C558" s="8" t="s">
        <v>8351</v>
      </c>
      <c r="D558" s="8" t="s">
        <v>1022</v>
      </c>
      <c r="E558" s="8" t="s">
        <v>154</v>
      </c>
      <c r="F558" s="8" t="s">
        <v>68</v>
      </c>
      <c r="G558" s="8" t="s">
        <v>2076</v>
      </c>
      <c r="H558" s="8" t="s">
        <v>1102</v>
      </c>
      <c r="I558" s="8" t="s">
        <v>153</v>
      </c>
      <c r="J558" s="78" t="s">
        <v>4473</v>
      </c>
      <c r="K558" s="22">
        <v>9.0</v>
      </c>
      <c r="L558" s="22">
        <f>+SUMIF('حركه المخزن الرئيسي اليوميه'!$F:$F,$H:$H,'حركه المخزن الرئيسي اليوميه'!$H:$H)</f>
        <v>0.0</v>
      </c>
      <c r="M558" s="22">
        <f>+SUMIF('حركه المخزن الرئيسي اليوميه'!$F:$F,$H:$H,'حركه المخزن الرئيسي اليوميه'!$I:$I)</f>
        <v>0.0</v>
      </c>
      <c r="N558" s="22">
        <f>+K558+L558-M558</f>
        <v>9.0</v>
      </c>
      <c r="O558" s="22">
        <f>+N558</f>
        <v>9.0</v>
      </c>
      <c r="P558" s="22">
        <f>+N558-O558</f>
        <v>0.0</v>
      </c>
      <c r="Q558" s="57"/>
      <c r="R558" s="59"/>
    </row>
    <row r="559" spans="8:8" ht="15.0" customHeight="1">
      <c r="B559" s="54">
        <v>617.0</v>
      </c>
      <c r="C559" s="8" t="s">
        <v>8351</v>
      </c>
      <c r="D559" s="8" t="s">
        <v>820</v>
      </c>
      <c r="E559" s="8" t="s">
        <v>1258</v>
      </c>
      <c r="F559" s="8" t="s">
        <v>68</v>
      </c>
      <c r="G559" s="8" t="s">
        <v>2242</v>
      </c>
      <c r="H559" s="8" t="s">
        <v>1258</v>
      </c>
      <c r="I559" s="8" t="s">
        <v>153</v>
      </c>
      <c r="J559" s="78" t="s">
        <v>4474</v>
      </c>
      <c r="K559" s="22">
        <v>11.0</v>
      </c>
      <c r="L559" s="22">
        <f>+SUMIF('حركه المخزن الرئيسي اليوميه'!$F:$F,$H:$H,'حركه المخزن الرئيسي اليوميه'!$H:$H)</f>
        <v>0.0</v>
      </c>
      <c r="M559" s="22">
        <f>+SUMIF('حركه المخزن الرئيسي اليوميه'!$F:$F,$H:$H,'حركه المخزن الرئيسي اليوميه'!$I:$I)</f>
        <v>0.0</v>
      </c>
      <c r="N559" s="22">
        <f>+K559+L559-M559</f>
        <v>11.0</v>
      </c>
      <c r="O559" s="22">
        <f>+N559</f>
        <v>11.0</v>
      </c>
      <c r="P559" s="22">
        <f>+N559-O559</f>
        <v>0.0</v>
      </c>
      <c r="Q559" s="57"/>
      <c r="R559" s="59"/>
    </row>
    <row r="560" spans="8:8" ht="15.0" customHeight="1">
      <c r="B560" s="54">
        <v>618.0</v>
      </c>
      <c r="C560" s="8" t="s">
        <v>8351</v>
      </c>
      <c r="D560" s="8" t="s">
        <v>1022</v>
      </c>
      <c r="E560" s="8" t="s">
        <v>151</v>
      </c>
      <c r="F560" s="8" t="s">
        <v>68</v>
      </c>
      <c r="G560" s="8" t="s">
        <v>2075</v>
      </c>
      <c r="H560" s="8" t="s">
        <v>566</v>
      </c>
      <c r="I560" s="8" t="s">
        <v>153</v>
      </c>
      <c r="J560" s="78" t="s">
        <v>4475</v>
      </c>
      <c r="K560" s="22">
        <v>11.0</v>
      </c>
      <c r="L560" s="22">
        <f>+SUMIF('حركه المخزن الرئيسي اليوميه'!$F:$F,$H:$H,'حركه المخزن الرئيسي اليوميه'!$H:$H)</f>
        <v>0.0</v>
      </c>
      <c r="M560" s="22">
        <f>+SUMIF('حركه المخزن الرئيسي اليوميه'!$F:$F,$H:$H,'حركه المخزن الرئيسي اليوميه'!$I:$I)</f>
        <v>3.0</v>
      </c>
      <c r="N560" s="22">
        <f>+K560+L560-M560</f>
        <v>8.0</v>
      </c>
      <c r="O560" s="22">
        <f>+N560</f>
        <v>8.0</v>
      </c>
      <c r="P560" s="22">
        <f>+N560-O560</f>
        <v>0.0</v>
      </c>
      <c r="Q560" s="57"/>
      <c r="R560" s="59"/>
    </row>
    <row r="561" spans="8:8" ht="15.0" customHeight="1">
      <c r="B561" s="54">
        <v>619.0</v>
      </c>
      <c r="C561" s="8" t="s">
        <v>8351</v>
      </c>
      <c r="D561" s="8" t="s">
        <v>1022</v>
      </c>
      <c r="E561" s="8" t="s">
        <v>156</v>
      </c>
      <c r="F561" s="8" t="s">
        <v>68</v>
      </c>
      <c r="G561" s="8" t="s">
        <v>2077</v>
      </c>
      <c r="H561" s="8" t="s">
        <v>1259</v>
      </c>
      <c r="I561" s="8" t="s">
        <v>153</v>
      </c>
      <c r="J561" s="78" t="s">
        <v>4476</v>
      </c>
      <c r="K561" s="22">
        <v>0.0</v>
      </c>
      <c r="L561" s="22">
        <f>+SUMIF('حركه المخزن الرئيسي اليوميه'!$F:$F,$H:$H,'حركه المخزن الرئيسي اليوميه'!$H:$H)</f>
        <v>0.0</v>
      </c>
      <c r="M561" s="22">
        <f>+SUMIF('حركه المخزن الرئيسي اليوميه'!$F:$F,$H:$H,'حركه المخزن الرئيسي اليوميه'!$I:$I)</f>
        <v>0.0</v>
      </c>
      <c r="N561" s="22">
        <f>+K561+L561-M561</f>
        <v>0.0</v>
      </c>
      <c r="O561" s="22">
        <f>+N561</f>
        <v>0.0</v>
      </c>
      <c r="P561" s="22">
        <f>+N561-O561</f>
        <v>0.0</v>
      </c>
      <c r="Q561" s="57"/>
      <c r="R561" s="58"/>
    </row>
    <row r="562" spans="8:8" ht="15.0" customHeight="1">
      <c r="B562" s="54">
        <v>620.0</v>
      </c>
      <c r="C562" s="8" t="s">
        <v>8351</v>
      </c>
      <c r="D562" s="8" t="s">
        <v>1022</v>
      </c>
      <c r="E562" s="8" t="s">
        <v>157</v>
      </c>
      <c r="F562" s="8" t="s">
        <v>68</v>
      </c>
      <c r="G562" s="8" t="s">
        <v>2242</v>
      </c>
      <c r="H562" s="8" t="s">
        <v>610</v>
      </c>
      <c r="I562" s="8" t="s">
        <v>153</v>
      </c>
      <c r="J562" s="78" t="s">
        <v>4477</v>
      </c>
      <c r="K562" s="22">
        <v>3.0</v>
      </c>
      <c r="L562" s="22">
        <f>+SUMIF('حركه المخزن الرئيسي اليوميه'!$F:$F,$H:$H,'حركه المخزن الرئيسي اليوميه'!$H:$H)</f>
        <v>0.0</v>
      </c>
      <c r="M562" s="22">
        <f>+SUMIF('حركه المخزن الرئيسي اليوميه'!$F:$F,$H:$H,'حركه المخزن الرئيسي اليوميه'!$I:$I)</f>
        <v>0.0</v>
      </c>
      <c r="N562" s="22">
        <f>+K562+L562-M562</f>
        <v>3.0</v>
      </c>
      <c r="O562" s="22">
        <f>+N562</f>
        <v>3.0</v>
      </c>
      <c r="P562" s="22">
        <f>+N562-O562</f>
        <v>0.0</v>
      </c>
      <c r="Q562" s="57"/>
      <c r="R562" s="58"/>
    </row>
    <row r="563" spans="8:8" ht="15.0" customHeight="1">
      <c r="B563" s="54">
        <v>621.0</v>
      </c>
      <c r="C563" s="8" t="s">
        <v>8351</v>
      </c>
      <c r="D563" s="8" t="s">
        <v>1022</v>
      </c>
      <c r="E563" s="8" t="s">
        <v>152</v>
      </c>
      <c r="F563" s="8" t="s">
        <v>68</v>
      </c>
      <c r="G563" s="8" t="s">
        <v>2076</v>
      </c>
      <c r="H563" s="8" t="s">
        <v>1099</v>
      </c>
      <c r="I563" s="8" t="s">
        <v>153</v>
      </c>
      <c r="J563" s="78" t="s">
        <v>4478</v>
      </c>
      <c r="K563" s="22">
        <v>0.0</v>
      </c>
      <c r="L563" s="22">
        <f>+SUMIF('حركه المخزن الرئيسي اليوميه'!$F:$F,$H:$H,'حركه المخزن الرئيسي اليوميه'!$H:$H)</f>
        <v>0.0</v>
      </c>
      <c r="M563" s="22">
        <f>+SUMIF('حركه المخزن الرئيسي اليوميه'!$F:$F,$H:$H,'حركه المخزن الرئيسي اليوميه'!$I:$I)</f>
        <v>0.0</v>
      </c>
      <c r="N563" s="22">
        <f>+K563+L563-M563</f>
        <v>0.0</v>
      </c>
      <c r="O563" s="22">
        <f>+N563</f>
        <v>0.0</v>
      </c>
      <c r="P563" s="22">
        <f>+N563-O563</f>
        <v>0.0</v>
      </c>
      <c r="Q563" s="57"/>
      <c r="R563" s="58"/>
    </row>
    <row r="564" spans="8:8" ht="15.0" customHeight="1">
      <c r="B564" s="54">
        <v>622.0</v>
      </c>
      <c r="C564" s="8" t="s">
        <v>8351</v>
      </c>
      <c r="D564" s="8" t="s">
        <v>1022</v>
      </c>
      <c r="E564" s="8" t="s">
        <v>156</v>
      </c>
      <c r="F564" s="8" t="s">
        <v>68</v>
      </c>
      <c r="G564" s="8" t="s">
        <v>2077</v>
      </c>
      <c r="H564" s="8" t="s">
        <v>1105</v>
      </c>
      <c r="I564" s="8" t="s">
        <v>153</v>
      </c>
      <c r="J564" s="78" t="s">
        <v>4479</v>
      </c>
      <c r="K564" s="22">
        <v>0.0</v>
      </c>
      <c r="L564" s="22">
        <f>+SUMIF('حركه المخزن الرئيسي اليوميه'!$F:$F,$H:$H,'حركه المخزن الرئيسي اليوميه'!$H:$H)</f>
        <v>0.0</v>
      </c>
      <c r="M564" s="22">
        <f>+SUMIF('حركه المخزن الرئيسي اليوميه'!$F:$F,$H:$H,'حركه المخزن الرئيسي اليوميه'!$I:$I)</f>
        <v>0.0</v>
      </c>
      <c r="N564" s="22">
        <f>+K564+L564-M564</f>
        <v>0.0</v>
      </c>
      <c r="O564" s="22">
        <f>+N564</f>
        <v>0.0</v>
      </c>
      <c r="P564" s="22">
        <f>+N564-O564</f>
        <v>0.0</v>
      </c>
      <c r="Q564" s="57"/>
      <c r="R564" s="58"/>
    </row>
    <row r="565" spans="8:8" ht="15.0" customHeight="1">
      <c r="B565" s="54">
        <v>623.0</v>
      </c>
      <c r="C565" s="8" t="s">
        <v>8351</v>
      </c>
      <c r="D565" s="8" t="s">
        <v>1022</v>
      </c>
      <c r="E565" s="8" t="s">
        <v>158</v>
      </c>
      <c r="F565" s="8" t="s">
        <v>68</v>
      </c>
      <c r="G565" s="8" t="s">
        <v>2075</v>
      </c>
      <c r="H565" s="8" t="s">
        <v>632</v>
      </c>
      <c r="I565" s="8" t="s">
        <v>153</v>
      </c>
      <c r="J565" s="78" t="s">
        <v>4480</v>
      </c>
      <c r="K565" s="22">
        <v>2.0</v>
      </c>
      <c r="L565" s="22">
        <f>+SUMIF('حركه المخزن الرئيسي اليوميه'!$F:$F,$H:$H,'حركه المخزن الرئيسي اليوميه'!$H:$H)</f>
        <v>0.0</v>
      </c>
      <c r="M565" s="22">
        <f>+SUMIF('حركه المخزن الرئيسي اليوميه'!$F:$F,$H:$H,'حركه المخزن الرئيسي اليوميه'!$I:$I)</f>
        <v>0.0</v>
      </c>
      <c r="N565" s="22">
        <f>+K565+L565-M565</f>
        <v>2.0</v>
      </c>
      <c r="O565" s="22">
        <f>+N565</f>
        <v>2.0</v>
      </c>
      <c r="P565" s="22">
        <f>+N565-O565</f>
        <v>0.0</v>
      </c>
      <c r="Q565" s="57"/>
      <c r="R565" s="58"/>
    </row>
    <row r="566" spans="8:8" ht="15.0" customHeight="1">
      <c r="B566" s="54">
        <v>624.0</v>
      </c>
      <c r="C566" s="8" t="s">
        <v>8351</v>
      </c>
      <c r="D566" s="8" t="s">
        <v>1022</v>
      </c>
      <c r="E566" s="8" t="s">
        <v>152</v>
      </c>
      <c r="F566" s="8" t="s">
        <v>68</v>
      </c>
      <c r="G566" s="8" t="s">
        <v>2076</v>
      </c>
      <c r="H566" s="8" t="s">
        <v>2887</v>
      </c>
      <c r="I566" s="8" t="s">
        <v>153</v>
      </c>
      <c r="J566" s="78" t="s">
        <v>4481</v>
      </c>
      <c r="K566" s="22">
        <v>1.0</v>
      </c>
      <c r="L566" s="22">
        <f>+SUMIF('حركه المخزن الرئيسي اليوميه'!$F:$F,$H:$H,'حركه المخزن الرئيسي اليوميه'!$H:$H)</f>
        <v>0.0</v>
      </c>
      <c r="M566" s="22">
        <f>+SUMIF('حركه المخزن الرئيسي اليوميه'!$F:$F,$H:$H,'حركه المخزن الرئيسي اليوميه'!$I:$I)</f>
        <v>0.0</v>
      </c>
      <c r="N566" s="22">
        <f>+K566+L566-M566</f>
        <v>1.0</v>
      </c>
      <c r="O566" s="22">
        <f>+N566</f>
        <v>1.0</v>
      </c>
      <c r="P566" s="22">
        <f>+N566-O566</f>
        <v>0.0</v>
      </c>
      <c r="Q566" s="57"/>
      <c r="R566" s="58"/>
    </row>
    <row r="567" spans="8:8" ht="15.0" customHeight="1">
      <c r="B567" s="54">
        <v>625.0</v>
      </c>
      <c r="C567" s="8" t="s">
        <v>8351</v>
      </c>
      <c r="D567" s="8" t="s">
        <v>1022</v>
      </c>
      <c r="E567" s="8" t="s">
        <v>152</v>
      </c>
      <c r="F567" s="8" t="s">
        <v>68</v>
      </c>
      <c r="G567" s="8" t="s">
        <v>2076</v>
      </c>
      <c r="H567" s="8" t="s">
        <v>2984</v>
      </c>
      <c r="I567" s="8" t="s">
        <v>153</v>
      </c>
      <c r="J567" s="78" t="s">
        <v>4482</v>
      </c>
      <c r="K567" s="22">
        <v>3.0</v>
      </c>
      <c r="L567" s="22">
        <f>+SUMIF('حركه المخزن الرئيسي اليوميه'!$F:$F,$H:$H,'حركه المخزن الرئيسي اليوميه'!$H:$H)</f>
        <v>0.0</v>
      </c>
      <c r="M567" s="22">
        <f>+SUMIF('حركه المخزن الرئيسي اليوميه'!$F:$F,$H:$H,'حركه المخزن الرئيسي اليوميه'!$I:$I)</f>
        <v>0.0</v>
      </c>
      <c r="N567" s="22">
        <f>+K567+L567-M567</f>
        <v>3.0</v>
      </c>
      <c r="O567" s="22">
        <f>+N567</f>
        <v>3.0</v>
      </c>
      <c r="P567" s="22">
        <f>+N567-O567</f>
        <v>0.0</v>
      </c>
      <c r="Q567" s="57"/>
      <c r="R567" s="58"/>
    </row>
    <row r="568" spans="8:8" ht="15.0" customHeight="1">
      <c r="B568" s="54">
        <v>626.0</v>
      </c>
      <c r="C568" s="8" t="s">
        <v>8351</v>
      </c>
      <c r="D568" s="8" t="s">
        <v>1022</v>
      </c>
      <c r="E568" s="8" t="s">
        <v>152</v>
      </c>
      <c r="F568" s="8" t="s">
        <v>68</v>
      </c>
      <c r="G568" s="8" t="s">
        <v>2076</v>
      </c>
      <c r="H568" s="8" t="s">
        <v>1100</v>
      </c>
      <c r="I568" s="8" t="s">
        <v>153</v>
      </c>
      <c r="J568" s="78" t="s">
        <v>4483</v>
      </c>
      <c r="K568" s="22">
        <v>0.0</v>
      </c>
      <c r="L568" s="22">
        <f>+SUMIF('حركه المخزن الرئيسي اليوميه'!$F:$F,$H:$H,'حركه المخزن الرئيسي اليوميه'!$H:$H)</f>
        <v>0.0</v>
      </c>
      <c r="M568" s="22">
        <f>+SUMIF('حركه المخزن الرئيسي اليوميه'!$F:$F,$H:$H,'حركه المخزن الرئيسي اليوميه'!$I:$I)</f>
        <v>0.0</v>
      </c>
      <c r="N568" s="22">
        <f>+K568+L568-M568</f>
        <v>0.0</v>
      </c>
      <c r="O568" s="22">
        <f>+N568</f>
        <v>0.0</v>
      </c>
      <c r="P568" s="22">
        <f>+N568-O568</f>
        <v>0.0</v>
      </c>
      <c r="Q568" s="57"/>
      <c r="R568" s="58"/>
    </row>
    <row r="569" spans="8:8" ht="15.0" customHeight="1">
      <c r="B569" s="54">
        <v>627.0</v>
      </c>
      <c r="C569" s="8" t="s">
        <v>8351</v>
      </c>
      <c r="D569" s="8" t="s">
        <v>1022</v>
      </c>
      <c r="E569" s="8" t="s">
        <v>152</v>
      </c>
      <c r="F569" s="8" t="s">
        <v>68</v>
      </c>
      <c r="G569" s="8" t="s">
        <v>2076</v>
      </c>
      <c r="H569" s="8" t="s">
        <v>1097</v>
      </c>
      <c r="I569" s="8" t="s">
        <v>153</v>
      </c>
      <c r="J569" s="78" t="s">
        <v>4484</v>
      </c>
      <c r="K569" s="22">
        <v>0.0</v>
      </c>
      <c r="L569" s="22">
        <f>+SUMIF('حركه المخزن الرئيسي اليوميه'!$F:$F,$H:$H,'حركه المخزن الرئيسي اليوميه'!$H:$H)</f>
        <v>0.0</v>
      </c>
      <c r="M569" s="22">
        <f>+SUMIF('حركه المخزن الرئيسي اليوميه'!$F:$F,$H:$H,'حركه المخزن الرئيسي اليوميه'!$I:$I)</f>
        <v>0.0</v>
      </c>
      <c r="N569" s="22">
        <f>+K569+L569-M569</f>
        <v>0.0</v>
      </c>
      <c r="O569" s="22">
        <f>+N569</f>
        <v>0.0</v>
      </c>
      <c r="P569" s="22">
        <f>+N569-O569</f>
        <v>0.0</v>
      </c>
      <c r="Q569" s="57"/>
      <c r="R569" s="58"/>
    </row>
    <row r="570" spans="8:8" ht="15.0" customHeight="1">
      <c r="B570" s="54">
        <v>628.0</v>
      </c>
      <c r="C570" s="8" t="s">
        <v>8351</v>
      </c>
      <c r="D570" s="8" t="s">
        <v>1022</v>
      </c>
      <c r="E570" s="8" t="s">
        <v>159</v>
      </c>
      <c r="F570" s="8" t="s">
        <v>68</v>
      </c>
      <c r="G570" s="8" t="s">
        <v>2078</v>
      </c>
      <c r="H570" s="8" t="s">
        <v>633</v>
      </c>
      <c r="I570" s="8" t="s">
        <v>160</v>
      </c>
      <c r="J570" s="78" t="s">
        <v>4485</v>
      </c>
      <c r="K570" s="22">
        <v>3.0</v>
      </c>
      <c r="L570" s="22">
        <f>+SUMIF('حركه المخزن الرئيسي اليوميه'!$F:$F,$H:$H,'حركه المخزن الرئيسي اليوميه'!$H:$H)</f>
        <v>0.0</v>
      </c>
      <c r="M570" s="22">
        <f>+SUMIF('حركه المخزن الرئيسي اليوميه'!$F:$F,$H:$H,'حركه المخزن الرئيسي اليوميه'!$I:$I)</f>
        <v>0.0</v>
      </c>
      <c r="N570" s="22">
        <f>+K570+L570-M570</f>
        <v>3.0</v>
      </c>
      <c r="O570" s="22">
        <f>+N570</f>
        <v>3.0</v>
      </c>
      <c r="P570" s="22">
        <f>+N570-O570</f>
        <v>0.0</v>
      </c>
      <c r="Q570" s="57"/>
      <c r="R570" s="58"/>
    </row>
    <row r="571" spans="8:8" ht="15.0" customHeight="1">
      <c r="B571" s="54">
        <v>629.0</v>
      </c>
      <c r="C571" s="8" t="s">
        <v>8351</v>
      </c>
      <c r="D571" s="8" t="s">
        <v>1022</v>
      </c>
      <c r="E571" s="8" t="s">
        <v>159</v>
      </c>
      <c r="F571" s="8" t="s">
        <v>68</v>
      </c>
      <c r="G571" s="8" t="s">
        <v>2078</v>
      </c>
      <c r="H571" s="8" t="s">
        <v>2971</v>
      </c>
      <c r="I571" s="8" t="s">
        <v>160</v>
      </c>
      <c r="J571" s="78" t="s">
        <v>4486</v>
      </c>
      <c r="K571" s="22">
        <v>8.0</v>
      </c>
      <c r="L571" s="22">
        <f>+SUMIF('حركه المخزن الرئيسي اليوميه'!$F:$F,$H:$H,'حركه المخزن الرئيسي اليوميه'!$H:$H)</f>
        <v>0.0</v>
      </c>
      <c r="M571" s="22">
        <f>+SUMIF('حركه المخزن الرئيسي اليوميه'!$F:$F,$H:$H,'حركه المخزن الرئيسي اليوميه'!$I:$I)</f>
        <v>0.0</v>
      </c>
      <c r="N571" s="22">
        <f>+K571+L571-M571</f>
        <v>8.0</v>
      </c>
      <c r="O571" s="22">
        <f>+N571</f>
        <v>8.0</v>
      </c>
      <c r="P571" s="22">
        <f>+N571-O571</f>
        <v>0.0</v>
      </c>
      <c r="Q571" s="57"/>
      <c r="R571" s="58"/>
    </row>
    <row r="572" spans="8:8" ht="15.0" customHeight="1">
      <c r="B572" s="54">
        <v>630.0</v>
      </c>
      <c r="C572" s="8" t="s">
        <v>8351</v>
      </c>
      <c r="D572" s="8" t="s">
        <v>820</v>
      </c>
      <c r="E572" s="8" t="s">
        <v>1262</v>
      </c>
      <c r="F572" s="8" t="s">
        <v>68</v>
      </c>
      <c r="G572" s="8" t="s">
        <v>2244</v>
      </c>
      <c r="H572" s="8" t="s">
        <v>1262</v>
      </c>
      <c r="I572" s="8" t="s">
        <v>160</v>
      </c>
      <c r="J572" s="78" t="s">
        <v>4487</v>
      </c>
      <c r="K572" s="22">
        <v>2.0</v>
      </c>
      <c r="L572" s="22">
        <f>+SUMIF('حركه المخزن الرئيسي اليوميه'!$F:$F,$H:$H,'حركه المخزن الرئيسي اليوميه'!$H:$H)</f>
        <v>0.0</v>
      </c>
      <c r="M572" s="22">
        <f>+SUMIF('حركه المخزن الرئيسي اليوميه'!$F:$F,$H:$H,'حركه المخزن الرئيسي اليوميه'!$I:$I)</f>
        <v>0.0</v>
      </c>
      <c r="N572" s="22">
        <f>+K572+L572-M572</f>
        <v>2.0</v>
      </c>
      <c r="O572" s="22">
        <f>+N572</f>
        <v>2.0</v>
      </c>
      <c r="P572" s="22">
        <f>+N572-O572</f>
        <v>0.0</v>
      </c>
      <c r="Q572" s="57"/>
      <c r="R572" s="59"/>
    </row>
    <row r="573" spans="8:8" ht="15.0" customHeight="1">
      <c r="B573" s="54">
        <v>631.0</v>
      </c>
      <c r="C573" s="8" t="s">
        <v>8351</v>
      </c>
      <c r="D573" s="8" t="s">
        <v>1022</v>
      </c>
      <c r="E573" s="8" t="s">
        <v>159</v>
      </c>
      <c r="F573" s="8" t="s">
        <v>68</v>
      </c>
      <c r="G573" s="8" t="s">
        <v>2078</v>
      </c>
      <c r="H573" s="8" t="s">
        <v>1003</v>
      </c>
      <c r="I573" s="8" t="s">
        <v>160</v>
      </c>
      <c r="J573" s="78" t="s">
        <v>4488</v>
      </c>
      <c r="K573" s="22">
        <v>8.0</v>
      </c>
      <c r="L573" s="22">
        <f>+SUMIF('حركه المخزن الرئيسي اليوميه'!$F:$F,$H:$H,'حركه المخزن الرئيسي اليوميه'!$H:$H)</f>
        <v>0.0</v>
      </c>
      <c r="M573" s="22">
        <f>+SUMIF('حركه المخزن الرئيسي اليوميه'!$F:$F,$H:$H,'حركه المخزن الرئيسي اليوميه'!$I:$I)</f>
        <v>0.0</v>
      </c>
      <c r="N573" s="22">
        <f>+K573+L573-M573</f>
        <v>8.0</v>
      </c>
      <c r="O573" s="22">
        <f>+N573</f>
        <v>8.0</v>
      </c>
      <c r="P573" s="22">
        <f>+N573-O573</f>
        <v>0.0</v>
      </c>
      <c r="Q573" s="57"/>
      <c r="R573" s="59"/>
    </row>
    <row r="574" spans="8:8" ht="15.0" customHeight="1">
      <c r="B574" s="54">
        <v>632.0</v>
      </c>
      <c r="C574" s="8" t="s">
        <v>8351</v>
      </c>
      <c r="D574" s="8" t="s">
        <v>1022</v>
      </c>
      <c r="E574" s="8" t="s">
        <v>161</v>
      </c>
      <c r="F574" s="8" t="s">
        <v>68</v>
      </c>
      <c r="G574" s="8" t="s">
        <v>2079</v>
      </c>
      <c r="H574" s="8" t="s">
        <v>628</v>
      </c>
      <c r="I574" s="8" t="s">
        <v>160</v>
      </c>
      <c r="J574" s="78" t="s">
        <v>4489</v>
      </c>
      <c r="K574" s="22">
        <v>0.0</v>
      </c>
      <c r="L574" s="22">
        <f>+SUMIF('حركه المخزن الرئيسي اليوميه'!$F:$F,$H:$H,'حركه المخزن الرئيسي اليوميه'!$H:$H)</f>
        <v>0.0</v>
      </c>
      <c r="M574" s="22">
        <f>+SUMIF('حركه المخزن الرئيسي اليوميه'!$F:$F,$H:$H,'حركه المخزن الرئيسي اليوميه'!$I:$I)</f>
        <v>0.0</v>
      </c>
      <c r="N574" s="22">
        <f>+K574+L574-M574</f>
        <v>0.0</v>
      </c>
      <c r="O574" s="22">
        <f>+N574</f>
        <v>0.0</v>
      </c>
      <c r="P574" s="22">
        <f>+N574-O574</f>
        <v>0.0</v>
      </c>
      <c r="Q574" s="57"/>
      <c r="R574" s="58"/>
    </row>
    <row r="575" spans="8:8" ht="15.0" customHeight="1">
      <c r="B575" s="54">
        <v>633.0</v>
      </c>
      <c r="C575" s="8" t="s">
        <v>8351</v>
      </c>
      <c r="D575" s="8" t="s">
        <v>1022</v>
      </c>
      <c r="E575" s="8" t="s">
        <v>163</v>
      </c>
      <c r="F575" s="8" t="s">
        <v>68</v>
      </c>
      <c r="G575" s="8" t="s">
        <v>2324</v>
      </c>
      <c r="H575" s="8" t="s">
        <v>634</v>
      </c>
      <c r="I575" s="8" t="s">
        <v>160</v>
      </c>
      <c r="J575" s="78" t="s">
        <v>4490</v>
      </c>
      <c r="K575" s="22">
        <v>61.0</v>
      </c>
      <c r="L575" s="22">
        <f>+SUMIF('حركه المخزن الرئيسي اليوميه'!$F:$F,$H:$H,'حركه المخزن الرئيسي اليوميه'!$H:$H)</f>
        <v>0.0</v>
      </c>
      <c r="M575" s="22">
        <f>+SUMIF('حركه المخزن الرئيسي اليوميه'!$F:$F,$H:$H,'حركه المخزن الرئيسي اليوميه'!$I:$I)</f>
        <v>0.0</v>
      </c>
      <c r="N575" s="22">
        <f>+K575+L575-M575</f>
        <v>61.0</v>
      </c>
      <c r="O575" s="22">
        <f>+N575</f>
        <v>61.0</v>
      </c>
      <c r="P575" s="22">
        <f>+N575-O575</f>
        <v>0.0</v>
      </c>
      <c r="Q575" s="57"/>
      <c r="R575" s="58"/>
    </row>
    <row r="576" spans="8:8" ht="15.0" customHeight="1">
      <c r="B576" s="54">
        <v>634.0</v>
      </c>
      <c r="C576" s="8" t="s">
        <v>8351</v>
      </c>
      <c r="D576" s="8" t="s">
        <v>1022</v>
      </c>
      <c r="E576" s="8" t="s">
        <v>163</v>
      </c>
      <c r="F576" s="8" t="s">
        <v>68</v>
      </c>
      <c r="G576" s="8" t="s">
        <v>2324</v>
      </c>
      <c r="H576" s="8" t="s">
        <v>644</v>
      </c>
      <c r="I576" s="8" t="s">
        <v>160</v>
      </c>
      <c r="J576" s="78" t="s">
        <v>4491</v>
      </c>
      <c r="K576" s="22">
        <v>40.0</v>
      </c>
      <c r="L576" s="22">
        <f>+SUMIF('حركه المخزن الرئيسي اليوميه'!$F:$F,$H:$H,'حركه المخزن الرئيسي اليوميه'!$H:$H)</f>
        <v>0.0</v>
      </c>
      <c r="M576" s="22">
        <f>+SUMIF('حركه المخزن الرئيسي اليوميه'!$F:$F,$H:$H,'حركه المخزن الرئيسي اليوميه'!$I:$I)</f>
        <v>0.0</v>
      </c>
      <c r="N576" s="22">
        <f>+K576+L576-M576</f>
        <v>40.0</v>
      </c>
      <c r="O576" s="22">
        <f>+N576</f>
        <v>40.0</v>
      </c>
      <c r="P576" s="22">
        <f>+N576-O576</f>
        <v>0.0</v>
      </c>
      <c r="Q576" s="57"/>
      <c r="R576" s="58"/>
    </row>
    <row r="577" spans="8:8" ht="15.0" customHeight="1">
      <c r="B577" s="54">
        <v>635.0</v>
      </c>
      <c r="C577" s="8" t="s">
        <v>8351</v>
      </c>
      <c r="D577" s="8" t="s">
        <v>1022</v>
      </c>
      <c r="E577" s="8" t="s">
        <v>159</v>
      </c>
      <c r="F577" s="8" t="s">
        <v>68</v>
      </c>
      <c r="G577" s="8" t="s">
        <v>2078</v>
      </c>
      <c r="H577" s="8" t="s">
        <v>643</v>
      </c>
      <c r="I577" s="8" t="s">
        <v>160</v>
      </c>
      <c r="J577" s="78" t="s">
        <v>4492</v>
      </c>
      <c r="K577" s="22">
        <v>13.0</v>
      </c>
      <c r="L577" s="22">
        <f>+SUMIF('حركه المخزن الرئيسي اليوميه'!$F:$F,$H:$H,'حركه المخزن الرئيسي اليوميه'!$H:$H)</f>
        <v>0.0</v>
      </c>
      <c r="M577" s="22">
        <f>+SUMIF('حركه المخزن الرئيسي اليوميه'!$F:$F,$H:$H,'حركه المخزن الرئيسي اليوميه'!$I:$I)</f>
        <v>1.0</v>
      </c>
      <c r="N577" s="22">
        <f>+K577+L577-M577</f>
        <v>12.0</v>
      </c>
      <c r="O577" s="22">
        <f>+N577</f>
        <v>12.0</v>
      </c>
      <c r="P577" s="22">
        <f>+N577-O577</f>
        <v>0.0</v>
      </c>
      <c r="Q577" s="57"/>
      <c r="R577" s="58"/>
    </row>
    <row r="578" spans="8:8" ht="15.0" customHeight="1">
      <c r="B578" s="54">
        <v>636.0</v>
      </c>
      <c r="C578" s="8" t="s">
        <v>8351</v>
      </c>
      <c r="D578" s="8" t="s">
        <v>1022</v>
      </c>
      <c r="E578" s="8" t="s">
        <v>161</v>
      </c>
      <c r="F578" s="8" t="s">
        <v>68</v>
      </c>
      <c r="G578" s="8" t="s">
        <v>2079</v>
      </c>
      <c r="H578" s="8" t="s">
        <v>1106</v>
      </c>
      <c r="I578" s="8" t="s">
        <v>160</v>
      </c>
      <c r="J578" s="78" t="s">
        <v>4493</v>
      </c>
      <c r="K578" s="22">
        <v>19.0</v>
      </c>
      <c r="L578" s="22">
        <f>+SUMIF('حركه المخزن الرئيسي اليوميه'!$F:$F,$H:$H,'حركه المخزن الرئيسي اليوميه'!$H:$H)</f>
        <v>0.0</v>
      </c>
      <c r="M578" s="22">
        <f>+SUMIF('حركه المخزن الرئيسي اليوميه'!$F:$F,$H:$H,'حركه المخزن الرئيسي اليوميه'!$I:$I)</f>
        <v>0.0</v>
      </c>
      <c r="N578" s="22">
        <f>+K578+L578-M578</f>
        <v>19.0</v>
      </c>
      <c r="O578" s="22">
        <f>+N578</f>
        <v>19.0</v>
      </c>
      <c r="P578" s="22">
        <f>+N578-O578</f>
        <v>0.0</v>
      </c>
      <c r="Q578" s="57"/>
      <c r="R578" s="59"/>
    </row>
    <row r="579" spans="8:8" ht="15.0" customHeight="1">
      <c r="B579" s="54">
        <v>637.0</v>
      </c>
      <c r="C579" s="8" t="s">
        <v>8351</v>
      </c>
      <c r="D579" s="8" t="s">
        <v>820</v>
      </c>
      <c r="E579" s="8" t="s">
        <v>1263</v>
      </c>
      <c r="F579" s="8" t="s">
        <v>68</v>
      </c>
      <c r="G579" s="8" t="s">
        <v>2245</v>
      </c>
      <c r="H579" s="8" t="s">
        <v>1263</v>
      </c>
      <c r="I579" s="8" t="s">
        <v>168</v>
      </c>
      <c r="J579" s="78" t="s">
        <v>4494</v>
      </c>
      <c r="K579" s="22">
        <v>7.0</v>
      </c>
      <c r="L579" s="22">
        <f>+SUMIF('حركه المخزن الرئيسي اليوميه'!$F:$F,$H:$H,'حركه المخزن الرئيسي اليوميه'!$H:$H)</f>
        <v>0.0</v>
      </c>
      <c r="M579" s="22">
        <f>+SUMIF('حركه المخزن الرئيسي اليوميه'!$F:$F,$H:$H,'حركه المخزن الرئيسي اليوميه'!$I:$I)</f>
        <v>1.0</v>
      </c>
      <c r="N579" s="22">
        <f>+K579+L579-M579</f>
        <v>6.0</v>
      </c>
      <c r="O579" s="22">
        <f>+N579</f>
        <v>6.0</v>
      </c>
      <c r="P579" s="22">
        <f>+N579-O579</f>
        <v>0.0</v>
      </c>
      <c r="Q579" s="57"/>
      <c r="R579" s="58"/>
    </row>
    <row r="580" spans="8:8" ht="15.0" customHeight="1">
      <c r="B580" s="54">
        <v>638.0</v>
      </c>
      <c r="C580" s="8" t="s">
        <v>8351</v>
      </c>
      <c r="D580" s="8" t="s">
        <v>820</v>
      </c>
      <c r="E580" s="8" t="s">
        <v>1327</v>
      </c>
      <c r="F580" s="8" t="s">
        <v>68</v>
      </c>
      <c r="G580" s="8" t="s">
        <v>2259</v>
      </c>
      <c r="H580" s="8" t="s">
        <v>1327</v>
      </c>
      <c r="I580" s="8" t="s">
        <v>164</v>
      </c>
      <c r="J580" s="78" t="s">
        <v>4495</v>
      </c>
      <c r="K580" s="22">
        <v>0.0</v>
      </c>
      <c r="L580" s="22">
        <f>+SUMIF('حركه المخزن الرئيسي اليوميه'!$F:$F,$H:$H,'حركه المخزن الرئيسي اليوميه'!$H:$H)</f>
        <v>0.0</v>
      </c>
      <c r="M580" s="22">
        <f>+SUMIF('حركه المخزن الرئيسي اليوميه'!$F:$F,$H:$H,'حركه المخزن الرئيسي اليوميه'!$I:$I)</f>
        <v>0.0</v>
      </c>
      <c r="N580" s="22">
        <f>+K580+L580-M580</f>
        <v>0.0</v>
      </c>
      <c r="O580" s="22">
        <f>+N580</f>
        <v>0.0</v>
      </c>
      <c r="P580" s="22">
        <f>+N580-O580</f>
        <v>0.0</v>
      </c>
      <c r="Q580" s="57"/>
      <c r="R580" s="58"/>
    </row>
    <row r="581" spans="8:8" ht="15.0" customHeight="1">
      <c r="B581" s="54">
        <v>639.0</v>
      </c>
      <c r="C581" s="8" t="s">
        <v>8351</v>
      </c>
      <c r="D581" s="8" t="s">
        <v>1013</v>
      </c>
      <c r="E581" s="8" t="s">
        <v>161</v>
      </c>
      <c r="F581" s="8" t="s">
        <v>1501</v>
      </c>
      <c r="G581" s="8" t="s">
        <v>2290</v>
      </c>
      <c r="H581" s="8" t="s">
        <v>1547</v>
      </c>
      <c r="I581" s="8" t="s">
        <v>164</v>
      </c>
      <c r="J581" s="78" t="s">
        <v>4496</v>
      </c>
      <c r="K581" s="22">
        <v>5.0</v>
      </c>
      <c r="L581" s="22">
        <f>+SUMIF('حركه المخزن الرئيسي اليوميه'!$F:$F,$H:$H,'حركه المخزن الرئيسي اليوميه'!$H:$H)</f>
        <v>0.0</v>
      </c>
      <c r="M581" s="22">
        <f>+SUMIF('حركه المخزن الرئيسي اليوميه'!$F:$F,$H:$H,'حركه المخزن الرئيسي اليوميه'!$I:$I)</f>
        <v>0.0</v>
      </c>
      <c r="N581" s="22">
        <f>+K581+L581-M581</f>
        <v>5.0</v>
      </c>
      <c r="O581" s="22">
        <f>+N581</f>
        <v>5.0</v>
      </c>
      <c r="P581" s="22">
        <f>+N581-O581</f>
        <v>0.0</v>
      </c>
      <c r="Q581" s="57"/>
      <c r="R581" s="59"/>
    </row>
    <row r="582" spans="8:8" ht="15.0" customHeight="1">
      <c r="B582" s="54">
        <v>640.0</v>
      </c>
      <c r="C582" s="8" t="s">
        <v>8351</v>
      </c>
      <c r="D582" s="8" t="s">
        <v>1022</v>
      </c>
      <c r="E582" s="8" t="s">
        <v>151</v>
      </c>
      <c r="F582" s="8" t="s">
        <v>68</v>
      </c>
      <c r="G582" s="8" t="s">
        <v>2076</v>
      </c>
      <c r="H582" s="8" t="s">
        <v>1000</v>
      </c>
      <c r="I582" s="8" t="s">
        <v>164</v>
      </c>
      <c r="J582" s="78" t="s">
        <v>4497</v>
      </c>
      <c r="K582" s="22">
        <v>3.0</v>
      </c>
      <c r="L582" s="22">
        <f>+SUMIF('حركه المخزن الرئيسي اليوميه'!$F:$F,$H:$H,'حركه المخزن الرئيسي اليوميه'!$H:$H)</f>
        <v>0.0</v>
      </c>
      <c r="M582" s="22">
        <f>+SUMIF('حركه المخزن الرئيسي اليوميه'!$F:$F,$H:$H,'حركه المخزن الرئيسي اليوميه'!$I:$I)</f>
        <v>0.0</v>
      </c>
      <c r="N582" s="22">
        <f>+K582+L582-M582</f>
        <v>3.0</v>
      </c>
      <c r="O582" s="22">
        <f>+N582</f>
        <v>3.0</v>
      </c>
      <c r="P582" s="22">
        <f>+N582-O582</f>
        <v>0.0</v>
      </c>
      <c r="Q582" s="57"/>
      <c r="R582" s="58"/>
    </row>
    <row r="583" spans="8:8" ht="15.0" customHeight="1">
      <c r="B583" s="54">
        <v>641.0</v>
      </c>
      <c r="C583" s="8" t="s">
        <v>8351</v>
      </c>
      <c r="D583" s="8" t="s">
        <v>1022</v>
      </c>
      <c r="E583" s="8" t="s">
        <v>162</v>
      </c>
      <c r="F583" s="8" t="s">
        <v>68</v>
      </c>
      <c r="G583" s="8" t="s">
        <v>2080</v>
      </c>
      <c r="H583" s="8" t="s">
        <v>612</v>
      </c>
      <c r="I583" s="8" t="s">
        <v>164</v>
      </c>
      <c r="J583" s="78" t="s">
        <v>4498</v>
      </c>
      <c r="K583" s="22">
        <v>1.0</v>
      </c>
      <c r="L583" s="22">
        <f>+SUMIF('حركه المخزن الرئيسي اليوميه'!$F:$F,$H:$H,'حركه المخزن الرئيسي اليوميه'!$H:$H)</f>
        <v>0.0</v>
      </c>
      <c r="M583" s="22">
        <f>+SUMIF('حركه المخزن الرئيسي اليوميه'!$F:$F,$H:$H,'حركه المخزن الرئيسي اليوميه'!$I:$I)</f>
        <v>0.0</v>
      </c>
      <c r="N583" s="22">
        <f>+K583+L583-M583</f>
        <v>1.0</v>
      </c>
      <c r="O583" s="22">
        <f>+N583</f>
        <v>1.0</v>
      </c>
      <c r="P583" s="22">
        <f>+N583-O583</f>
        <v>0.0</v>
      </c>
      <c r="Q583" s="57"/>
      <c r="R583" s="58"/>
    </row>
    <row r="584" spans="8:8" ht="15.0" customHeight="1">
      <c r="B584" s="54">
        <v>642.0</v>
      </c>
      <c r="C584" s="8" t="s">
        <v>8351</v>
      </c>
      <c r="D584" s="8" t="s">
        <v>1022</v>
      </c>
      <c r="E584" s="8" t="s">
        <v>162</v>
      </c>
      <c r="F584" s="8" t="s">
        <v>68</v>
      </c>
      <c r="G584" s="8" t="s">
        <v>2080</v>
      </c>
      <c r="H584" s="8" t="s">
        <v>1004</v>
      </c>
      <c r="I584" s="8" t="s">
        <v>174</v>
      </c>
      <c r="J584" s="78" t="s">
        <v>4499</v>
      </c>
      <c r="K584" s="22">
        <v>5.0</v>
      </c>
      <c r="L584" s="22">
        <f>+SUMIF('حركه المخزن الرئيسي اليوميه'!$F:$F,$H:$H,'حركه المخزن الرئيسي اليوميه'!$H:$H)</f>
        <v>0.0</v>
      </c>
      <c r="M584" s="22">
        <f>+SUMIF('حركه المخزن الرئيسي اليوميه'!$F:$F,$H:$H,'حركه المخزن الرئيسي اليوميه'!$I:$I)</f>
        <v>0.0</v>
      </c>
      <c r="N584" s="22">
        <f>+K584+L584-M584</f>
        <v>5.0</v>
      </c>
      <c r="O584" s="22">
        <f>+N584</f>
        <v>5.0</v>
      </c>
      <c r="P584" s="22">
        <f>+N584-O584</f>
        <v>0.0</v>
      </c>
      <c r="Q584" s="57"/>
      <c r="R584" s="59"/>
    </row>
    <row r="585" spans="8:8" ht="15.0" customHeight="1">
      <c r="B585" s="54">
        <v>643.0</v>
      </c>
      <c r="C585" s="8" t="s">
        <v>8351</v>
      </c>
      <c r="D585" s="8" t="s">
        <v>1022</v>
      </c>
      <c r="E585" s="8" t="s">
        <v>161</v>
      </c>
      <c r="F585" s="8" t="s">
        <v>68</v>
      </c>
      <c r="G585" s="8" t="s">
        <v>2079</v>
      </c>
      <c r="H585" s="8" t="s">
        <v>611</v>
      </c>
      <c r="I585" s="8" t="s">
        <v>164</v>
      </c>
      <c r="J585" s="78" t="s">
        <v>4500</v>
      </c>
      <c r="K585" s="22">
        <v>1.0</v>
      </c>
      <c r="L585" s="22">
        <f>+SUMIF('حركه المخزن الرئيسي اليوميه'!$F:$F,$H:$H,'حركه المخزن الرئيسي اليوميه'!$H:$H)</f>
        <v>0.0</v>
      </c>
      <c r="M585" s="22">
        <f>+SUMIF('حركه المخزن الرئيسي اليوميه'!$F:$F,$H:$H,'حركه المخزن الرئيسي اليوميه'!$I:$I)</f>
        <v>1.0</v>
      </c>
      <c r="N585" s="22">
        <f>+K585+L585-M585</f>
        <v>0.0</v>
      </c>
      <c r="O585" s="22">
        <f>+N585</f>
        <v>0.0</v>
      </c>
      <c r="P585" s="22">
        <f>+N585-O585</f>
        <v>0.0</v>
      </c>
      <c r="Q585" s="57"/>
      <c r="R585" s="59"/>
    </row>
    <row r="586" spans="8:8" ht="15.0" customHeight="1">
      <c r="B586" s="54">
        <v>644.0</v>
      </c>
      <c r="C586" s="8" t="s">
        <v>8351</v>
      </c>
      <c r="D586" s="8" t="s">
        <v>1022</v>
      </c>
      <c r="E586" s="8" t="s">
        <v>151</v>
      </c>
      <c r="F586" s="8" t="s">
        <v>68</v>
      </c>
      <c r="G586" s="8" t="s">
        <v>2076</v>
      </c>
      <c r="H586" s="8" t="s">
        <v>999</v>
      </c>
      <c r="I586" s="8" t="s">
        <v>164</v>
      </c>
      <c r="J586" s="78" t="s">
        <v>4501</v>
      </c>
      <c r="K586" s="22">
        <v>8.0</v>
      </c>
      <c r="L586" s="22">
        <f>+SUMIF('حركه المخزن الرئيسي اليوميه'!$F:$F,$H:$H,'حركه المخزن الرئيسي اليوميه'!$H:$H)</f>
        <v>0.0</v>
      </c>
      <c r="M586" s="22">
        <f>+SUMIF('حركه المخزن الرئيسي اليوميه'!$F:$F,$H:$H,'حركه المخزن الرئيسي اليوميه'!$I:$I)</f>
        <v>0.0</v>
      </c>
      <c r="N586" s="22">
        <f>+K586+L586-M586</f>
        <v>8.0</v>
      </c>
      <c r="O586" s="22">
        <f>+N586</f>
        <v>8.0</v>
      </c>
      <c r="P586" s="22">
        <f>+N586-O586</f>
        <v>0.0</v>
      </c>
      <c r="Q586" s="57"/>
      <c r="R586" s="58"/>
    </row>
    <row r="587" spans="8:8" ht="15.0" customHeight="1">
      <c r="B587" s="54">
        <v>645.0</v>
      </c>
      <c r="C587" s="8" t="s">
        <v>8351</v>
      </c>
      <c r="D587" s="8" t="s">
        <v>1022</v>
      </c>
      <c r="E587" s="8" t="s">
        <v>152</v>
      </c>
      <c r="F587" s="8" t="s">
        <v>68</v>
      </c>
      <c r="G587" s="8" t="s">
        <v>2323</v>
      </c>
      <c r="H587" s="8" t="s">
        <v>1095</v>
      </c>
      <c r="I587" s="8" t="s">
        <v>164</v>
      </c>
      <c r="J587" s="78" t="s">
        <v>4502</v>
      </c>
      <c r="K587" s="22">
        <v>3.0</v>
      </c>
      <c r="L587" s="22">
        <f>+SUMIF('حركه المخزن الرئيسي اليوميه'!$F:$F,$H:$H,'حركه المخزن الرئيسي اليوميه'!$H:$H)</f>
        <v>0.0</v>
      </c>
      <c r="M587" s="22">
        <f>+SUMIF('حركه المخزن الرئيسي اليوميه'!$F:$F,$H:$H,'حركه المخزن الرئيسي اليوميه'!$I:$I)</f>
        <v>0.0</v>
      </c>
      <c r="N587" s="22">
        <f>+K587+L587-M587</f>
        <v>3.0</v>
      </c>
      <c r="O587" s="22">
        <f>+N587</f>
        <v>3.0</v>
      </c>
      <c r="P587" s="22">
        <f>+N587-O587</f>
        <v>0.0</v>
      </c>
      <c r="Q587" s="57"/>
      <c r="R587" s="58"/>
    </row>
    <row r="588" spans="8:8" ht="15.0" customHeight="1">
      <c r="B588" s="54">
        <v>646.0</v>
      </c>
      <c r="C588" s="8" t="s">
        <v>8351</v>
      </c>
      <c r="D588" s="8" t="s">
        <v>820</v>
      </c>
      <c r="E588" s="8" t="s">
        <v>1265</v>
      </c>
      <c r="F588" s="8" t="s">
        <v>68</v>
      </c>
      <c r="G588" s="8" t="s">
        <v>2246</v>
      </c>
      <c r="H588" s="8" t="s">
        <v>1265</v>
      </c>
      <c r="I588" s="8" t="s">
        <v>164</v>
      </c>
      <c r="J588" s="78" t="s">
        <v>4503</v>
      </c>
      <c r="K588" s="22">
        <v>1.0</v>
      </c>
      <c r="L588" s="22">
        <f>+SUMIF('حركه المخزن الرئيسي اليوميه'!$F:$F,$H:$H,'حركه المخزن الرئيسي اليوميه'!$H:$H)</f>
        <v>0.0</v>
      </c>
      <c r="M588" s="22">
        <f>+SUMIF('حركه المخزن الرئيسي اليوميه'!$F:$F,$H:$H,'حركه المخزن الرئيسي اليوميه'!$I:$I)</f>
        <v>0.0</v>
      </c>
      <c r="N588" s="22">
        <f>+K588+L588-M588</f>
        <v>1.0</v>
      </c>
      <c r="O588" s="22">
        <f>+N588</f>
        <v>1.0</v>
      </c>
      <c r="P588" s="22">
        <f>+N588-O588</f>
        <v>0.0</v>
      </c>
      <c r="Q588" s="57"/>
      <c r="R588" s="58"/>
    </row>
    <row r="589" spans="8:8" ht="15.0" customHeight="1">
      <c r="B589" s="54">
        <v>647.0</v>
      </c>
      <c r="C589" s="8" t="s">
        <v>8351</v>
      </c>
      <c r="D589" s="8" t="s">
        <v>828</v>
      </c>
      <c r="E589" s="8" t="s">
        <v>3676</v>
      </c>
      <c r="F589" s="8" t="s">
        <v>68</v>
      </c>
      <c r="G589" s="8"/>
      <c r="H589" s="8" t="s">
        <v>3676</v>
      </c>
      <c r="I589" s="8" t="s">
        <v>181</v>
      </c>
      <c r="J589" s="78" t="s">
        <v>4504</v>
      </c>
      <c r="K589" s="22">
        <v>5.0</v>
      </c>
      <c r="L589" s="22">
        <f>+SUMIF('حركه المخزن الرئيسي اليوميه'!$F:$F,$H:$H,'حركه المخزن الرئيسي اليوميه'!$H:$H)</f>
        <v>0.0</v>
      </c>
      <c r="M589" s="22">
        <f>+SUMIF('حركه المخزن الرئيسي اليوميه'!$F:$F,$H:$H,'حركه المخزن الرئيسي اليوميه'!$I:$I)</f>
        <v>0.0</v>
      </c>
      <c r="N589" s="22">
        <f>+K589+L589-M589</f>
        <v>5.0</v>
      </c>
      <c r="O589" s="22">
        <f>+N589</f>
        <v>5.0</v>
      </c>
      <c r="P589" s="22">
        <f>+N589-O589</f>
        <v>0.0</v>
      </c>
      <c r="Q589" s="57"/>
      <c r="R589" s="59"/>
    </row>
    <row r="590" spans="8:8" ht="15.0" customHeight="1">
      <c r="B590" s="54">
        <v>648.0</v>
      </c>
      <c r="C590" s="8" t="s">
        <v>8351</v>
      </c>
      <c r="D590" s="8" t="s">
        <v>1022</v>
      </c>
      <c r="E590" s="8" t="s">
        <v>161</v>
      </c>
      <c r="F590" s="8" t="s">
        <v>68</v>
      </c>
      <c r="G590" s="8" t="s">
        <v>2079</v>
      </c>
      <c r="H590" s="8" t="s">
        <v>1264</v>
      </c>
      <c r="I590" s="8" t="s">
        <v>164</v>
      </c>
      <c r="J590" s="78" t="s">
        <v>4505</v>
      </c>
      <c r="K590" s="22">
        <v>4.0</v>
      </c>
      <c r="L590" s="22">
        <f>+SUMIF('حركه المخزن الرئيسي اليوميه'!$F:$F,$H:$H,'حركه المخزن الرئيسي اليوميه'!$H:$H)</f>
        <v>0.0</v>
      </c>
      <c r="M590" s="22">
        <f>+SUMIF('حركه المخزن الرئيسي اليوميه'!$F:$F,$H:$H,'حركه المخزن الرئيسي اليوميه'!$I:$I)</f>
        <v>0.0</v>
      </c>
      <c r="N590" s="22">
        <f>+K590+L590-M590</f>
        <v>4.0</v>
      </c>
      <c r="O590" s="22">
        <f>+N590</f>
        <v>4.0</v>
      </c>
      <c r="P590" s="22">
        <f>+N590-O590</f>
        <v>0.0</v>
      </c>
      <c r="Q590" s="57"/>
      <c r="R590" s="58"/>
    </row>
    <row r="591" spans="8:8" ht="15.0" customHeight="1">
      <c r="B591" s="54">
        <v>649.0</v>
      </c>
      <c r="C591" s="8" t="s">
        <v>8351</v>
      </c>
      <c r="D591" s="8" t="s">
        <v>820</v>
      </c>
      <c r="E591" s="8" t="s">
        <v>1260</v>
      </c>
      <c r="F591" s="8" t="s">
        <v>68</v>
      </c>
      <c r="G591" s="8" t="s">
        <v>2243</v>
      </c>
      <c r="H591" s="8" t="s">
        <v>1260</v>
      </c>
      <c r="I591" s="8" t="s">
        <v>164</v>
      </c>
      <c r="J591" s="78" t="s">
        <v>4506</v>
      </c>
      <c r="K591" s="22">
        <v>2.0</v>
      </c>
      <c r="L591" s="22">
        <f>+SUMIF('حركه المخزن الرئيسي اليوميه'!$F:$F,$H:$H,'حركه المخزن الرئيسي اليوميه'!$H:$H)</f>
        <v>0.0</v>
      </c>
      <c r="M591" s="22">
        <f>+SUMIF('حركه المخزن الرئيسي اليوميه'!$F:$F,$H:$H,'حركه المخزن الرئيسي اليوميه'!$I:$I)</f>
        <v>0.0</v>
      </c>
      <c r="N591" s="22">
        <f>+K591+L591-M591</f>
        <v>2.0</v>
      </c>
      <c r="O591" s="22">
        <f>+N591</f>
        <v>2.0</v>
      </c>
      <c r="P591" s="22">
        <f>+N591-O591</f>
        <v>0.0</v>
      </c>
      <c r="Q591" s="57"/>
      <c r="R591" s="58"/>
    </row>
    <row r="592" spans="8:8" ht="15.0" customHeight="1">
      <c r="B592" s="54">
        <v>650.0</v>
      </c>
      <c r="C592" s="8" t="s">
        <v>8351</v>
      </c>
      <c r="D592" s="8" t="s">
        <v>820</v>
      </c>
      <c r="E592" s="8" t="s">
        <v>1261</v>
      </c>
      <c r="F592" s="8" t="s">
        <v>68</v>
      </c>
      <c r="G592" s="8" t="s">
        <v>2243</v>
      </c>
      <c r="H592" s="8" t="s">
        <v>1261</v>
      </c>
      <c r="I592" s="8" t="s">
        <v>164</v>
      </c>
      <c r="J592" s="78" t="s">
        <v>4507</v>
      </c>
      <c r="K592" s="22">
        <v>0.0</v>
      </c>
      <c r="L592" s="22">
        <f>+SUMIF('حركه المخزن الرئيسي اليوميه'!$F:$F,$H:$H,'حركه المخزن الرئيسي اليوميه'!$H:$H)</f>
        <v>0.0</v>
      </c>
      <c r="M592" s="22">
        <f>+SUMIF('حركه المخزن الرئيسي اليوميه'!$F:$F,$H:$H,'حركه المخزن الرئيسي اليوميه'!$I:$I)</f>
        <v>0.0</v>
      </c>
      <c r="N592" s="22">
        <f>+K592+L592-M592</f>
        <v>0.0</v>
      </c>
      <c r="O592" s="22">
        <f>+N592</f>
        <v>0.0</v>
      </c>
      <c r="P592" s="22">
        <f>+N592-O592</f>
        <v>0.0</v>
      </c>
      <c r="Q592" s="57"/>
      <c r="R592" s="58"/>
    </row>
    <row r="593" spans="8:8" ht="15.0" customHeight="1">
      <c r="B593" s="54">
        <v>651.0</v>
      </c>
      <c r="C593" s="8" t="s">
        <v>8351</v>
      </c>
      <c r="D593" s="8" t="s">
        <v>820</v>
      </c>
      <c r="E593" s="8" t="s">
        <v>1266</v>
      </c>
      <c r="F593" s="8" t="s">
        <v>68</v>
      </c>
      <c r="G593" s="8" t="s">
        <v>1830</v>
      </c>
      <c r="H593" s="8" t="s">
        <v>1266</v>
      </c>
      <c r="I593" s="8" t="s">
        <v>164</v>
      </c>
      <c r="J593" s="78" t="s">
        <v>4508</v>
      </c>
      <c r="K593" s="22">
        <v>0.0</v>
      </c>
      <c r="L593" s="22">
        <f>+SUMIF('حركه المخزن الرئيسي اليوميه'!$F:$F,$H:$H,'حركه المخزن الرئيسي اليوميه'!$H:$H)</f>
        <v>0.0</v>
      </c>
      <c r="M593" s="22">
        <f>+SUMIF('حركه المخزن الرئيسي اليوميه'!$F:$F,$H:$H,'حركه المخزن الرئيسي اليوميه'!$I:$I)</f>
        <v>0.0</v>
      </c>
      <c r="N593" s="22">
        <f>+K593+L593-M593</f>
        <v>0.0</v>
      </c>
      <c r="O593" s="22">
        <f>+N593</f>
        <v>0.0</v>
      </c>
      <c r="P593" s="22">
        <f>+N593-O593</f>
        <v>0.0</v>
      </c>
      <c r="Q593" s="57"/>
      <c r="R593" s="58"/>
    </row>
    <row r="594" spans="8:8" ht="15.0" customHeight="1">
      <c r="B594" s="54">
        <v>652.0</v>
      </c>
      <c r="C594" s="8" t="s">
        <v>8351</v>
      </c>
      <c r="D594" s="8" t="s">
        <v>1022</v>
      </c>
      <c r="E594" s="8" t="s">
        <v>3319</v>
      </c>
      <c r="F594" s="8" t="s">
        <v>68</v>
      </c>
      <c r="G594" s="8" t="s">
        <v>2079</v>
      </c>
      <c r="H594" s="8" t="s">
        <v>3319</v>
      </c>
      <c r="I594" s="8" t="s">
        <v>164</v>
      </c>
      <c r="J594" s="78" t="s">
        <v>4509</v>
      </c>
      <c r="K594" s="22">
        <v>21.0</v>
      </c>
      <c r="L594" s="22">
        <f>+SUMIF('حركه المخزن الرئيسي اليوميه'!$F:$F,$H:$H,'حركه المخزن الرئيسي اليوميه'!$H:$H)</f>
        <v>0.0</v>
      </c>
      <c r="M594" s="22">
        <f>+SUMIF('حركه المخزن الرئيسي اليوميه'!$F:$F,$H:$H,'حركه المخزن الرئيسي اليوميه'!$I:$I)</f>
        <v>0.0</v>
      </c>
      <c r="N594" s="22">
        <f>+K594+L594-M594</f>
        <v>21.0</v>
      </c>
      <c r="O594" s="22">
        <f>+N594</f>
        <v>21.0</v>
      </c>
      <c r="P594" s="22">
        <f>+N594-O594</f>
        <v>0.0</v>
      </c>
      <c r="Q594" s="57"/>
      <c r="R594" s="58"/>
    </row>
    <row r="595" spans="8:8" ht="15.0" customHeight="1">
      <c r="B595" s="54">
        <v>653.0</v>
      </c>
      <c r="C595" s="8" t="s">
        <v>8351</v>
      </c>
      <c r="D595" s="8" t="s">
        <v>816</v>
      </c>
      <c r="E595" s="8" t="s">
        <v>2606</v>
      </c>
      <c r="F595" s="8" t="s">
        <v>68</v>
      </c>
      <c r="G595" s="8" t="s">
        <v>2377</v>
      </c>
      <c r="H595" s="8" t="s">
        <v>567</v>
      </c>
      <c r="I595" s="8" t="s">
        <v>166</v>
      </c>
      <c r="J595" s="78" t="s">
        <v>4510</v>
      </c>
      <c r="K595" s="22">
        <v>0.0</v>
      </c>
      <c r="L595" s="22">
        <f>+SUMIF('حركه المخزن الرئيسي اليوميه'!$F:$F,$H:$H,'حركه المخزن الرئيسي اليوميه'!$H:$H)</f>
        <v>0.0</v>
      </c>
      <c r="M595" s="22">
        <f>+SUMIF('حركه المخزن الرئيسي اليوميه'!$F:$F,$H:$H,'حركه المخزن الرئيسي اليوميه'!$I:$I)</f>
        <v>0.0</v>
      </c>
      <c r="N595" s="22">
        <f>+K595+L595-M595</f>
        <v>0.0</v>
      </c>
      <c r="O595" s="22">
        <f>+N595</f>
        <v>0.0</v>
      </c>
      <c r="P595" s="22">
        <f>+N595-O595</f>
        <v>0.0</v>
      </c>
      <c r="Q595" s="57"/>
      <c r="R595" s="58"/>
    </row>
    <row r="596" spans="8:8" ht="15.0" customHeight="1">
      <c r="B596" s="54">
        <v>655.0</v>
      </c>
      <c r="C596" s="8" t="s">
        <v>8351</v>
      </c>
      <c r="D596" s="8" t="s">
        <v>1013</v>
      </c>
      <c r="E596" s="8" t="s">
        <v>1545</v>
      </c>
      <c r="F596" s="8" t="s">
        <v>1501</v>
      </c>
      <c r="G596" s="8" t="s">
        <v>2083</v>
      </c>
      <c r="H596" s="8" t="s">
        <v>1546</v>
      </c>
      <c r="I596" s="8" t="s">
        <v>168</v>
      </c>
      <c r="J596" s="78" t="s">
        <v>4511</v>
      </c>
      <c r="K596" s="22">
        <v>13.0</v>
      </c>
      <c r="L596" s="22">
        <f>+SUMIF('حركه المخزن الرئيسي اليوميه'!$F:$F,$H:$H,'حركه المخزن الرئيسي اليوميه'!$H:$H)</f>
        <v>0.0</v>
      </c>
      <c r="M596" s="22">
        <f>+SUMIF('حركه المخزن الرئيسي اليوميه'!$F:$F,$H:$H,'حركه المخزن الرئيسي اليوميه'!$I:$I)</f>
        <v>0.0</v>
      </c>
      <c r="N596" s="22">
        <f>+K596+L596-M596</f>
        <v>13.0</v>
      </c>
      <c r="O596" s="22">
        <f>+N596</f>
        <v>13.0</v>
      </c>
      <c r="P596" s="22">
        <f>+N596-O596</f>
        <v>0.0</v>
      </c>
      <c r="Q596" s="57"/>
      <c r="R596" s="58"/>
    </row>
    <row r="597" spans="8:8" ht="15.0" customHeight="1">
      <c r="B597" s="54">
        <v>656.0</v>
      </c>
      <c r="C597" s="8" t="s">
        <v>8351</v>
      </c>
      <c r="D597" s="8" t="s">
        <v>1022</v>
      </c>
      <c r="E597" s="8" t="s">
        <v>167</v>
      </c>
      <c r="F597" s="8" t="s">
        <v>68</v>
      </c>
      <c r="G597" s="8" t="s">
        <v>2083</v>
      </c>
      <c r="H597" s="8" t="s">
        <v>1006</v>
      </c>
      <c r="I597" s="8" t="s">
        <v>168</v>
      </c>
      <c r="J597" s="78" t="s">
        <v>4512</v>
      </c>
      <c r="K597" s="22">
        <v>5.0</v>
      </c>
      <c r="L597" s="22">
        <f>+SUMIF('حركه المخزن الرئيسي اليوميه'!$F:$F,$H:$H,'حركه المخزن الرئيسي اليوميه'!$H:$H)</f>
        <v>0.0</v>
      </c>
      <c r="M597" s="22">
        <f>+SUMIF('حركه المخزن الرئيسي اليوميه'!$F:$F,$H:$H,'حركه المخزن الرئيسي اليوميه'!$I:$I)</f>
        <v>0.0</v>
      </c>
      <c r="N597" s="22">
        <f>+K597+L597-M597</f>
        <v>5.0</v>
      </c>
      <c r="O597" s="22">
        <f>+N597</f>
        <v>5.0</v>
      </c>
      <c r="P597" s="22">
        <f>+N597-O597</f>
        <v>0.0</v>
      </c>
      <c r="Q597" s="57"/>
      <c r="R597" s="59"/>
    </row>
    <row r="598" spans="8:8" ht="15.0" customHeight="1">
      <c r="B598" s="54">
        <v>657.0</v>
      </c>
      <c r="C598" s="8" t="s">
        <v>8351</v>
      </c>
      <c r="D598" s="8" t="s">
        <v>1022</v>
      </c>
      <c r="E598" s="8" t="s">
        <v>167</v>
      </c>
      <c r="F598" s="8" t="s">
        <v>68</v>
      </c>
      <c r="G598" s="8" t="s">
        <v>2083</v>
      </c>
      <c r="H598" s="8" t="s">
        <v>635</v>
      </c>
      <c r="I598" s="8" t="s">
        <v>168</v>
      </c>
      <c r="J598" s="78" t="s">
        <v>4513</v>
      </c>
      <c r="K598" s="22">
        <v>5.0</v>
      </c>
      <c r="L598" s="22">
        <f>+SUMIF('حركه المخزن الرئيسي اليوميه'!$F:$F,$H:$H,'حركه المخزن الرئيسي اليوميه'!$H:$H)</f>
        <v>0.0</v>
      </c>
      <c r="M598" s="22">
        <f>+SUMIF('حركه المخزن الرئيسي اليوميه'!$F:$F,$H:$H,'حركه المخزن الرئيسي اليوميه'!$I:$I)</f>
        <v>0.0</v>
      </c>
      <c r="N598" s="22">
        <f>+K598+L598-M598</f>
        <v>5.0</v>
      </c>
      <c r="O598" s="22">
        <f>+N598</f>
        <v>5.0</v>
      </c>
      <c r="P598" s="22">
        <f>+N598-O598</f>
        <v>0.0</v>
      </c>
      <c r="Q598" s="57"/>
      <c r="R598" s="59"/>
    </row>
    <row r="599" spans="8:8" ht="15.0" customHeight="1">
      <c r="B599" s="54">
        <v>658.0</v>
      </c>
      <c r="C599" s="8" t="s">
        <v>8351</v>
      </c>
      <c r="D599" s="8" t="s">
        <v>1022</v>
      </c>
      <c r="E599" s="8" t="s">
        <v>167</v>
      </c>
      <c r="F599" s="8" t="s">
        <v>68</v>
      </c>
      <c r="G599" s="8" t="s">
        <v>2083</v>
      </c>
      <c r="H599" s="8" t="s">
        <v>1107</v>
      </c>
      <c r="I599" s="8" t="s">
        <v>168</v>
      </c>
      <c r="J599" s="78" t="s">
        <v>4514</v>
      </c>
      <c r="K599" s="22">
        <v>5.0</v>
      </c>
      <c r="L599" s="22">
        <f>+SUMIF('حركه المخزن الرئيسي اليوميه'!$F:$F,$H:$H,'حركه المخزن الرئيسي اليوميه'!$H:$H)</f>
        <v>0.0</v>
      </c>
      <c r="M599" s="22">
        <f>+SUMIF('حركه المخزن الرئيسي اليوميه'!$F:$F,$H:$H,'حركه المخزن الرئيسي اليوميه'!$I:$I)</f>
        <v>0.0</v>
      </c>
      <c r="N599" s="22">
        <f>+K599+L599-M599</f>
        <v>5.0</v>
      </c>
      <c r="O599" s="22">
        <f>+N599</f>
        <v>5.0</v>
      </c>
      <c r="P599" s="22">
        <f>+N599-O599</f>
        <v>0.0</v>
      </c>
      <c r="Q599" s="57"/>
      <c r="R599" s="58"/>
    </row>
    <row r="600" spans="8:8" ht="15.0" customHeight="1">
      <c r="B600" s="54">
        <v>659.0</v>
      </c>
      <c r="C600" s="8" t="s">
        <v>8351</v>
      </c>
      <c r="D600" s="8" t="s">
        <v>1022</v>
      </c>
      <c r="E600" s="8" t="s">
        <v>167</v>
      </c>
      <c r="F600" s="8" t="s">
        <v>68</v>
      </c>
      <c r="G600" s="8" t="s">
        <v>2083</v>
      </c>
      <c r="H600" s="8" t="s">
        <v>1005</v>
      </c>
      <c r="I600" s="8" t="s">
        <v>168</v>
      </c>
      <c r="J600" s="78" t="s">
        <v>4515</v>
      </c>
      <c r="K600" s="22">
        <v>10.0</v>
      </c>
      <c r="L600" s="22">
        <f>+SUMIF('حركه المخزن الرئيسي اليوميه'!$F:$F,$H:$H,'حركه المخزن الرئيسي اليوميه'!$H:$H)</f>
        <v>0.0</v>
      </c>
      <c r="M600" s="22">
        <f>+SUMIF('حركه المخزن الرئيسي اليوميه'!$F:$F,$H:$H,'حركه المخزن الرئيسي اليوميه'!$I:$I)</f>
        <v>4.0</v>
      </c>
      <c r="N600" s="22">
        <f>+K600+L600-M600</f>
        <v>6.0</v>
      </c>
      <c r="O600" s="22">
        <f>+N600</f>
        <v>6.0</v>
      </c>
      <c r="P600" s="22">
        <f>+N600-O600</f>
        <v>0.0</v>
      </c>
      <c r="Q600" s="57"/>
      <c r="R600" s="58"/>
    </row>
    <row r="601" spans="8:8" ht="15.0" customHeight="1">
      <c r="B601" s="54">
        <v>660.0</v>
      </c>
      <c r="C601" s="8" t="s">
        <v>8351</v>
      </c>
      <c r="D601" s="8" t="s">
        <v>1022</v>
      </c>
      <c r="E601" s="8" t="s">
        <v>167</v>
      </c>
      <c r="F601" s="8" t="s">
        <v>68</v>
      </c>
      <c r="G601" s="8" t="s">
        <v>2083</v>
      </c>
      <c r="H601" s="8" t="s">
        <v>614</v>
      </c>
      <c r="I601" s="8" t="s">
        <v>168</v>
      </c>
      <c r="J601" s="78" t="s">
        <v>4516</v>
      </c>
      <c r="K601" s="22">
        <v>14.0</v>
      </c>
      <c r="L601" s="22">
        <f>+SUMIF('حركه المخزن الرئيسي اليوميه'!$F:$F,$H:$H,'حركه المخزن الرئيسي اليوميه'!$H:$H)</f>
        <v>0.0</v>
      </c>
      <c r="M601" s="22">
        <f>+SUMIF('حركه المخزن الرئيسي اليوميه'!$F:$F,$H:$H,'حركه المخزن الرئيسي اليوميه'!$I:$I)</f>
        <v>0.0</v>
      </c>
      <c r="N601" s="22">
        <f>+K601+L601-M601</f>
        <v>14.0</v>
      </c>
      <c r="O601" s="22">
        <f>+N601</f>
        <v>14.0</v>
      </c>
      <c r="P601" s="22">
        <f>+N601-O601</f>
        <v>0.0</v>
      </c>
      <c r="Q601" s="57"/>
      <c r="R601" s="58"/>
    </row>
    <row r="602" spans="8:8" ht="15.0" customHeight="1">
      <c r="B602" s="54">
        <v>661.0</v>
      </c>
      <c r="C602" s="8" t="s">
        <v>8351</v>
      </c>
      <c r="D602" s="8" t="s">
        <v>1022</v>
      </c>
      <c r="E602" s="8" t="s">
        <v>613</v>
      </c>
      <c r="F602" s="8" t="s">
        <v>68</v>
      </c>
      <c r="G602" s="8" t="s">
        <v>2082</v>
      </c>
      <c r="H602" s="8" t="s">
        <v>613</v>
      </c>
      <c r="I602" s="8" t="s">
        <v>168</v>
      </c>
      <c r="J602" s="78" t="s">
        <v>4517</v>
      </c>
      <c r="K602" s="22">
        <v>7.0</v>
      </c>
      <c r="L602" s="22">
        <f>+SUMIF('حركه المخزن الرئيسي اليوميه'!$F:$F,$H:$H,'حركه المخزن الرئيسي اليوميه'!$H:$H)</f>
        <v>0.0</v>
      </c>
      <c r="M602" s="22">
        <f>+SUMIF('حركه المخزن الرئيسي اليوميه'!$F:$F,$H:$H,'حركه المخزن الرئيسي اليوميه'!$I:$I)</f>
        <v>0.0</v>
      </c>
      <c r="N602" s="22">
        <f>+K602+L602-M602</f>
        <v>7.0</v>
      </c>
      <c r="O602" s="22">
        <f>+N602</f>
        <v>7.0</v>
      </c>
      <c r="P602" s="22">
        <f>+N602-O602</f>
        <v>0.0</v>
      </c>
      <c r="Q602" s="57"/>
      <c r="R602" s="58"/>
    </row>
    <row r="603" spans="8:8" ht="15.0" customHeight="1">
      <c r="B603" s="54">
        <v>662.0</v>
      </c>
      <c r="C603" s="8" t="s">
        <v>8351</v>
      </c>
      <c r="D603" s="8" t="s">
        <v>1022</v>
      </c>
      <c r="E603" s="8" t="s">
        <v>167</v>
      </c>
      <c r="F603" s="8" t="s">
        <v>68</v>
      </c>
      <c r="G603" s="8" t="s">
        <v>2083</v>
      </c>
      <c r="H603" s="8" t="s">
        <v>1007</v>
      </c>
      <c r="I603" s="8" t="s">
        <v>168</v>
      </c>
      <c r="J603" s="78" t="s">
        <v>4518</v>
      </c>
      <c r="K603" s="22">
        <v>18.0</v>
      </c>
      <c r="L603" s="22">
        <f>+SUMIF('حركه المخزن الرئيسي اليوميه'!$F:$F,$H:$H,'حركه المخزن الرئيسي اليوميه'!$H:$H)</f>
        <v>0.0</v>
      </c>
      <c r="M603" s="22">
        <f>+SUMIF('حركه المخزن الرئيسي اليوميه'!$F:$F,$H:$H,'حركه المخزن الرئيسي اليوميه'!$I:$I)</f>
        <v>7.0</v>
      </c>
      <c r="N603" s="22">
        <f>+K603+L603-M603</f>
        <v>11.0</v>
      </c>
      <c r="O603" s="22">
        <f>+N603</f>
        <v>11.0</v>
      </c>
      <c r="P603" s="22">
        <f>+N603-O603</f>
        <v>0.0</v>
      </c>
      <c r="Q603" s="57"/>
      <c r="R603" s="59"/>
    </row>
    <row r="604" spans="8:8" ht="15.0" customHeight="1">
      <c r="B604" s="54">
        <v>663.0</v>
      </c>
      <c r="C604" s="8" t="s">
        <v>8351</v>
      </c>
      <c r="D604" s="8" t="s">
        <v>1022</v>
      </c>
      <c r="E604" s="8" t="s">
        <v>169</v>
      </c>
      <c r="F604" s="8" t="s">
        <v>68</v>
      </c>
      <c r="G604" s="8" t="s">
        <v>2084</v>
      </c>
      <c r="H604" s="8" t="s">
        <v>1008</v>
      </c>
      <c r="I604" s="8" t="s">
        <v>170</v>
      </c>
      <c r="J604" s="78" t="s">
        <v>4519</v>
      </c>
      <c r="K604" s="22">
        <v>1.0</v>
      </c>
      <c r="L604" s="22">
        <f>+SUMIF('حركه المخزن الرئيسي اليوميه'!$F:$F,$H:$H,'حركه المخزن الرئيسي اليوميه'!$H:$H)</f>
        <v>0.0</v>
      </c>
      <c r="M604" s="22">
        <f>+SUMIF('حركه المخزن الرئيسي اليوميه'!$F:$F,$H:$H,'حركه المخزن الرئيسي اليوميه'!$I:$I)</f>
        <v>0.0</v>
      </c>
      <c r="N604" s="22">
        <f>+K604+L604-M604</f>
        <v>1.0</v>
      </c>
      <c r="O604" s="22">
        <f>+N604</f>
        <v>1.0</v>
      </c>
      <c r="P604" s="22">
        <f>+N604-O604</f>
        <v>0.0</v>
      </c>
      <c r="Q604" s="57"/>
      <c r="R604" s="59"/>
    </row>
    <row r="605" spans="8:8" ht="15.0" customHeight="1">
      <c r="B605" s="54">
        <v>664.0</v>
      </c>
      <c r="C605" s="8" t="s">
        <v>8351</v>
      </c>
      <c r="D605" s="8" t="s">
        <v>1022</v>
      </c>
      <c r="E605" s="8" t="s">
        <v>169</v>
      </c>
      <c r="F605" s="8" t="s">
        <v>68</v>
      </c>
      <c r="G605" s="8" t="s">
        <v>2084</v>
      </c>
      <c r="H605" s="8" t="s">
        <v>1108</v>
      </c>
      <c r="I605" s="8" t="s">
        <v>170</v>
      </c>
      <c r="J605" s="78" t="s">
        <v>4520</v>
      </c>
      <c r="K605" s="22">
        <v>3.0</v>
      </c>
      <c r="L605" s="22">
        <f>+SUMIF('حركه المخزن الرئيسي اليوميه'!$F:$F,$H:$H,'حركه المخزن الرئيسي اليوميه'!$H:$H)</f>
        <v>0.0</v>
      </c>
      <c r="M605" s="22">
        <f>+SUMIF('حركه المخزن الرئيسي اليوميه'!$F:$F,$H:$H,'حركه المخزن الرئيسي اليوميه'!$I:$I)</f>
        <v>0.0</v>
      </c>
      <c r="N605" s="22">
        <f>+K605+L605-M605</f>
        <v>3.0</v>
      </c>
      <c r="O605" s="22">
        <f>+N605</f>
        <v>3.0</v>
      </c>
      <c r="P605" s="22">
        <f>+N605-O605</f>
        <v>0.0</v>
      </c>
      <c r="Q605" s="57"/>
      <c r="R605" s="59"/>
    </row>
    <row r="606" spans="8:8" ht="15.0" customHeight="1">
      <c r="B606" s="54">
        <v>665.0</v>
      </c>
      <c r="C606" s="8" t="s">
        <v>8351</v>
      </c>
      <c r="D606" s="8" t="s">
        <v>1022</v>
      </c>
      <c r="E606" s="8" t="s">
        <v>169</v>
      </c>
      <c r="F606" s="8" t="s">
        <v>68</v>
      </c>
      <c r="G606" s="8" t="s">
        <v>2084</v>
      </c>
      <c r="H606" s="8" t="s">
        <v>636</v>
      </c>
      <c r="I606" s="8" t="s">
        <v>170</v>
      </c>
      <c r="J606" s="78" t="s">
        <v>4521</v>
      </c>
      <c r="K606" s="22">
        <v>0.0</v>
      </c>
      <c r="L606" s="22">
        <f>+SUMIF('حركه المخزن الرئيسي اليوميه'!$F:$F,$H:$H,'حركه المخزن الرئيسي اليوميه'!$H:$H)</f>
        <v>0.0</v>
      </c>
      <c r="M606" s="22">
        <f>+SUMIF('حركه المخزن الرئيسي اليوميه'!$F:$F,$H:$H,'حركه المخزن الرئيسي اليوميه'!$I:$I)</f>
        <v>0.0</v>
      </c>
      <c r="N606" s="22">
        <f>+K606+L606-M606</f>
        <v>0.0</v>
      </c>
      <c r="O606" s="22">
        <f>+N606</f>
        <v>0.0</v>
      </c>
      <c r="P606" s="22">
        <f>+N606-O606</f>
        <v>0.0</v>
      </c>
      <c r="Q606" s="57"/>
      <c r="R606" s="58"/>
    </row>
    <row r="607" spans="8:8" ht="15.0" customHeight="1">
      <c r="B607" s="54">
        <v>666.0</v>
      </c>
      <c r="C607" s="8" t="s">
        <v>8351</v>
      </c>
      <c r="D607" s="8" t="s">
        <v>1022</v>
      </c>
      <c r="E607" s="8" t="s">
        <v>169</v>
      </c>
      <c r="F607" s="8" t="s">
        <v>68</v>
      </c>
      <c r="G607" s="8" t="s">
        <v>2084</v>
      </c>
      <c r="H607" s="8" t="s">
        <v>1109</v>
      </c>
      <c r="I607" s="8" t="s">
        <v>170</v>
      </c>
      <c r="J607" s="78" t="s">
        <v>4522</v>
      </c>
      <c r="K607" s="22">
        <v>4.0</v>
      </c>
      <c r="L607" s="22">
        <f>+SUMIF('حركه المخزن الرئيسي اليوميه'!$F:$F,$H:$H,'حركه المخزن الرئيسي اليوميه'!$H:$H)</f>
        <v>0.0</v>
      </c>
      <c r="M607" s="22">
        <f>+SUMIF('حركه المخزن الرئيسي اليوميه'!$F:$F,$H:$H,'حركه المخزن الرئيسي اليوميه'!$I:$I)</f>
        <v>0.0</v>
      </c>
      <c r="N607" s="22">
        <f>+K607+L607-M607</f>
        <v>4.0</v>
      </c>
      <c r="O607" s="22">
        <f>+N607</f>
        <v>4.0</v>
      </c>
      <c r="P607" s="22">
        <f>+N607-O607</f>
        <v>0.0</v>
      </c>
      <c r="Q607" s="57"/>
      <c r="R607" s="59"/>
    </row>
    <row r="608" spans="8:8" ht="15.0" customHeight="1">
      <c r="B608" s="54">
        <v>667.0</v>
      </c>
      <c r="C608" s="8" t="s">
        <v>8351</v>
      </c>
      <c r="D608" s="8" t="s">
        <v>1022</v>
      </c>
      <c r="E608" s="8" t="s">
        <v>169</v>
      </c>
      <c r="F608" s="8" t="s">
        <v>68</v>
      </c>
      <c r="G608" s="8" t="s">
        <v>2084</v>
      </c>
      <c r="H608" s="8" t="s">
        <v>616</v>
      </c>
      <c r="I608" s="8" t="s">
        <v>170</v>
      </c>
      <c r="J608" s="78" t="s">
        <v>4523</v>
      </c>
      <c r="K608" s="22">
        <v>10.0</v>
      </c>
      <c r="L608" s="22">
        <f>+SUMIF('حركه المخزن الرئيسي اليوميه'!$F:$F,$H:$H,'حركه المخزن الرئيسي اليوميه'!$H:$H)</f>
        <v>0.0</v>
      </c>
      <c r="M608" s="22">
        <f>+SUMIF('حركه المخزن الرئيسي اليوميه'!$F:$F,$H:$H,'حركه المخزن الرئيسي اليوميه'!$I:$I)</f>
        <v>2.0</v>
      </c>
      <c r="N608" s="22">
        <f>+K608+L608-M608</f>
        <v>8.0</v>
      </c>
      <c r="O608" s="22">
        <f>+N608</f>
        <v>8.0</v>
      </c>
      <c r="P608" s="22">
        <f>+N608-O608</f>
        <v>0.0</v>
      </c>
      <c r="Q608" s="57"/>
      <c r="R608" s="58"/>
    </row>
    <row r="609" spans="8:8" ht="15.0" customHeight="1">
      <c r="B609" s="54">
        <v>668.0</v>
      </c>
      <c r="C609" s="8" t="s">
        <v>8351</v>
      </c>
      <c r="D609" s="8" t="s">
        <v>1022</v>
      </c>
      <c r="E609" s="8" t="s">
        <v>169</v>
      </c>
      <c r="F609" s="8" t="s">
        <v>68</v>
      </c>
      <c r="G609" s="8" t="s">
        <v>2084</v>
      </c>
      <c r="H609" s="8" t="s">
        <v>618</v>
      </c>
      <c r="I609" s="8" t="s">
        <v>170</v>
      </c>
      <c r="J609" s="78" t="s">
        <v>4524</v>
      </c>
      <c r="K609" s="22">
        <v>16.0</v>
      </c>
      <c r="L609" s="22">
        <f>+SUMIF('حركه المخزن الرئيسي اليوميه'!$F:$F,$H:$H,'حركه المخزن الرئيسي اليوميه'!$H:$H)</f>
        <v>0.0</v>
      </c>
      <c r="M609" s="22">
        <f>+SUMIF('حركه المخزن الرئيسي اليوميه'!$F:$F,$H:$H,'حركه المخزن الرئيسي اليوميه'!$I:$I)</f>
        <v>0.0</v>
      </c>
      <c r="N609" s="22">
        <f>+K609+L609-M609</f>
        <v>16.0</v>
      </c>
      <c r="O609" s="22">
        <f>+N609</f>
        <v>16.0</v>
      </c>
      <c r="P609" s="22">
        <f>+N609-O609</f>
        <v>0.0</v>
      </c>
      <c r="Q609" s="57"/>
      <c r="R609" s="58"/>
    </row>
    <row r="610" spans="8:8" ht="15.0" customHeight="1">
      <c r="B610" s="54">
        <v>669.0</v>
      </c>
      <c r="C610" s="8" t="s">
        <v>8351</v>
      </c>
      <c r="D610" s="8" t="s">
        <v>1022</v>
      </c>
      <c r="E610" s="8" t="s">
        <v>169</v>
      </c>
      <c r="F610" s="8" t="s">
        <v>68</v>
      </c>
      <c r="G610" s="8" t="s">
        <v>2084</v>
      </c>
      <c r="H610" s="8" t="s">
        <v>615</v>
      </c>
      <c r="I610" s="8" t="s">
        <v>170</v>
      </c>
      <c r="J610" s="78" t="s">
        <v>4525</v>
      </c>
      <c r="K610" s="22">
        <v>4.0</v>
      </c>
      <c r="L610" s="22">
        <f>+SUMIF('حركه المخزن الرئيسي اليوميه'!$F:$F,$H:$H,'حركه المخزن الرئيسي اليوميه'!$H:$H)</f>
        <v>0.0</v>
      </c>
      <c r="M610" s="22">
        <f>+SUMIF('حركه المخزن الرئيسي اليوميه'!$F:$F,$H:$H,'حركه المخزن الرئيسي اليوميه'!$I:$I)</f>
        <v>0.0</v>
      </c>
      <c r="N610" s="22">
        <f>+K610+L610-M610</f>
        <v>4.0</v>
      </c>
      <c r="O610" s="22">
        <f>+N610</f>
        <v>4.0</v>
      </c>
      <c r="P610" s="22">
        <f>+N610-O610</f>
        <v>0.0</v>
      </c>
      <c r="Q610" s="57"/>
      <c r="R610" s="58"/>
    </row>
    <row r="611" spans="8:8" ht="15.0" customHeight="1">
      <c r="B611" s="54">
        <v>670.0</v>
      </c>
      <c r="C611" s="8" t="s">
        <v>8351</v>
      </c>
      <c r="D611" s="8" t="s">
        <v>1022</v>
      </c>
      <c r="E611" s="8" t="s">
        <v>171</v>
      </c>
      <c r="F611" s="8" t="s">
        <v>68</v>
      </c>
      <c r="G611" s="8" t="s">
        <v>2325</v>
      </c>
      <c r="H611" s="8" t="s">
        <v>617</v>
      </c>
      <c r="I611" s="8" t="s">
        <v>170</v>
      </c>
      <c r="J611" s="78" t="s">
        <v>4526</v>
      </c>
      <c r="K611" s="22">
        <v>0.0</v>
      </c>
      <c r="L611" s="22">
        <f>+SUMIF('حركه المخزن الرئيسي اليوميه'!$F:$F,$H:$H,'حركه المخزن الرئيسي اليوميه'!$H:$H)</f>
        <v>0.0</v>
      </c>
      <c r="M611" s="22">
        <f>+SUMIF('حركه المخزن الرئيسي اليوميه'!$F:$F,$H:$H,'حركه المخزن الرئيسي اليوميه'!$I:$I)</f>
        <v>0.0</v>
      </c>
      <c r="N611" s="22">
        <f>+K611+L611-M611</f>
        <v>0.0</v>
      </c>
      <c r="O611" s="22">
        <f>+N611</f>
        <v>0.0</v>
      </c>
      <c r="P611" s="22">
        <f>+N611-O611</f>
        <v>0.0</v>
      </c>
      <c r="Q611" s="57"/>
      <c r="R611" s="58"/>
    </row>
    <row r="612" spans="8:8" ht="15.0" customHeight="1">
      <c r="B612" s="54">
        <v>671.0</v>
      </c>
      <c r="C612" s="8" t="s">
        <v>8351</v>
      </c>
      <c r="D612" s="8" t="s">
        <v>1022</v>
      </c>
      <c r="E612" s="8" t="s">
        <v>172</v>
      </c>
      <c r="F612" s="8" t="s">
        <v>68</v>
      </c>
      <c r="G612" s="8" t="s">
        <v>2086</v>
      </c>
      <c r="H612" s="8" t="s">
        <v>619</v>
      </c>
      <c r="I612" s="8" t="s">
        <v>170</v>
      </c>
      <c r="J612" s="78" t="s">
        <v>4527</v>
      </c>
      <c r="K612" s="22">
        <v>7.0</v>
      </c>
      <c r="L612" s="22">
        <f>+SUMIF('حركه المخزن الرئيسي اليوميه'!$F:$F,$H:$H,'حركه المخزن الرئيسي اليوميه'!$H:$H)</f>
        <v>0.0</v>
      </c>
      <c r="M612" s="22">
        <f>+SUMIF('حركه المخزن الرئيسي اليوميه'!$F:$F,$H:$H,'حركه المخزن الرئيسي اليوميه'!$I:$I)</f>
        <v>0.0</v>
      </c>
      <c r="N612" s="22">
        <f>+K612+L612-M612</f>
        <v>7.0</v>
      </c>
      <c r="O612" s="22">
        <f>+N612</f>
        <v>7.0</v>
      </c>
      <c r="P612" s="22">
        <f>+N612-O612</f>
        <v>0.0</v>
      </c>
      <c r="Q612" s="57"/>
      <c r="R612" s="58"/>
    </row>
    <row r="613" spans="8:8" ht="15.0" customHeight="1">
      <c r="B613" s="54">
        <v>672.0</v>
      </c>
      <c r="C613" s="8" t="s">
        <v>8351</v>
      </c>
      <c r="D613" s="8" t="s">
        <v>1022</v>
      </c>
      <c r="E613" s="8" t="s">
        <v>2983</v>
      </c>
      <c r="F613" s="8" t="s">
        <v>68</v>
      </c>
      <c r="G613" s="8" t="s">
        <v>2085</v>
      </c>
      <c r="H613" s="8" t="s">
        <v>2982</v>
      </c>
      <c r="I613" s="8" t="s">
        <v>170</v>
      </c>
      <c r="J613" s="78" t="s">
        <v>4528</v>
      </c>
      <c r="K613" s="22">
        <v>7.0</v>
      </c>
      <c r="L613" s="22">
        <f>+SUMIF('حركه المخزن الرئيسي اليوميه'!$F:$F,$H:$H,'حركه المخزن الرئيسي اليوميه'!$H:$H)</f>
        <v>0.0</v>
      </c>
      <c r="M613" s="22">
        <f>+SUMIF('حركه المخزن الرئيسي اليوميه'!$F:$F,$H:$H,'حركه المخزن الرئيسي اليوميه'!$I:$I)</f>
        <v>0.0</v>
      </c>
      <c r="N613" s="22">
        <f>+K613+L613-M613</f>
        <v>7.0</v>
      </c>
      <c r="O613" s="22">
        <f>+N613</f>
        <v>7.0</v>
      </c>
      <c r="P613" s="22">
        <f>+N613-O613</f>
        <v>0.0</v>
      </c>
      <c r="Q613" s="57"/>
      <c r="R613" s="59"/>
    </row>
    <row r="614" spans="8:8" ht="15.0" customHeight="1">
      <c r="B614" s="54">
        <v>673.0</v>
      </c>
      <c r="C614" s="8" t="s">
        <v>8351</v>
      </c>
      <c r="D614" s="8" t="s">
        <v>820</v>
      </c>
      <c r="E614" s="8" t="s">
        <v>1221</v>
      </c>
      <c r="F614" s="8" t="s">
        <v>68</v>
      </c>
      <c r="G614" s="8"/>
      <c r="H614" s="8" t="s">
        <v>1221</v>
      </c>
      <c r="I614" s="8" t="s">
        <v>174</v>
      </c>
      <c r="J614" s="78" t="s">
        <v>4529</v>
      </c>
      <c r="K614" s="22">
        <v>0.0</v>
      </c>
      <c r="L614" s="22">
        <f>+SUMIF('حركه المخزن الرئيسي اليوميه'!$F:$F,$H:$H,'حركه المخزن الرئيسي اليوميه'!$H:$H)</f>
        <v>0.0</v>
      </c>
      <c r="M614" s="22">
        <f>+SUMIF('حركه المخزن الرئيسي اليوميه'!$F:$F,$H:$H,'حركه المخزن الرئيسي اليوميه'!$I:$I)</f>
        <v>0.0</v>
      </c>
      <c r="N614" s="22">
        <f>+K614+L614-M614</f>
        <v>0.0</v>
      </c>
      <c r="O614" s="22">
        <f>+N614</f>
        <v>0.0</v>
      </c>
      <c r="P614" s="22">
        <f>+N614-O614</f>
        <v>0.0</v>
      </c>
      <c r="Q614" s="57"/>
      <c r="R614" s="58"/>
    </row>
    <row r="615" spans="8:8" ht="15.0" customHeight="1">
      <c r="B615" s="54">
        <v>674.0</v>
      </c>
      <c r="C615" s="8" t="s">
        <v>8351</v>
      </c>
      <c r="D615" s="8" t="s">
        <v>820</v>
      </c>
      <c r="E615" s="8" t="s">
        <v>1275</v>
      </c>
      <c r="F615" s="8" t="s">
        <v>68</v>
      </c>
      <c r="G615" s="8" t="s">
        <v>2446</v>
      </c>
      <c r="H615" s="8" t="s">
        <v>1275</v>
      </c>
      <c r="I615" s="8" t="s">
        <v>174</v>
      </c>
      <c r="J615" s="78" t="s">
        <v>4530</v>
      </c>
      <c r="K615" s="22">
        <v>9.0</v>
      </c>
      <c r="L615" s="22">
        <f>+SUMIF('حركه المخزن الرئيسي اليوميه'!$F:$F,$H:$H,'حركه المخزن الرئيسي اليوميه'!$H:$H)</f>
        <v>0.0</v>
      </c>
      <c r="M615" s="22">
        <f>+SUMIF('حركه المخزن الرئيسي اليوميه'!$F:$F,$H:$H,'حركه المخزن الرئيسي اليوميه'!$I:$I)</f>
        <v>0.0</v>
      </c>
      <c r="N615" s="22">
        <f>+K615+L615-M615</f>
        <v>9.0</v>
      </c>
      <c r="O615" s="22">
        <f>+N615</f>
        <v>9.0</v>
      </c>
      <c r="P615" s="22">
        <f>+N615-O615</f>
        <v>0.0</v>
      </c>
      <c r="Q615" s="57"/>
      <c r="R615" s="58"/>
    </row>
    <row r="616" spans="8:8" ht="15.0" customHeight="1">
      <c r="B616" s="54">
        <v>675.0</v>
      </c>
      <c r="C616" s="8" t="s">
        <v>8351</v>
      </c>
      <c r="D616" s="8" t="s">
        <v>820</v>
      </c>
      <c r="E616" s="8" t="s">
        <v>1274</v>
      </c>
      <c r="F616" s="8" t="s">
        <v>68</v>
      </c>
      <c r="G616" s="8" t="s">
        <v>2445</v>
      </c>
      <c r="H616" s="8" t="s">
        <v>1274</v>
      </c>
      <c r="I616" s="8" t="s">
        <v>174</v>
      </c>
      <c r="J616" s="78" t="s">
        <v>4531</v>
      </c>
      <c r="K616" s="22">
        <v>7.0</v>
      </c>
      <c r="L616" s="22">
        <f>+SUMIF('حركه المخزن الرئيسي اليوميه'!$F:$F,$H:$H,'حركه المخزن الرئيسي اليوميه'!$H:$H)</f>
        <v>0.0</v>
      </c>
      <c r="M616" s="22">
        <f>+SUMIF('حركه المخزن الرئيسي اليوميه'!$F:$F,$H:$H,'حركه المخزن الرئيسي اليوميه'!$I:$I)</f>
        <v>0.0</v>
      </c>
      <c r="N616" s="22">
        <f>+K616+L616-M616</f>
        <v>7.0</v>
      </c>
      <c r="O616" s="22">
        <f>+N616</f>
        <v>7.0</v>
      </c>
      <c r="P616" s="22">
        <f>+N616-O616</f>
        <v>0.0</v>
      </c>
      <c r="Q616" s="57"/>
      <c r="R616" s="59"/>
    </row>
    <row r="617" spans="8:8" ht="15.0" customHeight="1">
      <c r="B617" s="54">
        <v>676.0</v>
      </c>
      <c r="C617" s="8" t="s">
        <v>8351</v>
      </c>
      <c r="D617" s="8" t="s">
        <v>820</v>
      </c>
      <c r="E617" s="8" t="s">
        <v>2981</v>
      </c>
      <c r="F617" s="8" t="s">
        <v>68</v>
      </c>
      <c r="G617" s="8"/>
      <c r="H617" s="8" t="s">
        <v>1402</v>
      </c>
      <c r="I617" s="8" t="s">
        <v>174</v>
      </c>
      <c r="J617" s="78" t="s">
        <v>4532</v>
      </c>
      <c r="K617" s="22">
        <v>4.0</v>
      </c>
      <c r="L617" s="22">
        <f>+SUMIF('حركه المخزن الرئيسي اليوميه'!$F:$F,$H:$H,'حركه المخزن الرئيسي اليوميه'!$H:$H)</f>
        <v>0.0</v>
      </c>
      <c r="M617" s="22">
        <f>+SUMIF('حركه المخزن الرئيسي اليوميه'!$F:$F,$H:$H,'حركه المخزن الرئيسي اليوميه'!$I:$I)</f>
        <v>0.0</v>
      </c>
      <c r="N617" s="22">
        <f>+K617+L617-M617</f>
        <v>4.0</v>
      </c>
      <c r="O617" s="22">
        <f>+N617</f>
        <v>4.0</v>
      </c>
      <c r="P617" s="22">
        <f>+N617-O617</f>
        <v>0.0</v>
      </c>
      <c r="Q617" s="57"/>
      <c r="R617" s="59"/>
    </row>
    <row r="618" spans="8:8" ht="15.0" customHeight="1">
      <c r="B618" s="54">
        <v>677.0</v>
      </c>
      <c r="C618" s="8" t="s">
        <v>8351</v>
      </c>
      <c r="D618" s="8" t="s">
        <v>1405</v>
      </c>
      <c r="E618" s="8" t="s">
        <v>1435</v>
      </c>
      <c r="F618" s="8" t="s">
        <v>68</v>
      </c>
      <c r="G618" s="8" t="s">
        <v>2155</v>
      </c>
      <c r="H618" s="8" t="s">
        <v>1435</v>
      </c>
      <c r="I618" s="8" t="s">
        <v>174</v>
      </c>
      <c r="J618" s="78" t="s">
        <v>4533</v>
      </c>
      <c r="K618" s="22">
        <v>0.0</v>
      </c>
      <c r="L618" s="22">
        <f>+SUMIF('حركه المخزن الرئيسي اليوميه'!$F:$F,$H:$H,'حركه المخزن الرئيسي اليوميه'!$H:$H)</f>
        <v>0.0</v>
      </c>
      <c r="M618" s="22">
        <f>+SUMIF('حركه المخزن الرئيسي اليوميه'!$F:$F,$H:$H,'حركه المخزن الرئيسي اليوميه'!$I:$I)</f>
        <v>0.0</v>
      </c>
      <c r="N618" s="22">
        <f>+K618+L618-M618</f>
        <v>0.0</v>
      </c>
      <c r="O618" s="22">
        <f>+N618</f>
        <v>0.0</v>
      </c>
      <c r="P618" s="22">
        <f>+N618-O618</f>
        <v>0.0</v>
      </c>
      <c r="Q618" s="57"/>
      <c r="R618" s="58"/>
    </row>
    <row r="619" spans="8:8" ht="15.0" customHeight="1">
      <c r="B619" s="54">
        <v>678.0</v>
      </c>
      <c r="C619" s="8" t="s">
        <v>8351</v>
      </c>
      <c r="D619" s="8" t="s">
        <v>1022</v>
      </c>
      <c r="E619" s="8" t="s">
        <v>173</v>
      </c>
      <c r="F619" s="8" t="s">
        <v>68</v>
      </c>
      <c r="G619" s="8" t="s">
        <v>1856</v>
      </c>
      <c r="H619" s="8" t="s">
        <v>637</v>
      </c>
      <c r="I619" s="8" t="s">
        <v>174</v>
      </c>
      <c r="J619" s="78" t="s">
        <v>4534</v>
      </c>
      <c r="K619" s="22">
        <v>11.0</v>
      </c>
      <c r="L619" s="22">
        <f>+SUMIF('حركه المخزن الرئيسي اليوميه'!$F:$F,$H:$H,'حركه المخزن الرئيسي اليوميه'!$H:$H)</f>
        <v>0.0</v>
      </c>
      <c r="M619" s="22">
        <f>+SUMIF('حركه المخزن الرئيسي اليوميه'!$F:$F,$H:$H,'حركه المخزن الرئيسي اليوميه'!$I:$I)</f>
        <v>3.0</v>
      </c>
      <c r="N619" s="22">
        <f>+K619+L619-M619</f>
        <v>8.0</v>
      </c>
      <c r="O619" s="22">
        <f>+N619</f>
        <v>8.0</v>
      </c>
      <c r="P619" s="22">
        <f>+N619-O619</f>
        <v>0.0</v>
      </c>
      <c r="Q619" s="57"/>
      <c r="R619" s="59"/>
    </row>
    <row r="620" spans="8:8" ht="15.0" customHeight="1">
      <c r="B620" s="54">
        <v>679.0</v>
      </c>
      <c r="C620" s="8" t="s">
        <v>8351</v>
      </c>
      <c r="D620" s="8"/>
      <c r="E620" s="8" t="s">
        <v>8175</v>
      </c>
      <c r="F620" s="8" t="s">
        <v>68</v>
      </c>
      <c r="G620" s="8"/>
      <c r="H620" s="8" t="s">
        <v>8175</v>
      </c>
      <c r="I620" s="8" t="s">
        <v>170</v>
      </c>
      <c r="J620" s="78" t="s">
        <v>4535</v>
      </c>
      <c r="K620" s="22">
        <v>4.0</v>
      </c>
      <c r="L620" s="22">
        <f>+SUMIF('حركه المخزن الرئيسي اليوميه'!$F:$F,$H:$H,'حركه المخزن الرئيسي اليوميه'!$H:$H)</f>
        <v>0.0</v>
      </c>
      <c r="M620" s="22">
        <f>+SUMIF('حركه المخزن الرئيسي اليوميه'!$F:$F,$H:$H,'حركه المخزن الرئيسي اليوميه'!$I:$I)</f>
        <v>0.0</v>
      </c>
      <c r="N620" s="22">
        <f>+K620+L620-M620</f>
        <v>4.0</v>
      </c>
      <c r="O620" s="22">
        <f>+N620</f>
        <v>4.0</v>
      </c>
      <c r="P620" s="22">
        <f>+N620-O620</f>
        <v>0.0</v>
      </c>
      <c r="Q620" s="57"/>
      <c r="R620" s="59"/>
    </row>
    <row r="621" spans="8:8" ht="15.0" customHeight="1">
      <c r="B621" s="54">
        <v>681.0</v>
      </c>
      <c r="C621" s="8" t="s">
        <v>8351</v>
      </c>
      <c r="D621" s="8" t="s">
        <v>1022</v>
      </c>
      <c r="E621" s="8" t="s">
        <v>110</v>
      </c>
      <c r="F621" s="8" t="s">
        <v>68</v>
      </c>
      <c r="G621" s="8" t="s">
        <v>1855</v>
      </c>
      <c r="H621" s="8" t="s">
        <v>110</v>
      </c>
      <c r="I621" s="8" t="s">
        <v>174</v>
      </c>
      <c r="J621" s="78" t="s">
        <v>4536</v>
      </c>
      <c r="K621" s="22">
        <v>0.0</v>
      </c>
      <c r="L621" s="22">
        <f>+SUMIF('حركه المخزن الرئيسي اليوميه'!$F:$F,$H:$H,'حركه المخزن الرئيسي اليوميه'!$H:$H)</f>
        <v>0.0</v>
      </c>
      <c r="M621" s="22">
        <f>+SUMIF('حركه المخزن الرئيسي اليوميه'!$F:$F,$H:$H,'حركه المخزن الرئيسي اليوميه'!$I:$I)</f>
        <v>0.0</v>
      </c>
      <c r="N621" s="22">
        <f>+K621+L621-M621</f>
        <v>0.0</v>
      </c>
      <c r="O621" s="22">
        <f>+N621</f>
        <v>0.0</v>
      </c>
      <c r="P621" s="22">
        <f>+N621-O621</f>
        <v>0.0</v>
      </c>
      <c r="Q621" s="57"/>
      <c r="R621" s="59"/>
    </row>
    <row r="622" spans="8:8" ht="15.0" customHeight="1">
      <c r="B622" s="54">
        <v>682.0</v>
      </c>
      <c r="C622" s="8" t="s">
        <v>8351</v>
      </c>
      <c r="D622" s="8" t="s">
        <v>1022</v>
      </c>
      <c r="E622" s="8" t="s">
        <v>3593</v>
      </c>
      <c r="F622" s="8" t="s">
        <v>68</v>
      </c>
      <c r="G622" s="8" t="s">
        <v>2088</v>
      </c>
      <c r="H622" s="8" t="s">
        <v>3593</v>
      </c>
      <c r="I622" s="8" t="s">
        <v>174</v>
      </c>
      <c r="J622" s="78" t="s">
        <v>4537</v>
      </c>
      <c r="K622" s="22">
        <v>10.0</v>
      </c>
      <c r="L622" s="22">
        <f>+SUMIF('حركه المخزن الرئيسي اليوميه'!$F:$F,$H:$H,'حركه المخزن الرئيسي اليوميه'!$H:$H)</f>
        <v>0.0</v>
      </c>
      <c r="M622" s="22">
        <f>+SUMIF('حركه المخزن الرئيسي اليوميه'!$F:$F,$H:$H,'حركه المخزن الرئيسي اليوميه'!$I:$I)</f>
        <v>0.0</v>
      </c>
      <c r="N622" s="22">
        <f>+K622+L622-M622</f>
        <v>10.0</v>
      </c>
      <c r="O622" s="22">
        <f>+N622</f>
        <v>10.0</v>
      </c>
      <c r="P622" s="22">
        <f>+N622-O622</f>
        <v>0.0</v>
      </c>
      <c r="Q622" s="57"/>
      <c r="R622" s="58"/>
    </row>
    <row r="623" spans="8:8" ht="15.0" customHeight="1">
      <c r="B623" s="54">
        <v>683.0</v>
      </c>
      <c r="C623" s="8" t="s">
        <v>8351</v>
      </c>
      <c r="D623" s="8" t="s">
        <v>828</v>
      </c>
      <c r="E623" s="55" t="s">
        <v>1219</v>
      </c>
      <c r="F623" s="8" t="s">
        <v>68</v>
      </c>
      <c r="G623" s="8"/>
      <c r="H623" s="55" t="s">
        <v>1219</v>
      </c>
      <c r="I623" s="55" t="s">
        <v>818</v>
      </c>
      <c r="J623" s="78" t="s">
        <v>4538</v>
      </c>
      <c r="K623" s="22">
        <v>2.0</v>
      </c>
      <c r="L623" s="22">
        <f>+SUMIF('حركه المخزن الرئيسي اليوميه'!$F:$F,$H:$H,'حركه المخزن الرئيسي اليوميه'!$H:$H)</f>
        <v>0.0</v>
      </c>
      <c r="M623" s="22">
        <f>+SUMIF('حركه المخزن الرئيسي اليوميه'!$F:$F,$H:$H,'حركه المخزن الرئيسي اليوميه'!$I:$I)</f>
        <v>0.0</v>
      </c>
      <c r="N623" s="22">
        <f>+K623+L623-M623</f>
        <v>2.0</v>
      </c>
      <c r="O623" s="22">
        <f>+N623</f>
        <v>2.0</v>
      </c>
      <c r="P623" s="22">
        <f>+N623-O623</f>
        <v>0.0</v>
      </c>
      <c r="Q623" s="57"/>
      <c r="R623" s="58"/>
    </row>
    <row r="624" spans="8:8" ht="15.0" customHeight="1">
      <c r="B624" s="54">
        <v>684.0</v>
      </c>
      <c r="C624" s="8" t="s">
        <v>8351</v>
      </c>
      <c r="D624" s="8" t="s">
        <v>1013</v>
      </c>
      <c r="E624" s="8" t="s">
        <v>1899</v>
      </c>
      <c r="F624" s="8" t="s">
        <v>1501</v>
      </c>
      <c r="G624" s="8"/>
      <c r="H624" s="8" t="s">
        <v>1899</v>
      </c>
      <c r="I624" s="8" t="s">
        <v>177</v>
      </c>
      <c r="J624" s="78" t="s">
        <v>4539</v>
      </c>
      <c r="K624" s="22">
        <v>0.0</v>
      </c>
      <c r="L624" s="22">
        <f>+SUMIF('حركه المخزن الرئيسي اليوميه'!$F:$F,$H:$H,'حركه المخزن الرئيسي اليوميه'!$H:$H)</f>
        <v>0.0</v>
      </c>
      <c r="M624" s="22">
        <f>+SUMIF('حركه المخزن الرئيسي اليوميه'!$F:$F,$H:$H,'حركه المخزن الرئيسي اليوميه'!$I:$I)</f>
        <v>0.0</v>
      </c>
      <c r="N624" s="22">
        <f>+K624+L624-M624</f>
        <v>0.0</v>
      </c>
      <c r="O624" s="22">
        <f>+N624</f>
        <v>0.0</v>
      </c>
      <c r="P624" s="22">
        <f>+N624-O624</f>
        <v>0.0</v>
      </c>
      <c r="Q624" s="57"/>
      <c r="R624" s="58"/>
    </row>
    <row r="625" spans="8:8" ht="15.0" customHeight="1">
      <c r="B625" s="54">
        <v>685.0</v>
      </c>
      <c r="C625" s="8" t="s">
        <v>8351</v>
      </c>
      <c r="D625" s="8" t="s">
        <v>1022</v>
      </c>
      <c r="E625" s="8" t="s">
        <v>159</v>
      </c>
      <c r="F625" s="8" t="s">
        <v>1501</v>
      </c>
      <c r="G625" s="8"/>
      <c r="H625" s="8" t="s">
        <v>2972</v>
      </c>
      <c r="I625" s="8" t="s">
        <v>177</v>
      </c>
      <c r="J625" s="78" t="s">
        <v>4540</v>
      </c>
      <c r="K625" s="22">
        <v>0.0</v>
      </c>
      <c r="L625" s="22">
        <f>+SUMIF('حركه المخزن الرئيسي اليوميه'!$F:$F,$H:$H,'حركه المخزن الرئيسي اليوميه'!$H:$H)</f>
        <v>0.0</v>
      </c>
      <c r="M625" s="22">
        <f>+SUMIF('حركه المخزن الرئيسي اليوميه'!$F:$F,$H:$H,'حركه المخزن الرئيسي اليوميه'!$I:$I)</f>
        <v>0.0</v>
      </c>
      <c r="N625" s="22">
        <f>+K625+L625-M625</f>
        <v>0.0</v>
      </c>
      <c r="O625" s="22">
        <f>+N625</f>
        <v>0.0</v>
      </c>
      <c r="P625" s="22">
        <f>+N625-O625</f>
        <v>0.0</v>
      </c>
      <c r="Q625" s="57"/>
      <c r="R625" s="58"/>
    </row>
    <row r="626" spans="8:8" ht="15.0" customHeight="1">
      <c r="B626" s="54">
        <v>686.0</v>
      </c>
      <c r="C626" s="8" t="s">
        <v>8351</v>
      </c>
      <c r="D626" s="8" t="s">
        <v>1022</v>
      </c>
      <c r="E626" s="8" t="s">
        <v>179</v>
      </c>
      <c r="F626" s="8" t="s">
        <v>68</v>
      </c>
      <c r="G626" s="8" t="s">
        <v>2091</v>
      </c>
      <c r="H626" s="8" t="s">
        <v>638</v>
      </c>
      <c r="I626" s="8" t="s">
        <v>177</v>
      </c>
      <c r="J626" s="78" t="s">
        <v>4541</v>
      </c>
      <c r="K626" s="22">
        <v>1.0</v>
      </c>
      <c r="L626" s="22">
        <f>+SUMIF('حركه المخزن الرئيسي اليوميه'!$F:$F,$H:$H,'حركه المخزن الرئيسي اليوميه'!$H:$H)</f>
        <v>0.0</v>
      </c>
      <c r="M626" s="22">
        <f>+SUMIF('حركه المخزن الرئيسي اليوميه'!$F:$F,$H:$H,'حركه المخزن الرئيسي اليوميه'!$I:$I)</f>
        <v>0.0</v>
      </c>
      <c r="N626" s="22">
        <f>+K626+L626-M626</f>
        <v>1.0</v>
      </c>
      <c r="O626" s="22">
        <f>+N626</f>
        <v>1.0</v>
      </c>
      <c r="P626" s="22">
        <f>+N626-O626</f>
        <v>0.0</v>
      </c>
      <c r="Q626" s="57"/>
      <c r="R626" s="58"/>
    </row>
    <row r="627" spans="8:8" ht="15.0" customHeight="1">
      <c r="B627" s="54">
        <v>687.0</v>
      </c>
      <c r="C627" s="8" t="s">
        <v>8351</v>
      </c>
      <c r="D627" s="8" t="s">
        <v>1022</v>
      </c>
      <c r="E627" s="8" t="s">
        <v>169</v>
      </c>
      <c r="F627" s="8" t="s">
        <v>68</v>
      </c>
      <c r="G627" s="8" t="s">
        <v>2084</v>
      </c>
      <c r="H627" s="8" t="s">
        <v>646</v>
      </c>
      <c r="I627" s="8" t="s">
        <v>177</v>
      </c>
      <c r="J627" s="78" t="s">
        <v>4542</v>
      </c>
      <c r="K627" s="22">
        <v>0.0</v>
      </c>
      <c r="L627" s="22">
        <f>+SUMIF('حركه المخزن الرئيسي اليوميه'!$F:$F,$H:$H,'حركه المخزن الرئيسي اليوميه'!$H:$H)</f>
        <v>0.0</v>
      </c>
      <c r="M627" s="22">
        <f>+SUMIF('حركه المخزن الرئيسي اليوميه'!$F:$F,$H:$H,'حركه المخزن الرئيسي اليوميه'!$I:$I)</f>
        <v>0.0</v>
      </c>
      <c r="N627" s="22">
        <f>+K627+L627-M627</f>
        <v>0.0</v>
      </c>
      <c r="O627" s="22">
        <f>+N627</f>
        <v>0.0</v>
      </c>
      <c r="P627" s="22">
        <f>+N627-O627</f>
        <v>0.0</v>
      </c>
      <c r="Q627" s="57"/>
      <c r="R627" s="59"/>
    </row>
    <row r="628" spans="8:8" ht="15.0" customHeight="1">
      <c r="B628" s="54">
        <v>688.0</v>
      </c>
      <c r="C628" s="8" t="s">
        <v>8351</v>
      </c>
      <c r="D628" s="8" t="s">
        <v>1022</v>
      </c>
      <c r="E628" s="8" t="s">
        <v>178</v>
      </c>
      <c r="F628" s="8" t="s">
        <v>68</v>
      </c>
      <c r="G628" s="8" t="s">
        <v>2090</v>
      </c>
      <c r="H628" s="8" t="s">
        <v>645</v>
      </c>
      <c r="I628" s="8" t="s">
        <v>177</v>
      </c>
      <c r="J628" s="78" t="s">
        <v>4543</v>
      </c>
      <c r="K628" s="22">
        <v>10.0</v>
      </c>
      <c r="L628" s="22">
        <f>+SUMIF('حركه المخزن الرئيسي اليوميه'!$F:$F,$H:$H,'حركه المخزن الرئيسي اليوميه'!$H:$H)</f>
        <v>0.0</v>
      </c>
      <c r="M628" s="22">
        <f>+SUMIF('حركه المخزن الرئيسي اليوميه'!$F:$F,$H:$H,'حركه المخزن الرئيسي اليوميه'!$I:$I)</f>
        <v>0.0</v>
      </c>
      <c r="N628" s="22">
        <f>+K628+L628-M628</f>
        <v>10.0</v>
      </c>
      <c r="O628" s="22">
        <f>+N628</f>
        <v>10.0</v>
      </c>
      <c r="P628" s="22">
        <f>+N628-O628</f>
        <v>0.0</v>
      </c>
      <c r="Q628" s="57"/>
      <c r="R628" s="58"/>
    </row>
    <row r="629" spans="8:8" ht="15.0" customHeight="1">
      <c r="B629" s="54">
        <v>689.0</v>
      </c>
      <c r="C629" s="8" t="s">
        <v>8351</v>
      </c>
      <c r="D629" s="8" t="s">
        <v>1022</v>
      </c>
      <c r="E629" s="8" t="s">
        <v>176</v>
      </c>
      <c r="F629" s="8" t="s">
        <v>68</v>
      </c>
      <c r="G629" s="8" t="s">
        <v>2089</v>
      </c>
      <c r="H629" s="8" t="s">
        <v>2768</v>
      </c>
      <c r="I629" s="8" t="s">
        <v>177</v>
      </c>
      <c r="J629" s="78" t="s">
        <v>4544</v>
      </c>
      <c r="K629" s="22">
        <v>14.0</v>
      </c>
      <c r="L629" s="22">
        <f>+SUMIF('حركه المخزن الرئيسي اليوميه'!$F:$F,$H:$H,'حركه المخزن الرئيسي اليوميه'!$H:$H)</f>
        <v>0.0</v>
      </c>
      <c r="M629" s="22">
        <f>+SUMIF('حركه المخزن الرئيسي اليوميه'!$F:$F,$H:$H,'حركه المخزن الرئيسي اليوميه'!$I:$I)</f>
        <v>6.0</v>
      </c>
      <c r="N629" s="22">
        <f>+K629+L629-M629</f>
        <v>8.0</v>
      </c>
      <c r="O629" s="22">
        <f>+N629</f>
        <v>8.0</v>
      </c>
      <c r="P629" s="22">
        <f>+N629-O629</f>
        <v>0.0</v>
      </c>
      <c r="Q629" s="57"/>
      <c r="R629" s="59"/>
    </row>
    <row r="630" spans="8:8" ht="15.0" customHeight="1">
      <c r="B630" s="54">
        <v>690.0</v>
      </c>
      <c r="C630" s="8" t="s">
        <v>8351</v>
      </c>
      <c r="D630" s="8" t="s">
        <v>1022</v>
      </c>
      <c r="E630" s="8" t="s">
        <v>2964</v>
      </c>
      <c r="F630" s="8" t="s">
        <v>2861</v>
      </c>
      <c r="G630" s="8"/>
      <c r="H630" s="8" t="s">
        <v>2964</v>
      </c>
      <c r="I630" s="8" t="s">
        <v>174</v>
      </c>
      <c r="J630" s="78" t="s">
        <v>4545</v>
      </c>
      <c r="K630" s="22">
        <v>1.0</v>
      </c>
      <c r="L630" s="22">
        <f>+SUMIF('حركه المخزن الرئيسي اليوميه'!$F:$F,$H:$H,'حركه المخزن الرئيسي اليوميه'!$H:$H)</f>
        <v>0.0</v>
      </c>
      <c r="M630" s="22">
        <f>+SUMIF('حركه المخزن الرئيسي اليوميه'!$F:$F,$H:$H,'حركه المخزن الرئيسي اليوميه'!$I:$I)</f>
        <v>0.0</v>
      </c>
      <c r="N630" s="22">
        <f>+K630+L630-M630</f>
        <v>1.0</v>
      </c>
      <c r="O630" s="22">
        <f>+N630</f>
        <v>1.0</v>
      </c>
      <c r="P630" s="22">
        <f>+N630-O630</f>
        <v>0.0</v>
      </c>
      <c r="Q630" s="57"/>
      <c r="R630" s="58"/>
    </row>
    <row r="631" spans="8:8" ht="15.0" customHeight="1">
      <c r="B631" s="54">
        <v>691.0</v>
      </c>
      <c r="C631" s="8" t="s">
        <v>8351</v>
      </c>
      <c r="D631" s="8" t="s">
        <v>1022</v>
      </c>
      <c r="E631" s="8" t="s">
        <v>3021</v>
      </c>
      <c r="F631" s="8" t="s">
        <v>2861</v>
      </c>
      <c r="G631" s="8"/>
      <c r="H631" s="8" t="s">
        <v>3020</v>
      </c>
      <c r="I631" s="8" t="s">
        <v>177</v>
      </c>
      <c r="J631" s="78" t="s">
        <v>4546</v>
      </c>
      <c r="K631" s="22">
        <v>0.0</v>
      </c>
      <c r="L631" s="22">
        <f>+SUMIF('حركه المخزن الرئيسي اليوميه'!$F:$F,$H:$H,'حركه المخزن الرئيسي اليوميه'!$H:$H)</f>
        <v>0.0</v>
      </c>
      <c r="M631" s="22">
        <f>+SUMIF('حركه المخزن الرئيسي اليوميه'!$F:$F,$H:$H,'حركه المخزن الرئيسي اليوميه'!$I:$I)</f>
        <v>0.0</v>
      </c>
      <c r="N631" s="22">
        <f>+K631+L631-M631</f>
        <v>0.0</v>
      </c>
      <c r="O631" s="22">
        <f>+N631</f>
        <v>0.0</v>
      </c>
      <c r="P631" s="22">
        <f>+N631-O631</f>
        <v>0.0</v>
      </c>
      <c r="Q631" s="57"/>
      <c r="R631" s="58"/>
    </row>
    <row r="632" spans="8:8" ht="15.0" customHeight="1">
      <c r="B632" s="54">
        <v>692.0</v>
      </c>
      <c r="C632" s="8" t="s">
        <v>8351</v>
      </c>
      <c r="D632" s="8" t="s">
        <v>1022</v>
      </c>
      <c r="E632" s="8" t="s">
        <v>176</v>
      </c>
      <c r="F632" s="8" t="s">
        <v>68</v>
      </c>
      <c r="G632" s="8"/>
      <c r="H632" s="8" t="s">
        <v>2969</v>
      </c>
      <c r="I632" s="8" t="s">
        <v>177</v>
      </c>
      <c r="J632" s="78" t="s">
        <v>4547</v>
      </c>
      <c r="K632" s="22">
        <v>4.0</v>
      </c>
      <c r="L632" s="22">
        <f>+SUMIF('حركه المخزن الرئيسي اليوميه'!$F:$F,$H:$H,'حركه المخزن الرئيسي اليوميه'!$H:$H)</f>
        <v>0.0</v>
      </c>
      <c r="M632" s="22">
        <f>+SUMIF('حركه المخزن الرئيسي اليوميه'!$F:$F,$H:$H,'حركه المخزن الرئيسي اليوميه'!$I:$I)</f>
        <v>0.0</v>
      </c>
      <c r="N632" s="22">
        <f>+K632+L632-M632</f>
        <v>4.0</v>
      </c>
      <c r="O632" s="22">
        <f>+N632</f>
        <v>4.0</v>
      </c>
      <c r="P632" s="22">
        <f>+N632-O632</f>
        <v>0.0</v>
      </c>
      <c r="Q632" s="57"/>
      <c r="R632" s="58"/>
    </row>
    <row r="633" spans="8:8" ht="15.0" customHeight="1">
      <c r="B633" s="54">
        <v>693.0</v>
      </c>
      <c r="C633" s="8" t="s">
        <v>8351</v>
      </c>
      <c r="D633" s="8" t="s">
        <v>1022</v>
      </c>
      <c r="E633" s="8" t="s">
        <v>2965</v>
      </c>
      <c r="F633" s="8" t="s">
        <v>68</v>
      </c>
      <c r="G633" s="8" t="s">
        <v>2093</v>
      </c>
      <c r="H633" s="8" t="s">
        <v>2965</v>
      </c>
      <c r="I633" s="8" t="s">
        <v>181</v>
      </c>
      <c r="J633" s="78" t="s">
        <v>4548</v>
      </c>
      <c r="K633" s="22">
        <v>0.0</v>
      </c>
      <c r="L633" s="22">
        <f>+SUMIF('حركه المخزن الرئيسي اليوميه'!$F:$F,$H:$H,'حركه المخزن الرئيسي اليوميه'!$H:$H)</f>
        <v>0.0</v>
      </c>
      <c r="M633" s="22">
        <f>+SUMIF('حركه المخزن الرئيسي اليوميه'!$F:$F,$H:$H,'حركه المخزن الرئيسي اليوميه'!$I:$I)</f>
        <v>0.0</v>
      </c>
      <c r="N633" s="22">
        <f>+K633+L633-M633</f>
        <v>0.0</v>
      </c>
      <c r="O633" s="22">
        <f>+N633</f>
        <v>0.0</v>
      </c>
      <c r="P633" s="22">
        <f>+N633-O633</f>
        <v>0.0</v>
      </c>
      <c r="Q633" s="57"/>
      <c r="R633" s="59"/>
    </row>
    <row r="634" spans="8:8" ht="15.0" customHeight="1">
      <c r="B634" s="54">
        <v>694.0</v>
      </c>
      <c r="C634" s="8" t="s">
        <v>8351</v>
      </c>
      <c r="D634" s="8" t="s">
        <v>1022</v>
      </c>
      <c r="E634" s="8" t="s">
        <v>180</v>
      </c>
      <c r="F634" s="8" t="s">
        <v>68</v>
      </c>
      <c r="G634" s="8" t="s">
        <v>2092</v>
      </c>
      <c r="H634" s="8" t="s">
        <v>180</v>
      </c>
      <c r="I634" s="8" t="s">
        <v>177</v>
      </c>
      <c r="J634" s="78" t="s">
        <v>4549</v>
      </c>
      <c r="K634" s="22">
        <v>3.0</v>
      </c>
      <c r="L634" s="22">
        <f>+SUMIF('حركه المخزن الرئيسي اليوميه'!$F:$F,$H:$H,'حركه المخزن الرئيسي اليوميه'!$H:$H)</f>
        <v>0.0</v>
      </c>
      <c r="M634" s="22">
        <f>+SUMIF('حركه المخزن الرئيسي اليوميه'!$F:$F,$H:$H,'حركه المخزن الرئيسي اليوميه'!$I:$I)</f>
        <v>0.0</v>
      </c>
      <c r="N634" s="22">
        <f>+K634+L634-M634</f>
        <v>3.0</v>
      </c>
      <c r="O634" s="22">
        <f>+N634</f>
        <v>3.0</v>
      </c>
      <c r="P634" s="22">
        <f>+N634-O634</f>
        <v>0.0</v>
      </c>
      <c r="Q634" s="57"/>
      <c r="R634" s="58"/>
    </row>
    <row r="635" spans="8:8" ht="15.0" customHeight="1">
      <c r="B635" s="54">
        <v>695.0</v>
      </c>
      <c r="C635" s="8" t="s">
        <v>8351</v>
      </c>
      <c r="D635" s="8" t="s">
        <v>1022</v>
      </c>
      <c r="E635" s="8" t="s">
        <v>2966</v>
      </c>
      <c r="F635" s="8" t="s">
        <v>68</v>
      </c>
      <c r="G635" s="8"/>
      <c r="H635" s="8" t="s">
        <v>2966</v>
      </c>
      <c r="I635" s="8" t="s">
        <v>174</v>
      </c>
      <c r="J635" s="78" t="s">
        <v>4550</v>
      </c>
      <c r="K635" s="22">
        <v>5.0</v>
      </c>
      <c r="L635" s="22">
        <f>+SUMIF('حركه المخزن الرئيسي اليوميه'!$F:$F,$H:$H,'حركه المخزن الرئيسي اليوميه'!$H:$H)</f>
        <v>0.0</v>
      </c>
      <c r="M635" s="22">
        <f>+SUMIF('حركه المخزن الرئيسي اليوميه'!$F:$F,$H:$H,'حركه المخزن الرئيسي اليوميه'!$I:$I)</f>
        <v>0.0</v>
      </c>
      <c r="N635" s="22">
        <f>+K635+L635-M635</f>
        <v>5.0</v>
      </c>
      <c r="O635" s="22">
        <f>+N635</f>
        <v>5.0</v>
      </c>
      <c r="P635" s="22">
        <f>+N635-O635</f>
        <v>0.0</v>
      </c>
      <c r="Q635" s="57"/>
      <c r="R635" s="59"/>
    </row>
    <row r="636" spans="8:8" ht="15.0" customHeight="1">
      <c r="B636" s="54">
        <v>696.0</v>
      </c>
      <c r="C636" s="8" t="s">
        <v>8351</v>
      </c>
      <c r="D636" s="8" t="s">
        <v>1013</v>
      </c>
      <c r="E636" s="8" t="s">
        <v>23</v>
      </c>
      <c r="F636" s="8" t="s">
        <v>68</v>
      </c>
      <c r="G636" s="8" t="s">
        <v>2047</v>
      </c>
      <c r="H636" s="8" t="s">
        <v>3300</v>
      </c>
      <c r="I636" s="8" t="s">
        <v>3916</v>
      </c>
      <c r="J636" s="78" t="s">
        <v>4551</v>
      </c>
      <c r="K636" s="22">
        <v>3.0</v>
      </c>
      <c r="L636" s="22">
        <f>+SUMIF('حركه المخزن الرئيسي اليوميه'!$F:$F,$H:$H,'حركه المخزن الرئيسي اليوميه'!$H:$H)</f>
        <v>0.0</v>
      </c>
      <c r="M636" s="22">
        <f>+SUMIF('حركه المخزن الرئيسي اليوميه'!$F:$F,$H:$H,'حركه المخزن الرئيسي اليوميه'!$I:$I)</f>
        <v>0.0</v>
      </c>
      <c r="N636" s="22">
        <f>+K636+L636-M636</f>
        <v>3.0</v>
      </c>
      <c r="O636" s="22">
        <f>+N636</f>
        <v>3.0</v>
      </c>
      <c r="P636" s="22">
        <f>+N636-O636</f>
        <v>0.0</v>
      </c>
      <c r="Q636" s="57"/>
      <c r="R636" s="59"/>
    </row>
    <row r="637" spans="8:8" ht="15.0" customHeight="1">
      <c r="B637" s="54">
        <v>697.0</v>
      </c>
      <c r="C637" s="8" t="s">
        <v>8351</v>
      </c>
      <c r="D637" s="8" t="s">
        <v>1013</v>
      </c>
      <c r="E637" s="8" t="s">
        <v>23</v>
      </c>
      <c r="F637" s="8" t="s">
        <v>68</v>
      </c>
      <c r="G637" s="8" t="s">
        <v>2047</v>
      </c>
      <c r="H637" s="8" t="s">
        <v>3301</v>
      </c>
      <c r="I637" s="8" t="s">
        <v>3916</v>
      </c>
      <c r="J637" s="78" t="s">
        <v>4552</v>
      </c>
      <c r="K637" s="22">
        <v>6.0</v>
      </c>
      <c r="L637" s="22">
        <f>+SUMIF('حركه المخزن الرئيسي اليوميه'!$F:$F,$H:$H,'حركه المخزن الرئيسي اليوميه'!$H:$H)</f>
        <v>0.0</v>
      </c>
      <c r="M637" s="22">
        <f>+SUMIF('حركه المخزن الرئيسي اليوميه'!$F:$F,$H:$H,'حركه المخزن الرئيسي اليوميه'!$I:$I)</f>
        <v>0.0</v>
      </c>
      <c r="N637" s="22">
        <f>+K637+L637-M637</f>
        <v>6.0</v>
      </c>
      <c r="O637" s="22">
        <f>+N637</f>
        <v>6.0</v>
      </c>
      <c r="P637" s="22">
        <f>+N637-O637</f>
        <v>0.0</v>
      </c>
      <c r="Q637" s="57"/>
      <c r="R637" s="59"/>
    </row>
    <row r="638" spans="8:8" ht="15.0" customHeight="1">
      <c r="B638" s="54">
        <v>698.0</v>
      </c>
      <c r="C638" s="8" t="s">
        <v>8351</v>
      </c>
      <c r="D638" s="8" t="s">
        <v>820</v>
      </c>
      <c r="E638" s="8" t="s">
        <v>1135</v>
      </c>
      <c r="F638" s="8" t="s">
        <v>68</v>
      </c>
      <c r="G638" s="8"/>
      <c r="H638" s="8" t="s">
        <v>1135</v>
      </c>
      <c r="I638" s="8" t="s">
        <v>3917</v>
      </c>
      <c r="J638" s="78" t="s">
        <v>4553</v>
      </c>
      <c r="K638" s="22">
        <v>1000.0</v>
      </c>
      <c r="L638" s="22">
        <f>+SUMIF('حركه المخزن الرئيسي اليوميه'!$F:$F,$H:$H,'حركه المخزن الرئيسي اليوميه'!$H:$H)</f>
        <v>0.0</v>
      </c>
      <c r="M638" s="22">
        <f>+SUMIF('حركه المخزن الرئيسي اليوميه'!$F:$F,$H:$H,'حركه المخزن الرئيسي اليوميه'!$I:$I)</f>
        <v>0.0</v>
      </c>
      <c r="N638" s="22">
        <f>+K638+L638-M638</f>
        <v>1000.0</v>
      </c>
      <c r="O638" s="22">
        <f>+N638</f>
        <v>1000.0</v>
      </c>
      <c r="P638" s="22">
        <f>+N638-O638</f>
        <v>0.0</v>
      </c>
      <c r="Q638" s="57"/>
      <c r="R638" s="59"/>
    </row>
    <row r="639" spans="8:8" ht="15.0" customHeight="1">
      <c r="B639" s="54">
        <v>699.0</v>
      </c>
      <c r="C639" s="8" t="s">
        <v>8351</v>
      </c>
      <c r="D639" s="8" t="s">
        <v>1013</v>
      </c>
      <c r="E639" s="8" t="s">
        <v>347</v>
      </c>
      <c r="F639" s="8" t="s">
        <v>68</v>
      </c>
      <c r="G639" s="8" t="s">
        <v>2337</v>
      </c>
      <c r="H639" s="8" t="s">
        <v>347</v>
      </c>
      <c r="I639" s="8" t="s">
        <v>2974</v>
      </c>
      <c r="J639" s="78" t="s">
        <v>4554</v>
      </c>
      <c r="K639" s="22">
        <v>347.0</v>
      </c>
      <c r="L639" s="22">
        <f>+SUMIF('حركه المخزن الرئيسي اليوميه'!$F:$F,$H:$H,'حركه المخزن الرئيسي اليوميه'!$H:$H)</f>
        <v>0.0</v>
      </c>
      <c r="M639" s="22">
        <f>+SUMIF('حركه المخزن الرئيسي اليوميه'!$F:$F,$H:$H,'حركه المخزن الرئيسي اليوميه'!$I:$I)</f>
        <v>2.0</v>
      </c>
      <c r="N639" s="22">
        <f>+K639+L639-M639</f>
        <v>345.0</v>
      </c>
      <c r="O639" s="22">
        <f>+N639</f>
        <v>345.0</v>
      </c>
      <c r="P639" s="22">
        <f>+N639-O639</f>
        <v>0.0</v>
      </c>
      <c r="Q639" s="57"/>
      <c r="R639" s="58"/>
    </row>
    <row r="640" spans="8:8" ht="15.0" customHeight="1">
      <c r="B640" s="54">
        <v>700.0</v>
      </c>
      <c r="C640" s="8" t="s">
        <v>8351</v>
      </c>
      <c r="D640" s="8" t="s">
        <v>1022</v>
      </c>
      <c r="E640" s="8" t="s">
        <v>1415</v>
      </c>
      <c r="F640" s="8" t="s">
        <v>68</v>
      </c>
      <c r="G640" s="8" t="s">
        <v>2095</v>
      </c>
      <c r="H640" s="8" t="s">
        <v>3365</v>
      </c>
      <c r="I640" s="8" t="s">
        <v>183</v>
      </c>
      <c r="J640" s="78" t="s">
        <v>4555</v>
      </c>
      <c r="K640" s="22">
        <v>11.0</v>
      </c>
      <c r="L640" s="22">
        <f>+SUMIF('حركه المخزن الرئيسي اليوميه'!$F:$F,$H:$H,'حركه المخزن الرئيسي اليوميه'!$H:$H)</f>
        <v>0.0</v>
      </c>
      <c r="M640" s="22">
        <f>+SUMIF('حركه المخزن الرئيسي اليوميه'!$F:$F,$H:$H,'حركه المخزن الرئيسي اليوميه'!$I:$I)</f>
        <v>0.0</v>
      </c>
      <c r="N640" s="22">
        <f>+K640+L640-M640</f>
        <v>11.0</v>
      </c>
      <c r="O640" s="22">
        <f>+N640</f>
        <v>11.0</v>
      </c>
      <c r="P640" s="22">
        <f>+N640-O640</f>
        <v>0.0</v>
      </c>
      <c r="Q640" s="57"/>
      <c r="R640" s="58"/>
    </row>
    <row r="641" spans="8:8" ht="15.0" customHeight="1">
      <c r="B641" s="54">
        <v>701.0</v>
      </c>
      <c r="C641" s="8" t="s">
        <v>8351</v>
      </c>
      <c r="D641" s="8" t="s">
        <v>1022</v>
      </c>
      <c r="E641" s="8" t="s">
        <v>186</v>
      </c>
      <c r="F641" s="8" t="s">
        <v>68</v>
      </c>
      <c r="G641" s="8" t="s">
        <v>1806</v>
      </c>
      <c r="H641" s="8" t="s">
        <v>187</v>
      </c>
      <c r="I641" s="8" t="s">
        <v>183</v>
      </c>
      <c r="J641" s="78" t="s">
        <v>4556</v>
      </c>
      <c r="K641" s="22">
        <v>9.0</v>
      </c>
      <c r="L641" s="22">
        <f>+SUMIF('حركه المخزن الرئيسي اليوميه'!$F:$F,$H:$H,'حركه المخزن الرئيسي اليوميه'!$H:$H)</f>
        <v>0.0</v>
      </c>
      <c r="M641" s="22">
        <f>+SUMIF('حركه المخزن الرئيسي اليوميه'!$F:$F,$H:$H,'حركه المخزن الرئيسي اليوميه'!$I:$I)</f>
        <v>0.0</v>
      </c>
      <c r="N641" s="22">
        <f>+K641+L641-M641</f>
        <v>9.0</v>
      </c>
      <c r="O641" s="22">
        <f>+N641</f>
        <v>9.0</v>
      </c>
      <c r="P641" s="22">
        <f>+N641-O641</f>
        <v>0.0</v>
      </c>
      <c r="Q641" s="57"/>
      <c r="R641" s="58"/>
    </row>
    <row r="642" spans="8:8" ht="15.0" customHeight="1">
      <c r="B642" s="54">
        <v>703.0</v>
      </c>
      <c r="C642" s="8" t="s">
        <v>8351</v>
      </c>
      <c r="D642" s="8" t="s">
        <v>820</v>
      </c>
      <c r="E642" s="8" t="s">
        <v>2004</v>
      </c>
      <c r="F642" s="8" t="s">
        <v>68</v>
      </c>
      <c r="G642" s="8" t="s">
        <v>2005</v>
      </c>
      <c r="H642" s="8" t="s">
        <v>2004</v>
      </c>
      <c r="I642" s="8" t="s">
        <v>190</v>
      </c>
      <c r="J642" s="78" t="s">
        <v>4557</v>
      </c>
      <c r="K642" s="22">
        <v>12.0</v>
      </c>
      <c r="L642" s="22">
        <f>+SUMIF('حركه المخزن الرئيسي اليوميه'!$F:$F,$H:$H,'حركه المخزن الرئيسي اليوميه'!$H:$H)</f>
        <v>0.0</v>
      </c>
      <c r="M642" s="22">
        <f>+SUMIF('حركه المخزن الرئيسي اليوميه'!$F:$F,$H:$H,'حركه المخزن الرئيسي اليوميه'!$I:$I)</f>
        <v>0.0</v>
      </c>
      <c r="N642" s="22">
        <f>+K642+L642-M642</f>
        <v>12.0</v>
      </c>
      <c r="O642" s="22">
        <f>+N642</f>
        <v>12.0</v>
      </c>
      <c r="P642" s="22">
        <f>+N642-O642</f>
        <v>0.0</v>
      </c>
      <c r="Q642" s="57"/>
      <c r="R642" s="58"/>
    </row>
    <row r="643" spans="8:8" ht="15.0" customHeight="1">
      <c r="B643" s="54">
        <v>704.0</v>
      </c>
      <c r="C643" s="8" t="s">
        <v>8351</v>
      </c>
      <c r="D643" s="8" t="s">
        <v>1013</v>
      </c>
      <c r="E643" s="8" t="s">
        <v>3159</v>
      </c>
      <c r="F643" s="8" t="s">
        <v>68</v>
      </c>
      <c r="G643" s="8" t="s">
        <v>1858</v>
      </c>
      <c r="H643" s="8" t="s">
        <v>3160</v>
      </c>
      <c r="I643" s="8" t="s">
        <v>58</v>
      </c>
      <c r="J643" s="78" t="s">
        <v>4558</v>
      </c>
      <c r="K643" s="22">
        <v>0.0</v>
      </c>
      <c r="L643" s="22">
        <f>+SUMIF('حركه المخزن الرئيسي اليوميه'!$F:$F,$H:$H,'حركه المخزن الرئيسي اليوميه'!$H:$H)</f>
        <v>0.0</v>
      </c>
      <c r="M643" s="22">
        <f>+SUMIF('حركه المخزن الرئيسي اليوميه'!$F:$F,$H:$H,'حركه المخزن الرئيسي اليوميه'!$I:$I)</f>
        <v>0.0</v>
      </c>
      <c r="N643" s="22">
        <f>+K643+L643-M643</f>
        <v>0.0</v>
      </c>
      <c r="O643" s="22">
        <f>+N643</f>
        <v>0.0</v>
      </c>
      <c r="P643" s="22">
        <f>+N643-O643</f>
        <v>0.0</v>
      </c>
      <c r="Q643" s="57"/>
      <c r="R643" s="58"/>
    </row>
    <row r="644" spans="8:8" ht="15.0" customHeight="1">
      <c r="B644" s="54">
        <v>705.0</v>
      </c>
      <c r="C644" s="8" t="s">
        <v>8351</v>
      </c>
      <c r="D644" s="8" t="s">
        <v>1013</v>
      </c>
      <c r="E644" s="8" t="s">
        <v>193</v>
      </c>
      <c r="F644" s="8" t="s">
        <v>68</v>
      </c>
      <c r="G644" s="8" t="s">
        <v>1858</v>
      </c>
      <c r="H644" s="8" t="s">
        <v>276</v>
      </c>
      <c r="I644" s="8" t="s">
        <v>190</v>
      </c>
      <c r="J644" s="78" t="s">
        <v>4559</v>
      </c>
      <c r="K644" s="22">
        <v>7.0</v>
      </c>
      <c r="L644" s="22">
        <f>+SUMIF('حركه المخزن الرئيسي اليوميه'!$F:$F,$H:$H,'حركه المخزن الرئيسي اليوميه'!$H:$H)</f>
        <v>0.0</v>
      </c>
      <c r="M644" s="22">
        <f>+SUMIF('حركه المخزن الرئيسي اليوميه'!$F:$F,$H:$H,'حركه المخزن الرئيسي اليوميه'!$I:$I)</f>
        <v>0.0</v>
      </c>
      <c r="N644" s="22">
        <f>+K644+L644-M644</f>
        <v>7.0</v>
      </c>
      <c r="O644" s="22">
        <f>+N644</f>
        <v>7.0</v>
      </c>
      <c r="P644" s="22">
        <f>+N644-O644</f>
        <v>0.0</v>
      </c>
      <c r="Q644" s="57"/>
      <c r="R644" s="58"/>
    </row>
    <row r="645" spans="8:8" ht="15.0" customHeight="1">
      <c r="B645" s="54">
        <v>706.0</v>
      </c>
      <c r="C645" s="8" t="s">
        <v>8351</v>
      </c>
      <c r="D645" s="8" t="s">
        <v>1013</v>
      </c>
      <c r="E645" s="8" t="s">
        <v>193</v>
      </c>
      <c r="F645" s="8" t="s">
        <v>68</v>
      </c>
      <c r="G645" s="8" t="s">
        <v>1858</v>
      </c>
      <c r="H645" s="8" t="s">
        <v>279</v>
      </c>
      <c r="I645" s="8" t="s">
        <v>190</v>
      </c>
      <c r="J645" s="78" t="s">
        <v>4560</v>
      </c>
      <c r="K645" s="22">
        <v>0.0</v>
      </c>
      <c r="L645" s="22">
        <f>+SUMIF('حركه المخزن الرئيسي اليوميه'!$F:$F,$H:$H,'حركه المخزن الرئيسي اليوميه'!$H:$H)</f>
        <v>0.0</v>
      </c>
      <c r="M645" s="22">
        <f>+SUMIF('حركه المخزن الرئيسي اليوميه'!$F:$F,$H:$H,'حركه المخزن الرئيسي اليوميه'!$I:$I)</f>
        <v>0.0</v>
      </c>
      <c r="N645" s="22">
        <f>+K645+L645-M645</f>
        <v>0.0</v>
      </c>
      <c r="O645" s="22">
        <f>+N645</f>
        <v>0.0</v>
      </c>
      <c r="P645" s="22">
        <f>+N645-O645</f>
        <v>0.0</v>
      </c>
      <c r="Q645" s="57"/>
      <c r="R645" s="58"/>
    </row>
    <row r="646" spans="8:8" ht="15.0" customHeight="1">
      <c r="B646" s="54">
        <v>707.0</v>
      </c>
      <c r="C646" s="8" t="s">
        <v>8351</v>
      </c>
      <c r="D646" s="8" t="s">
        <v>1013</v>
      </c>
      <c r="E646" s="8" t="s">
        <v>193</v>
      </c>
      <c r="F646" s="8" t="s">
        <v>68</v>
      </c>
      <c r="G646" s="8" t="s">
        <v>1858</v>
      </c>
      <c r="H646" s="8" t="s">
        <v>278</v>
      </c>
      <c r="I646" s="8" t="s">
        <v>190</v>
      </c>
      <c r="J646" s="78" t="s">
        <v>4561</v>
      </c>
      <c r="K646" s="22">
        <v>1.0</v>
      </c>
      <c r="L646" s="22">
        <f>+SUMIF('حركه المخزن الرئيسي اليوميه'!$F:$F,$H:$H,'حركه المخزن الرئيسي اليوميه'!$H:$H)</f>
        <v>0.0</v>
      </c>
      <c r="M646" s="22">
        <f>+SUMIF('حركه المخزن الرئيسي اليوميه'!$F:$F,$H:$H,'حركه المخزن الرئيسي اليوميه'!$I:$I)</f>
        <v>0.0</v>
      </c>
      <c r="N646" s="22">
        <f>+K646+L646-M646</f>
        <v>1.0</v>
      </c>
      <c r="O646" s="22">
        <f>+N646</f>
        <v>1.0</v>
      </c>
      <c r="P646" s="22">
        <f>+N646-O646</f>
        <v>0.0</v>
      </c>
      <c r="Q646" s="57"/>
      <c r="R646" s="58"/>
    </row>
    <row r="647" spans="8:8" ht="15.0" customHeight="1">
      <c r="B647" s="54">
        <v>708.0</v>
      </c>
      <c r="C647" s="8" t="s">
        <v>8351</v>
      </c>
      <c r="D647" s="8" t="s">
        <v>1013</v>
      </c>
      <c r="E647" s="8" t="s">
        <v>193</v>
      </c>
      <c r="F647" s="8" t="s">
        <v>68</v>
      </c>
      <c r="G647" s="8" t="s">
        <v>1857</v>
      </c>
      <c r="H647" s="8" t="s">
        <v>195</v>
      </c>
      <c r="I647" s="8" t="s">
        <v>190</v>
      </c>
      <c r="J647" s="78" t="s">
        <v>4562</v>
      </c>
      <c r="K647" s="22">
        <v>0.0</v>
      </c>
      <c r="L647" s="22">
        <f>+SUMIF('حركه المخزن الرئيسي اليوميه'!$F:$F,$H:$H,'حركه المخزن الرئيسي اليوميه'!$H:$H)</f>
        <v>0.0</v>
      </c>
      <c r="M647" s="22">
        <f>+SUMIF('حركه المخزن الرئيسي اليوميه'!$F:$F,$H:$H,'حركه المخزن الرئيسي اليوميه'!$I:$I)</f>
        <v>0.0</v>
      </c>
      <c r="N647" s="22">
        <f>+K647+L647-M647</f>
        <v>0.0</v>
      </c>
      <c r="O647" s="22">
        <f>+N647</f>
        <v>0.0</v>
      </c>
      <c r="P647" s="22">
        <f>+N647-O647</f>
        <v>0.0</v>
      </c>
      <c r="Q647" s="57"/>
      <c r="R647" s="58"/>
    </row>
    <row r="648" spans="8:8" ht="15.0" customHeight="1">
      <c r="B648" s="54">
        <v>709.0</v>
      </c>
      <c r="C648" s="8" t="s">
        <v>8351</v>
      </c>
      <c r="D648" s="8" t="s">
        <v>1013</v>
      </c>
      <c r="E648" s="8" t="s">
        <v>193</v>
      </c>
      <c r="F648" s="8" t="s">
        <v>68</v>
      </c>
      <c r="G648" s="8" t="s">
        <v>1858</v>
      </c>
      <c r="H648" s="8" t="s">
        <v>2921</v>
      </c>
      <c r="I648" s="8" t="s">
        <v>190</v>
      </c>
      <c r="J648" s="78" t="s">
        <v>4563</v>
      </c>
      <c r="K648" s="22">
        <v>4.0</v>
      </c>
      <c r="L648" s="22">
        <f>+SUMIF('حركه المخزن الرئيسي اليوميه'!$F:$F,$H:$H,'حركه المخزن الرئيسي اليوميه'!$H:$H)</f>
        <v>0.0</v>
      </c>
      <c r="M648" s="22">
        <f>+SUMIF('حركه المخزن الرئيسي اليوميه'!$F:$F,$H:$H,'حركه المخزن الرئيسي اليوميه'!$I:$I)</f>
        <v>0.0</v>
      </c>
      <c r="N648" s="22">
        <f>+K648+L648-M648</f>
        <v>4.0</v>
      </c>
      <c r="O648" s="22">
        <f>+N648</f>
        <v>4.0</v>
      </c>
      <c r="P648" s="22">
        <f>+N648-O648</f>
        <v>0.0</v>
      </c>
      <c r="Q648" s="57"/>
      <c r="R648" s="58"/>
    </row>
    <row r="649" spans="8:8" ht="15.0" customHeight="1">
      <c r="B649" s="54">
        <v>710.0</v>
      </c>
      <c r="C649" s="8" t="s">
        <v>8351</v>
      </c>
      <c r="D649" s="8" t="s">
        <v>1013</v>
      </c>
      <c r="E649" s="8" t="s">
        <v>193</v>
      </c>
      <c r="F649" s="8" t="s">
        <v>68</v>
      </c>
      <c r="G649" s="8" t="s">
        <v>1857</v>
      </c>
      <c r="H649" s="8" t="s">
        <v>194</v>
      </c>
      <c r="I649" s="8" t="s">
        <v>190</v>
      </c>
      <c r="J649" s="78" t="s">
        <v>4564</v>
      </c>
      <c r="K649" s="22">
        <v>0.0</v>
      </c>
      <c r="L649" s="22">
        <f>+SUMIF('حركه المخزن الرئيسي اليوميه'!$F:$F,$H:$H,'حركه المخزن الرئيسي اليوميه'!$H:$H)</f>
        <v>0.0</v>
      </c>
      <c r="M649" s="22">
        <f>+SUMIF('حركه المخزن الرئيسي اليوميه'!$F:$F,$H:$H,'حركه المخزن الرئيسي اليوميه'!$I:$I)</f>
        <v>0.0</v>
      </c>
      <c r="N649" s="22">
        <f>+K649+L649-M649</f>
        <v>0.0</v>
      </c>
      <c r="O649" s="22">
        <f>+N649</f>
        <v>0.0</v>
      </c>
      <c r="P649" s="22">
        <f>+N649-O649</f>
        <v>0.0</v>
      </c>
      <c r="Q649" s="57"/>
      <c r="R649" s="58"/>
    </row>
    <row r="650" spans="8:8" ht="15.0" customHeight="1">
      <c r="B650" s="54">
        <v>711.0</v>
      </c>
      <c r="C650" s="8" t="s">
        <v>8351</v>
      </c>
      <c r="D650" s="8" t="s">
        <v>1013</v>
      </c>
      <c r="E650" s="8" t="s">
        <v>193</v>
      </c>
      <c r="F650" s="8" t="s">
        <v>68</v>
      </c>
      <c r="G650" s="8" t="s">
        <v>1857</v>
      </c>
      <c r="H650" s="8" t="s">
        <v>1445</v>
      </c>
      <c r="I650" s="8" t="s">
        <v>190</v>
      </c>
      <c r="J650" s="78" t="s">
        <v>4565</v>
      </c>
      <c r="K650" s="22">
        <v>0.0</v>
      </c>
      <c r="L650" s="22">
        <f>+SUMIF('حركه المخزن الرئيسي اليوميه'!$F:$F,$H:$H,'حركه المخزن الرئيسي اليوميه'!$H:$H)</f>
        <v>0.0</v>
      </c>
      <c r="M650" s="22">
        <f>+SUMIF('حركه المخزن الرئيسي اليوميه'!$F:$F,$H:$H,'حركه المخزن الرئيسي اليوميه'!$I:$I)</f>
        <v>0.0</v>
      </c>
      <c r="N650" s="22">
        <f>+K650+L650-M650</f>
        <v>0.0</v>
      </c>
      <c r="O650" s="22">
        <f>+N650</f>
        <v>0.0</v>
      </c>
      <c r="P650" s="22">
        <f>+N650-O650</f>
        <v>0.0</v>
      </c>
      <c r="Q650" s="57"/>
      <c r="R650" s="58"/>
    </row>
    <row r="651" spans="8:8" ht="15.0" customHeight="1">
      <c r="B651" s="54">
        <v>712.0</v>
      </c>
      <c r="C651" s="8" t="s">
        <v>8351</v>
      </c>
      <c r="D651" s="8" t="s">
        <v>1022</v>
      </c>
      <c r="E651" s="8" t="s">
        <v>191</v>
      </c>
      <c r="F651" s="8" t="s">
        <v>68</v>
      </c>
      <c r="G651" s="8" t="s">
        <v>192</v>
      </c>
      <c r="H651" s="8" t="s">
        <v>192</v>
      </c>
      <c r="I651" s="8" t="s">
        <v>190</v>
      </c>
      <c r="J651" s="78" t="s">
        <v>4566</v>
      </c>
      <c r="K651" s="22">
        <v>0.0</v>
      </c>
      <c r="L651" s="22">
        <f>+SUMIF('حركه المخزن الرئيسي اليوميه'!$F:$F,$H:$H,'حركه المخزن الرئيسي اليوميه'!$H:$H)</f>
        <v>0.0</v>
      </c>
      <c r="M651" s="22">
        <f>+SUMIF('حركه المخزن الرئيسي اليوميه'!$F:$F,$H:$H,'حركه المخزن الرئيسي اليوميه'!$I:$I)</f>
        <v>0.0</v>
      </c>
      <c r="N651" s="22">
        <f>+K651+L651-M651</f>
        <v>0.0</v>
      </c>
      <c r="O651" s="22">
        <f>+N651</f>
        <v>0.0</v>
      </c>
      <c r="P651" s="22">
        <f>+N651-O651</f>
        <v>0.0</v>
      </c>
      <c r="Q651" s="57"/>
      <c r="R651" s="58"/>
    </row>
    <row r="652" spans="8:8" ht="15.0" customHeight="1">
      <c r="B652" s="54">
        <v>713.0</v>
      </c>
      <c r="C652" s="8" t="s">
        <v>8351</v>
      </c>
      <c r="D652" s="8" t="s">
        <v>1013</v>
      </c>
      <c r="E652" s="8" t="s">
        <v>193</v>
      </c>
      <c r="F652" s="8" t="s">
        <v>68</v>
      </c>
      <c r="G652" s="8" t="s">
        <v>1858</v>
      </c>
      <c r="H652" s="8" t="s">
        <v>280</v>
      </c>
      <c r="I652" s="8" t="s">
        <v>190</v>
      </c>
      <c r="J652" s="78" t="s">
        <v>4567</v>
      </c>
      <c r="K652" s="22">
        <v>0.0</v>
      </c>
      <c r="L652" s="22">
        <f>+SUMIF('حركه المخزن الرئيسي اليوميه'!$F:$F,$H:$H,'حركه المخزن الرئيسي اليوميه'!$H:$H)</f>
        <v>0.0</v>
      </c>
      <c r="M652" s="22">
        <f>+SUMIF('حركه المخزن الرئيسي اليوميه'!$F:$F,$H:$H,'حركه المخزن الرئيسي اليوميه'!$I:$I)</f>
        <v>0.0</v>
      </c>
      <c r="N652" s="22">
        <f>+K652+L652-M652</f>
        <v>0.0</v>
      </c>
      <c r="O652" s="22">
        <f>+N652</f>
        <v>0.0</v>
      </c>
      <c r="P652" s="22">
        <f>+N652-O652</f>
        <v>0.0</v>
      </c>
      <c r="Q652" s="57"/>
      <c r="R652" s="58"/>
    </row>
    <row r="653" spans="8:8" ht="15.0" customHeight="1">
      <c r="B653" s="54">
        <v>714.0</v>
      </c>
      <c r="C653" s="8" t="s">
        <v>8351</v>
      </c>
      <c r="D653" s="8" t="s">
        <v>1013</v>
      </c>
      <c r="E653" s="8" t="s">
        <v>193</v>
      </c>
      <c r="F653" s="8" t="s">
        <v>68</v>
      </c>
      <c r="G653" s="8" t="s">
        <v>1857</v>
      </c>
      <c r="H653" s="8" t="s">
        <v>196</v>
      </c>
      <c r="I653" s="8" t="s">
        <v>190</v>
      </c>
      <c r="J653" s="78" t="s">
        <v>4568</v>
      </c>
      <c r="K653" s="22">
        <v>5.0</v>
      </c>
      <c r="L653" s="22">
        <f>+SUMIF('حركه المخزن الرئيسي اليوميه'!$F:$F,$H:$H,'حركه المخزن الرئيسي اليوميه'!$H:$H)</f>
        <v>0.0</v>
      </c>
      <c r="M653" s="22">
        <f>+SUMIF('حركه المخزن الرئيسي اليوميه'!$F:$F,$H:$H,'حركه المخزن الرئيسي اليوميه'!$I:$I)</f>
        <v>0.0</v>
      </c>
      <c r="N653" s="22">
        <f>+K653+L653-M653</f>
        <v>5.0</v>
      </c>
      <c r="O653" s="22">
        <f>+N653</f>
        <v>5.0</v>
      </c>
      <c r="P653" s="22">
        <f>+N653-O653</f>
        <v>0.0</v>
      </c>
      <c r="Q653" s="57"/>
      <c r="R653" s="58"/>
    </row>
    <row r="654" spans="8:8" ht="15.0" customHeight="1">
      <c r="B654" s="54">
        <v>715.0</v>
      </c>
      <c r="C654" s="8" t="s">
        <v>8351</v>
      </c>
      <c r="D654" s="8" t="s">
        <v>1013</v>
      </c>
      <c r="E654" s="8" t="s">
        <v>288</v>
      </c>
      <c r="F654" s="8" t="s">
        <v>68</v>
      </c>
      <c r="G654" s="8" t="s">
        <v>1580</v>
      </c>
      <c r="H654" s="8" t="s">
        <v>1864</v>
      </c>
      <c r="I654" s="8" t="s">
        <v>371</v>
      </c>
      <c r="J654" s="78" t="s">
        <v>4569</v>
      </c>
      <c r="K654" s="22">
        <v>187.0</v>
      </c>
      <c r="L654" s="22">
        <f>+SUMIF('حركه المخزن الرئيسي اليوميه'!$F:$F,$H:$H,'حركه المخزن الرئيسي اليوميه'!$H:$H)</f>
        <v>0.0</v>
      </c>
      <c r="M654" s="22">
        <f>+SUMIF('حركه المخزن الرئيسي اليوميه'!$F:$F,$H:$H,'حركه المخزن الرئيسي اليوميه'!$I:$I)</f>
        <v>0.0</v>
      </c>
      <c r="N654" s="22">
        <f>+K654+L654-M654</f>
        <v>187.0</v>
      </c>
      <c r="O654" s="22">
        <f>+N654</f>
        <v>187.0</v>
      </c>
      <c r="P654" s="22">
        <f>+N654-O654</f>
        <v>0.0</v>
      </c>
      <c r="Q654" s="57"/>
      <c r="R654" s="58"/>
    </row>
    <row r="655" spans="8:8" ht="15.0" customHeight="1">
      <c r="B655" s="54">
        <v>716.0</v>
      </c>
      <c r="C655" s="8" t="s">
        <v>8351</v>
      </c>
      <c r="D655" s="8" t="s">
        <v>1013</v>
      </c>
      <c r="E655" s="8" t="s">
        <v>193</v>
      </c>
      <c r="F655" s="8" t="s">
        <v>68</v>
      </c>
      <c r="G655" s="8" t="s">
        <v>1858</v>
      </c>
      <c r="H655" s="8" t="s">
        <v>277</v>
      </c>
      <c r="I655" s="8" t="s">
        <v>190</v>
      </c>
      <c r="J655" s="78" t="s">
        <v>4570</v>
      </c>
      <c r="K655" s="22">
        <v>4.0</v>
      </c>
      <c r="L655" s="22">
        <f>+SUMIF('حركه المخزن الرئيسي اليوميه'!$F:$F,$H:$H,'حركه المخزن الرئيسي اليوميه'!$H:$H)</f>
        <v>0.0</v>
      </c>
      <c r="M655" s="22">
        <f>+SUMIF('حركه المخزن الرئيسي اليوميه'!$F:$F,$H:$H,'حركه المخزن الرئيسي اليوميه'!$I:$I)</f>
        <v>0.0</v>
      </c>
      <c r="N655" s="22">
        <f>+K655+L655-M655</f>
        <v>4.0</v>
      </c>
      <c r="O655" s="22">
        <f>+N655</f>
        <v>4.0</v>
      </c>
      <c r="P655" s="22">
        <f>+N655-O655</f>
        <v>0.0</v>
      </c>
      <c r="Q655" s="57"/>
      <c r="R655" s="58"/>
    </row>
    <row r="656" spans="8:8" ht="15.0" customHeight="1">
      <c r="B656" s="54">
        <v>717.0</v>
      </c>
      <c r="C656" s="8" t="s">
        <v>8351</v>
      </c>
      <c r="D656" s="8" t="s">
        <v>1022</v>
      </c>
      <c r="E656" s="8" t="s">
        <v>1319</v>
      </c>
      <c r="F656" s="8" t="s">
        <v>68</v>
      </c>
      <c r="G656" s="8" t="s">
        <v>2097</v>
      </c>
      <c r="H656" s="8" t="s">
        <v>1320</v>
      </c>
      <c r="I656" s="8" t="s">
        <v>190</v>
      </c>
      <c r="J656" s="78" t="s">
        <v>4571</v>
      </c>
      <c r="K656" s="22">
        <v>1.0</v>
      </c>
      <c r="L656" s="22">
        <f>+SUMIF('حركه المخزن الرئيسي اليوميه'!$F:$F,$H:$H,'حركه المخزن الرئيسي اليوميه'!$H:$H)</f>
        <v>0.0</v>
      </c>
      <c r="M656" s="22">
        <f>+SUMIF('حركه المخزن الرئيسي اليوميه'!$F:$F,$H:$H,'حركه المخزن الرئيسي اليوميه'!$I:$I)</f>
        <v>0.0</v>
      </c>
      <c r="N656" s="22">
        <f>+K656+L656-M656</f>
        <v>1.0</v>
      </c>
      <c r="O656" s="22">
        <f>+N656</f>
        <v>1.0</v>
      </c>
      <c r="P656" s="22">
        <f>+N656-O656</f>
        <v>0.0</v>
      </c>
      <c r="Q656" s="57"/>
      <c r="R656" s="58"/>
    </row>
    <row r="657" spans="8:8" ht="15.0" customHeight="1">
      <c r="B657" s="54">
        <v>718.0</v>
      </c>
      <c r="C657" s="8" t="s">
        <v>8351</v>
      </c>
      <c r="D657" s="8" t="s">
        <v>1022</v>
      </c>
      <c r="E657" s="8" t="s">
        <v>188</v>
      </c>
      <c r="F657" s="8" t="s">
        <v>68</v>
      </c>
      <c r="G657" s="8" t="s">
        <v>189</v>
      </c>
      <c r="H657" s="8" t="s">
        <v>189</v>
      </c>
      <c r="I657" s="8" t="s">
        <v>190</v>
      </c>
      <c r="J657" s="78" t="s">
        <v>4572</v>
      </c>
      <c r="K657" s="22">
        <v>2.0</v>
      </c>
      <c r="L657" s="22">
        <f>+SUMIF('حركه المخزن الرئيسي اليوميه'!$F:$F,$H:$H,'حركه المخزن الرئيسي اليوميه'!$H:$H)</f>
        <v>0.0</v>
      </c>
      <c r="M657" s="22">
        <f>+SUMIF('حركه المخزن الرئيسي اليوميه'!$F:$F,$H:$H,'حركه المخزن الرئيسي اليوميه'!$I:$I)</f>
        <v>0.0</v>
      </c>
      <c r="N657" s="22">
        <f>+K657+L657-M657</f>
        <v>2.0</v>
      </c>
      <c r="O657" s="22">
        <f>+N657</f>
        <v>2.0</v>
      </c>
      <c r="P657" s="22">
        <f>+N657-O657</f>
        <v>0.0</v>
      </c>
      <c r="Q657" s="57"/>
      <c r="R657" s="58"/>
    </row>
    <row r="658" spans="8:8" ht="15.0" customHeight="1">
      <c r="B658" s="54">
        <v>719.0</v>
      </c>
      <c r="C658" s="8" t="s">
        <v>8351</v>
      </c>
      <c r="D658" s="8" t="s">
        <v>1013</v>
      </c>
      <c r="E658" s="8" t="s">
        <v>1318</v>
      </c>
      <c r="F658" s="8" t="s">
        <v>68</v>
      </c>
      <c r="G658" s="8" t="s">
        <v>2066</v>
      </c>
      <c r="H658" s="8" t="s">
        <v>1318</v>
      </c>
      <c r="I658" s="8" t="s">
        <v>190</v>
      </c>
      <c r="J658" s="78" t="s">
        <v>4573</v>
      </c>
      <c r="K658" s="22">
        <v>1.0</v>
      </c>
      <c r="L658" s="22">
        <f>+SUMIF('حركه المخزن الرئيسي اليوميه'!$F:$F,$H:$H,'حركه المخزن الرئيسي اليوميه'!$H:$H)</f>
        <v>0.0</v>
      </c>
      <c r="M658" s="22">
        <f>+SUMIF('حركه المخزن الرئيسي اليوميه'!$F:$F,$H:$H,'حركه المخزن الرئيسي اليوميه'!$I:$I)</f>
        <v>0.0</v>
      </c>
      <c r="N658" s="22">
        <f>+K658+L658-M658</f>
        <v>1.0</v>
      </c>
      <c r="O658" s="22">
        <f>+N658</f>
        <v>1.0</v>
      </c>
      <c r="P658" s="22">
        <f>+N658-O658</f>
        <v>0.0</v>
      </c>
      <c r="Q658" s="57"/>
      <c r="R658" s="58"/>
    </row>
    <row r="659" spans="8:8" ht="15.0" customHeight="1">
      <c r="B659" s="54">
        <v>720.0</v>
      </c>
      <c r="C659" s="8" t="s">
        <v>8351</v>
      </c>
      <c r="D659" s="8" t="s">
        <v>1013</v>
      </c>
      <c r="E659" s="8" t="s">
        <v>193</v>
      </c>
      <c r="F659" s="8" t="s">
        <v>68</v>
      </c>
      <c r="G659" s="8" t="s">
        <v>1858</v>
      </c>
      <c r="H659" s="8" t="s">
        <v>2922</v>
      </c>
      <c r="I659" s="8" t="s">
        <v>190</v>
      </c>
      <c r="J659" s="78" t="s">
        <v>4574</v>
      </c>
      <c r="K659" s="22">
        <v>0.0</v>
      </c>
      <c r="L659" s="22">
        <f>+SUMIF('حركه المخزن الرئيسي اليوميه'!$F:$F,$H:$H,'حركه المخزن الرئيسي اليوميه'!$H:$H)</f>
        <v>0.0</v>
      </c>
      <c r="M659" s="22">
        <f>+SUMIF('حركه المخزن الرئيسي اليوميه'!$F:$F,$H:$H,'حركه المخزن الرئيسي اليوميه'!$I:$I)</f>
        <v>0.0</v>
      </c>
      <c r="N659" s="22">
        <f>+K659+L659-M659</f>
        <v>0.0</v>
      </c>
      <c r="O659" s="22">
        <f>+N659</f>
        <v>0.0</v>
      </c>
      <c r="P659" s="22">
        <f>+N659-O659</f>
        <v>0.0</v>
      </c>
      <c r="Q659" s="57"/>
      <c r="R659" s="58"/>
    </row>
    <row r="660" spans="8:8" ht="15.0" customHeight="1">
      <c r="B660" s="54">
        <v>721.0</v>
      </c>
      <c r="C660" s="8" t="s">
        <v>8351</v>
      </c>
      <c r="D660" s="8" t="s">
        <v>1013</v>
      </c>
      <c r="E660" s="8" t="s">
        <v>281</v>
      </c>
      <c r="F660" s="8" t="s">
        <v>282</v>
      </c>
      <c r="G660" s="8" t="s">
        <v>1945</v>
      </c>
      <c r="H660" s="8" t="s">
        <v>598</v>
      </c>
      <c r="I660" s="8" t="s">
        <v>283</v>
      </c>
      <c r="J660" s="78" t="s">
        <v>4575</v>
      </c>
      <c r="K660" s="22">
        <v>2.0</v>
      </c>
      <c r="L660" s="22">
        <f>+SUMIF('حركه المخزن الرئيسي اليوميه'!$F:$F,$H:$H,'حركه المخزن الرئيسي اليوميه'!$H:$H)</f>
        <v>0.0</v>
      </c>
      <c r="M660" s="22">
        <f>+SUMIF('حركه المخزن الرئيسي اليوميه'!$F:$F,$H:$H,'حركه المخزن الرئيسي اليوميه'!$I:$I)</f>
        <v>0.0</v>
      </c>
      <c r="N660" s="22">
        <f>+K660+L660-M660</f>
        <v>2.0</v>
      </c>
      <c r="O660" s="22">
        <f>+N660</f>
        <v>2.0</v>
      </c>
      <c r="P660" s="22">
        <f>+N660-O660</f>
        <v>0.0</v>
      </c>
      <c r="Q660" s="57"/>
      <c r="R660" s="58"/>
    </row>
    <row r="661" spans="8:8" ht="15.0" customHeight="1">
      <c r="B661" s="54">
        <v>722.0</v>
      </c>
      <c r="C661" s="8" t="s">
        <v>8351</v>
      </c>
      <c r="D661" s="8" t="s">
        <v>1013</v>
      </c>
      <c r="E661" s="8" t="s">
        <v>281</v>
      </c>
      <c r="F661" s="8" t="s">
        <v>282</v>
      </c>
      <c r="G661" s="8" t="s">
        <v>1945</v>
      </c>
      <c r="H661" s="8" t="s">
        <v>600</v>
      </c>
      <c r="I661" s="8" t="s">
        <v>283</v>
      </c>
      <c r="J661" s="78" t="s">
        <v>4576</v>
      </c>
      <c r="K661" s="22">
        <v>8.0</v>
      </c>
      <c r="L661" s="22">
        <f>+SUMIF('حركه المخزن الرئيسي اليوميه'!$F:$F,$H:$H,'حركه المخزن الرئيسي اليوميه'!$H:$H)</f>
        <v>0.0</v>
      </c>
      <c r="M661" s="22">
        <f>+SUMIF('حركه المخزن الرئيسي اليوميه'!$F:$F,$H:$H,'حركه المخزن الرئيسي اليوميه'!$I:$I)</f>
        <v>0.0</v>
      </c>
      <c r="N661" s="22">
        <f>+K661+L661-M661</f>
        <v>8.0</v>
      </c>
      <c r="O661" s="22">
        <f>+N661</f>
        <v>8.0</v>
      </c>
      <c r="P661" s="22">
        <f>+N661-O661</f>
        <v>0.0</v>
      </c>
      <c r="Q661" s="57"/>
      <c r="R661" s="58"/>
    </row>
    <row r="662" spans="8:8" ht="15.0" customHeight="1">
      <c r="B662" s="54">
        <v>723.0</v>
      </c>
      <c r="C662" s="8" t="s">
        <v>8351</v>
      </c>
      <c r="D662" s="8" t="s">
        <v>1013</v>
      </c>
      <c r="E662" s="8" t="s">
        <v>281</v>
      </c>
      <c r="F662" s="8" t="s">
        <v>282</v>
      </c>
      <c r="G662" s="8" t="s">
        <v>1945</v>
      </c>
      <c r="H662" s="8" t="s">
        <v>599</v>
      </c>
      <c r="I662" s="8" t="s">
        <v>286</v>
      </c>
      <c r="J662" s="78" t="s">
        <v>4577</v>
      </c>
      <c r="K662" s="22">
        <v>5.0</v>
      </c>
      <c r="L662" s="22">
        <f>+SUMIF('حركه المخزن الرئيسي اليوميه'!$F:$F,$H:$H,'حركه المخزن الرئيسي اليوميه'!$H:$H)</f>
        <v>0.0</v>
      </c>
      <c r="M662" s="22">
        <f>+SUMIF('حركه المخزن الرئيسي اليوميه'!$F:$F,$H:$H,'حركه المخزن الرئيسي اليوميه'!$I:$I)</f>
        <v>0.0</v>
      </c>
      <c r="N662" s="22">
        <f>+K662+L662-M662</f>
        <v>5.0</v>
      </c>
      <c r="O662" s="22">
        <f>+N662</f>
        <v>5.0</v>
      </c>
      <c r="P662" s="22">
        <f>+N662-O662</f>
        <v>0.0</v>
      </c>
      <c r="Q662" s="57"/>
      <c r="R662" s="58"/>
    </row>
    <row r="663" spans="8:8" ht="15.0" customHeight="1">
      <c r="B663" s="54">
        <v>724.0</v>
      </c>
      <c r="C663" s="8" t="s">
        <v>8351</v>
      </c>
      <c r="D663" s="8" t="s">
        <v>3828</v>
      </c>
      <c r="E663" s="8" t="s">
        <v>8176</v>
      </c>
      <c r="F663" s="8" t="s">
        <v>68</v>
      </c>
      <c r="G663" s="8"/>
      <c r="H663" s="8" t="s">
        <v>8176</v>
      </c>
      <c r="I663" s="55" t="s">
        <v>818</v>
      </c>
      <c r="J663" s="78" t="s">
        <v>4578</v>
      </c>
      <c r="K663" s="22">
        <v>1.0</v>
      </c>
      <c r="L663" s="22">
        <f>+SUMIF('حركه المخزن الرئيسي اليوميه'!$F:$F,$H:$H,'حركه المخزن الرئيسي اليوميه'!$H:$H)</f>
        <v>0.0</v>
      </c>
      <c r="M663" s="22">
        <f>+SUMIF('حركه المخزن الرئيسي اليوميه'!$F:$F,$H:$H,'حركه المخزن الرئيسي اليوميه'!$I:$I)</f>
        <v>1.0</v>
      </c>
      <c r="N663" s="22">
        <f>+K663+L663-M663</f>
        <v>0.0</v>
      </c>
      <c r="O663" s="22">
        <f>+N663</f>
        <v>0.0</v>
      </c>
      <c r="P663" s="22">
        <f>+N663-O663</f>
        <v>0.0</v>
      </c>
      <c r="Q663" s="57"/>
      <c r="R663" s="58"/>
    </row>
    <row r="664" spans="8:8" ht="15.0" customHeight="1">
      <c r="B664" s="54">
        <v>726.0</v>
      </c>
      <c r="C664" s="8" t="s">
        <v>8351</v>
      </c>
      <c r="D664" s="8" t="s">
        <v>820</v>
      </c>
      <c r="E664" s="8" t="s">
        <v>2787</v>
      </c>
      <c r="F664" s="8" t="s">
        <v>68</v>
      </c>
      <c r="G664" s="8" t="s">
        <v>2261</v>
      </c>
      <c r="H664" s="8" t="s">
        <v>2787</v>
      </c>
      <c r="I664" s="8" t="s">
        <v>286</v>
      </c>
      <c r="J664" s="78" t="s">
        <v>4579</v>
      </c>
      <c r="K664" s="22">
        <v>0.0</v>
      </c>
      <c r="L664" s="22">
        <f>+SUMIF('حركه المخزن الرئيسي اليوميه'!$F:$F,$H:$H,'حركه المخزن الرئيسي اليوميه'!$H:$H)</f>
        <v>0.0</v>
      </c>
      <c r="M664" s="22">
        <f>+SUMIF('حركه المخزن الرئيسي اليوميه'!$F:$F,$H:$H,'حركه المخزن الرئيسي اليوميه'!$I:$I)</f>
        <v>0.0</v>
      </c>
      <c r="N664" s="22">
        <f>+K664+L664-M664</f>
        <v>0.0</v>
      </c>
      <c r="O664" s="22">
        <f>+N664</f>
        <v>0.0</v>
      </c>
      <c r="P664" s="22">
        <f>+N664-O664</f>
        <v>0.0</v>
      </c>
      <c r="Q664" s="57"/>
      <c r="R664" s="58"/>
    </row>
    <row r="665" spans="8:8" ht="15.0" customHeight="1">
      <c r="B665" s="54">
        <v>727.0</v>
      </c>
      <c r="C665" s="8" t="s">
        <v>8351</v>
      </c>
      <c r="D665" s="8" t="s">
        <v>568</v>
      </c>
      <c r="E665" s="8" t="s">
        <v>297</v>
      </c>
      <c r="F665" s="8" t="s">
        <v>68</v>
      </c>
      <c r="G665" s="8" t="s">
        <v>2102</v>
      </c>
      <c r="H665" s="8" t="s">
        <v>297</v>
      </c>
      <c r="I665" s="8" t="s">
        <v>3284</v>
      </c>
      <c r="J665" s="78" t="s">
        <v>4580</v>
      </c>
      <c r="K665" s="22">
        <v>23.0</v>
      </c>
      <c r="L665" s="22">
        <f>+SUMIF('حركه المخزن الرئيسي اليوميه'!$F:$F,$H:$H,'حركه المخزن الرئيسي اليوميه'!$H:$H)</f>
        <v>0.0</v>
      </c>
      <c r="M665" s="22">
        <f>+SUMIF('حركه المخزن الرئيسي اليوميه'!$F:$F,$H:$H,'حركه المخزن الرئيسي اليوميه'!$I:$I)</f>
        <v>3.0</v>
      </c>
      <c r="N665" s="22">
        <f>+K665+L665-M665</f>
        <v>20.0</v>
      </c>
      <c r="O665" s="22">
        <f>+N665</f>
        <v>20.0</v>
      </c>
      <c r="P665" s="22">
        <f>+N665-O665</f>
        <v>0.0</v>
      </c>
      <c r="Q665" s="57"/>
      <c r="R665" s="58"/>
    </row>
    <row r="666" spans="8:8" ht="15.0" customHeight="1">
      <c r="B666" s="54">
        <v>728.0</v>
      </c>
      <c r="C666" s="8" t="s">
        <v>8351</v>
      </c>
      <c r="D666" s="8" t="s">
        <v>820</v>
      </c>
      <c r="E666" s="8" t="s">
        <v>1154</v>
      </c>
      <c r="F666" s="8" t="s">
        <v>68</v>
      </c>
      <c r="G666" s="8" t="s">
        <v>2214</v>
      </c>
      <c r="H666" s="8" t="s">
        <v>1154</v>
      </c>
      <c r="I666" s="8" t="s">
        <v>286</v>
      </c>
      <c r="J666" s="78" t="s">
        <v>4581</v>
      </c>
      <c r="K666" s="22">
        <v>3.0</v>
      </c>
      <c r="L666" s="22">
        <f>+SUMIF('حركه المخزن الرئيسي اليوميه'!$F:$F,$H:$H,'حركه المخزن الرئيسي اليوميه'!$H:$H)</f>
        <v>0.0</v>
      </c>
      <c r="M666" s="22">
        <f>+SUMIF('حركه المخزن الرئيسي اليوميه'!$F:$F,$H:$H,'حركه المخزن الرئيسي اليوميه'!$I:$I)</f>
        <v>0.0</v>
      </c>
      <c r="N666" s="22">
        <f>+K666+L666-M666</f>
        <v>3.0</v>
      </c>
      <c r="O666" s="22">
        <f>+N666</f>
        <v>3.0</v>
      </c>
      <c r="P666" s="22">
        <f>+N666-O666</f>
        <v>0.0</v>
      </c>
      <c r="Q666" s="57"/>
      <c r="R666" s="58"/>
    </row>
    <row r="667" spans="8:8" ht="15.0" customHeight="1">
      <c r="B667" s="54">
        <v>729.0</v>
      </c>
      <c r="C667" s="8" t="s">
        <v>8351</v>
      </c>
      <c r="D667" s="8" t="s">
        <v>828</v>
      </c>
      <c r="E667" s="8" t="s">
        <v>461</v>
      </c>
      <c r="F667" s="8" t="s">
        <v>68</v>
      </c>
      <c r="G667" s="8"/>
      <c r="H667" s="8" t="s">
        <v>461</v>
      </c>
      <c r="I667" s="55" t="s">
        <v>818</v>
      </c>
      <c r="J667" s="78" t="s">
        <v>4582</v>
      </c>
      <c r="K667" s="22">
        <v>0.0</v>
      </c>
      <c r="L667" s="22">
        <f>+SUMIF('حركه المخزن الرئيسي اليوميه'!$F:$F,$H:$H,'حركه المخزن الرئيسي اليوميه'!$H:$H)</f>
        <v>0.0</v>
      </c>
      <c r="M667" s="22">
        <f>+SUMIF('حركه المخزن الرئيسي اليوميه'!$F:$F,$H:$H,'حركه المخزن الرئيسي اليوميه'!$I:$I)</f>
        <v>0.0</v>
      </c>
      <c r="N667" s="22">
        <f>+K667+L667-M667</f>
        <v>0.0</v>
      </c>
      <c r="O667" s="22">
        <f>+N667</f>
        <v>0.0</v>
      </c>
      <c r="P667" s="22">
        <f>+N667-O667</f>
        <v>0.0</v>
      </c>
      <c r="Q667" s="57"/>
      <c r="R667" s="58"/>
    </row>
    <row r="668" spans="8:8" ht="15.0" customHeight="1">
      <c r="B668" s="54">
        <v>730.0</v>
      </c>
      <c r="C668" s="8" t="s">
        <v>8351</v>
      </c>
      <c r="D668" s="8" t="s">
        <v>1013</v>
      </c>
      <c r="E668" s="8" t="s">
        <v>8099</v>
      </c>
      <c r="F668" s="8" t="s">
        <v>68</v>
      </c>
      <c r="G668" s="8" t="s">
        <v>295</v>
      </c>
      <c r="H668" s="8" t="s">
        <v>296</v>
      </c>
      <c r="I668" s="8" t="s">
        <v>294</v>
      </c>
      <c r="J668" s="78" t="s">
        <v>4583</v>
      </c>
      <c r="K668" s="22">
        <v>1.0</v>
      </c>
      <c r="L668" s="22">
        <f>+SUMIF('حركه المخزن الرئيسي اليوميه'!$F:$F,$H:$H,'حركه المخزن الرئيسي اليوميه'!$H:$H)</f>
        <v>0.0</v>
      </c>
      <c r="M668" s="22">
        <f>+SUMIF('حركه المخزن الرئيسي اليوميه'!$F:$F,$H:$H,'حركه المخزن الرئيسي اليوميه'!$I:$I)</f>
        <v>0.0</v>
      </c>
      <c r="N668" s="22">
        <f>+K668+L668-M668</f>
        <v>1.0</v>
      </c>
      <c r="O668" s="22">
        <f>+N668</f>
        <v>1.0</v>
      </c>
      <c r="P668" s="22">
        <f>+N668-O668</f>
        <v>0.0</v>
      </c>
      <c r="Q668" s="57"/>
      <c r="R668" s="58"/>
    </row>
    <row r="669" spans="8:8" ht="15.0" customHeight="1">
      <c r="B669" s="54">
        <v>732.0</v>
      </c>
      <c r="C669" s="8" t="s">
        <v>8351</v>
      </c>
      <c r="D669" s="8" t="s">
        <v>1013</v>
      </c>
      <c r="E669" s="8" t="s">
        <v>285</v>
      </c>
      <c r="F669" s="8" t="s">
        <v>68</v>
      </c>
      <c r="G669" s="8" t="s">
        <v>1813</v>
      </c>
      <c r="H669" s="8" t="s">
        <v>2545</v>
      </c>
      <c r="I669" s="8" t="s">
        <v>286</v>
      </c>
      <c r="J669" s="78" t="s">
        <v>4584</v>
      </c>
      <c r="K669" s="22">
        <v>0.0</v>
      </c>
      <c r="L669" s="22">
        <f>+SUMIF('حركه المخزن الرئيسي اليوميه'!$F:$F,$H:$H,'حركه المخزن الرئيسي اليوميه'!$H:$H)</f>
        <v>0.0</v>
      </c>
      <c r="M669" s="22">
        <f>+SUMIF('حركه المخزن الرئيسي اليوميه'!$F:$F,$H:$H,'حركه المخزن الرئيسي اليوميه'!$I:$I)</f>
        <v>0.0</v>
      </c>
      <c r="N669" s="22">
        <f>+K669+L669-M669</f>
        <v>0.0</v>
      </c>
      <c r="O669" s="22">
        <f>+N669</f>
        <v>0.0</v>
      </c>
      <c r="P669" s="22">
        <f>+N669-O669</f>
        <v>0.0</v>
      </c>
      <c r="Q669" s="57"/>
      <c r="R669" s="58"/>
    </row>
    <row r="670" spans="8:8" ht="15.0" customHeight="1">
      <c r="B670" s="54">
        <v>733.0</v>
      </c>
      <c r="C670" s="8" t="s">
        <v>8351</v>
      </c>
      <c r="D670" s="8" t="s">
        <v>1013</v>
      </c>
      <c r="E670" s="8" t="s">
        <v>298</v>
      </c>
      <c r="F670" s="8" t="s">
        <v>68</v>
      </c>
      <c r="G670" s="8" t="s">
        <v>2103</v>
      </c>
      <c r="H670" s="8" t="s">
        <v>299</v>
      </c>
      <c r="I670" s="8" t="s">
        <v>286</v>
      </c>
      <c r="J670" s="78" t="s">
        <v>4585</v>
      </c>
      <c r="K670" s="22">
        <v>0.0</v>
      </c>
      <c r="L670" s="22">
        <f>+SUMIF('حركه المخزن الرئيسي اليوميه'!$F:$F,$H:$H,'حركه المخزن الرئيسي اليوميه'!$H:$H)</f>
        <v>0.0</v>
      </c>
      <c r="M670" s="22">
        <f>+SUMIF('حركه المخزن الرئيسي اليوميه'!$F:$F,$H:$H,'حركه المخزن الرئيسي اليوميه'!$I:$I)</f>
        <v>0.0</v>
      </c>
      <c r="N670" s="22">
        <f>+K670+L670-M670</f>
        <v>0.0</v>
      </c>
      <c r="O670" s="22">
        <f>+N670</f>
        <v>0.0</v>
      </c>
      <c r="P670" s="22">
        <f>+N670-O670</f>
        <v>0.0</v>
      </c>
      <c r="Q670" s="57"/>
      <c r="R670" s="58"/>
    </row>
    <row r="671" spans="8:8" ht="15.0" customHeight="1">
      <c r="B671" s="54">
        <v>735.0</v>
      </c>
      <c r="C671" s="8" t="s">
        <v>8351</v>
      </c>
      <c r="D671" s="8" t="s">
        <v>1013</v>
      </c>
      <c r="E671" s="8" t="s">
        <v>2026</v>
      </c>
      <c r="F671" s="8" t="s">
        <v>68</v>
      </c>
      <c r="G671" s="8" t="s">
        <v>1815</v>
      </c>
      <c r="H671" s="8" t="s">
        <v>300</v>
      </c>
      <c r="I671" s="8" t="s">
        <v>286</v>
      </c>
      <c r="J671" s="78" t="s">
        <v>4586</v>
      </c>
      <c r="K671" s="22">
        <v>0.0</v>
      </c>
      <c r="L671" s="22">
        <f>+SUMIF('حركه المخزن الرئيسي اليوميه'!$F:$F,$H:$H,'حركه المخزن الرئيسي اليوميه'!$H:$H)</f>
        <v>0.0</v>
      </c>
      <c r="M671" s="22">
        <f>+SUMIF('حركه المخزن الرئيسي اليوميه'!$F:$F,$H:$H,'حركه المخزن الرئيسي اليوميه'!$I:$I)</f>
        <v>0.0</v>
      </c>
      <c r="N671" s="22">
        <f>+K671+L671-M671</f>
        <v>0.0</v>
      </c>
      <c r="O671" s="22">
        <f>+N671</f>
        <v>0.0</v>
      </c>
      <c r="P671" s="22">
        <f>+N671-O671</f>
        <v>0.0</v>
      </c>
      <c r="Q671" s="57"/>
      <c r="R671" s="58"/>
    </row>
    <row r="672" spans="8:8" ht="15.0" customHeight="1">
      <c r="B672" s="54">
        <v>736.0</v>
      </c>
      <c r="C672" s="8" t="s">
        <v>8351</v>
      </c>
      <c r="D672" s="8" t="s">
        <v>820</v>
      </c>
      <c r="E672" s="8" t="s">
        <v>2510</v>
      </c>
      <c r="F672" s="8" t="s">
        <v>68</v>
      </c>
      <c r="G672" s="8"/>
      <c r="H672" s="8" t="s">
        <v>1449</v>
      </c>
      <c r="I672" s="8" t="s">
        <v>283</v>
      </c>
      <c r="J672" s="78" t="s">
        <v>4587</v>
      </c>
      <c r="K672" s="22">
        <v>0.0</v>
      </c>
      <c r="L672" s="22">
        <f>+SUMIF('حركه المخزن الرئيسي اليوميه'!$F:$F,$H:$H,'حركه المخزن الرئيسي اليوميه'!$H:$H)</f>
        <v>0.0</v>
      </c>
      <c r="M672" s="22">
        <f>+SUMIF('حركه المخزن الرئيسي اليوميه'!$F:$F,$H:$H,'حركه المخزن الرئيسي اليوميه'!$I:$I)</f>
        <v>0.0</v>
      </c>
      <c r="N672" s="22">
        <f>+K672+L672-M672</f>
        <v>0.0</v>
      </c>
      <c r="O672" s="22">
        <f>+N672</f>
        <v>0.0</v>
      </c>
      <c r="P672" s="22">
        <f>+N672-O672</f>
        <v>0.0</v>
      </c>
      <c r="Q672" s="57"/>
      <c r="R672" s="58"/>
    </row>
    <row r="673" spans="8:8" ht="15.0" customHeight="1">
      <c r="B673" s="54">
        <v>737.0</v>
      </c>
      <c r="C673" s="8" t="s">
        <v>8351</v>
      </c>
      <c r="D673" s="8" t="s">
        <v>1024</v>
      </c>
      <c r="E673" s="8" t="s">
        <v>3591</v>
      </c>
      <c r="F673" s="8" t="s">
        <v>68</v>
      </c>
      <c r="G673" s="8" t="s">
        <v>2328</v>
      </c>
      <c r="H673" s="8" t="s">
        <v>3591</v>
      </c>
      <c r="I673" s="8" t="s">
        <v>283</v>
      </c>
      <c r="J673" s="78" t="s">
        <v>4588</v>
      </c>
      <c r="K673" s="22">
        <v>4.0</v>
      </c>
      <c r="L673" s="22">
        <f>+SUMIF('حركه المخزن الرئيسي اليوميه'!$F:$F,$H:$H,'حركه المخزن الرئيسي اليوميه'!$H:$H)</f>
        <v>0.0</v>
      </c>
      <c r="M673" s="22">
        <f>+SUMIF('حركه المخزن الرئيسي اليوميه'!$F:$F,$H:$H,'حركه المخزن الرئيسي اليوميه'!$I:$I)</f>
        <v>0.0</v>
      </c>
      <c r="N673" s="22">
        <f>+K673+L673-M673</f>
        <v>4.0</v>
      </c>
      <c r="O673" s="22">
        <f>+N673</f>
        <v>4.0</v>
      </c>
      <c r="P673" s="22">
        <f>+N673-O673</f>
        <v>0.0</v>
      </c>
      <c r="Q673" s="57"/>
      <c r="R673" s="58"/>
    </row>
    <row r="674" spans="8:8" ht="15.0" customHeight="1">
      <c r="B674" s="54">
        <v>738.0</v>
      </c>
      <c r="C674" s="8" t="s">
        <v>8351</v>
      </c>
      <c r="D674" s="8" t="s">
        <v>1013</v>
      </c>
      <c r="E674" s="8" t="s">
        <v>2809</v>
      </c>
      <c r="F674" s="8" t="s">
        <v>68</v>
      </c>
      <c r="G674" s="8" t="s">
        <v>2329</v>
      </c>
      <c r="H674" s="8" t="s">
        <v>2809</v>
      </c>
      <c r="I674" s="8" t="s">
        <v>286</v>
      </c>
      <c r="J674" s="78" t="s">
        <v>4589</v>
      </c>
      <c r="K674" s="22">
        <v>84.0</v>
      </c>
      <c r="L674" s="22">
        <f>+SUMIF('حركه المخزن الرئيسي اليوميه'!$F:$F,$H:$H,'حركه المخزن الرئيسي اليوميه'!$H:$H)</f>
        <v>0.0</v>
      </c>
      <c r="M674" s="22">
        <f>+SUMIF('حركه المخزن الرئيسي اليوميه'!$F:$F,$H:$H,'حركه المخزن الرئيسي اليوميه'!$I:$I)</f>
        <v>0.0</v>
      </c>
      <c r="N674" s="22">
        <f>+K674+L674-M674</f>
        <v>84.0</v>
      </c>
      <c r="O674" s="22">
        <f>+N674</f>
        <v>84.0</v>
      </c>
      <c r="P674" s="22">
        <f>+N674-O674</f>
        <v>0.0</v>
      </c>
      <c r="Q674" s="57"/>
      <c r="R674" s="58"/>
    </row>
    <row r="675" spans="8:8" ht="15.0" customHeight="1">
      <c r="B675" s="54">
        <v>740.0</v>
      </c>
      <c r="C675" s="8" t="s">
        <v>8351</v>
      </c>
      <c r="D675" s="8" t="s">
        <v>1013</v>
      </c>
      <c r="E675" s="8" t="s">
        <v>285</v>
      </c>
      <c r="F675" s="8" t="s">
        <v>68</v>
      </c>
      <c r="G675" s="8" t="s">
        <v>1813</v>
      </c>
      <c r="H675" s="8" t="s">
        <v>2543</v>
      </c>
      <c r="I675" s="8" t="s">
        <v>286</v>
      </c>
      <c r="J675" s="78" t="s">
        <v>4590</v>
      </c>
      <c r="K675" s="22">
        <v>0.0</v>
      </c>
      <c r="L675" s="22">
        <f>+SUMIF('حركه المخزن الرئيسي اليوميه'!$F:$F,$H:$H,'حركه المخزن الرئيسي اليوميه'!$H:$H)</f>
        <v>0.0</v>
      </c>
      <c r="M675" s="22">
        <f>+SUMIF('حركه المخزن الرئيسي اليوميه'!$F:$F,$H:$H,'حركه المخزن الرئيسي اليوميه'!$I:$I)</f>
        <v>0.0</v>
      </c>
      <c r="N675" s="22">
        <f>+K675+L675-M675</f>
        <v>0.0</v>
      </c>
      <c r="O675" s="22">
        <f>+N675</f>
        <v>0.0</v>
      </c>
      <c r="P675" s="22">
        <f>+N675-O675</f>
        <v>0.0</v>
      </c>
      <c r="Q675" s="57"/>
      <c r="R675" s="58"/>
    </row>
    <row r="676" spans="8:8" ht="15.0" customHeight="1">
      <c r="B676" s="54">
        <v>742.0</v>
      </c>
      <c r="C676" s="8" t="s">
        <v>8351</v>
      </c>
      <c r="D676" s="8" t="s">
        <v>1013</v>
      </c>
      <c r="E676" s="8" t="s">
        <v>301</v>
      </c>
      <c r="F676" s="8" t="s">
        <v>68</v>
      </c>
      <c r="G676" s="8" t="s">
        <v>2104</v>
      </c>
      <c r="H676" s="8" t="s">
        <v>301</v>
      </c>
      <c r="I676" s="8" t="s">
        <v>286</v>
      </c>
      <c r="J676" s="78" t="s">
        <v>4591</v>
      </c>
      <c r="K676" s="22">
        <v>8.0</v>
      </c>
      <c r="L676" s="22">
        <f>+SUMIF('حركه المخزن الرئيسي اليوميه'!$F:$F,$H:$H,'حركه المخزن الرئيسي اليوميه'!$H:$H)</f>
        <v>0.0</v>
      </c>
      <c r="M676" s="22">
        <f>+SUMIF('حركه المخزن الرئيسي اليوميه'!$F:$F,$H:$H,'حركه المخزن الرئيسي اليوميه'!$I:$I)</f>
        <v>0.0</v>
      </c>
      <c r="N676" s="22">
        <f>+K676+L676-M676</f>
        <v>8.0</v>
      </c>
      <c r="O676" s="22">
        <f>+N676</f>
        <v>8.0</v>
      </c>
      <c r="P676" s="22">
        <f>+N676-O676</f>
        <v>0.0</v>
      </c>
      <c r="Q676" s="57"/>
      <c r="R676" s="58"/>
    </row>
    <row r="677" spans="8:8" ht="15.0" customHeight="1">
      <c r="B677" s="54">
        <v>745.0</v>
      </c>
      <c r="C677" s="8" t="s">
        <v>8351</v>
      </c>
      <c r="D677" s="8" t="s">
        <v>1013</v>
      </c>
      <c r="E677" s="8" t="s">
        <v>288</v>
      </c>
      <c r="F677" s="8" t="s">
        <v>68</v>
      </c>
      <c r="G677" s="8" t="s">
        <v>1580</v>
      </c>
      <c r="H677" s="8" t="s">
        <v>575</v>
      </c>
      <c r="I677" s="8" t="s">
        <v>375</v>
      </c>
      <c r="J677" s="78" t="s">
        <v>4592</v>
      </c>
      <c r="K677" s="22">
        <v>488.0</v>
      </c>
      <c r="L677" s="22">
        <f>+SUMIF('حركه المخزن الرئيسي اليوميه'!$F:$F,$H:$H,'حركه المخزن الرئيسي اليوميه'!$H:$H)</f>
        <v>0.0</v>
      </c>
      <c r="M677" s="22">
        <f>+SUMIF('حركه المخزن الرئيسي اليوميه'!$F:$F,$H:$H,'حركه المخزن الرئيسي اليوميه'!$I:$I)</f>
        <v>0.0</v>
      </c>
      <c r="N677" s="22">
        <f>+K677+L677-M677</f>
        <v>488.0</v>
      </c>
      <c r="O677" s="22">
        <f>+N677</f>
        <v>488.0</v>
      </c>
      <c r="P677" s="22">
        <f>+N677-O677</f>
        <v>0.0</v>
      </c>
      <c r="Q677" s="57"/>
      <c r="R677" s="58"/>
    </row>
    <row r="678" spans="8:8" ht="15.0" customHeight="1">
      <c r="B678" s="54">
        <v>746.0</v>
      </c>
      <c r="C678" s="8" t="s">
        <v>8351</v>
      </c>
      <c r="D678" s="8" t="s">
        <v>1013</v>
      </c>
      <c r="E678" s="8" t="s">
        <v>288</v>
      </c>
      <c r="F678" s="8" t="s">
        <v>68</v>
      </c>
      <c r="G678" s="8" t="s">
        <v>1580</v>
      </c>
      <c r="H678" s="8" t="s">
        <v>576</v>
      </c>
      <c r="I678" s="8" t="s">
        <v>450</v>
      </c>
      <c r="J678" s="78" t="s">
        <v>4593</v>
      </c>
      <c r="K678" s="22">
        <v>696.0</v>
      </c>
      <c r="L678" s="22">
        <f>+SUMIF('حركه المخزن الرئيسي اليوميه'!$F:$F,$H:$H,'حركه المخزن الرئيسي اليوميه'!$H:$H)</f>
        <v>0.0</v>
      </c>
      <c r="M678" s="22">
        <f>+SUMIF('حركه المخزن الرئيسي اليوميه'!$F:$F,$H:$H,'حركه المخزن الرئيسي اليوميه'!$I:$I)</f>
        <v>0.0</v>
      </c>
      <c r="N678" s="22">
        <f>+K678+L678-M678</f>
        <v>696.0</v>
      </c>
      <c r="O678" s="22">
        <f>+N678</f>
        <v>696.0</v>
      </c>
      <c r="P678" s="22">
        <f>+N678-O678</f>
        <v>0.0</v>
      </c>
      <c r="Q678" s="57"/>
      <c r="R678" s="58"/>
    </row>
    <row r="679" spans="8:8" ht="15.0" customHeight="1">
      <c r="B679" s="54">
        <v>747.0</v>
      </c>
      <c r="C679" s="8" t="s">
        <v>8351</v>
      </c>
      <c r="D679" s="8" t="s">
        <v>1013</v>
      </c>
      <c r="E679" s="8" t="s">
        <v>288</v>
      </c>
      <c r="F679" s="8" t="s">
        <v>68</v>
      </c>
      <c r="G679" s="8" t="s">
        <v>1580</v>
      </c>
      <c r="H679" s="8" t="s">
        <v>1867</v>
      </c>
      <c r="I679" s="8" t="s">
        <v>1365</v>
      </c>
      <c r="J679" s="78" t="s">
        <v>4594</v>
      </c>
      <c r="K679" s="22">
        <v>374.0</v>
      </c>
      <c r="L679" s="22">
        <f>+SUMIF('حركه المخزن الرئيسي اليوميه'!$F:$F,$H:$H,'حركه المخزن الرئيسي اليوميه'!$H:$H)</f>
        <v>0.0</v>
      </c>
      <c r="M679" s="22">
        <f>+SUMIF('حركه المخزن الرئيسي اليوميه'!$F:$F,$H:$H,'حركه المخزن الرئيسي اليوميه'!$I:$I)</f>
        <v>0.0</v>
      </c>
      <c r="N679" s="22">
        <f>+K679+L679-M679</f>
        <v>374.0</v>
      </c>
      <c r="O679" s="22">
        <f>+N679</f>
        <v>374.0</v>
      </c>
      <c r="P679" s="22">
        <f>+N679-O679</f>
        <v>0.0</v>
      </c>
      <c r="Q679" s="57"/>
      <c r="R679" s="58"/>
    </row>
    <row r="680" spans="8:8" ht="15.0" customHeight="1">
      <c r="B680" s="54">
        <v>748.0</v>
      </c>
      <c r="C680" s="8" t="s">
        <v>8351</v>
      </c>
      <c r="D680" s="8" t="s">
        <v>1013</v>
      </c>
      <c r="E680" s="8" t="s">
        <v>8186</v>
      </c>
      <c r="F680" s="8" t="s">
        <v>68</v>
      </c>
      <c r="G680" s="8"/>
      <c r="H680" s="8" t="s">
        <v>8186</v>
      </c>
      <c r="I680" s="8" t="s">
        <v>139</v>
      </c>
      <c r="J680" s="78" t="s">
        <v>4595</v>
      </c>
      <c r="K680" s="22">
        <v>1.0</v>
      </c>
      <c r="L680" s="22">
        <f>+SUMIF('حركه المخزن الرئيسي اليوميه'!$F:$F,$H:$H,'حركه المخزن الرئيسي اليوميه'!$H:$H)</f>
        <v>0.0</v>
      </c>
      <c r="M680" s="22">
        <f>+SUMIF('حركه المخزن الرئيسي اليوميه'!$F:$F,$H:$H,'حركه المخزن الرئيسي اليوميه'!$I:$I)</f>
        <v>1.0</v>
      </c>
      <c r="N680" s="22">
        <f>+K680+L680-M680</f>
        <v>0.0</v>
      </c>
      <c r="O680" s="22">
        <f>+N680</f>
        <v>0.0</v>
      </c>
      <c r="P680" s="22">
        <f>+N680-O680</f>
        <v>0.0</v>
      </c>
      <c r="Q680" s="57"/>
      <c r="R680" s="58"/>
    </row>
    <row r="681" spans="8:8" ht="15.0" customHeight="1">
      <c r="B681" s="54">
        <v>749.0</v>
      </c>
      <c r="C681" s="8" t="s">
        <v>8351</v>
      </c>
      <c r="D681" s="8" t="s">
        <v>828</v>
      </c>
      <c r="E681" s="8" t="s">
        <v>291</v>
      </c>
      <c r="F681" s="8" t="s">
        <v>68</v>
      </c>
      <c r="G681" s="8" t="s">
        <v>1814</v>
      </c>
      <c r="H681" s="8" t="s">
        <v>2778</v>
      </c>
      <c r="I681" s="8" t="s">
        <v>292</v>
      </c>
      <c r="J681" s="78" t="s">
        <v>4596</v>
      </c>
      <c r="K681" s="22">
        <v>0.0</v>
      </c>
      <c r="L681" s="22">
        <f>+SUMIF('حركه المخزن الرئيسي اليوميه'!$F:$F,$H:$H,'حركه المخزن الرئيسي اليوميه'!$H:$H)</f>
        <v>0.0</v>
      </c>
      <c r="M681" s="22">
        <f>+SUMIF('حركه المخزن الرئيسي اليوميه'!$F:$F,$H:$H,'حركه المخزن الرئيسي اليوميه'!$I:$I)</f>
        <v>0.0</v>
      </c>
      <c r="N681" s="22">
        <f>+K681+L681-M681</f>
        <v>0.0</v>
      </c>
      <c r="O681" s="22">
        <f>+N681</f>
        <v>0.0</v>
      </c>
      <c r="P681" s="22">
        <f>+N681-O681</f>
        <v>0.0</v>
      </c>
      <c r="Q681" s="57"/>
      <c r="R681" s="58"/>
    </row>
    <row r="682" spans="8:8" ht="15.0" customHeight="1">
      <c r="B682" s="54">
        <v>750.0</v>
      </c>
      <c r="C682" s="8" t="s">
        <v>8351</v>
      </c>
      <c r="D682" s="8" t="s">
        <v>1013</v>
      </c>
      <c r="E682" s="8" t="s">
        <v>1028</v>
      </c>
      <c r="F682" s="8" t="s">
        <v>68</v>
      </c>
      <c r="G682" s="8" t="s">
        <v>2107</v>
      </c>
      <c r="H682" s="8" t="s">
        <v>1028</v>
      </c>
      <c r="I682" s="8" t="s">
        <v>292</v>
      </c>
      <c r="J682" s="78" t="s">
        <v>4597</v>
      </c>
      <c r="K682" s="22">
        <v>0.0</v>
      </c>
      <c r="L682" s="22">
        <f>+SUMIF('حركه المخزن الرئيسي اليوميه'!$F:$F,$H:$H,'حركه المخزن الرئيسي اليوميه'!$H:$H)</f>
        <v>0.0</v>
      </c>
      <c r="M682" s="22">
        <f>+SUMIF('حركه المخزن الرئيسي اليوميه'!$F:$F,$H:$H,'حركه المخزن الرئيسي اليوميه'!$I:$I)</f>
        <v>0.0</v>
      </c>
      <c r="N682" s="22">
        <f>+K682+L682-M682</f>
        <v>0.0</v>
      </c>
      <c r="O682" s="22">
        <f>+N682</f>
        <v>0.0</v>
      </c>
      <c r="P682" s="22">
        <f>+N682-O682</f>
        <v>0.0</v>
      </c>
      <c r="Q682" s="57"/>
      <c r="R682" s="58"/>
    </row>
    <row r="683" spans="8:8" ht="15.0" customHeight="1">
      <c r="B683" s="54">
        <v>751.0</v>
      </c>
      <c r="C683" s="8" t="s">
        <v>8351</v>
      </c>
      <c r="D683" s="8" t="s">
        <v>1013</v>
      </c>
      <c r="E683" s="8" t="s">
        <v>8177</v>
      </c>
      <c r="F683" s="8" t="s">
        <v>8199</v>
      </c>
      <c r="G683" s="8"/>
      <c r="H683" s="8" t="s">
        <v>8177</v>
      </c>
      <c r="I683" s="55" t="s">
        <v>818</v>
      </c>
      <c r="J683" s="78" t="s">
        <v>4598</v>
      </c>
      <c r="K683" s="22">
        <v>100.0</v>
      </c>
      <c r="L683" s="22">
        <f>+SUMIF('حركه المخزن الرئيسي اليوميه'!$F:$F,$H:$H,'حركه المخزن الرئيسي اليوميه'!$H:$H)</f>
        <v>0.0</v>
      </c>
      <c r="M683" s="22">
        <f>+SUMIF('حركه المخزن الرئيسي اليوميه'!$F:$F,$H:$H,'حركه المخزن الرئيسي اليوميه'!$I:$I)</f>
        <v>0.0</v>
      </c>
      <c r="N683" s="22">
        <f>+K683+L683-M683</f>
        <v>100.0</v>
      </c>
      <c r="O683" s="22">
        <f>+N683</f>
        <v>100.0</v>
      </c>
      <c r="P683" s="22">
        <f>+N683-O683</f>
        <v>0.0</v>
      </c>
      <c r="Q683" s="57"/>
      <c r="R683" s="58"/>
    </row>
    <row r="684" spans="8:8" ht="15.0" customHeight="1">
      <c r="B684" s="54">
        <v>753.0</v>
      </c>
      <c r="C684" s="8" t="s">
        <v>8351</v>
      </c>
      <c r="D684" s="8" t="s">
        <v>1013</v>
      </c>
      <c r="E684" s="8" t="s">
        <v>1562</v>
      </c>
      <c r="F684" s="8" t="s">
        <v>1501</v>
      </c>
      <c r="G684" s="8"/>
      <c r="H684" s="8" t="s">
        <v>1562</v>
      </c>
      <c r="I684" s="55" t="s">
        <v>8139</v>
      </c>
      <c r="J684" s="78" t="s">
        <v>4599</v>
      </c>
      <c r="K684" s="22">
        <v>9.0</v>
      </c>
      <c r="L684" s="22">
        <f>+SUMIF('حركه المخزن الرئيسي اليوميه'!$F:$F,$H:$H,'حركه المخزن الرئيسي اليوميه'!$H:$H)</f>
        <v>0.0</v>
      </c>
      <c r="M684" s="22">
        <f>+SUMIF('حركه المخزن الرئيسي اليوميه'!$F:$F,$H:$H,'حركه المخزن الرئيسي اليوميه'!$I:$I)</f>
        <v>3.0</v>
      </c>
      <c r="N684" s="22">
        <f>+K684+L684-M684</f>
        <v>6.0</v>
      </c>
      <c r="O684" s="22">
        <f>+N684</f>
        <v>6.0</v>
      </c>
      <c r="P684" s="22"/>
      <c r="Q684" s="57"/>
      <c r="R684" s="58"/>
    </row>
    <row r="685" spans="8:8" ht="15.0" customHeight="1">
      <c r="B685" s="54">
        <v>754.0</v>
      </c>
      <c r="C685" s="8" t="s">
        <v>8351</v>
      </c>
      <c r="D685" s="8" t="s">
        <v>1013</v>
      </c>
      <c r="E685" s="8" t="s">
        <v>305</v>
      </c>
      <c r="F685" s="8" t="s">
        <v>68</v>
      </c>
      <c r="G685" s="8" t="s">
        <v>1817</v>
      </c>
      <c r="H685" s="8" t="s">
        <v>306</v>
      </c>
      <c r="I685" s="8" t="s">
        <v>304</v>
      </c>
      <c r="J685" s="78" t="s">
        <v>4600</v>
      </c>
      <c r="K685" s="22">
        <v>0.0</v>
      </c>
      <c r="L685" s="22">
        <f>+SUMIF('حركه المخزن الرئيسي اليوميه'!$F:$F,$H:$H,'حركه المخزن الرئيسي اليوميه'!$H:$H)</f>
        <v>0.0</v>
      </c>
      <c r="M685" s="22">
        <f>+SUMIF('حركه المخزن الرئيسي اليوميه'!$F:$F,$H:$H,'حركه المخزن الرئيسي اليوميه'!$I:$I)</f>
        <v>0.0</v>
      </c>
      <c r="N685" s="22">
        <f>+K685+L685-M685</f>
        <v>0.0</v>
      </c>
      <c r="O685" s="22">
        <f>+N685</f>
        <v>0.0</v>
      </c>
      <c r="P685" s="22"/>
      <c r="Q685" s="57"/>
      <c r="R685" s="58"/>
    </row>
    <row r="686" spans="8:8" ht="15.0" customHeight="1">
      <c r="B686" s="54">
        <v>755.0</v>
      </c>
      <c r="C686" s="8" t="s">
        <v>8351</v>
      </c>
      <c r="D686" s="8" t="s">
        <v>1013</v>
      </c>
      <c r="E686" s="8" t="s">
        <v>308</v>
      </c>
      <c r="F686" s="8" t="s">
        <v>68</v>
      </c>
      <c r="G686" s="8" t="s">
        <v>1818</v>
      </c>
      <c r="H686" s="8" t="s">
        <v>593</v>
      </c>
      <c r="I686" s="8" t="s">
        <v>352</v>
      </c>
      <c r="J686" s="78" t="s">
        <v>4601</v>
      </c>
      <c r="K686" s="22">
        <v>183.0</v>
      </c>
      <c r="L686" s="22">
        <f>+SUMIF('حركه المخزن الرئيسي اليوميه'!$F:$F,$H:$H,'حركه المخزن الرئيسي اليوميه'!$H:$H)</f>
        <v>0.0</v>
      </c>
      <c r="M686" s="22">
        <f>+SUMIF('حركه المخزن الرئيسي اليوميه'!$F:$F,$H:$H,'حركه المخزن الرئيسي اليوميه'!$I:$I)</f>
        <v>159.0</v>
      </c>
      <c r="N686" s="22">
        <f>+K686+L686-M686</f>
        <v>24.0</v>
      </c>
      <c r="O686" s="22">
        <f>+N686</f>
        <v>24.0</v>
      </c>
      <c r="P686" s="22"/>
      <c r="Q686" s="57"/>
      <c r="R686" s="58"/>
    </row>
    <row r="687" spans="8:8" ht="15.0" customHeight="1">
      <c r="B687" s="54">
        <v>756.0</v>
      </c>
      <c r="C687" s="8" t="s">
        <v>8351</v>
      </c>
      <c r="D687" s="8" t="s">
        <v>1013</v>
      </c>
      <c r="E687" s="8" t="s">
        <v>1446</v>
      </c>
      <c r="F687" s="8" t="s">
        <v>68</v>
      </c>
      <c r="G687" s="8" t="s">
        <v>2331</v>
      </c>
      <c r="H687" s="8" t="s">
        <v>2897</v>
      </c>
      <c r="I687" s="8" t="s">
        <v>286</v>
      </c>
      <c r="J687" s="78" t="s">
        <v>4602</v>
      </c>
      <c r="K687" s="22">
        <v>3.0</v>
      </c>
      <c r="L687" s="22">
        <f>+SUMIF('حركه المخزن الرئيسي اليوميه'!$F:$F,$H:$H,'حركه المخزن الرئيسي اليوميه'!$H:$H)</f>
        <v>0.0</v>
      </c>
      <c r="M687" s="22">
        <f>+SUMIF('حركه المخزن الرئيسي اليوميه'!$F:$F,$H:$H,'حركه المخزن الرئيسي اليوميه'!$I:$I)</f>
        <v>0.0</v>
      </c>
      <c r="N687" s="22">
        <f>+K687+L687-M687</f>
        <v>3.0</v>
      </c>
      <c r="O687" s="22">
        <f>+N687</f>
        <v>3.0</v>
      </c>
      <c r="P687" s="22"/>
      <c r="Q687" s="57"/>
      <c r="R687" s="58"/>
    </row>
    <row r="688" spans="8:8" ht="15.0" customHeight="1">
      <c r="B688" s="54">
        <v>757.0</v>
      </c>
      <c r="C688" s="8" t="s">
        <v>8351</v>
      </c>
      <c r="D688" s="8" t="s">
        <v>1013</v>
      </c>
      <c r="E688" s="8" t="s">
        <v>1117</v>
      </c>
      <c r="F688" s="8" t="s">
        <v>68</v>
      </c>
      <c r="G688" s="8" t="s">
        <v>2332</v>
      </c>
      <c r="H688" s="8" t="s">
        <v>1117</v>
      </c>
      <c r="I688" s="8" t="s">
        <v>304</v>
      </c>
      <c r="J688" s="78" t="s">
        <v>4603</v>
      </c>
      <c r="K688" s="22">
        <v>0.0</v>
      </c>
      <c r="L688" s="22">
        <f>+SUMIF('حركه المخزن الرئيسي اليوميه'!$F:$F,$H:$H,'حركه المخزن الرئيسي اليوميه'!$H:$H)</f>
        <v>0.0</v>
      </c>
      <c r="M688" s="22">
        <f>+SUMIF('حركه المخزن الرئيسي اليوميه'!$F:$F,$H:$H,'حركه المخزن الرئيسي اليوميه'!$I:$I)</f>
        <v>0.0</v>
      </c>
      <c r="N688" s="22">
        <f>+K688+L688-M688</f>
        <v>0.0</v>
      </c>
      <c r="O688" s="22">
        <f>+N688</f>
        <v>0.0</v>
      </c>
      <c r="P688" s="22">
        <f>+N688-O688</f>
        <v>0.0</v>
      </c>
      <c r="Q688" s="57"/>
      <c r="R688" s="58"/>
    </row>
    <row r="689" spans="8:8" ht="15.0" customHeight="1">
      <c r="B689" s="54">
        <v>758.0</v>
      </c>
      <c r="C689" s="8" t="s">
        <v>8351</v>
      </c>
      <c r="D689" s="8" t="s">
        <v>1013</v>
      </c>
      <c r="E689" s="8" t="s">
        <v>56</v>
      </c>
      <c r="F689" s="8" t="s">
        <v>307</v>
      </c>
      <c r="G689" s="8" t="s">
        <v>1817</v>
      </c>
      <c r="H689" s="8" t="s">
        <v>56</v>
      </c>
      <c r="I689" s="8" t="s">
        <v>224</v>
      </c>
      <c r="J689" s="78" t="s">
        <v>4604</v>
      </c>
      <c r="K689" s="22">
        <v>5.0</v>
      </c>
      <c r="L689" s="22">
        <f>+SUMIF('حركه المخزن الرئيسي اليوميه'!$F:$F,$H:$H,'حركه المخزن الرئيسي اليوميه'!$H:$H)</f>
        <v>0.0</v>
      </c>
      <c r="M689" s="22">
        <f>+SUMIF('حركه المخزن الرئيسي اليوميه'!$F:$F,$H:$H,'حركه المخزن الرئيسي اليوميه'!$I:$I)</f>
        <v>0.0</v>
      </c>
      <c r="N689" s="22">
        <f>+K689+L689-M689</f>
        <v>5.0</v>
      </c>
      <c r="O689" s="22">
        <f>+N689</f>
        <v>5.0</v>
      </c>
      <c r="P689" s="22">
        <f>+N689-O689</f>
        <v>0.0</v>
      </c>
      <c r="Q689" s="57"/>
      <c r="R689" s="58"/>
    </row>
    <row r="690" spans="8:8" ht="15.0" customHeight="1">
      <c r="B690" s="54">
        <v>759.0</v>
      </c>
      <c r="C690" s="8" t="s">
        <v>8351</v>
      </c>
      <c r="D690" s="8" t="s">
        <v>1013</v>
      </c>
      <c r="E690" s="8" t="s">
        <v>308</v>
      </c>
      <c r="F690" s="8" t="s">
        <v>68</v>
      </c>
      <c r="G690" s="8" t="s">
        <v>1818</v>
      </c>
      <c r="H690" s="8" t="s">
        <v>1205</v>
      </c>
      <c r="I690" s="8" t="s">
        <v>304</v>
      </c>
      <c r="J690" s="78" t="s">
        <v>4605</v>
      </c>
      <c r="K690" s="22">
        <v>0.0</v>
      </c>
      <c r="L690" s="22">
        <f>+SUMIF('حركه المخزن الرئيسي اليوميه'!$F:$F,$H:$H,'حركه المخزن الرئيسي اليوميه'!$H:$H)</f>
        <v>0.0</v>
      </c>
      <c r="M690" s="22">
        <f>+SUMIF('حركه المخزن الرئيسي اليوميه'!$F:$F,$H:$H,'حركه المخزن الرئيسي اليوميه'!$I:$I)</f>
        <v>0.0</v>
      </c>
      <c r="N690" s="22">
        <f>+K690+L690-M690</f>
        <v>0.0</v>
      </c>
      <c r="O690" s="22">
        <f>+N690</f>
        <v>0.0</v>
      </c>
      <c r="P690" s="22">
        <f>+N690-O690</f>
        <v>0.0</v>
      </c>
      <c r="Q690" s="57"/>
      <c r="R690" s="58"/>
    </row>
    <row r="691" spans="8:8" ht="15.0" customHeight="1">
      <c r="B691" s="54">
        <v>760.0</v>
      </c>
      <c r="C691" s="8" t="s">
        <v>8351</v>
      </c>
      <c r="D691" s="8" t="s">
        <v>1013</v>
      </c>
      <c r="E691" s="8" t="s">
        <v>309</v>
      </c>
      <c r="F691" s="8" t="s">
        <v>68</v>
      </c>
      <c r="G691" s="8" t="s">
        <v>1819</v>
      </c>
      <c r="H691" s="8" t="s">
        <v>309</v>
      </c>
      <c r="I691" s="8" t="s">
        <v>304</v>
      </c>
      <c r="J691" s="78" t="s">
        <v>4606</v>
      </c>
      <c r="K691" s="22">
        <v>0.0</v>
      </c>
      <c r="L691" s="22">
        <f>+SUMIF('حركه المخزن الرئيسي اليوميه'!$F:$F,$H:$H,'حركه المخزن الرئيسي اليوميه'!$H:$H)</f>
        <v>0.0</v>
      </c>
      <c r="M691" s="22">
        <f>+SUMIF('حركه المخزن الرئيسي اليوميه'!$F:$F,$H:$H,'حركه المخزن الرئيسي اليوميه'!$I:$I)</f>
        <v>0.0</v>
      </c>
      <c r="N691" s="22">
        <f>+K691+L691-M691</f>
        <v>0.0</v>
      </c>
      <c r="O691" s="22">
        <f>+N691</f>
        <v>0.0</v>
      </c>
      <c r="P691" s="22">
        <f>+N691-O691</f>
        <v>0.0</v>
      </c>
      <c r="Q691" s="57"/>
      <c r="R691" s="58"/>
    </row>
    <row r="692" spans="8:8" ht="15.0" customHeight="1">
      <c r="B692" s="54">
        <v>761.0</v>
      </c>
      <c r="C692" s="8" t="s">
        <v>8351</v>
      </c>
      <c r="D692" s="8" t="s">
        <v>1013</v>
      </c>
      <c r="E692" s="8" t="s">
        <v>3824</v>
      </c>
      <c r="F692" s="8" t="s">
        <v>68</v>
      </c>
      <c r="G692" s="8" t="s">
        <v>2330</v>
      </c>
      <c r="H692" s="8" t="s">
        <v>3824</v>
      </c>
      <c r="I692" s="8" t="s">
        <v>2974</v>
      </c>
      <c r="J692" s="78" t="s">
        <v>4607</v>
      </c>
      <c r="K692" s="22">
        <v>55.0</v>
      </c>
      <c r="L692" s="22">
        <f>+SUMIF('حركه المخزن الرئيسي اليوميه'!$F:$F,$H:$H,'حركه المخزن الرئيسي اليوميه'!$H:$H)</f>
        <v>0.0</v>
      </c>
      <c r="M692" s="22">
        <f>+SUMIF('حركه المخزن الرئيسي اليوميه'!$F:$F,$H:$H,'حركه المخزن الرئيسي اليوميه'!$I:$I)</f>
        <v>0.0</v>
      </c>
      <c r="N692" s="22">
        <f>+K692+L692-M692</f>
        <v>55.0</v>
      </c>
      <c r="O692" s="22">
        <f>+N692</f>
        <v>55.0</v>
      </c>
      <c r="P692" s="22">
        <f>+N692-O692</f>
        <v>0.0</v>
      </c>
      <c r="Q692" s="57"/>
      <c r="R692" s="58"/>
    </row>
    <row r="693" spans="8:8" ht="15.0" customHeight="1">
      <c r="B693" s="54">
        <v>763.0</v>
      </c>
      <c r="C693" s="8" t="s">
        <v>8351</v>
      </c>
      <c r="D693" s="8" t="s">
        <v>1013</v>
      </c>
      <c r="E693" s="8" t="s">
        <v>8181</v>
      </c>
      <c r="F693" s="8" t="s">
        <v>68</v>
      </c>
      <c r="G693" s="8" t="s">
        <v>2108</v>
      </c>
      <c r="H693" s="8" t="s">
        <v>8181</v>
      </c>
      <c r="I693" s="8" t="s">
        <v>3292</v>
      </c>
      <c r="J693" s="78" t="s">
        <v>4608</v>
      </c>
      <c r="K693" s="22">
        <v>2.0</v>
      </c>
      <c r="L693" s="22">
        <f>+SUMIF('حركه المخزن الرئيسي اليوميه'!$F:$F,$H:$H,'حركه المخزن الرئيسي اليوميه'!$H:$H)</f>
        <v>0.0</v>
      </c>
      <c r="M693" s="22">
        <f>+SUMIF('حركه المخزن الرئيسي اليوميه'!$F:$F,$H:$H,'حركه المخزن الرئيسي اليوميه'!$I:$I)</f>
        <v>0.0</v>
      </c>
      <c r="N693" s="22">
        <f>+K693+L693-M693</f>
        <v>2.0</v>
      </c>
      <c r="O693" s="22">
        <f>+N693</f>
        <v>2.0</v>
      </c>
      <c r="P693" s="22">
        <f>+N693-O693</f>
        <v>0.0</v>
      </c>
      <c r="Q693" s="57"/>
      <c r="R693" s="58"/>
    </row>
    <row r="694" spans="8:8" ht="15.0" customHeight="1">
      <c r="B694" s="54">
        <v>765.0</v>
      </c>
      <c r="C694" s="8" t="s">
        <v>8351</v>
      </c>
      <c r="D694" s="8" t="s">
        <v>820</v>
      </c>
      <c r="E694" s="8" t="s">
        <v>859</v>
      </c>
      <c r="F694" s="8" t="s">
        <v>68</v>
      </c>
      <c r="G694" s="8" t="s">
        <v>2170</v>
      </c>
      <c r="H694" s="8" t="s">
        <v>859</v>
      </c>
      <c r="I694" s="8" t="s">
        <v>286</v>
      </c>
      <c r="J694" s="78" t="s">
        <v>4609</v>
      </c>
      <c r="K694" s="22">
        <v>12.0</v>
      </c>
      <c r="L694" s="22">
        <f>+SUMIF('حركه المخزن الرئيسي اليوميه'!$F:$F,$H:$H,'حركه المخزن الرئيسي اليوميه'!$H:$H)</f>
        <v>0.0</v>
      </c>
      <c r="M694" s="22">
        <f>+SUMIF('حركه المخزن الرئيسي اليوميه'!$F:$F,$H:$H,'حركه المخزن الرئيسي اليوميه'!$I:$I)</f>
        <v>2.0</v>
      </c>
      <c r="N694" s="22">
        <f>+K694+L694-M694</f>
        <v>10.0</v>
      </c>
      <c r="O694" s="22">
        <f>+N694</f>
        <v>10.0</v>
      </c>
      <c r="P694" s="22">
        <f>+N694-O694</f>
        <v>0.0</v>
      </c>
      <c r="Q694" s="57"/>
      <c r="R694" s="58"/>
    </row>
    <row r="695" spans="8:8" ht="15.0" customHeight="1">
      <c r="B695" s="54">
        <v>766.0</v>
      </c>
      <c r="C695" s="8" t="s">
        <v>8351</v>
      </c>
      <c r="D695" s="8" t="s">
        <v>820</v>
      </c>
      <c r="E695" s="8" t="s">
        <v>1437</v>
      </c>
      <c r="F695" s="8" t="s">
        <v>68</v>
      </c>
      <c r="G695" s="8" t="s">
        <v>2273</v>
      </c>
      <c r="H695" s="8" t="s">
        <v>1437</v>
      </c>
      <c r="I695" s="8" t="s">
        <v>311</v>
      </c>
      <c r="J695" s="78" t="s">
        <v>4610</v>
      </c>
      <c r="K695" s="22">
        <v>0.0</v>
      </c>
      <c r="L695" s="22">
        <f>+SUMIF('حركه المخزن الرئيسي اليوميه'!$F:$F,$H:$H,'حركه المخزن الرئيسي اليوميه'!$H:$H)</f>
        <v>0.0</v>
      </c>
      <c r="M695" s="22">
        <f>+SUMIF('حركه المخزن الرئيسي اليوميه'!$F:$F,$H:$H,'حركه المخزن الرئيسي اليوميه'!$I:$I)</f>
        <v>0.0</v>
      </c>
      <c r="N695" s="22">
        <f>+K695+L695-M695</f>
        <v>0.0</v>
      </c>
      <c r="O695" s="22">
        <f>+N695</f>
        <v>0.0</v>
      </c>
      <c r="P695" s="22">
        <f>+N695-O695</f>
        <v>0.0</v>
      </c>
      <c r="Q695" s="57"/>
      <c r="R695" s="58"/>
    </row>
    <row r="696" spans="8:8" ht="15.0" customHeight="1">
      <c r="B696" s="54">
        <v>767.0</v>
      </c>
      <c r="C696" s="8" t="s">
        <v>8351</v>
      </c>
      <c r="D696" s="8" t="s">
        <v>1013</v>
      </c>
      <c r="E696" s="8" t="s">
        <v>3189</v>
      </c>
      <c r="F696" s="8" t="s">
        <v>68</v>
      </c>
      <c r="G696" s="8" t="s">
        <v>2109</v>
      </c>
      <c r="H696" s="8" t="s">
        <v>1949</v>
      </c>
      <c r="I696" s="8" t="s">
        <v>304</v>
      </c>
      <c r="J696" s="78" t="s">
        <v>4611</v>
      </c>
      <c r="K696" s="22">
        <v>95.0</v>
      </c>
      <c r="L696" s="22">
        <f>+SUMIF('حركه المخزن الرئيسي اليوميه'!$F:$F,$H:$H,'حركه المخزن الرئيسي اليوميه'!$H:$H)</f>
        <v>0.0</v>
      </c>
      <c r="M696" s="22">
        <f>+SUMIF('حركه المخزن الرئيسي اليوميه'!$F:$F,$H:$H,'حركه المخزن الرئيسي اليوميه'!$I:$I)</f>
        <v>0.0</v>
      </c>
      <c r="N696" s="22">
        <f>+K696+L696-M696</f>
        <v>95.0</v>
      </c>
      <c r="O696" s="22">
        <f>+N696</f>
        <v>95.0</v>
      </c>
      <c r="P696" s="22">
        <f>+N696-O696</f>
        <v>0.0</v>
      </c>
      <c r="Q696" s="57"/>
      <c r="R696" s="58"/>
    </row>
    <row r="697" spans="8:8" ht="15.0" customHeight="1">
      <c r="B697" s="54">
        <v>768.0</v>
      </c>
      <c r="C697" s="8" t="s">
        <v>8351</v>
      </c>
      <c r="D697" s="8" t="s">
        <v>1013</v>
      </c>
      <c r="E697" s="8" t="s">
        <v>3189</v>
      </c>
      <c r="F697" s="8" t="s">
        <v>68</v>
      </c>
      <c r="G697" s="8" t="s">
        <v>2109</v>
      </c>
      <c r="H697" s="8" t="s">
        <v>1950</v>
      </c>
      <c r="I697" s="8" t="s">
        <v>304</v>
      </c>
      <c r="J697" s="78" t="s">
        <v>4612</v>
      </c>
      <c r="K697" s="22">
        <v>61.0</v>
      </c>
      <c r="L697" s="22">
        <f>+SUMIF('حركه المخزن الرئيسي اليوميه'!$F:$F,$H:$H,'حركه المخزن الرئيسي اليوميه'!$H:$H)</f>
        <v>0.0</v>
      </c>
      <c r="M697" s="22">
        <f>+SUMIF('حركه المخزن الرئيسي اليوميه'!$F:$F,$H:$H,'حركه المخزن الرئيسي اليوميه'!$I:$I)</f>
        <v>0.0</v>
      </c>
      <c r="N697" s="22">
        <f>+K697+L697-M697</f>
        <v>61.0</v>
      </c>
      <c r="O697" s="22">
        <f>+N697</f>
        <v>61.0</v>
      </c>
      <c r="P697" s="22">
        <f>+N697-O697</f>
        <v>0.0</v>
      </c>
      <c r="Q697" s="57"/>
      <c r="R697" s="58"/>
    </row>
    <row r="698" spans="8:8" ht="15.0" customHeight="1">
      <c r="B698" s="54">
        <v>769.0</v>
      </c>
      <c r="C698" s="8" t="s">
        <v>8351</v>
      </c>
      <c r="D698" s="8" t="s">
        <v>1013</v>
      </c>
      <c r="E698" s="8" t="s">
        <v>3189</v>
      </c>
      <c r="F698" s="8" t="s">
        <v>68</v>
      </c>
      <c r="G698" s="8" t="s">
        <v>2109</v>
      </c>
      <c r="H698" s="8" t="s">
        <v>1947</v>
      </c>
      <c r="I698" s="8" t="s">
        <v>304</v>
      </c>
      <c r="J698" s="78" t="s">
        <v>4613</v>
      </c>
      <c r="K698" s="22">
        <v>126.0</v>
      </c>
      <c r="L698" s="22">
        <f>+SUMIF('حركه المخزن الرئيسي اليوميه'!$F:$F,$H:$H,'حركه المخزن الرئيسي اليوميه'!$H:$H)</f>
        <v>0.0</v>
      </c>
      <c r="M698" s="22">
        <f>+SUMIF('حركه المخزن الرئيسي اليوميه'!$F:$F,$H:$H,'حركه المخزن الرئيسي اليوميه'!$I:$I)</f>
        <v>0.0</v>
      </c>
      <c r="N698" s="22">
        <f>+K698+L698-M698</f>
        <v>126.0</v>
      </c>
      <c r="O698" s="22">
        <f>+N698</f>
        <v>126.0</v>
      </c>
      <c r="P698" s="22">
        <f>+N698-O698</f>
        <v>0.0</v>
      </c>
      <c r="Q698" s="57"/>
      <c r="R698" s="58"/>
    </row>
    <row r="699" spans="8:8" ht="15.0" customHeight="1">
      <c r="B699" s="54">
        <v>770.0</v>
      </c>
      <c r="C699" s="8" t="s">
        <v>8351</v>
      </c>
      <c r="D699" s="8" t="s">
        <v>1013</v>
      </c>
      <c r="E699" s="8" t="s">
        <v>3189</v>
      </c>
      <c r="F699" s="8" t="s">
        <v>68</v>
      </c>
      <c r="G699" s="8" t="s">
        <v>2109</v>
      </c>
      <c r="H699" s="8" t="s">
        <v>1948</v>
      </c>
      <c r="I699" s="8" t="s">
        <v>304</v>
      </c>
      <c r="J699" s="78" t="s">
        <v>4614</v>
      </c>
      <c r="K699" s="22">
        <v>150.0</v>
      </c>
      <c r="L699" s="22">
        <f>+SUMIF('حركه المخزن الرئيسي اليوميه'!$F:$F,$H:$H,'حركه المخزن الرئيسي اليوميه'!$H:$H)</f>
        <v>0.0</v>
      </c>
      <c r="M699" s="22">
        <f>+SUMIF('حركه المخزن الرئيسي اليوميه'!$F:$F,$H:$H,'حركه المخزن الرئيسي اليوميه'!$I:$I)</f>
        <v>0.0</v>
      </c>
      <c r="N699" s="22">
        <f>+K699+L699-M699</f>
        <v>150.0</v>
      </c>
      <c r="O699" s="22">
        <f>+N699</f>
        <v>150.0</v>
      </c>
      <c r="P699" s="22">
        <f>+N699-O699</f>
        <v>0.0</v>
      </c>
      <c r="Q699" s="57"/>
      <c r="R699" s="58"/>
    </row>
    <row r="700" spans="8:8" ht="15.0" customHeight="1">
      <c r="B700" s="54">
        <v>771.0</v>
      </c>
      <c r="C700" s="8" t="s">
        <v>8351</v>
      </c>
      <c r="D700" s="8" t="s">
        <v>1013</v>
      </c>
      <c r="E700" s="8" t="s">
        <v>3189</v>
      </c>
      <c r="F700" s="8" t="s">
        <v>92</v>
      </c>
      <c r="G700" s="8" t="s">
        <v>2109</v>
      </c>
      <c r="H700" s="8" t="s">
        <v>3008</v>
      </c>
      <c r="I700" s="8" t="s">
        <v>2974</v>
      </c>
      <c r="J700" s="78" t="s">
        <v>4615</v>
      </c>
      <c r="K700" s="22">
        <v>1.0</v>
      </c>
      <c r="L700" s="22">
        <f>+SUMIF('حركه المخزن الرئيسي اليوميه'!$F:$F,$H:$H,'حركه المخزن الرئيسي اليوميه'!$H:$H)</f>
        <v>0.0</v>
      </c>
      <c r="M700" s="22">
        <f>+SUMIF('حركه المخزن الرئيسي اليوميه'!$F:$F,$H:$H,'حركه المخزن الرئيسي اليوميه'!$I:$I)</f>
        <v>0.0</v>
      </c>
      <c r="N700" s="22">
        <f>+K700+L700-M700</f>
        <v>1.0</v>
      </c>
      <c r="O700" s="22">
        <f>+N700</f>
        <v>1.0</v>
      </c>
      <c r="P700" s="22">
        <f>+N700-O700</f>
        <v>0.0</v>
      </c>
      <c r="Q700" s="57"/>
      <c r="R700" s="58"/>
    </row>
    <row r="701" spans="8:8" ht="15.0" customHeight="1">
      <c r="B701" s="54">
        <v>772.0</v>
      </c>
      <c r="C701" s="8" t="s">
        <v>8351</v>
      </c>
      <c r="D701" s="8" t="s">
        <v>828</v>
      </c>
      <c r="E701" s="8" t="s">
        <v>3036</v>
      </c>
      <c r="F701" s="8" t="s">
        <v>1501</v>
      </c>
      <c r="G701" s="8"/>
      <c r="H701" s="8" t="s">
        <v>3036</v>
      </c>
      <c r="I701" s="55" t="s">
        <v>818</v>
      </c>
      <c r="J701" s="78" t="s">
        <v>4616</v>
      </c>
      <c r="K701" s="22">
        <v>1.0</v>
      </c>
      <c r="L701" s="22">
        <f>+SUMIF('حركه المخزن الرئيسي اليوميه'!$F:$F,$H:$H,'حركه المخزن الرئيسي اليوميه'!$H:$H)</f>
        <v>0.0</v>
      </c>
      <c r="M701" s="22">
        <f>+SUMIF('حركه المخزن الرئيسي اليوميه'!$F:$F,$H:$H,'حركه المخزن الرئيسي اليوميه'!$I:$I)</f>
        <v>0.0</v>
      </c>
      <c r="N701" s="22">
        <f>+K701+L701-M701</f>
        <v>1.0</v>
      </c>
      <c r="O701" s="22">
        <f>+N701</f>
        <v>1.0</v>
      </c>
      <c r="P701" s="22">
        <f>+N701-O701</f>
        <v>0.0</v>
      </c>
      <c r="Q701" s="57"/>
      <c r="R701" s="58"/>
    </row>
    <row r="702" spans="8:8" ht="15.0" customHeight="1">
      <c r="B702" s="54">
        <v>782.0</v>
      </c>
      <c r="C702" s="8" t="s">
        <v>8351</v>
      </c>
      <c r="D702" s="8" t="s">
        <v>1013</v>
      </c>
      <c r="E702" s="8" t="s">
        <v>2652</v>
      </c>
      <c r="F702" s="8" t="s">
        <v>68</v>
      </c>
      <c r="G702" s="8" t="s">
        <v>2110</v>
      </c>
      <c r="H702" s="8" t="s">
        <v>620</v>
      </c>
      <c r="I702" s="8" t="s">
        <v>304</v>
      </c>
      <c r="J702" s="78" t="s">
        <v>4617</v>
      </c>
      <c r="K702" s="22">
        <v>12.0</v>
      </c>
      <c r="L702" s="22">
        <f>+SUMIF('حركه المخزن الرئيسي اليوميه'!$F:$F,$H:$H,'حركه المخزن الرئيسي اليوميه'!$H:$H)</f>
        <v>0.0</v>
      </c>
      <c r="M702" s="22">
        <f>+SUMIF('حركه المخزن الرئيسي اليوميه'!$F:$F,$H:$H,'حركه المخزن الرئيسي اليوميه'!$I:$I)</f>
        <v>0.0</v>
      </c>
      <c r="N702" s="22">
        <f>+K702+L702-M702</f>
        <v>12.0</v>
      </c>
      <c r="O702" s="22">
        <f>+N702</f>
        <v>12.0</v>
      </c>
      <c r="P702" s="22">
        <f>+N702-O702</f>
        <v>0.0</v>
      </c>
      <c r="Q702" s="57"/>
      <c r="R702" s="58"/>
    </row>
    <row r="703" spans="8:8" ht="15.0" customHeight="1">
      <c r="B703" s="54">
        <v>783.0</v>
      </c>
      <c r="C703" s="8" t="s">
        <v>8351</v>
      </c>
      <c r="D703" s="8" t="s">
        <v>1013</v>
      </c>
      <c r="E703" s="8" t="s">
        <v>2653</v>
      </c>
      <c r="F703" s="8" t="s">
        <v>68</v>
      </c>
      <c r="G703" s="8" t="s">
        <v>2119</v>
      </c>
      <c r="H703" s="8" t="s">
        <v>625</v>
      </c>
      <c r="I703" s="8" t="s">
        <v>321</v>
      </c>
      <c r="J703" s="78" t="s">
        <v>4618</v>
      </c>
      <c r="K703" s="22">
        <v>20.0</v>
      </c>
      <c r="L703" s="22">
        <f>+SUMIF('حركه المخزن الرئيسي اليوميه'!$F:$F,$H:$H,'حركه المخزن الرئيسي اليوميه'!$H:$H)</f>
        <v>0.0</v>
      </c>
      <c r="M703" s="22">
        <f>+SUMIF('حركه المخزن الرئيسي اليوميه'!$F:$F,$H:$H,'حركه المخزن الرئيسي اليوميه'!$I:$I)</f>
        <v>0.0</v>
      </c>
      <c r="N703" s="22">
        <f>+K703+L703-M703</f>
        <v>20.0</v>
      </c>
      <c r="O703" s="22">
        <f>+N703</f>
        <v>20.0</v>
      </c>
      <c r="P703" s="22">
        <f>+N703-O703</f>
        <v>0.0</v>
      </c>
      <c r="Q703" s="57"/>
      <c r="R703" s="58"/>
    </row>
    <row r="704" spans="8:8" ht="15.0" customHeight="1">
      <c r="B704" s="54">
        <v>784.0</v>
      </c>
      <c r="C704" s="8" t="s">
        <v>8351</v>
      </c>
      <c r="D704" s="8" t="s">
        <v>1013</v>
      </c>
      <c r="E704" s="8" t="s">
        <v>320</v>
      </c>
      <c r="F704" s="8" t="s">
        <v>68</v>
      </c>
      <c r="G704" s="8" t="s">
        <v>2110</v>
      </c>
      <c r="H704" s="8" t="s">
        <v>621</v>
      </c>
      <c r="I704" s="8" t="s">
        <v>321</v>
      </c>
      <c r="J704" s="78" t="s">
        <v>4619</v>
      </c>
      <c r="K704" s="22">
        <v>3.0</v>
      </c>
      <c r="L704" s="22">
        <f>+SUMIF('حركه المخزن الرئيسي اليوميه'!$F:$F,$H:$H,'حركه المخزن الرئيسي اليوميه'!$H:$H)</f>
        <v>0.0</v>
      </c>
      <c r="M704" s="22">
        <f>+SUMIF('حركه المخزن الرئيسي اليوميه'!$F:$F,$H:$H,'حركه المخزن الرئيسي اليوميه'!$I:$I)</f>
        <v>0.0</v>
      </c>
      <c r="N704" s="22">
        <f>+K704+L704-M704</f>
        <v>3.0</v>
      </c>
      <c r="O704" s="22">
        <f>+N704</f>
        <v>3.0</v>
      </c>
      <c r="P704" s="22">
        <f>+N704-O704</f>
        <v>0.0</v>
      </c>
      <c r="Q704" s="57"/>
      <c r="R704" s="58"/>
    </row>
    <row r="705" spans="8:8" ht="15.0" customHeight="1">
      <c r="B705" s="54">
        <v>785.0</v>
      </c>
      <c r="C705" s="8" t="s">
        <v>8351</v>
      </c>
      <c r="D705" s="8" t="s">
        <v>1013</v>
      </c>
      <c r="E705" s="8" t="s">
        <v>320</v>
      </c>
      <c r="F705" s="8" t="s">
        <v>68</v>
      </c>
      <c r="G705" s="8" t="s">
        <v>2110</v>
      </c>
      <c r="H705" s="8" t="s">
        <v>622</v>
      </c>
      <c r="I705" s="8" t="s">
        <v>321</v>
      </c>
      <c r="J705" s="78" t="s">
        <v>4620</v>
      </c>
      <c r="K705" s="22">
        <v>1.0</v>
      </c>
      <c r="L705" s="22">
        <f>+SUMIF('حركه المخزن الرئيسي اليوميه'!$F:$F,$H:$H,'حركه المخزن الرئيسي اليوميه'!$H:$H)</f>
        <v>0.0</v>
      </c>
      <c r="M705" s="22">
        <f>+SUMIF('حركه المخزن الرئيسي اليوميه'!$F:$F,$H:$H,'حركه المخزن الرئيسي اليوميه'!$I:$I)</f>
        <v>0.0</v>
      </c>
      <c r="N705" s="22">
        <f>+K705+L705-M705</f>
        <v>1.0</v>
      </c>
      <c r="O705" s="22">
        <f>+N705</f>
        <v>1.0</v>
      </c>
      <c r="P705" s="22">
        <f>+N705-O705</f>
        <v>0.0</v>
      </c>
      <c r="Q705" s="57"/>
      <c r="R705" s="58"/>
    </row>
    <row r="706" spans="8:8" ht="15.0" customHeight="1">
      <c r="B706" s="54">
        <v>786.0</v>
      </c>
      <c r="C706" s="8" t="s">
        <v>8351</v>
      </c>
      <c r="D706" s="8" t="s">
        <v>828</v>
      </c>
      <c r="E706" s="8" t="s">
        <v>1331</v>
      </c>
      <c r="F706" s="8" t="s">
        <v>68</v>
      </c>
      <c r="G706" s="8" t="s">
        <v>2154</v>
      </c>
      <c r="H706" s="8" t="s">
        <v>1331</v>
      </c>
      <c r="I706" s="8" t="s">
        <v>321</v>
      </c>
      <c r="J706" s="78" t="s">
        <v>4621</v>
      </c>
      <c r="K706" s="22">
        <v>4.0</v>
      </c>
      <c r="L706" s="22">
        <f>+SUMIF('حركه المخزن الرئيسي اليوميه'!$F:$F,$H:$H,'حركه المخزن الرئيسي اليوميه'!$H:$H)</f>
        <v>0.0</v>
      </c>
      <c r="M706" s="22">
        <f>+SUMIF('حركه المخزن الرئيسي اليوميه'!$F:$F,$H:$H,'حركه المخزن الرئيسي اليوميه'!$I:$I)</f>
        <v>0.0</v>
      </c>
      <c r="N706" s="22">
        <f>+K706+L706-M706</f>
        <v>4.0</v>
      </c>
      <c r="O706" s="22">
        <f>+N706</f>
        <v>4.0</v>
      </c>
      <c r="P706" s="22">
        <f>+N706-O706</f>
        <v>0.0</v>
      </c>
      <c r="Q706" s="57"/>
      <c r="R706" s="58"/>
    </row>
    <row r="707" spans="8:8" ht="15.0" customHeight="1">
      <c r="B707" s="54">
        <v>787.0</v>
      </c>
      <c r="C707" s="8" t="s">
        <v>8351</v>
      </c>
      <c r="D707" s="8" t="s">
        <v>820</v>
      </c>
      <c r="E707" s="8" t="s">
        <v>1142</v>
      </c>
      <c r="F707" s="8" t="s">
        <v>873</v>
      </c>
      <c r="G707" s="8" t="s">
        <v>2206</v>
      </c>
      <c r="H707" s="8" t="s">
        <v>1141</v>
      </c>
      <c r="I707" s="8" t="s">
        <v>313</v>
      </c>
      <c r="J707" s="78" t="s">
        <v>4622</v>
      </c>
      <c r="K707" s="22">
        <v>0.0</v>
      </c>
      <c r="L707" s="22">
        <f>+SUMIF('حركه المخزن الرئيسي اليوميه'!$F:$F,$H:$H,'حركه المخزن الرئيسي اليوميه'!$H:$H)</f>
        <v>0.0</v>
      </c>
      <c r="M707" s="22">
        <f>+SUMIF('حركه المخزن الرئيسي اليوميه'!$F:$F,$H:$H,'حركه المخزن الرئيسي اليوميه'!$I:$I)</f>
        <v>0.0</v>
      </c>
      <c r="N707" s="22">
        <f>+K707+L707-M707</f>
        <v>0.0</v>
      </c>
      <c r="O707" s="22">
        <f>+N707</f>
        <v>0.0</v>
      </c>
      <c r="P707" s="22">
        <f>+N707-O707</f>
        <v>0.0</v>
      </c>
      <c r="Q707" s="57"/>
      <c r="R707" s="58"/>
    </row>
    <row r="708" spans="8:8" ht="15.0" customHeight="1">
      <c r="B708" s="54">
        <v>788.0</v>
      </c>
      <c r="C708" s="8" t="s">
        <v>8351</v>
      </c>
      <c r="D708" s="8" t="s">
        <v>1013</v>
      </c>
      <c r="E708" s="8" t="s">
        <v>252</v>
      </c>
      <c r="F708" s="8" t="s">
        <v>68</v>
      </c>
      <c r="G708" s="8" t="s">
        <v>1859</v>
      </c>
      <c r="H708" s="8" t="s">
        <v>1233</v>
      </c>
      <c r="I708" s="8" t="s">
        <v>311</v>
      </c>
      <c r="J708" s="78" t="s">
        <v>4623</v>
      </c>
      <c r="K708" s="22">
        <v>87.0</v>
      </c>
      <c r="L708" s="22">
        <f>+SUMIF('حركه المخزن الرئيسي اليوميه'!$F:$F,$H:$H,'حركه المخزن الرئيسي اليوميه'!$H:$H)</f>
        <v>0.0</v>
      </c>
      <c r="M708" s="22">
        <f>+SUMIF('حركه المخزن الرئيسي اليوميه'!$F:$F,$H:$H,'حركه المخزن الرئيسي اليوميه'!$I:$I)</f>
        <v>2.0</v>
      </c>
      <c r="N708" s="22">
        <f>+K708+L708-M708</f>
        <v>85.0</v>
      </c>
      <c r="O708" s="22">
        <f>+N708</f>
        <v>85.0</v>
      </c>
      <c r="P708" s="22">
        <f>+N708-O708</f>
        <v>0.0</v>
      </c>
      <c r="Q708" s="57"/>
      <c r="R708" s="58"/>
    </row>
    <row r="709" spans="8:8" ht="15.0" customHeight="1">
      <c r="B709" s="54">
        <v>789.0</v>
      </c>
      <c r="C709" s="8" t="s">
        <v>8351</v>
      </c>
      <c r="D709" s="8" t="s">
        <v>1013</v>
      </c>
      <c r="E709" s="8" t="s">
        <v>252</v>
      </c>
      <c r="F709" s="8" t="s">
        <v>68</v>
      </c>
      <c r="G709" s="8" t="s">
        <v>1859</v>
      </c>
      <c r="H709" s="8" t="s">
        <v>315</v>
      </c>
      <c r="I709" s="8" t="s">
        <v>311</v>
      </c>
      <c r="J709" s="78" t="s">
        <v>4624</v>
      </c>
      <c r="K709" s="22">
        <v>34.0</v>
      </c>
      <c r="L709" s="22">
        <f>+SUMIF('حركه المخزن الرئيسي اليوميه'!$F:$F,$H:$H,'حركه المخزن الرئيسي اليوميه'!$H:$H)</f>
        <v>0.0</v>
      </c>
      <c r="M709" s="22">
        <f>+SUMIF('حركه المخزن الرئيسي اليوميه'!$F:$F,$H:$H,'حركه المخزن الرئيسي اليوميه'!$I:$I)</f>
        <v>1.0</v>
      </c>
      <c r="N709" s="22">
        <f>+K709+L709-M709</f>
        <v>33.0</v>
      </c>
      <c r="O709" s="22">
        <f>+N709</f>
        <v>33.0</v>
      </c>
      <c r="P709" s="22">
        <f>+N709-O709</f>
        <v>0.0</v>
      </c>
      <c r="Q709" s="57"/>
      <c r="R709" s="58"/>
    </row>
    <row r="710" spans="8:8" ht="15.0" customHeight="1">
      <c r="B710" s="54">
        <v>790.0</v>
      </c>
      <c r="C710" s="8" t="s">
        <v>8351</v>
      </c>
      <c r="D710" s="8" t="s">
        <v>1013</v>
      </c>
      <c r="E710" s="8" t="s">
        <v>252</v>
      </c>
      <c r="F710" s="8" t="s">
        <v>68</v>
      </c>
      <c r="G710" s="8" t="s">
        <v>1859</v>
      </c>
      <c r="H710" s="8" t="s">
        <v>1232</v>
      </c>
      <c r="I710" s="8" t="s">
        <v>313</v>
      </c>
      <c r="J710" s="78" t="s">
        <v>4625</v>
      </c>
      <c r="K710" s="22">
        <v>136.0</v>
      </c>
      <c r="L710" s="22">
        <f>+SUMIF('حركه المخزن الرئيسي اليوميه'!$F:$F,$H:$H,'حركه المخزن الرئيسي اليوميه'!$H:$H)</f>
        <v>0.0</v>
      </c>
      <c r="M710" s="22">
        <f>+SUMIF('حركه المخزن الرئيسي اليوميه'!$F:$F,$H:$H,'حركه المخزن الرئيسي اليوميه'!$I:$I)</f>
        <v>0.0</v>
      </c>
      <c r="N710" s="22">
        <f>+K710+L710-M710</f>
        <v>136.0</v>
      </c>
      <c r="O710" s="22">
        <f>+N710</f>
        <v>136.0</v>
      </c>
      <c r="P710" s="22">
        <f>+N710-O710</f>
        <v>0.0</v>
      </c>
      <c r="Q710" s="57"/>
      <c r="R710" s="58"/>
    </row>
    <row r="711" spans="8:8" ht="15.0" customHeight="1">
      <c r="B711" s="54">
        <v>791.0</v>
      </c>
      <c r="C711" s="8" t="s">
        <v>8351</v>
      </c>
      <c r="D711" s="8" t="s">
        <v>1013</v>
      </c>
      <c r="E711" s="8" t="s">
        <v>252</v>
      </c>
      <c r="F711" s="8" t="s">
        <v>68</v>
      </c>
      <c r="G711" s="8" t="s">
        <v>1859</v>
      </c>
      <c r="H711" s="8" t="s">
        <v>314</v>
      </c>
      <c r="I711" s="8" t="s">
        <v>313</v>
      </c>
      <c r="J711" s="78" t="s">
        <v>4626</v>
      </c>
      <c r="K711" s="22">
        <v>60.0</v>
      </c>
      <c r="L711" s="22">
        <f>+SUMIF('حركه المخزن الرئيسي اليوميه'!$F:$F,$H:$H,'حركه المخزن الرئيسي اليوميه'!$H:$H)</f>
        <v>0.0</v>
      </c>
      <c r="M711" s="22">
        <f>+SUMIF('حركه المخزن الرئيسي اليوميه'!$F:$F,$H:$H,'حركه المخزن الرئيسي اليوميه'!$I:$I)</f>
        <v>0.0</v>
      </c>
      <c r="N711" s="22">
        <f>+K711+L711-M711</f>
        <v>60.0</v>
      </c>
      <c r="O711" s="22">
        <f>+N711</f>
        <v>60.0</v>
      </c>
      <c r="P711" s="22">
        <f>+N711-O711</f>
        <v>0.0</v>
      </c>
      <c r="Q711" s="57"/>
      <c r="R711" s="58"/>
    </row>
    <row r="712" spans="8:8" ht="15.0" customHeight="1">
      <c r="B712" s="54">
        <v>792.0</v>
      </c>
      <c r="C712" s="8" t="s">
        <v>8351</v>
      </c>
      <c r="D712" s="8" t="s">
        <v>1013</v>
      </c>
      <c r="E712" s="8" t="s">
        <v>252</v>
      </c>
      <c r="F712" s="8" t="s">
        <v>68</v>
      </c>
      <c r="G712" s="8" t="s">
        <v>1859</v>
      </c>
      <c r="H712" s="8" t="s">
        <v>312</v>
      </c>
      <c r="I712" s="8" t="s">
        <v>304</v>
      </c>
      <c r="J712" s="78" t="s">
        <v>4627</v>
      </c>
      <c r="K712" s="22">
        <v>78.0</v>
      </c>
      <c r="L712" s="22">
        <f>+SUMIF('حركه المخزن الرئيسي اليوميه'!$F:$F,$H:$H,'حركه المخزن الرئيسي اليوميه'!$H:$H)</f>
        <v>0.0</v>
      </c>
      <c r="M712" s="22">
        <f>+SUMIF('حركه المخزن الرئيسي اليوميه'!$F:$F,$H:$H,'حركه المخزن الرئيسي اليوميه'!$I:$I)</f>
        <v>0.0</v>
      </c>
      <c r="N712" s="22">
        <f>+K712+L712-M712</f>
        <v>78.0</v>
      </c>
      <c r="O712" s="22">
        <f>+N712</f>
        <v>78.0</v>
      </c>
      <c r="P712" s="22">
        <f>+N712-O712</f>
        <v>0.0</v>
      </c>
      <c r="Q712" s="57"/>
      <c r="R712" s="58"/>
    </row>
    <row r="713" spans="8:8" ht="15.0" customHeight="1">
      <c r="B713" s="54">
        <v>793.0</v>
      </c>
      <c r="C713" s="8" t="s">
        <v>8351</v>
      </c>
      <c r="D713" s="8" t="s">
        <v>1013</v>
      </c>
      <c r="E713" s="8" t="s">
        <v>1033</v>
      </c>
      <c r="F713" s="8" t="s">
        <v>68</v>
      </c>
      <c r="G713" s="8" t="s">
        <v>2137</v>
      </c>
      <c r="H713" s="8" t="s">
        <v>1033</v>
      </c>
      <c r="I713" s="8" t="s">
        <v>397</v>
      </c>
      <c r="J713" s="78" t="s">
        <v>4628</v>
      </c>
      <c r="K713" s="22">
        <v>0.0</v>
      </c>
      <c r="L713" s="22">
        <f>+SUMIF('حركه المخزن الرئيسي اليوميه'!$F:$F,$H:$H,'حركه المخزن الرئيسي اليوميه'!$H:$H)</f>
        <v>0.0</v>
      </c>
      <c r="M713" s="22">
        <f>+SUMIF('حركه المخزن الرئيسي اليوميه'!$F:$F,$H:$H,'حركه المخزن الرئيسي اليوميه'!$I:$I)</f>
        <v>0.0</v>
      </c>
      <c r="N713" s="22">
        <f>+K713+L713-M713</f>
        <v>0.0</v>
      </c>
      <c r="O713" s="22">
        <f>+N713</f>
        <v>0.0</v>
      </c>
      <c r="P713" s="22">
        <f>+N713-O713</f>
        <v>0.0</v>
      </c>
      <c r="Q713" s="57"/>
      <c r="R713" s="58"/>
    </row>
    <row r="714" spans="8:8" ht="15.0" customHeight="1">
      <c r="B714" s="54">
        <v>794.0</v>
      </c>
      <c r="C714" s="8" t="s">
        <v>8351</v>
      </c>
      <c r="D714" s="8" t="s">
        <v>1013</v>
      </c>
      <c r="E714" s="8" t="s">
        <v>414</v>
      </c>
      <c r="F714" s="8" t="s">
        <v>68</v>
      </c>
      <c r="G714" s="8" t="s">
        <v>1838</v>
      </c>
      <c r="H714" s="8" t="s">
        <v>1935</v>
      </c>
      <c r="I714" s="8" t="s">
        <v>326</v>
      </c>
      <c r="J714" s="78" t="s">
        <v>4629</v>
      </c>
      <c r="K714" s="22">
        <v>3.0</v>
      </c>
      <c r="L714" s="22">
        <f>+SUMIF('حركه المخزن الرئيسي اليوميه'!$F:$F,$H:$H,'حركه المخزن الرئيسي اليوميه'!$H:$H)</f>
        <v>0.0</v>
      </c>
      <c r="M714" s="22">
        <f>+SUMIF('حركه المخزن الرئيسي اليوميه'!$F:$F,$H:$H,'حركه المخزن الرئيسي اليوميه'!$I:$I)</f>
        <v>0.0</v>
      </c>
      <c r="N714" s="22">
        <f>+K714+L714-M714</f>
        <v>3.0</v>
      </c>
      <c r="O714" s="22">
        <f>+N714</f>
        <v>3.0</v>
      </c>
      <c r="P714" s="22">
        <f>+N714-O714</f>
        <v>0.0</v>
      </c>
      <c r="Q714" s="57"/>
      <c r="R714" s="58"/>
    </row>
    <row r="715" spans="8:8" ht="15.0" customHeight="1">
      <c r="B715" s="54">
        <v>795.0</v>
      </c>
      <c r="C715" s="8" t="s">
        <v>8351</v>
      </c>
      <c r="D715" s="8" t="s">
        <v>828</v>
      </c>
      <c r="E715" s="8" t="s">
        <v>1432</v>
      </c>
      <c r="F715" s="8" t="s">
        <v>68</v>
      </c>
      <c r="G715" s="8" t="s">
        <v>1761</v>
      </c>
      <c r="H715" s="8" t="s">
        <v>1452</v>
      </c>
      <c r="I715" s="8" t="s">
        <v>397</v>
      </c>
      <c r="J715" s="78" t="s">
        <v>4630</v>
      </c>
      <c r="K715" s="22">
        <v>0.0</v>
      </c>
      <c r="L715" s="22">
        <f>+SUMIF('حركه المخزن الرئيسي اليوميه'!$F:$F,$H:$H,'حركه المخزن الرئيسي اليوميه'!$H:$H)</f>
        <v>0.0</v>
      </c>
      <c r="M715" s="22">
        <f>+SUMIF('حركه المخزن الرئيسي اليوميه'!$F:$F,$H:$H,'حركه المخزن الرئيسي اليوميه'!$I:$I)</f>
        <v>0.0</v>
      </c>
      <c r="N715" s="22">
        <f>+K715+L715-M715</f>
        <v>0.0</v>
      </c>
      <c r="O715" s="22">
        <f>+N715</f>
        <v>0.0</v>
      </c>
      <c r="P715" s="22">
        <f>+N715-O715</f>
        <v>0.0</v>
      </c>
      <c r="Q715" s="57"/>
      <c r="R715" s="58"/>
    </row>
    <row r="716" spans="8:8" ht="15.0" customHeight="1">
      <c r="B716" s="54">
        <v>796.0</v>
      </c>
      <c r="C716" s="8" t="s">
        <v>8351</v>
      </c>
      <c r="D716" s="8" t="s">
        <v>828</v>
      </c>
      <c r="E716" s="8" t="s">
        <v>412</v>
      </c>
      <c r="F716" s="8" t="s">
        <v>68</v>
      </c>
      <c r="G716" s="8" t="s">
        <v>1695</v>
      </c>
      <c r="H716" s="8" t="s">
        <v>418</v>
      </c>
      <c r="I716" s="8" t="s">
        <v>397</v>
      </c>
      <c r="J716" s="78" t="s">
        <v>4631</v>
      </c>
      <c r="K716" s="22">
        <v>0.0</v>
      </c>
      <c r="L716" s="22">
        <f>+SUMIF('حركه المخزن الرئيسي اليوميه'!$F:$F,$H:$H,'حركه المخزن الرئيسي اليوميه'!$H:$H)</f>
        <v>0.0</v>
      </c>
      <c r="M716" s="22">
        <f>+SUMIF('حركه المخزن الرئيسي اليوميه'!$F:$F,$H:$H,'حركه المخزن الرئيسي اليوميه'!$I:$I)</f>
        <v>0.0</v>
      </c>
      <c r="N716" s="22">
        <f>+K716+L716-M716</f>
        <v>0.0</v>
      </c>
      <c r="O716" s="22">
        <f>+N716</f>
        <v>0.0</v>
      </c>
      <c r="P716" s="22">
        <f>+N716-O716</f>
        <v>0.0</v>
      </c>
      <c r="Q716" s="57"/>
      <c r="R716" s="58"/>
    </row>
    <row r="717" spans="8:8" ht="15.0" customHeight="1">
      <c r="B717" s="54">
        <v>797.0</v>
      </c>
      <c r="C717" s="8" t="s">
        <v>8351</v>
      </c>
      <c r="D717" s="8" t="s">
        <v>820</v>
      </c>
      <c r="E717" s="8" t="s">
        <v>1247</v>
      </c>
      <c r="F717" s="8" t="s">
        <v>68</v>
      </c>
      <c r="G717" s="8"/>
      <c r="H717" s="8" t="s">
        <v>1247</v>
      </c>
      <c r="I717" s="8" t="s">
        <v>397</v>
      </c>
      <c r="J717" s="78" t="s">
        <v>4632</v>
      </c>
      <c r="K717" s="22">
        <v>0.0</v>
      </c>
      <c r="L717" s="22">
        <f>+SUMIF('حركه المخزن الرئيسي اليوميه'!$F:$F,$H:$H,'حركه المخزن الرئيسي اليوميه'!$H:$H)</f>
        <v>0.0</v>
      </c>
      <c r="M717" s="22">
        <f>+SUMIF('حركه المخزن الرئيسي اليوميه'!$F:$F,$H:$H,'حركه المخزن الرئيسي اليوميه'!$I:$I)</f>
        <v>0.0</v>
      </c>
      <c r="N717" s="22">
        <f>+K717+L717-M717</f>
        <v>0.0</v>
      </c>
      <c r="O717" s="22">
        <f>+N717</f>
        <v>0.0</v>
      </c>
      <c r="P717" s="22">
        <f>+N717-O717</f>
        <v>0.0</v>
      </c>
      <c r="Q717" s="57"/>
      <c r="R717" s="58"/>
    </row>
    <row r="718" spans="8:8" ht="15.0" customHeight="1">
      <c r="B718" s="54">
        <v>798.0</v>
      </c>
      <c r="C718" s="8" t="s">
        <v>8351</v>
      </c>
      <c r="D718" s="8" t="s">
        <v>1013</v>
      </c>
      <c r="E718" s="8" t="s">
        <v>416</v>
      </c>
      <c r="F718" s="8" t="s">
        <v>68</v>
      </c>
      <c r="G718" s="8" t="s">
        <v>1696</v>
      </c>
      <c r="H718" s="8" t="s">
        <v>417</v>
      </c>
      <c r="I718" s="8" t="s">
        <v>397</v>
      </c>
      <c r="J718" s="78" t="s">
        <v>4633</v>
      </c>
      <c r="K718" s="22">
        <v>0.0</v>
      </c>
      <c r="L718" s="22">
        <f>+SUMIF('حركه المخزن الرئيسي اليوميه'!$F:$F,$H:$H,'حركه المخزن الرئيسي اليوميه'!$H:$H)</f>
        <v>0.0</v>
      </c>
      <c r="M718" s="22">
        <f>+SUMIF('حركه المخزن الرئيسي اليوميه'!$F:$F,$H:$H,'حركه المخزن الرئيسي اليوميه'!$I:$I)</f>
        <v>0.0</v>
      </c>
      <c r="N718" s="22">
        <f>+K718+L718-M718</f>
        <v>0.0</v>
      </c>
      <c r="O718" s="22">
        <f>+N718</f>
        <v>0.0</v>
      </c>
      <c r="P718" s="22">
        <f>+N718-O718</f>
        <v>0.0</v>
      </c>
      <c r="Q718" s="57"/>
      <c r="R718" s="58"/>
    </row>
    <row r="719" spans="8:8" ht="15.0" customHeight="1">
      <c r="B719" s="54">
        <v>799.0</v>
      </c>
      <c r="C719" s="8" t="s">
        <v>8351</v>
      </c>
      <c r="D719" s="8" t="s">
        <v>1013</v>
      </c>
      <c r="E719" s="8" t="s">
        <v>412</v>
      </c>
      <c r="F719" s="8" t="s">
        <v>68</v>
      </c>
      <c r="G719" s="8"/>
      <c r="H719" s="8" t="s">
        <v>3242</v>
      </c>
      <c r="I719" s="8" t="s">
        <v>818</v>
      </c>
      <c r="J719" s="78" t="s">
        <v>4634</v>
      </c>
      <c r="K719" s="22">
        <v>1.0</v>
      </c>
      <c r="L719" s="22">
        <f>+SUMIF('حركه المخزن الرئيسي اليوميه'!$F:$F,$H:$H,'حركه المخزن الرئيسي اليوميه'!$H:$H)</f>
        <v>0.0</v>
      </c>
      <c r="M719" s="22">
        <f>+SUMIF('حركه المخزن الرئيسي اليوميه'!$F:$F,$H:$H,'حركه المخزن الرئيسي اليوميه'!$I:$I)</f>
        <v>0.0</v>
      </c>
      <c r="N719" s="22">
        <f>+K719+L719-M719</f>
        <v>1.0</v>
      </c>
      <c r="O719" s="22">
        <f>+N719</f>
        <v>1.0</v>
      </c>
      <c r="P719" s="22">
        <f>+N719-O719</f>
        <v>0.0</v>
      </c>
      <c r="Q719" s="57"/>
      <c r="R719" s="58"/>
    </row>
    <row r="720" spans="8:8" ht="15.0" customHeight="1">
      <c r="B720" s="54">
        <v>801.0</v>
      </c>
      <c r="C720" s="8" t="s">
        <v>8351</v>
      </c>
      <c r="D720" s="8" t="s">
        <v>828</v>
      </c>
      <c r="E720" s="8" t="s">
        <v>401</v>
      </c>
      <c r="F720" s="8" t="s">
        <v>68</v>
      </c>
      <c r="G720" s="8"/>
      <c r="H720" s="8" t="s">
        <v>3217</v>
      </c>
      <c r="I720" s="8" t="s">
        <v>818</v>
      </c>
      <c r="J720" s="78" t="s">
        <v>4635</v>
      </c>
      <c r="K720" s="22">
        <v>2.0</v>
      </c>
      <c r="L720" s="22">
        <f>+SUMIF('حركه المخزن الرئيسي اليوميه'!$F:$F,$H:$H,'حركه المخزن الرئيسي اليوميه'!$H:$H)</f>
        <v>0.0</v>
      </c>
      <c r="M720" s="22">
        <f>+SUMIF('حركه المخزن الرئيسي اليوميه'!$F:$F,$H:$H,'حركه المخزن الرئيسي اليوميه'!$I:$I)</f>
        <v>0.0</v>
      </c>
      <c r="N720" s="22">
        <f>+K720+L720-M720</f>
        <v>2.0</v>
      </c>
      <c r="O720" s="22">
        <f>+N720</f>
        <v>2.0</v>
      </c>
      <c r="P720" s="22">
        <f>+N720-O720</f>
        <v>0.0</v>
      </c>
      <c r="Q720" s="57"/>
      <c r="R720" s="58"/>
    </row>
    <row r="721" spans="8:8" ht="15.0" customHeight="1">
      <c r="B721" s="54">
        <v>802.0</v>
      </c>
      <c r="C721" s="8" t="s">
        <v>8351</v>
      </c>
      <c r="D721" s="8" t="s">
        <v>828</v>
      </c>
      <c r="E721" s="8" t="s">
        <v>400</v>
      </c>
      <c r="F721" s="8" t="s">
        <v>68</v>
      </c>
      <c r="G721" s="8"/>
      <c r="H721" s="8" t="s">
        <v>3219</v>
      </c>
      <c r="I721" s="8" t="s">
        <v>818</v>
      </c>
      <c r="J721" s="78" t="s">
        <v>4636</v>
      </c>
      <c r="K721" s="22">
        <v>5.0</v>
      </c>
      <c r="L721" s="22">
        <f>+SUMIF('حركه المخزن الرئيسي اليوميه'!$F:$F,$H:$H,'حركه المخزن الرئيسي اليوميه'!$H:$H)</f>
        <v>0.0</v>
      </c>
      <c r="M721" s="22">
        <f>+SUMIF('حركه المخزن الرئيسي اليوميه'!$F:$F,$H:$H,'حركه المخزن الرئيسي اليوميه'!$I:$I)</f>
        <v>0.0</v>
      </c>
      <c r="N721" s="22">
        <f>+K721+L721-M721</f>
        <v>5.0</v>
      </c>
      <c r="O721" s="22">
        <f>+N721</f>
        <v>5.0</v>
      </c>
      <c r="P721" s="22">
        <f>+N721-O721</f>
        <v>0.0</v>
      </c>
      <c r="Q721" s="57"/>
      <c r="R721" s="58"/>
    </row>
    <row r="722" spans="8:8" ht="15.0" customHeight="1">
      <c r="B722" s="54">
        <v>803.0</v>
      </c>
      <c r="C722" s="8" t="s">
        <v>8351</v>
      </c>
      <c r="D722" s="8" t="s">
        <v>828</v>
      </c>
      <c r="E722" s="8" t="s">
        <v>399</v>
      </c>
      <c r="F722" s="8" t="s">
        <v>68</v>
      </c>
      <c r="G722" s="8"/>
      <c r="H722" s="8" t="s">
        <v>3225</v>
      </c>
      <c r="I722" s="8" t="s">
        <v>818</v>
      </c>
      <c r="J722" s="78" t="s">
        <v>4637</v>
      </c>
      <c r="K722" s="22">
        <v>2.0</v>
      </c>
      <c r="L722" s="22">
        <f>+SUMIF('حركه المخزن الرئيسي اليوميه'!$F:$F,$H:$H,'حركه المخزن الرئيسي اليوميه'!$H:$H)</f>
        <v>0.0</v>
      </c>
      <c r="M722" s="22">
        <f>+SUMIF('حركه المخزن الرئيسي اليوميه'!$F:$F,$H:$H,'حركه المخزن الرئيسي اليوميه'!$I:$I)</f>
        <v>0.0</v>
      </c>
      <c r="N722" s="22">
        <f>+K722+L722-M722</f>
        <v>2.0</v>
      </c>
      <c r="O722" s="22">
        <f>+N722</f>
        <v>2.0</v>
      </c>
      <c r="P722" s="22">
        <f>+N722-O722</f>
        <v>0.0</v>
      </c>
      <c r="Q722" s="57"/>
      <c r="R722" s="58"/>
    </row>
    <row r="723" spans="8:8" ht="15.0" customHeight="1">
      <c r="B723" s="54">
        <v>805.0</v>
      </c>
      <c r="C723" s="8" t="s">
        <v>8351</v>
      </c>
      <c r="D723" s="8" t="s">
        <v>828</v>
      </c>
      <c r="E723" s="8" t="s">
        <v>412</v>
      </c>
      <c r="F723" s="8" t="s">
        <v>68</v>
      </c>
      <c r="G723" s="8"/>
      <c r="H723" s="8" t="s">
        <v>3227</v>
      </c>
      <c r="I723" s="8" t="s">
        <v>818</v>
      </c>
      <c r="J723" s="78" t="s">
        <v>4638</v>
      </c>
      <c r="K723" s="22">
        <v>4.0</v>
      </c>
      <c r="L723" s="22">
        <f>+SUMIF('حركه المخزن الرئيسي اليوميه'!$F:$F,$H:$H,'حركه المخزن الرئيسي اليوميه'!$H:$H)</f>
        <v>0.0</v>
      </c>
      <c r="M723" s="22">
        <f>+SUMIF('حركه المخزن الرئيسي اليوميه'!$F:$F,$H:$H,'حركه المخزن الرئيسي اليوميه'!$I:$I)</f>
        <v>0.0</v>
      </c>
      <c r="N723" s="22">
        <f>+K723+L723-M723</f>
        <v>4.0</v>
      </c>
      <c r="O723" s="22">
        <f>+N723</f>
        <v>4.0</v>
      </c>
      <c r="P723" s="22">
        <f>+N723-O723</f>
        <v>0.0</v>
      </c>
      <c r="Q723" s="57"/>
      <c r="R723" s="58"/>
    </row>
    <row r="724" spans="8:8" ht="15.0" customHeight="1">
      <c r="B724" s="54">
        <v>806.0</v>
      </c>
      <c r="C724" s="8" t="s">
        <v>8351</v>
      </c>
      <c r="D724" s="8" t="s">
        <v>828</v>
      </c>
      <c r="E724" s="8" t="s">
        <v>412</v>
      </c>
      <c r="F724" s="8" t="s">
        <v>68</v>
      </c>
      <c r="G724" s="8"/>
      <c r="H724" s="8" t="s">
        <v>3230</v>
      </c>
      <c r="I724" s="8" t="s">
        <v>818</v>
      </c>
      <c r="J724" s="78" t="s">
        <v>4639</v>
      </c>
      <c r="K724" s="22">
        <v>1.0</v>
      </c>
      <c r="L724" s="22">
        <f>+SUMIF('حركه المخزن الرئيسي اليوميه'!$F:$F,$H:$H,'حركه المخزن الرئيسي اليوميه'!$H:$H)</f>
        <v>0.0</v>
      </c>
      <c r="M724" s="22">
        <f>+SUMIF('حركه المخزن الرئيسي اليوميه'!$F:$F,$H:$H,'حركه المخزن الرئيسي اليوميه'!$I:$I)</f>
        <v>0.0</v>
      </c>
      <c r="N724" s="22">
        <f>+K724+L724-M724</f>
        <v>1.0</v>
      </c>
      <c r="O724" s="22">
        <f>+N724</f>
        <v>1.0</v>
      </c>
      <c r="P724" s="22">
        <f>+N724-O724</f>
        <v>0.0</v>
      </c>
      <c r="Q724" s="57"/>
      <c r="R724" s="58"/>
    </row>
    <row r="725" spans="8:8" ht="15.0" customHeight="1">
      <c r="B725" s="54">
        <v>807.0</v>
      </c>
      <c r="C725" s="8" t="s">
        <v>8351</v>
      </c>
      <c r="D725" s="8" t="s">
        <v>1013</v>
      </c>
      <c r="E725" s="8" t="s">
        <v>411</v>
      </c>
      <c r="F725" s="8" t="s">
        <v>68</v>
      </c>
      <c r="G725" s="8"/>
      <c r="H725" s="8" t="s">
        <v>411</v>
      </c>
      <c r="I725" s="8" t="s">
        <v>397</v>
      </c>
      <c r="J725" s="78" t="s">
        <v>4640</v>
      </c>
      <c r="K725" s="22">
        <v>0.0</v>
      </c>
      <c r="L725" s="22">
        <f>+SUMIF('حركه المخزن الرئيسي اليوميه'!$F:$F,$H:$H,'حركه المخزن الرئيسي اليوميه'!$H:$H)</f>
        <v>0.0</v>
      </c>
      <c r="M725" s="22">
        <f>+SUMIF('حركه المخزن الرئيسي اليوميه'!$F:$F,$H:$H,'حركه المخزن الرئيسي اليوميه'!$I:$I)</f>
        <v>0.0</v>
      </c>
      <c r="N725" s="22">
        <f>+K725+L725-M725</f>
        <v>0.0</v>
      </c>
      <c r="O725" s="22">
        <f>+N725</f>
        <v>0.0</v>
      </c>
      <c r="P725" s="22">
        <f>+N725-O725</f>
        <v>0.0</v>
      </c>
      <c r="Q725" s="57"/>
      <c r="R725" s="58"/>
    </row>
    <row r="726" spans="8:8" ht="15.0" customHeight="1">
      <c r="B726" s="54">
        <v>808.0</v>
      </c>
      <c r="C726" s="8" t="s">
        <v>8351</v>
      </c>
      <c r="D726" s="8" t="s">
        <v>828</v>
      </c>
      <c r="E726" s="8" t="s">
        <v>412</v>
      </c>
      <c r="F726" s="8" t="s">
        <v>68</v>
      </c>
      <c r="G726" s="8"/>
      <c r="H726" s="8" t="s">
        <v>3231</v>
      </c>
      <c r="I726" s="8" t="s">
        <v>818</v>
      </c>
      <c r="J726" s="78" t="s">
        <v>4641</v>
      </c>
      <c r="K726" s="22">
        <v>2.0</v>
      </c>
      <c r="L726" s="22">
        <f>+SUMIF('حركه المخزن الرئيسي اليوميه'!$F:$F,$H:$H,'حركه المخزن الرئيسي اليوميه'!$H:$H)</f>
        <v>0.0</v>
      </c>
      <c r="M726" s="22">
        <f>+SUMIF('حركه المخزن الرئيسي اليوميه'!$F:$F,$H:$H,'حركه المخزن الرئيسي اليوميه'!$I:$I)</f>
        <v>0.0</v>
      </c>
      <c r="N726" s="22">
        <f>+K726+L726-M726</f>
        <v>2.0</v>
      </c>
      <c r="O726" s="22">
        <f>+N726</f>
        <v>2.0</v>
      </c>
      <c r="P726" s="22">
        <f>+N726-O726</f>
        <v>0.0</v>
      </c>
      <c r="Q726" s="57"/>
      <c r="R726" s="58"/>
    </row>
    <row r="727" spans="8:8" ht="15.0" customHeight="1">
      <c r="B727" s="54">
        <v>809.0</v>
      </c>
      <c r="C727" s="8" t="s">
        <v>8351</v>
      </c>
      <c r="D727" s="8" t="s">
        <v>1013</v>
      </c>
      <c r="E727" s="8" t="s">
        <v>8111</v>
      </c>
      <c r="F727" s="8" t="s">
        <v>68</v>
      </c>
      <c r="G727" s="8" t="s">
        <v>2139</v>
      </c>
      <c r="H727" s="8" t="s">
        <v>8111</v>
      </c>
      <c r="I727" s="8" t="s">
        <v>8109</v>
      </c>
      <c r="J727" s="78" t="s">
        <v>4642</v>
      </c>
      <c r="K727" s="22">
        <v>5.0</v>
      </c>
      <c r="L727" s="22">
        <f>+SUMIF('حركه المخزن الرئيسي اليوميه'!$F:$F,$H:$H,'حركه المخزن الرئيسي اليوميه'!$H:$H)</f>
        <v>0.0</v>
      </c>
      <c r="M727" s="22">
        <f>+SUMIF('حركه المخزن الرئيسي اليوميه'!$F:$F,$H:$H,'حركه المخزن الرئيسي اليوميه'!$I:$I)</f>
        <v>0.0</v>
      </c>
      <c r="N727" s="22">
        <f>+K727+L727-M727</f>
        <v>5.0</v>
      </c>
      <c r="O727" s="22">
        <f>+N727</f>
        <v>5.0</v>
      </c>
      <c r="P727" s="22">
        <f>+N727-O727</f>
        <v>0.0</v>
      </c>
      <c r="Q727" s="57"/>
      <c r="R727" s="58"/>
    </row>
    <row r="728" spans="8:8" ht="15.0" customHeight="1">
      <c r="B728" s="54">
        <v>810.0</v>
      </c>
      <c r="C728" s="8" t="s">
        <v>8351</v>
      </c>
      <c r="D728" s="8" t="s">
        <v>1013</v>
      </c>
      <c r="E728" s="8" t="s">
        <v>3285</v>
      </c>
      <c r="F728" s="8" t="s">
        <v>68</v>
      </c>
      <c r="G728" s="8"/>
      <c r="H728" s="8" t="s">
        <v>3285</v>
      </c>
      <c r="I728" s="8" t="s">
        <v>818</v>
      </c>
      <c r="J728" s="78" t="s">
        <v>4643</v>
      </c>
      <c r="K728" s="22">
        <v>22.0</v>
      </c>
      <c r="L728" s="22">
        <f>+SUMIF('حركه المخزن الرئيسي اليوميه'!$F:$F,$H:$H,'حركه المخزن الرئيسي اليوميه'!$H:$H)</f>
        <v>0.0</v>
      </c>
      <c r="M728" s="22">
        <f>+SUMIF('حركه المخزن الرئيسي اليوميه'!$F:$F,$H:$H,'حركه المخزن الرئيسي اليوميه'!$I:$I)</f>
        <v>0.0</v>
      </c>
      <c r="N728" s="22">
        <f>+K728+L728-M728</f>
        <v>22.0</v>
      </c>
      <c r="O728" s="22">
        <f>+N728</f>
        <v>22.0</v>
      </c>
      <c r="P728" s="22">
        <f>+N728-O728</f>
        <v>0.0</v>
      </c>
      <c r="Q728" s="57"/>
      <c r="R728" s="58"/>
    </row>
    <row r="729" spans="8:8" ht="15.0" customHeight="1">
      <c r="B729" s="54">
        <v>811.0</v>
      </c>
      <c r="C729" s="8" t="s">
        <v>8351</v>
      </c>
      <c r="D729" s="8" t="s">
        <v>1013</v>
      </c>
      <c r="E729" s="8" t="s">
        <v>402</v>
      </c>
      <c r="F729" s="8" t="s">
        <v>68</v>
      </c>
      <c r="G729" s="8" t="s">
        <v>2345</v>
      </c>
      <c r="H729" s="8" t="s">
        <v>402</v>
      </c>
      <c r="I729" s="8" t="s">
        <v>397</v>
      </c>
      <c r="J729" s="78" t="s">
        <v>4644</v>
      </c>
      <c r="K729" s="22">
        <v>0.0</v>
      </c>
      <c r="L729" s="22">
        <f>+SUMIF('حركه المخزن الرئيسي اليوميه'!$F:$F,$H:$H,'حركه المخزن الرئيسي اليوميه'!$H:$H)</f>
        <v>0.0</v>
      </c>
      <c r="M729" s="22">
        <f>+SUMIF('حركه المخزن الرئيسي اليوميه'!$F:$F,$H:$H,'حركه المخزن الرئيسي اليوميه'!$I:$I)</f>
        <v>0.0</v>
      </c>
      <c r="N729" s="22">
        <f>+K729+L729-M729</f>
        <v>0.0</v>
      </c>
      <c r="O729" s="22">
        <f>+N729</f>
        <v>0.0</v>
      </c>
      <c r="P729" s="22">
        <f>+N729-O729</f>
        <v>0.0</v>
      </c>
      <c r="Q729" s="57"/>
      <c r="R729" s="58"/>
    </row>
    <row r="730" spans="8:8" ht="15.0" customHeight="1">
      <c r="B730" s="54">
        <v>813.0</v>
      </c>
      <c r="C730" s="8" t="s">
        <v>8351</v>
      </c>
      <c r="D730" s="8" t="s">
        <v>828</v>
      </c>
      <c r="E730" s="8" t="s">
        <v>412</v>
      </c>
      <c r="F730" s="8" t="s">
        <v>68</v>
      </c>
      <c r="G730" s="8" t="s">
        <v>1694</v>
      </c>
      <c r="H730" s="8" t="s">
        <v>1032</v>
      </c>
      <c r="I730" s="8" t="s">
        <v>397</v>
      </c>
      <c r="J730" s="78" t="s">
        <v>4645</v>
      </c>
      <c r="K730" s="22">
        <v>0.0</v>
      </c>
      <c r="L730" s="22">
        <f>+SUMIF('حركه المخزن الرئيسي اليوميه'!$F:$F,$H:$H,'حركه المخزن الرئيسي اليوميه'!$H:$H)</f>
        <v>0.0</v>
      </c>
      <c r="M730" s="22">
        <f>+SUMIF('حركه المخزن الرئيسي اليوميه'!$F:$F,$H:$H,'حركه المخزن الرئيسي اليوميه'!$I:$I)</f>
        <v>0.0</v>
      </c>
      <c r="N730" s="22">
        <f>+K730+L730-M730</f>
        <v>0.0</v>
      </c>
      <c r="O730" s="22">
        <f>+N730</f>
        <v>0.0</v>
      </c>
      <c r="P730" s="22">
        <f>+N730-O730</f>
        <v>0.0</v>
      </c>
      <c r="Q730" s="57"/>
      <c r="R730" s="58"/>
    </row>
    <row r="731" spans="8:8" ht="15.0" customHeight="1">
      <c r="B731" s="54">
        <v>814.0</v>
      </c>
      <c r="C731" s="8" t="s">
        <v>8351</v>
      </c>
      <c r="D731" s="8" t="s">
        <v>1013</v>
      </c>
      <c r="E731" s="8" t="s">
        <v>413</v>
      </c>
      <c r="F731" s="8" t="s">
        <v>68</v>
      </c>
      <c r="G731" s="8" t="s">
        <v>1839</v>
      </c>
      <c r="H731" s="8" t="s">
        <v>413</v>
      </c>
      <c r="I731" s="8" t="s">
        <v>8109</v>
      </c>
      <c r="J731" s="78" t="s">
        <v>4646</v>
      </c>
      <c r="K731" s="22">
        <v>2.0</v>
      </c>
      <c r="L731" s="22">
        <f>+SUMIF('حركه المخزن الرئيسي اليوميه'!$F:$F,$H:$H,'حركه المخزن الرئيسي اليوميه'!$H:$H)</f>
        <v>0.0</v>
      </c>
      <c r="M731" s="22">
        <f>+SUMIF('حركه المخزن الرئيسي اليوميه'!$F:$F,$H:$H,'حركه المخزن الرئيسي اليوميه'!$I:$I)</f>
        <v>0.0</v>
      </c>
      <c r="N731" s="22">
        <f>+K731+L731-M731</f>
        <v>2.0</v>
      </c>
      <c r="O731" s="22">
        <f>+N731</f>
        <v>2.0</v>
      </c>
      <c r="P731" s="22">
        <f>+N731-O731</f>
        <v>0.0</v>
      </c>
      <c r="Q731" s="57"/>
      <c r="R731" s="58"/>
    </row>
    <row r="732" spans="8:8" ht="15.0" customHeight="1">
      <c r="B732" s="54">
        <v>815.0</v>
      </c>
      <c r="C732" s="8" t="s">
        <v>3599</v>
      </c>
      <c r="D732" s="8" t="s">
        <v>1025</v>
      </c>
      <c r="E732" s="8" t="s">
        <v>3649</v>
      </c>
      <c r="F732" s="8" t="s">
        <v>68</v>
      </c>
      <c r="G732" s="8"/>
      <c r="H732" s="8" t="s">
        <v>3648</v>
      </c>
      <c r="I732" s="8" t="s">
        <v>52</v>
      </c>
      <c r="J732" s="78" t="s">
        <v>4647</v>
      </c>
      <c r="K732" s="22">
        <v>0.0</v>
      </c>
      <c r="L732" s="22">
        <f>+SUMIF('حركه المخزن الرئيسي اليوميه'!$F:$F,$H:$H,'حركه المخزن الرئيسي اليوميه'!$H:$H)</f>
        <v>0.0</v>
      </c>
      <c r="M732" s="22">
        <f>+SUMIF('حركه المخزن الرئيسي اليوميه'!$F:$F,$H:$H,'حركه المخزن الرئيسي اليوميه'!$I:$I)</f>
        <v>0.0</v>
      </c>
      <c r="N732" s="22">
        <f>+K732+L732-M732</f>
        <v>0.0</v>
      </c>
      <c r="O732" s="22">
        <f>+N732</f>
        <v>0.0</v>
      </c>
      <c r="P732" s="22">
        <f>+N732-O732</f>
        <v>0.0</v>
      </c>
      <c r="Q732" s="57"/>
      <c r="R732" s="58"/>
    </row>
    <row r="733" spans="8:8" ht="15.0" customHeight="1">
      <c r="B733" s="54">
        <v>816.0</v>
      </c>
      <c r="C733" s="8" t="s">
        <v>8351</v>
      </c>
      <c r="D733" s="8" t="s">
        <v>828</v>
      </c>
      <c r="E733" s="8" t="s">
        <v>412</v>
      </c>
      <c r="F733" s="8" t="s">
        <v>68</v>
      </c>
      <c r="G733" s="8"/>
      <c r="H733" s="8" t="s">
        <v>3233</v>
      </c>
      <c r="I733" s="8" t="s">
        <v>818</v>
      </c>
      <c r="J733" s="78" t="s">
        <v>4648</v>
      </c>
      <c r="K733" s="22">
        <v>10.0</v>
      </c>
      <c r="L733" s="22">
        <f>+SUMIF('حركه المخزن الرئيسي اليوميه'!$F:$F,$H:$H,'حركه المخزن الرئيسي اليوميه'!$H:$H)</f>
        <v>0.0</v>
      </c>
      <c r="M733" s="22">
        <f>+SUMIF('حركه المخزن الرئيسي اليوميه'!$F:$F,$H:$H,'حركه المخزن الرئيسي اليوميه'!$I:$I)</f>
        <v>1.0</v>
      </c>
      <c r="N733" s="22">
        <f>+K733+L733-M733</f>
        <v>9.0</v>
      </c>
      <c r="O733" s="22">
        <f>+N733</f>
        <v>9.0</v>
      </c>
      <c r="P733" s="22">
        <f>+N733-O733</f>
        <v>0.0</v>
      </c>
      <c r="Q733" s="57"/>
      <c r="R733" s="58"/>
    </row>
    <row r="734" spans="8:8" ht="15.0" customHeight="1">
      <c r="B734" s="54">
        <v>817.0</v>
      </c>
      <c r="C734" s="8" t="s">
        <v>8351</v>
      </c>
      <c r="D734" s="8" t="s">
        <v>820</v>
      </c>
      <c r="E734" s="8" t="s">
        <v>941</v>
      </c>
      <c r="F734" s="8" t="s">
        <v>68</v>
      </c>
      <c r="G734" s="8" t="s">
        <v>1963</v>
      </c>
      <c r="H734" s="8" t="s">
        <v>941</v>
      </c>
      <c r="I734" s="8" t="s">
        <v>2951</v>
      </c>
      <c r="J734" s="78" t="s">
        <v>4649</v>
      </c>
      <c r="K734" s="22">
        <v>0.0</v>
      </c>
      <c r="L734" s="22">
        <f>+SUMIF('حركه المخزن الرئيسي اليوميه'!$F:$F,$H:$H,'حركه المخزن الرئيسي اليوميه'!$H:$H)</f>
        <v>0.0</v>
      </c>
      <c r="M734" s="22">
        <f>+SUMIF('حركه المخزن الرئيسي اليوميه'!$F:$F,$H:$H,'حركه المخزن الرئيسي اليوميه'!$I:$I)</f>
        <v>0.0</v>
      </c>
      <c r="N734" s="22">
        <f>+K734+L734-M734</f>
        <v>0.0</v>
      </c>
      <c r="O734" s="22">
        <f>+N734</f>
        <v>0.0</v>
      </c>
      <c r="P734" s="22">
        <f>+N734-O734</f>
        <v>0.0</v>
      </c>
      <c r="Q734" s="57"/>
      <c r="R734" s="58"/>
    </row>
    <row r="735" spans="8:8" ht="15.0" customHeight="1">
      <c r="B735" s="54">
        <v>818.0</v>
      </c>
      <c r="C735" s="8" t="s">
        <v>8351</v>
      </c>
      <c r="D735" s="8" t="s">
        <v>820</v>
      </c>
      <c r="E735" s="8" t="s">
        <v>974</v>
      </c>
      <c r="F735" s="8" t="s">
        <v>68</v>
      </c>
      <c r="G735" s="8" t="s">
        <v>1963</v>
      </c>
      <c r="H735" s="8" t="s">
        <v>906</v>
      </c>
      <c r="I735" s="8" t="s">
        <v>932</v>
      </c>
      <c r="J735" s="78" t="s">
        <v>4650</v>
      </c>
      <c r="K735" s="22">
        <v>55.0</v>
      </c>
      <c r="L735" s="22">
        <f>+SUMIF('حركه المخزن الرئيسي اليوميه'!$F:$F,$H:$H,'حركه المخزن الرئيسي اليوميه'!$H:$H)</f>
        <v>0.0</v>
      </c>
      <c r="M735" s="22">
        <f>+SUMIF('حركه المخزن الرئيسي اليوميه'!$F:$F,$H:$H,'حركه المخزن الرئيسي اليوميه'!$I:$I)</f>
        <v>0.0</v>
      </c>
      <c r="N735" s="22">
        <f>+K735+L735-M735</f>
        <v>55.0</v>
      </c>
      <c r="O735" s="22">
        <f>+N735</f>
        <v>55.0</v>
      </c>
      <c r="P735" s="22">
        <f>+N735-O735</f>
        <v>0.0</v>
      </c>
      <c r="Q735" s="57"/>
      <c r="R735" s="58"/>
    </row>
    <row r="736" spans="8:8" ht="15.0" customHeight="1">
      <c r="B736" s="54">
        <v>819.0</v>
      </c>
      <c r="C736" s="8" t="s">
        <v>8351</v>
      </c>
      <c r="D736" s="8" t="s">
        <v>820</v>
      </c>
      <c r="E736" s="8" t="s">
        <v>3530</v>
      </c>
      <c r="F736" s="8" t="s">
        <v>68</v>
      </c>
      <c r="G736" s="8" t="s">
        <v>1963</v>
      </c>
      <c r="H736" s="8" t="s">
        <v>3530</v>
      </c>
      <c r="I736" s="8" t="s">
        <v>3286</v>
      </c>
      <c r="J736" s="78" t="s">
        <v>4651</v>
      </c>
      <c r="K736" s="22">
        <v>0.0</v>
      </c>
      <c r="L736" s="22">
        <f>+SUMIF('حركه المخزن الرئيسي اليوميه'!$F:$F,$H:$H,'حركه المخزن الرئيسي اليوميه'!$H:$H)</f>
        <v>0.0</v>
      </c>
      <c r="M736" s="22">
        <f>+SUMIF('حركه المخزن الرئيسي اليوميه'!$F:$F,$H:$H,'حركه المخزن الرئيسي اليوميه'!$I:$I)</f>
        <v>0.0</v>
      </c>
      <c r="N736" s="22">
        <f>+K736+L736-M736</f>
        <v>0.0</v>
      </c>
      <c r="O736" s="22">
        <f>+N736</f>
        <v>0.0</v>
      </c>
      <c r="P736" s="22">
        <f>+N736-O736</f>
        <v>0.0</v>
      </c>
      <c r="Q736" s="57"/>
      <c r="R736" s="58"/>
    </row>
    <row r="737" spans="8:8" ht="15.0" customHeight="1">
      <c r="B737" s="54">
        <v>820.0</v>
      </c>
      <c r="C737" s="8" t="s">
        <v>8351</v>
      </c>
      <c r="D737" s="8" t="s">
        <v>820</v>
      </c>
      <c r="E737" s="8" t="s">
        <v>989</v>
      </c>
      <c r="F737" s="8" t="s">
        <v>68</v>
      </c>
      <c r="G737" s="8" t="s">
        <v>1963</v>
      </c>
      <c r="H737" s="8" t="s">
        <v>920</v>
      </c>
      <c r="I737" s="8" t="s">
        <v>934</v>
      </c>
      <c r="J737" s="78" t="s">
        <v>4652</v>
      </c>
      <c r="K737" s="22">
        <v>0.0</v>
      </c>
      <c r="L737" s="22">
        <f>+SUMIF('حركه المخزن الرئيسي اليوميه'!$F:$F,$H:$H,'حركه المخزن الرئيسي اليوميه'!$H:$H)</f>
        <v>0.0</v>
      </c>
      <c r="M737" s="22">
        <f>+SUMIF('حركه المخزن الرئيسي اليوميه'!$F:$F,$H:$H,'حركه المخزن الرئيسي اليوميه'!$I:$I)</f>
        <v>0.0</v>
      </c>
      <c r="N737" s="22">
        <f>+K737+L737-M737</f>
        <v>0.0</v>
      </c>
      <c r="O737" s="22">
        <f>+N737</f>
        <v>0.0</v>
      </c>
      <c r="P737" s="22">
        <f>+N737-O737</f>
        <v>0.0</v>
      </c>
      <c r="Q737" s="57"/>
      <c r="R737" s="58"/>
    </row>
    <row r="738" spans="8:8" ht="15.0" customHeight="1">
      <c r="B738" s="54">
        <v>821.0</v>
      </c>
      <c r="C738" s="8" t="s">
        <v>8351</v>
      </c>
      <c r="D738" s="8" t="s">
        <v>820</v>
      </c>
      <c r="E738" s="8" t="s">
        <v>982</v>
      </c>
      <c r="F738" s="8" t="s">
        <v>68</v>
      </c>
      <c r="G738" s="8" t="s">
        <v>1963</v>
      </c>
      <c r="H738" s="8" t="s">
        <v>914</v>
      </c>
      <c r="I738" s="8" t="s">
        <v>3600</v>
      </c>
      <c r="J738" s="78" t="s">
        <v>4653</v>
      </c>
      <c r="K738" s="22">
        <v>134.0</v>
      </c>
      <c r="L738" s="22">
        <f>+SUMIF('حركه المخزن الرئيسي اليوميه'!$F:$F,$H:$H,'حركه المخزن الرئيسي اليوميه'!$H:$H)</f>
        <v>0.0</v>
      </c>
      <c r="M738" s="22">
        <f>+SUMIF('حركه المخزن الرئيسي اليوميه'!$F:$F,$H:$H,'حركه المخزن الرئيسي اليوميه'!$I:$I)</f>
        <v>3.0</v>
      </c>
      <c r="N738" s="22">
        <f>+K738+L738-M738</f>
        <v>131.0</v>
      </c>
      <c r="O738" s="22">
        <f>+N738</f>
        <v>131.0</v>
      </c>
      <c r="P738" s="22">
        <f>+N738-O738</f>
        <v>0.0</v>
      </c>
      <c r="Q738" s="57"/>
      <c r="R738" s="58"/>
    </row>
    <row r="739" spans="8:8" ht="15.0" customHeight="1">
      <c r="B739" s="54">
        <v>822.0</v>
      </c>
      <c r="C739" s="8" t="s">
        <v>8351</v>
      </c>
      <c r="D739" s="8" t="s">
        <v>820</v>
      </c>
      <c r="E739" s="8" t="s">
        <v>984</v>
      </c>
      <c r="F739" s="8" t="s">
        <v>68</v>
      </c>
      <c r="G739" s="8" t="s">
        <v>1963</v>
      </c>
      <c r="H739" s="8" t="s">
        <v>2019</v>
      </c>
      <c r="I739" s="8" t="s">
        <v>957</v>
      </c>
      <c r="J739" s="78" t="s">
        <v>4654</v>
      </c>
      <c r="K739" s="22">
        <v>3.0</v>
      </c>
      <c r="L739" s="22">
        <f>+SUMIF('حركه المخزن الرئيسي اليوميه'!$F:$F,$H:$H,'حركه المخزن الرئيسي اليوميه'!$H:$H)</f>
        <v>0.0</v>
      </c>
      <c r="M739" s="22">
        <f>+SUMIF('حركه المخزن الرئيسي اليوميه'!$F:$F,$H:$H,'حركه المخزن الرئيسي اليوميه'!$I:$I)</f>
        <v>0.0</v>
      </c>
      <c r="N739" s="22">
        <f>+K739+L739-M739</f>
        <v>3.0</v>
      </c>
      <c r="O739" s="22">
        <f>+N739</f>
        <v>3.0</v>
      </c>
      <c r="P739" s="22">
        <f>+N739-O739</f>
        <v>0.0</v>
      </c>
      <c r="Q739" s="57"/>
      <c r="R739" s="58"/>
    </row>
    <row r="740" spans="8:8" ht="15.0" customHeight="1">
      <c r="B740" s="54">
        <v>823.0</v>
      </c>
      <c r="C740" s="8" t="s">
        <v>8351</v>
      </c>
      <c r="D740" s="8" t="s">
        <v>820</v>
      </c>
      <c r="E740" s="8" t="s">
        <v>946</v>
      </c>
      <c r="F740" s="8" t="s">
        <v>68</v>
      </c>
      <c r="G740" s="8" t="s">
        <v>1963</v>
      </c>
      <c r="H740" s="8" t="s">
        <v>946</v>
      </c>
      <c r="I740" s="8" t="s">
        <v>956</v>
      </c>
      <c r="J740" s="78" t="s">
        <v>4655</v>
      </c>
      <c r="K740" s="22">
        <v>3.0</v>
      </c>
      <c r="L740" s="22">
        <f>+SUMIF('حركه المخزن الرئيسي اليوميه'!$F:$F,$H:$H,'حركه المخزن الرئيسي اليوميه'!$H:$H)</f>
        <v>0.0</v>
      </c>
      <c r="M740" s="22">
        <f>+SUMIF('حركه المخزن الرئيسي اليوميه'!$F:$F,$H:$H,'حركه المخزن الرئيسي اليوميه'!$I:$I)</f>
        <v>0.0</v>
      </c>
      <c r="N740" s="22">
        <f>+K740+L740-M740</f>
        <v>3.0</v>
      </c>
      <c r="O740" s="22">
        <f>+N740</f>
        <v>3.0</v>
      </c>
      <c r="P740" s="22">
        <f>+N740-O740</f>
        <v>0.0</v>
      </c>
      <c r="Q740" s="57"/>
      <c r="R740" s="58"/>
    </row>
    <row r="741" spans="8:8" ht="15.0" customHeight="1">
      <c r="B741" s="54">
        <v>824.0</v>
      </c>
      <c r="C741" s="8" t="s">
        <v>8351</v>
      </c>
      <c r="D741" s="8" t="s">
        <v>820</v>
      </c>
      <c r="E741" s="8" t="s">
        <v>949</v>
      </c>
      <c r="F741" s="8" t="s">
        <v>68</v>
      </c>
      <c r="G741" s="8" t="s">
        <v>1963</v>
      </c>
      <c r="H741" s="8" t="s">
        <v>949</v>
      </c>
      <c r="I741" s="8" t="s">
        <v>959</v>
      </c>
      <c r="J741" s="78" t="s">
        <v>4656</v>
      </c>
      <c r="K741" s="22">
        <v>1.0</v>
      </c>
      <c r="L741" s="22">
        <f>+SUMIF('حركه المخزن الرئيسي اليوميه'!$F:$F,$H:$H,'حركه المخزن الرئيسي اليوميه'!$H:$H)</f>
        <v>0.0</v>
      </c>
      <c r="M741" s="22">
        <f>+SUMIF('حركه المخزن الرئيسي اليوميه'!$F:$F,$H:$H,'حركه المخزن الرئيسي اليوميه'!$I:$I)</f>
        <v>0.0</v>
      </c>
      <c r="N741" s="22">
        <f>+K741+L741-M741</f>
        <v>1.0</v>
      </c>
      <c r="O741" s="22">
        <f>+N741</f>
        <v>1.0</v>
      </c>
      <c r="P741" s="22">
        <f>+N741-O741</f>
        <v>0.0</v>
      </c>
      <c r="Q741" s="57"/>
      <c r="R741" s="58"/>
    </row>
    <row r="742" spans="8:8" ht="15.0" customHeight="1">
      <c r="B742" s="54">
        <v>825.0</v>
      </c>
      <c r="C742" s="8" t="s">
        <v>8351</v>
      </c>
      <c r="D742" s="8" t="s">
        <v>820</v>
      </c>
      <c r="E742" s="8" t="s">
        <v>966</v>
      </c>
      <c r="F742" s="8" t="s">
        <v>68</v>
      </c>
      <c r="G742" s="8" t="s">
        <v>1963</v>
      </c>
      <c r="H742" s="8" t="s">
        <v>926</v>
      </c>
      <c r="I742" s="8" t="s">
        <v>8140</v>
      </c>
      <c r="J742" s="78" t="s">
        <v>4657</v>
      </c>
      <c r="K742" s="22">
        <v>5.0</v>
      </c>
      <c r="L742" s="22">
        <f>+SUMIF('حركه المخزن الرئيسي اليوميه'!$F:$F,$H:$H,'حركه المخزن الرئيسي اليوميه'!$H:$H)</f>
        <v>0.0</v>
      </c>
      <c r="M742" s="22">
        <f>+SUMIF('حركه المخزن الرئيسي اليوميه'!$F:$F,$H:$H,'حركه المخزن الرئيسي اليوميه'!$I:$I)</f>
        <v>0.0</v>
      </c>
      <c r="N742" s="22">
        <f>+K742+L742-M742</f>
        <v>5.0</v>
      </c>
      <c r="O742" s="22">
        <f>+N742</f>
        <v>5.0</v>
      </c>
      <c r="P742" s="22">
        <f>+N742-O742</f>
        <v>0.0</v>
      </c>
      <c r="Q742" s="57"/>
      <c r="R742" s="58"/>
    </row>
    <row r="743" spans="8:8" ht="15.0" customHeight="1">
      <c r="B743" s="54">
        <v>826.0</v>
      </c>
      <c r="C743" s="8" t="s">
        <v>8351</v>
      </c>
      <c r="D743" s="8" t="s">
        <v>820</v>
      </c>
      <c r="E743" s="8" t="s">
        <v>968</v>
      </c>
      <c r="F743" s="8" t="s">
        <v>68</v>
      </c>
      <c r="G743" s="8" t="s">
        <v>1963</v>
      </c>
      <c r="H743" s="8" t="s">
        <v>928</v>
      </c>
      <c r="I743" s="8" t="s">
        <v>2952</v>
      </c>
      <c r="J743" s="78" t="s">
        <v>4658</v>
      </c>
      <c r="K743" s="22">
        <v>0.0</v>
      </c>
      <c r="L743" s="22">
        <f>+SUMIF('حركه المخزن الرئيسي اليوميه'!$F:$F,$H:$H,'حركه المخزن الرئيسي اليوميه'!$H:$H)</f>
        <v>0.0</v>
      </c>
      <c r="M743" s="22">
        <f>+SUMIF('حركه المخزن الرئيسي اليوميه'!$F:$F,$H:$H,'حركه المخزن الرئيسي اليوميه'!$I:$I)</f>
        <v>0.0</v>
      </c>
      <c r="N743" s="22">
        <f>+K743+L743-M743</f>
        <v>0.0</v>
      </c>
      <c r="O743" s="22">
        <f>+N743</f>
        <v>0.0</v>
      </c>
      <c r="P743" s="22">
        <f>+N743-O743</f>
        <v>0.0</v>
      </c>
      <c r="Q743" s="57"/>
      <c r="R743" s="58"/>
    </row>
    <row r="744" spans="8:8" ht="15.0" customHeight="1">
      <c r="B744" s="54">
        <v>827.0</v>
      </c>
      <c r="C744" s="8" t="s">
        <v>8351</v>
      </c>
      <c r="D744" s="8" t="s">
        <v>820</v>
      </c>
      <c r="E744" s="8" t="s">
        <v>981</v>
      </c>
      <c r="F744" s="8" t="s">
        <v>68</v>
      </c>
      <c r="G744" s="8" t="s">
        <v>1963</v>
      </c>
      <c r="H744" s="8" t="s">
        <v>913</v>
      </c>
      <c r="I744" s="8" t="s">
        <v>8141</v>
      </c>
      <c r="J744" s="78" t="s">
        <v>4659</v>
      </c>
      <c r="K744" s="22">
        <v>79.0</v>
      </c>
      <c r="L744" s="22">
        <f>+SUMIF('حركه المخزن الرئيسي اليوميه'!$F:$F,$H:$H,'حركه المخزن الرئيسي اليوميه'!$H:$H)</f>
        <v>0.0</v>
      </c>
      <c r="M744" s="22">
        <f>+SUMIF('حركه المخزن الرئيسي اليوميه'!$F:$F,$H:$H,'حركه المخزن الرئيسي اليوميه'!$I:$I)</f>
        <v>0.0</v>
      </c>
      <c r="N744" s="22">
        <f>+K744+L744-M744</f>
        <v>79.0</v>
      </c>
      <c r="O744" s="22">
        <f>+N744</f>
        <v>79.0</v>
      </c>
      <c r="P744" s="22">
        <f>+N744-O744</f>
        <v>0.0</v>
      </c>
      <c r="Q744" s="57"/>
      <c r="R744" s="58"/>
    </row>
    <row r="745" spans="8:8" ht="15.0" customHeight="1">
      <c r="B745" s="54">
        <v>828.0</v>
      </c>
      <c r="C745" s="8" t="s">
        <v>8351</v>
      </c>
      <c r="D745" s="8" t="s">
        <v>820</v>
      </c>
      <c r="E745" s="8" t="s">
        <v>971</v>
      </c>
      <c r="F745" s="8" t="s">
        <v>68</v>
      </c>
      <c r="G745" s="8" t="s">
        <v>2185</v>
      </c>
      <c r="H745" s="8" t="s">
        <v>903</v>
      </c>
      <c r="I745" s="8" t="s">
        <v>2953</v>
      </c>
      <c r="J745" s="78" t="s">
        <v>4660</v>
      </c>
      <c r="K745" s="22">
        <v>3.0</v>
      </c>
      <c r="L745" s="22">
        <f>+SUMIF('حركه المخزن الرئيسي اليوميه'!$F:$F,$H:$H,'حركه المخزن الرئيسي اليوميه'!$H:$H)</f>
        <v>0.0</v>
      </c>
      <c r="M745" s="22">
        <f>+SUMIF('حركه المخزن الرئيسي اليوميه'!$F:$F,$H:$H,'حركه المخزن الرئيسي اليوميه'!$I:$I)</f>
        <v>0.0</v>
      </c>
      <c r="N745" s="22">
        <f>+K745+L745-M745</f>
        <v>3.0</v>
      </c>
      <c r="O745" s="22">
        <f>+N745</f>
        <v>3.0</v>
      </c>
      <c r="P745" s="22">
        <f>+N745-O745</f>
        <v>0.0</v>
      </c>
      <c r="Q745" s="57"/>
      <c r="R745" s="58"/>
    </row>
    <row r="746" spans="8:8" ht="15.0" customHeight="1">
      <c r="B746" s="54">
        <v>829.0</v>
      </c>
      <c r="C746" s="8" t="s">
        <v>8351</v>
      </c>
      <c r="D746" s="8" t="s">
        <v>820</v>
      </c>
      <c r="E746" s="8" t="s">
        <v>923</v>
      </c>
      <c r="F746" s="8" t="s">
        <v>68</v>
      </c>
      <c r="G746" s="8" t="s">
        <v>1963</v>
      </c>
      <c r="H746" s="8" t="s">
        <v>923</v>
      </c>
      <c r="I746" s="8" t="s">
        <v>937</v>
      </c>
      <c r="J746" s="78" t="s">
        <v>4661</v>
      </c>
      <c r="K746" s="22">
        <v>0.0</v>
      </c>
      <c r="L746" s="22">
        <f>+SUMIF('حركه المخزن الرئيسي اليوميه'!$F:$F,$H:$H,'حركه المخزن الرئيسي اليوميه'!$H:$H)</f>
        <v>0.0</v>
      </c>
      <c r="M746" s="22">
        <f>+SUMIF('حركه المخزن الرئيسي اليوميه'!$F:$F,$H:$H,'حركه المخزن الرئيسي اليوميه'!$I:$I)</f>
        <v>0.0</v>
      </c>
      <c r="N746" s="22">
        <f>+K746+L746-M746</f>
        <v>0.0</v>
      </c>
      <c r="O746" s="22">
        <f>+N746</f>
        <v>0.0</v>
      </c>
      <c r="P746" s="22">
        <f>+N746-O746</f>
        <v>0.0</v>
      </c>
      <c r="Q746" s="57"/>
      <c r="R746" s="58"/>
    </row>
    <row r="747" spans="8:8" ht="15.0" customHeight="1">
      <c r="B747" s="54">
        <v>830.0</v>
      </c>
      <c r="C747" s="8" t="s">
        <v>8351</v>
      </c>
      <c r="D747" s="8" t="s">
        <v>1013</v>
      </c>
      <c r="E747" s="8" t="s">
        <v>794</v>
      </c>
      <c r="F747" s="8" t="s">
        <v>1501</v>
      </c>
      <c r="G747" s="8" t="s">
        <v>1963</v>
      </c>
      <c r="H747" s="8" t="s">
        <v>1534</v>
      </c>
      <c r="I747" s="8" t="s">
        <v>937</v>
      </c>
      <c r="J747" s="78" t="s">
        <v>4662</v>
      </c>
      <c r="K747" s="22">
        <v>0.0</v>
      </c>
      <c r="L747" s="22">
        <f>+SUMIF('حركه المخزن الرئيسي اليوميه'!$F:$F,$H:$H,'حركه المخزن الرئيسي اليوميه'!$H:$H)</f>
        <v>0.0</v>
      </c>
      <c r="M747" s="22">
        <f>+SUMIF('حركه المخزن الرئيسي اليوميه'!$F:$F,$H:$H,'حركه المخزن الرئيسي اليوميه'!$I:$I)</f>
        <v>0.0</v>
      </c>
      <c r="N747" s="22">
        <f>+K747+L747-M747</f>
        <v>0.0</v>
      </c>
      <c r="O747" s="22">
        <f>+N747</f>
        <v>0.0</v>
      </c>
      <c r="P747" s="22">
        <f>+N747-O747</f>
        <v>0.0</v>
      </c>
      <c r="Q747" s="57"/>
      <c r="R747" s="58"/>
    </row>
    <row r="748" spans="8:8" ht="15.0" customHeight="1">
      <c r="B748" s="54">
        <v>831.0</v>
      </c>
      <c r="C748" s="8" t="s">
        <v>8351</v>
      </c>
      <c r="D748" s="8" t="s">
        <v>820</v>
      </c>
      <c r="E748" s="8" t="s">
        <v>2654</v>
      </c>
      <c r="F748" s="8" t="s">
        <v>68</v>
      </c>
      <c r="G748" s="8" t="s">
        <v>2047</v>
      </c>
      <c r="H748" s="8" t="s">
        <v>2654</v>
      </c>
      <c r="I748" s="8" t="s">
        <v>937</v>
      </c>
      <c r="J748" s="78" t="s">
        <v>4663</v>
      </c>
      <c r="K748" s="22">
        <v>28.0</v>
      </c>
      <c r="L748" s="22">
        <f>+SUMIF('حركه المخزن الرئيسي اليوميه'!$F:$F,$H:$H,'حركه المخزن الرئيسي اليوميه'!$H:$H)</f>
        <v>0.0</v>
      </c>
      <c r="M748" s="22">
        <f>+SUMIF('حركه المخزن الرئيسي اليوميه'!$F:$F,$H:$H,'حركه المخزن الرئيسي اليوميه'!$I:$I)</f>
        <v>0.0</v>
      </c>
      <c r="N748" s="22">
        <f>+K748+L748-M748</f>
        <v>28.0</v>
      </c>
      <c r="O748" s="22">
        <f>+N748</f>
        <v>28.0</v>
      </c>
      <c r="P748" s="22">
        <f>+N748-O748</f>
        <v>0.0</v>
      </c>
      <c r="Q748" s="57"/>
      <c r="R748" s="58"/>
    </row>
    <row r="749" spans="8:8" ht="15.0" customHeight="1">
      <c r="B749" s="54">
        <v>832.0</v>
      </c>
      <c r="C749" s="8" t="s">
        <v>8351</v>
      </c>
      <c r="D749" s="8" t="s">
        <v>820</v>
      </c>
      <c r="E749" s="8" t="s">
        <v>2000</v>
      </c>
      <c r="F749" s="8" t="s">
        <v>1139</v>
      </c>
      <c r="G749" s="8" t="s">
        <v>2001</v>
      </c>
      <c r="H749" s="8" t="s">
        <v>2000</v>
      </c>
      <c r="I749" s="8" t="s">
        <v>937</v>
      </c>
      <c r="J749" s="78" t="s">
        <v>4664</v>
      </c>
      <c r="K749" s="22">
        <v>0.0</v>
      </c>
      <c r="L749" s="22">
        <f>+SUMIF('حركه المخزن الرئيسي اليوميه'!$F:$F,$H:$H,'حركه المخزن الرئيسي اليوميه'!$H:$H)</f>
        <v>0.0</v>
      </c>
      <c r="M749" s="22">
        <f>+SUMIF('حركه المخزن الرئيسي اليوميه'!$F:$F,$H:$H,'حركه المخزن الرئيسي اليوميه'!$I:$I)</f>
        <v>0.0</v>
      </c>
      <c r="N749" s="22">
        <f>+K749+L749-M749</f>
        <v>0.0</v>
      </c>
      <c r="O749" s="22">
        <f>+N749</f>
        <v>0.0</v>
      </c>
      <c r="P749" s="22">
        <f>+N749-O749</f>
        <v>0.0</v>
      </c>
      <c r="Q749" s="57"/>
      <c r="R749" s="58"/>
    </row>
    <row r="750" spans="8:8" ht="15.0" customHeight="1">
      <c r="B750" s="54">
        <v>833.0</v>
      </c>
      <c r="C750" s="8" t="s">
        <v>8351</v>
      </c>
      <c r="D750" s="8" t="s">
        <v>1013</v>
      </c>
      <c r="E750" s="8" t="s">
        <v>2939</v>
      </c>
      <c r="F750" s="8" t="s">
        <v>282</v>
      </c>
      <c r="G750" s="8"/>
      <c r="H750" s="8" t="s">
        <v>2939</v>
      </c>
      <c r="I750" s="8" t="s">
        <v>405</v>
      </c>
      <c r="J750" s="78" t="s">
        <v>4665</v>
      </c>
      <c r="K750" s="22">
        <v>0.0</v>
      </c>
      <c r="L750" s="22">
        <f>+SUMIF('حركه المخزن الرئيسي اليوميه'!$F:$F,$H:$H,'حركه المخزن الرئيسي اليوميه'!$H:$H)</f>
        <v>0.0</v>
      </c>
      <c r="M750" s="22">
        <f>+SUMIF('حركه المخزن الرئيسي اليوميه'!$F:$F,$H:$H,'حركه المخزن الرئيسي اليوميه'!$I:$I)</f>
        <v>0.0</v>
      </c>
      <c r="N750" s="22">
        <f>+K750+L750-M750</f>
        <v>0.0</v>
      </c>
      <c r="O750" s="22">
        <f>+N750</f>
        <v>0.0</v>
      </c>
      <c r="P750" s="22">
        <f>+N750-O750</f>
        <v>0.0</v>
      </c>
      <c r="Q750" s="57"/>
      <c r="R750" s="58"/>
    </row>
    <row r="751" spans="8:8" ht="15.0" customHeight="1">
      <c r="B751" s="54">
        <v>834.0</v>
      </c>
      <c r="C751" s="8" t="s">
        <v>8351</v>
      </c>
      <c r="D751" s="8" t="s">
        <v>828</v>
      </c>
      <c r="E751" s="8" t="s">
        <v>3694</v>
      </c>
      <c r="F751" s="8" t="s">
        <v>68</v>
      </c>
      <c r="G751" s="8"/>
      <c r="H751" s="8" t="s">
        <v>3694</v>
      </c>
      <c r="I751" s="8" t="s">
        <v>8162</v>
      </c>
      <c r="J751" s="78" t="s">
        <v>4666</v>
      </c>
      <c r="K751" s="22">
        <v>34.0</v>
      </c>
      <c r="L751" s="22">
        <f>+SUMIF('حركه المخزن الرئيسي اليوميه'!$F:$F,$H:$H,'حركه المخزن الرئيسي اليوميه'!$H:$H)</f>
        <v>0.0</v>
      </c>
      <c r="M751" s="22">
        <f>+SUMIF('حركه المخزن الرئيسي اليوميه'!$F:$F,$H:$H,'حركه المخزن الرئيسي اليوميه'!$I:$I)</f>
        <v>2.0</v>
      </c>
      <c r="N751" s="22">
        <f>+K751+L751-M751</f>
        <v>32.0</v>
      </c>
      <c r="O751" s="22">
        <f>+N751</f>
        <v>32.0</v>
      </c>
      <c r="P751" s="22">
        <f>+N751-O751</f>
        <v>0.0</v>
      </c>
      <c r="Q751" s="57"/>
      <c r="R751" s="58"/>
    </row>
    <row r="752" spans="8:8" ht="15.0" customHeight="1">
      <c r="B752" s="54">
        <v>835.0</v>
      </c>
      <c r="C752" s="8" t="s">
        <v>8351</v>
      </c>
      <c r="D752" s="8" t="s">
        <v>820</v>
      </c>
      <c r="E752" s="8" t="s">
        <v>3028</v>
      </c>
      <c r="F752" s="8" t="s">
        <v>873</v>
      </c>
      <c r="G752" s="8"/>
      <c r="H752" s="8" t="s">
        <v>3028</v>
      </c>
      <c r="I752" s="8" t="s">
        <v>405</v>
      </c>
      <c r="J752" s="78" t="s">
        <v>4667</v>
      </c>
      <c r="K752" s="22">
        <v>0.0</v>
      </c>
      <c r="L752" s="22">
        <f>+SUMIF('حركه المخزن الرئيسي اليوميه'!$F:$F,$H:$H,'حركه المخزن الرئيسي اليوميه'!$H:$H)</f>
        <v>0.0</v>
      </c>
      <c r="M752" s="22">
        <f>+SUMIF('حركه المخزن الرئيسي اليوميه'!$F:$F,$H:$H,'حركه المخزن الرئيسي اليوميه'!$I:$I)</f>
        <v>0.0</v>
      </c>
      <c r="N752" s="22">
        <f>+K752+L752-M752</f>
        <v>0.0</v>
      </c>
      <c r="O752" s="22">
        <f>+N752</f>
        <v>0.0</v>
      </c>
      <c r="P752" s="22">
        <f>+N752-O752</f>
        <v>0.0</v>
      </c>
      <c r="Q752" s="57"/>
      <c r="R752" s="58"/>
    </row>
    <row r="753" spans="8:8" ht="15.0" customHeight="1">
      <c r="B753" s="54">
        <v>836.0</v>
      </c>
      <c r="C753" s="8" t="s">
        <v>8351</v>
      </c>
      <c r="D753" s="8" t="s">
        <v>1013</v>
      </c>
      <c r="E753" s="8" t="s">
        <v>1472</v>
      </c>
      <c r="F753" s="8" t="s">
        <v>873</v>
      </c>
      <c r="G753" s="8"/>
      <c r="H753" s="8" t="s">
        <v>1472</v>
      </c>
      <c r="I753" s="8" t="s">
        <v>405</v>
      </c>
      <c r="J753" s="78" t="s">
        <v>4668</v>
      </c>
      <c r="K753" s="22">
        <v>0.0</v>
      </c>
      <c r="L753" s="22">
        <f>+SUMIF('حركه المخزن الرئيسي اليوميه'!$F:$F,$H:$H,'حركه المخزن الرئيسي اليوميه'!$H:$H)</f>
        <v>0.0</v>
      </c>
      <c r="M753" s="22">
        <f>+SUMIF('حركه المخزن الرئيسي اليوميه'!$F:$F,$H:$H,'حركه المخزن الرئيسي اليوميه'!$I:$I)</f>
        <v>0.0</v>
      </c>
      <c r="N753" s="22">
        <f>+K753+L753-M753</f>
        <v>0.0</v>
      </c>
      <c r="O753" s="22">
        <f>+N753</f>
        <v>0.0</v>
      </c>
      <c r="P753" s="22">
        <f>+N753-O753</f>
        <v>0.0</v>
      </c>
      <c r="Q753" s="57"/>
      <c r="R753" s="58"/>
    </row>
    <row r="754" spans="8:8" ht="15.0" customHeight="1">
      <c r="B754" s="54">
        <v>837.0</v>
      </c>
      <c r="C754" s="8" t="s">
        <v>8351</v>
      </c>
      <c r="D754" s="8" t="s">
        <v>1013</v>
      </c>
      <c r="E754" s="8" t="s">
        <v>1473</v>
      </c>
      <c r="F754" s="8" t="s">
        <v>873</v>
      </c>
      <c r="G754" s="8"/>
      <c r="H754" s="8" t="s">
        <v>1473</v>
      </c>
      <c r="I754" s="8" t="s">
        <v>405</v>
      </c>
      <c r="J754" s="78" t="s">
        <v>4669</v>
      </c>
      <c r="K754" s="22">
        <v>0.0</v>
      </c>
      <c r="L754" s="22">
        <f>+SUMIF('حركه المخزن الرئيسي اليوميه'!$F:$F,$H:$H,'حركه المخزن الرئيسي اليوميه'!$H:$H)</f>
        <v>0.0</v>
      </c>
      <c r="M754" s="22">
        <f>+SUMIF('حركه المخزن الرئيسي اليوميه'!$F:$F,$H:$H,'حركه المخزن الرئيسي اليوميه'!$I:$I)</f>
        <v>0.0</v>
      </c>
      <c r="N754" s="22">
        <f>+K754+L754-M754</f>
        <v>0.0</v>
      </c>
      <c r="O754" s="22">
        <f>+N754</f>
        <v>0.0</v>
      </c>
      <c r="P754" s="22">
        <f>+N754-O754</f>
        <v>0.0</v>
      </c>
      <c r="Q754" s="57"/>
      <c r="R754" s="58"/>
    </row>
    <row r="755" spans="8:8" ht="15.0" customHeight="1">
      <c r="B755" s="54">
        <v>838.0</v>
      </c>
      <c r="C755" s="8" t="s">
        <v>8351</v>
      </c>
      <c r="D755" s="8" t="s">
        <v>1013</v>
      </c>
      <c r="E755" s="8" t="s">
        <v>3628</v>
      </c>
      <c r="F755" s="8" t="s">
        <v>68</v>
      </c>
      <c r="G755" s="8"/>
      <c r="H755" s="8" t="s">
        <v>3628</v>
      </c>
      <c r="I755" s="8" t="s">
        <v>58</v>
      </c>
      <c r="J755" s="78" t="s">
        <v>4670</v>
      </c>
      <c r="K755" s="22">
        <v>1.0</v>
      </c>
      <c r="L755" s="22">
        <f>+SUMIF('حركه المخزن الرئيسي اليوميه'!$F:$F,$H:$H,'حركه المخزن الرئيسي اليوميه'!$H:$H)</f>
        <v>0.0</v>
      </c>
      <c r="M755" s="22">
        <f>+SUMIF('حركه المخزن الرئيسي اليوميه'!$F:$F,$H:$H,'حركه المخزن الرئيسي اليوميه'!$I:$I)</f>
        <v>0.0</v>
      </c>
      <c r="N755" s="22">
        <f>+K755+L755-M755</f>
        <v>1.0</v>
      </c>
      <c r="O755" s="22">
        <f>+N755</f>
        <v>1.0</v>
      </c>
      <c r="P755" s="22">
        <f>+N755-O755</f>
        <v>0.0</v>
      </c>
      <c r="Q755" s="57"/>
      <c r="R755" s="58"/>
    </row>
    <row r="756" spans="8:8" ht="15.0" customHeight="1">
      <c r="B756" s="54">
        <v>839.0</v>
      </c>
      <c r="C756" s="8" t="s">
        <v>8351</v>
      </c>
      <c r="D756" s="8" t="s">
        <v>1013</v>
      </c>
      <c r="E756" s="8" t="s">
        <v>406</v>
      </c>
      <c r="F756" s="8" t="s">
        <v>68</v>
      </c>
      <c r="G756" s="8" t="s">
        <v>1860</v>
      </c>
      <c r="H756" s="8" t="s">
        <v>902</v>
      </c>
      <c r="I756" s="8" t="s">
        <v>407</v>
      </c>
      <c r="J756" s="78" t="s">
        <v>4671</v>
      </c>
      <c r="K756" s="22">
        <v>0.0</v>
      </c>
      <c r="L756" s="22">
        <f>+SUMIF('حركه المخزن الرئيسي اليوميه'!$F:$F,$H:$H,'حركه المخزن الرئيسي اليوميه'!$H:$H)</f>
        <v>0.0</v>
      </c>
      <c r="M756" s="22">
        <f>+SUMIF('حركه المخزن الرئيسي اليوميه'!$F:$F,$H:$H,'حركه المخزن الرئيسي اليوميه'!$I:$I)</f>
        <v>0.0</v>
      </c>
      <c r="N756" s="22">
        <f>+K756+L756-M756</f>
        <v>0.0</v>
      </c>
      <c r="O756" s="22">
        <f>+N756</f>
        <v>0.0</v>
      </c>
      <c r="P756" s="22">
        <f>+N756-O756</f>
        <v>0.0</v>
      </c>
      <c r="Q756" s="57"/>
      <c r="R756" s="58"/>
    </row>
    <row r="757" spans="8:8" ht="15.0" customHeight="1">
      <c r="B757" s="54">
        <v>840.0</v>
      </c>
      <c r="C757" s="8" t="s">
        <v>8351</v>
      </c>
      <c r="D757" s="8" t="s">
        <v>1013</v>
      </c>
      <c r="E757" s="8" t="s">
        <v>406</v>
      </c>
      <c r="F757" s="8" t="s">
        <v>68</v>
      </c>
      <c r="G757" s="8" t="s">
        <v>1860</v>
      </c>
      <c r="H757" s="8" t="s">
        <v>901</v>
      </c>
      <c r="I757" s="8" t="s">
        <v>407</v>
      </c>
      <c r="J757" s="78" t="s">
        <v>4672</v>
      </c>
      <c r="K757" s="22">
        <v>0.0</v>
      </c>
      <c r="L757" s="22">
        <f>+SUMIF('حركه المخزن الرئيسي اليوميه'!$F:$F,$H:$H,'حركه المخزن الرئيسي اليوميه'!$H:$H)</f>
        <v>0.0</v>
      </c>
      <c r="M757" s="22">
        <f>+SUMIF('حركه المخزن الرئيسي اليوميه'!$F:$F,$H:$H,'حركه المخزن الرئيسي اليوميه'!$I:$I)</f>
        <v>0.0</v>
      </c>
      <c r="N757" s="22">
        <f>+K757+L757-M757</f>
        <v>0.0</v>
      </c>
      <c r="O757" s="22">
        <f>+N757</f>
        <v>0.0</v>
      </c>
      <c r="P757" s="22">
        <f>+N757-O757</f>
        <v>0.0</v>
      </c>
      <c r="Q757" s="57"/>
      <c r="R757" s="58"/>
    </row>
    <row r="758" spans="8:8" ht="15.0" customHeight="1">
      <c r="B758" s="54">
        <v>841.0</v>
      </c>
      <c r="C758" s="8" t="s">
        <v>8351</v>
      </c>
      <c r="D758" s="8" t="s">
        <v>1013</v>
      </c>
      <c r="E758" s="8" t="s">
        <v>406</v>
      </c>
      <c r="F758" s="8" t="s">
        <v>68</v>
      </c>
      <c r="G758" s="8" t="s">
        <v>1860</v>
      </c>
      <c r="H758" s="8" t="s">
        <v>900</v>
      </c>
      <c r="I758" s="8" t="s">
        <v>407</v>
      </c>
      <c r="J758" s="78" t="s">
        <v>4673</v>
      </c>
      <c r="K758" s="22">
        <v>0.0</v>
      </c>
      <c r="L758" s="22">
        <f>+SUMIF('حركه المخزن الرئيسي اليوميه'!$F:$F,$H:$H,'حركه المخزن الرئيسي اليوميه'!$H:$H)</f>
        <v>0.0</v>
      </c>
      <c r="M758" s="22">
        <f>+SUMIF('حركه المخزن الرئيسي اليوميه'!$F:$F,$H:$H,'حركه المخزن الرئيسي اليوميه'!$I:$I)</f>
        <v>0.0</v>
      </c>
      <c r="N758" s="22">
        <f>+K758+L758-M758</f>
        <v>0.0</v>
      </c>
      <c r="O758" s="22">
        <f>+N758</f>
        <v>0.0</v>
      </c>
      <c r="P758" s="22">
        <f>+N758-O758</f>
        <v>0.0</v>
      </c>
      <c r="Q758" s="57"/>
      <c r="R758" s="58"/>
    </row>
    <row r="759" spans="8:8" ht="15.0" customHeight="1">
      <c r="B759" s="54">
        <v>842.0</v>
      </c>
      <c r="C759" s="8" t="s">
        <v>8351</v>
      </c>
      <c r="D759" s="8" t="s">
        <v>820</v>
      </c>
      <c r="E759" s="8" t="s">
        <v>1423</v>
      </c>
      <c r="F759" s="8" t="s">
        <v>68</v>
      </c>
      <c r="G759" s="8" t="s">
        <v>2272</v>
      </c>
      <c r="H759" s="8" t="s">
        <v>1424</v>
      </c>
      <c r="I759" s="8" t="s">
        <v>407</v>
      </c>
      <c r="J759" s="78" t="s">
        <v>4674</v>
      </c>
      <c r="K759" s="22">
        <v>0.0</v>
      </c>
      <c r="L759" s="22">
        <f>+SUMIF('حركه المخزن الرئيسي اليوميه'!$F:$F,$H:$H,'حركه المخزن الرئيسي اليوميه'!$H:$H)</f>
        <v>0.0</v>
      </c>
      <c r="M759" s="22">
        <f>+SUMIF('حركه المخزن الرئيسي اليوميه'!$F:$F,$H:$H,'حركه المخزن الرئيسي اليوميه'!$I:$I)</f>
        <v>0.0</v>
      </c>
      <c r="N759" s="22">
        <f>+K759+L759-M759</f>
        <v>0.0</v>
      </c>
      <c r="O759" s="22">
        <f>+N759</f>
        <v>0.0</v>
      </c>
      <c r="P759" s="22">
        <f>+N759-O759</f>
        <v>0.0</v>
      </c>
      <c r="Q759" s="57"/>
      <c r="R759" s="58"/>
    </row>
    <row r="760" spans="8:8" ht="15.0" customHeight="1">
      <c r="B760" s="54">
        <v>843.0</v>
      </c>
      <c r="C760" s="8" t="s">
        <v>8351</v>
      </c>
      <c r="D760" s="8" t="s">
        <v>1013</v>
      </c>
      <c r="E760" s="8" t="s">
        <v>408</v>
      </c>
      <c r="F760" s="8" t="s">
        <v>68</v>
      </c>
      <c r="G760" s="8" t="s">
        <v>1861</v>
      </c>
      <c r="H760" s="8" t="s">
        <v>1433</v>
      </c>
      <c r="I760" s="8" t="s">
        <v>407</v>
      </c>
      <c r="J760" s="78" t="s">
        <v>4675</v>
      </c>
      <c r="K760" s="22">
        <v>0.0</v>
      </c>
      <c r="L760" s="22">
        <f>+SUMIF('حركه المخزن الرئيسي اليوميه'!$F:$F,$H:$H,'حركه المخزن الرئيسي اليوميه'!$H:$H)</f>
        <v>0.0</v>
      </c>
      <c r="M760" s="22">
        <f>+SUMIF('حركه المخزن الرئيسي اليوميه'!$F:$F,$H:$H,'حركه المخزن الرئيسي اليوميه'!$I:$I)</f>
        <v>0.0</v>
      </c>
      <c r="N760" s="22">
        <f>+K760+L760-M760</f>
        <v>0.0</v>
      </c>
      <c r="O760" s="22">
        <f>+N760</f>
        <v>0.0</v>
      </c>
      <c r="P760" s="22">
        <f>+N760-O760</f>
        <v>0.0</v>
      </c>
      <c r="Q760" s="57"/>
      <c r="R760" s="58"/>
    </row>
    <row r="761" spans="8:8" ht="15.0" customHeight="1">
      <c r="B761" s="54">
        <v>844.0</v>
      </c>
      <c r="C761" s="8" t="s">
        <v>8351</v>
      </c>
      <c r="D761" s="8" t="s">
        <v>713</v>
      </c>
      <c r="E761" s="8" t="s">
        <v>655</v>
      </c>
      <c r="F761" s="8" t="s">
        <v>68</v>
      </c>
      <c r="G761" s="8" t="s">
        <v>1759</v>
      </c>
      <c r="H761" s="8" t="s">
        <v>655</v>
      </c>
      <c r="I761" s="8" t="s">
        <v>407</v>
      </c>
      <c r="J761" s="78" t="s">
        <v>4676</v>
      </c>
      <c r="K761" s="22">
        <v>0.0</v>
      </c>
      <c r="L761" s="22">
        <f>+SUMIF('حركه المخزن الرئيسي اليوميه'!$F:$F,$H:$H,'حركه المخزن الرئيسي اليوميه'!$H:$H)</f>
        <v>0.0</v>
      </c>
      <c r="M761" s="22">
        <f>+SUMIF('حركه المخزن الرئيسي اليوميه'!$F:$F,$H:$H,'حركه المخزن الرئيسي اليوميه'!$I:$I)</f>
        <v>0.0</v>
      </c>
      <c r="N761" s="22">
        <f>+K761+L761-M761</f>
        <v>0.0</v>
      </c>
      <c r="O761" s="22">
        <f>+N761</f>
        <v>0.0</v>
      </c>
      <c r="P761" s="22">
        <f>+N761-O761</f>
        <v>0.0</v>
      </c>
      <c r="Q761" s="57"/>
      <c r="R761" s="58"/>
    </row>
    <row r="762" spans="8:8" ht="15.0" customHeight="1">
      <c r="B762" s="54">
        <v>845.0</v>
      </c>
      <c r="C762" s="8" t="s">
        <v>8351</v>
      </c>
      <c r="D762" s="8" t="s">
        <v>828</v>
      </c>
      <c r="E762" s="8" t="s">
        <v>8118</v>
      </c>
      <c r="F762" s="8" t="s">
        <v>1501</v>
      </c>
      <c r="G762" s="8"/>
      <c r="H762" s="8" t="s">
        <v>8118</v>
      </c>
      <c r="I762" s="55" t="s">
        <v>818</v>
      </c>
      <c r="J762" s="78" t="s">
        <v>4677</v>
      </c>
      <c r="K762" s="22">
        <v>1.0</v>
      </c>
      <c r="L762" s="22">
        <f>+SUMIF('حركه المخزن الرئيسي اليوميه'!$F:$F,$H:$H,'حركه المخزن الرئيسي اليوميه'!$H:$H)</f>
        <v>0.0</v>
      </c>
      <c r="M762" s="22">
        <f>+SUMIF('حركه المخزن الرئيسي اليوميه'!$F:$F,$H:$H,'حركه المخزن الرئيسي اليوميه'!$I:$I)</f>
        <v>0.0</v>
      </c>
      <c r="N762" s="22">
        <f>+K762+L762-M762</f>
        <v>1.0</v>
      </c>
      <c r="O762" s="22">
        <f>+N762</f>
        <v>1.0</v>
      </c>
      <c r="P762" s="22">
        <f>+N762-O762</f>
        <v>0.0</v>
      </c>
      <c r="Q762" s="57"/>
      <c r="R762" s="58"/>
    </row>
    <row r="763" spans="8:8" ht="15.0" customHeight="1">
      <c r="B763" s="54">
        <v>846.0</v>
      </c>
      <c r="C763" s="8" t="s">
        <v>8351</v>
      </c>
      <c r="D763" s="8" t="s">
        <v>1013</v>
      </c>
      <c r="E763" s="8" t="s">
        <v>1873</v>
      </c>
      <c r="F763" s="8" t="s">
        <v>1881</v>
      </c>
      <c r="G763" s="8" t="s">
        <v>2301</v>
      </c>
      <c r="H763" s="8" t="s">
        <v>1873</v>
      </c>
      <c r="I763" s="8" t="s">
        <v>407</v>
      </c>
      <c r="J763" s="78" t="s">
        <v>4678</v>
      </c>
      <c r="K763" s="22">
        <v>0.0</v>
      </c>
      <c r="L763" s="22">
        <f>+SUMIF('حركه المخزن الرئيسي اليوميه'!$F:$F,$H:$H,'حركه المخزن الرئيسي اليوميه'!$H:$H)</f>
        <v>0.0</v>
      </c>
      <c r="M763" s="22">
        <f>+SUMIF('حركه المخزن الرئيسي اليوميه'!$F:$F,$H:$H,'حركه المخزن الرئيسي اليوميه'!$I:$I)</f>
        <v>0.0</v>
      </c>
      <c r="N763" s="22">
        <f>+K763+L763-M763</f>
        <v>0.0</v>
      </c>
      <c r="O763" s="22">
        <f>+N763</f>
        <v>0.0</v>
      </c>
      <c r="P763" s="22">
        <f>+N763-O763</f>
        <v>0.0</v>
      </c>
      <c r="Q763" s="57"/>
      <c r="R763" s="58"/>
    </row>
    <row r="764" spans="8:8" ht="15.0" customHeight="1">
      <c r="B764" s="54">
        <v>848.0</v>
      </c>
      <c r="C764" s="8" t="s">
        <v>8351</v>
      </c>
      <c r="D764" s="8" t="s">
        <v>1013</v>
      </c>
      <c r="E764" s="8" t="s">
        <v>8114</v>
      </c>
      <c r="F764" s="8" t="s">
        <v>1501</v>
      </c>
      <c r="G764" s="8"/>
      <c r="H764" s="8" t="s">
        <v>8114</v>
      </c>
      <c r="I764" s="8" t="s">
        <v>183</v>
      </c>
      <c r="J764" s="78" t="s">
        <v>4679</v>
      </c>
      <c r="K764" s="22">
        <v>9.0</v>
      </c>
      <c r="L764" s="22">
        <f>+SUMIF('حركه المخزن الرئيسي اليوميه'!$F:$F,$H:$H,'حركه المخزن الرئيسي اليوميه'!$H:$H)</f>
        <v>0.0</v>
      </c>
      <c r="M764" s="22">
        <f>+SUMIF('حركه المخزن الرئيسي اليوميه'!$F:$F,$H:$H,'حركه المخزن الرئيسي اليوميه'!$I:$I)</f>
        <v>0.0</v>
      </c>
      <c r="N764" s="22">
        <f>+K764+L764-M764</f>
        <v>9.0</v>
      </c>
      <c r="O764" s="22">
        <f>+N764</f>
        <v>9.0</v>
      </c>
      <c r="P764" s="22">
        <f>+N764-O764</f>
        <v>0.0</v>
      </c>
      <c r="Q764" s="57"/>
      <c r="R764" s="58"/>
    </row>
    <row r="765" spans="8:8" ht="15.0" customHeight="1">
      <c r="B765" s="54">
        <v>849.0</v>
      </c>
      <c r="C765" s="8" t="s">
        <v>8351</v>
      </c>
      <c r="D765" s="8" t="s">
        <v>820</v>
      </c>
      <c r="E765" s="8" t="s">
        <v>948</v>
      </c>
      <c r="F765" s="8" t="s">
        <v>68</v>
      </c>
      <c r="G765" s="8" t="s">
        <v>1963</v>
      </c>
      <c r="H765" s="8" t="s">
        <v>948</v>
      </c>
      <c r="I765" s="8" t="s">
        <v>958</v>
      </c>
      <c r="J765" s="78" t="s">
        <v>4680</v>
      </c>
      <c r="K765" s="22">
        <v>0.0</v>
      </c>
      <c r="L765" s="22">
        <f>+SUMIF('حركه المخزن الرئيسي اليوميه'!$F:$F,$H:$H,'حركه المخزن الرئيسي اليوميه'!$H:$H)</f>
        <v>0.0</v>
      </c>
      <c r="M765" s="22">
        <f>+SUMIF('حركه المخزن الرئيسي اليوميه'!$F:$F,$H:$H,'حركه المخزن الرئيسي اليوميه'!$I:$I)</f>
        <v>0.0</v>
      </c>
      <c r="N765" s="22">
        <f>+K765+L765-M765</f>
        <v>0.0</v>
      </c>
      <c r="O765" s="22">
        <f>+N765</f>
        <v>0.0</v>
      </c>
      <c r="P765" s="22">
        <f>+N765-O765</f>
        <v>0.0</v>
      </c>
      <c r="Q765" s="57"/>
      <c r="R765" s="58"/>
    </row>
    <row r="766" spans="8:8" ht="15.0" customHeight="1">
      <c r="B766" s="54">
        <v>850.0</v>
      </c>
      <c r="C766" s="8" t="s">
        <v>8351</v>
      </c>
      <c r="D766" s="8" t="s">
        <v>820</v>
      </c>
      <c r="E766" s="8" t="s">
        <v>964</v>
      </c>
      <c r="F766" s="8" t="s">
        <v>68</v>
      </c>
      <c r="G766" s="8" t="s">
        <v>1963</v>
      </c>
      <c r="H766" s="8" t="s">
        <v>924</v>
      </c>
      <c r="I766" s="8" t="s">
        <v>938</v>
      </c>
      <c r="J766" s="78" t="s">
        <v>4681</v>
      </c>
      <c r="K766" s="22">
        <v>0.0</v>
      </c>
      <c r="L766" s="22">
        <f>+SUMIF('حركه المخزن الرئيسي اليوميه'!$F:$F,$H:$H,'حركه المخزن الرئيسي اليوميه'!$H:$H)</f>
        <v>0.0</v>
      </c>
      <c r="M766" s="22">
        <f>+SUMIF('حركه المخزن الرئيسي اليوميه'!$F:$F,$H:$H,'حركه المخزن الرئيسي اليوميه'!$I:$I)</f>
        <v>0.0</v>
      </c>
      <c r="N766" s="22">
        <f>+K766+L766-M766</f>
        <v>0.0</v>
      </c>
      <c r="O766" s="22">
        <f>+N766</f>
        <v>0.0</v>
      </c>
      <c r="P766" s="22">
        <f>+N766-O766</f>
        <v>0.0</v>
      </c>
      <c r="Q766" s="57"/>
      <c r="R766" s="58"/>
    </row>
    <row r="767" spans="8:8" ht="15.0" customHeight="1">
      <c r="B767" s="54">
        <v>851.0</v>
      </c>
      <c r="C767" s="8" t="s">
        <v>8351</v>
      </c>
      <c r="D767" s="8" t="s">
        <v>820</v>
      </c>
      <c r="E767" s="8" t="s">
        <v>986</v>
      </c>
      <c r="F767" s="8" t="s">
        <v>68</v>
      </c>
      <c r="G767" s="8" t="s">
        <v>1963</v>
      </c>
      <c r="H767" s="8" t="s">
        <v>917</v>
      </c>
      <c r="I767" s="8" t="s">
        <v>3286</v>
      </c>
      <c r="J767" s="78" t="s">
        <v>4682</v>
      </c>
      <c r="K767" s="22">
        <v>64.0</v>
      </c>
      <c r="L767" s="22">
        <f>+SUMIF('حركه المخزن الرئيسي اليوميه'!$F:$F,$H:$H,'حركه المخزن الرئيسي اليوميه'!$H:$H)</f>
        <v>0.0</v>
      </c>
      <c r="M767" s="22">
        <f>+SUMIF('حركه المخزن الرئيسي اليوميه'!$F:$F,$H:$H,'حركه المخزن الرئيسي اليوميه'!$I:$I)</f>
        <v>0.0</v>
      </c>
      <c r="N767" s="22">
        <f>+K767+L767-M767</f>
        <v>64.0</v>
      </c>
      <c r="O767" s="22">
        <f>+N767</f>
        <v>64.0</v>
      </c>
      <c r="P767" s="22">
        <f>+N767-O767</f>
        <v>0.0</v>
      </c>
      <c r="Q767" s="57"/>
      <c r="R767" s="58"/>
    </row>
    <row r="768" spans="8:8" ht="15.0" customHeight="1">
      <c r="B768" s="54">
        <v>852.0</v>
      </c>
      <c r="C768" s="8" t="s">
        <v>8351</v>
      </c>
      <c r="D768" s="8" t="s">
        <v>820</v>
      </c>
      <c r="E768" s="8" t="s">
        <v>952</v>
      </c>
      <c r="F768" s="8" t="s">
        <v>68</v>
      </c>
      <c r="G768" s="8" t="s">
        <v>1963</v>
      </c>
      <c r="H768" s="8" t="s">
        <v>952</v>
      </c>
      <c r="I768" s="8" t="s">
        <v>935</v>
      </c>
      <c r="J768" s="78" t="s">
        <v>4683</v>
      </c>
      <c r="K768" s="22">
        <v>3.0</v>
      </c>
      <c r="L768" s="22">
        <f>+SUMIF('حركه المخزن الرئيسي اليوميه'!$F:$F,$H:$H,'حركه المخزن الرئيسي اليوميه'!$H:$H)</f>
        <v>0.0</v>
      </c>
      <c r="M768" s="22">
        <f>+SUMIF('حركه المخزن الرئيسي اليوميه'!$F:$F,$H:$H,'حركه المخزن الرئيسي اليوميه'!$I:$I)</f>
        <v>0.0</v>
      </c>
      <c r="N768" s="22">
        <f>+K768+L768-M768</f>
        <v>3.0</v>
      </c>
      <c r="O768" s="22">
        <f>+N768</f>
        <v>3.0</v>
      </c>
      <c r="P768" s="22">
        <f>+N768-O768</f>
        <v>0.0</v>
      </c>
      <c r="Q768" s="57"/>
      <c r="R768" s="58"/>
    </row>
    <row r="769" spans="8:8" ht="15.0" customHeight="1">
      <c r="B769" s="54">
        <v>853.0</v>
      </c>
      <c r="C769" s="8" t="s">
        <v>8351</v>
      </c>
      <c r="D769" s="8" t="s">
        <v>820</v>
      </c>
      <c r="E769" s="8" t="s">
        <v>967</v>
      </c>
      <c r="F769" s="8" t="s">
        <v>68</v>
      </c>
      <c r="G769" s="8" t="s">
        <v>1963</v>
      </c>
      <c r="H769" s="8" t="s">
        <v>927</v>
      </c>
      <c r="I769" s="8" t="s">
        <v>1382</v>
      </c>
      <c r="J769" s="78" t="s">
        <v>4684</v>
      </c>
      <c r="K769" s="22">
        <v>0.0</v>
      </c>
      <c r="L769" s="22">
        <f>+SUMIF('حركه المخزن الرئيسي اليوميه'!$F:$F,$H:$H,'حركه المخزن الرئيسي اليوميه'!$H:$H)</f>
        <v>0.0</v>
      </c>
      <c r="M769" s="22">
        <f>+SUMIF('حركه المخزن الرئيسي اليوميه'!$F:$F,$H:$H,'حركه المخزن الرئيسي اليوميه'!$I:$I)</f>
        <v>0.0</v>
      </c>
      <c r="N769" s="22">
        <f>+K769+L769-M769</f>
        <v>0.0</v>
      </c>
      <c r="O769" s="22">
        <f>+N769</f>
        <v>0.0</v>
      </c>
      <c r="P769" s="22">
        <f>+N769-O769</f>
        <v>0.0</v>
      </c>
      <c r="Q769" s="57"/>
      <c r="R769" s="58"/>
    </row>
    <row r="770" spans="8:8" ht="15.0" customHeight="1">
      <c r="B770" s="54">
        <v>854.0</v>
      </c>
      <c r="C770" s="8" t="s">
        <v>8351</v>
      </c>
      <c r="D770" s="8" t="s">
        <v>820</v>
      </c>
      <c r="E770" s="8" t="s">
        <v>794</v>
      </c>
      <c r="F770" s="8" t="s">
        <v>68</v>
      </c>
      <c r="G770" s="8" t="s">
        <v>1963</v>
      </c>
      <c r="H770" s="8" t="s">
        <v>1386</v>
      </c>
      <c r="I770" s="8" t="s">
        <v>1382</v>
      </c>
      <c r="J770" s="78" t="s">
        <v>4685</v>
      </c>
      <c r="K770" s="22">
        <v>0.0</v>
      </c>
      <c r="L770" s="22">
        <f>+SUMIF('حركه المخزن الرئيسي اليوميه'!$F:$F,$H:$H,'حركه المخزن الرئيسي اليوميه'!$H:$H)</f>
        <v>0.0</v>
      </c>
      <c r="M770" s="22">
        <f>+SUMIF('حركه المخزن الرئيسي اليوميه'!$F:$F,$H:$H,'حركه المخزن الرئيسي اليوميه'!$I:$I)</f>
        <v>0.0</v>
      </c>
      <c r="N770" s="22">
        <f>+K770+L770-M770</f>
        <v>0.0</v>
      </c>
      <c r="O770" s="22">
        <f>+N770</f>
        <v>0.0</v>
      </c>
      <c r="P770" s="22">
        <f>+N770-O770</f>
        <v>0.0</v>
      </c>
      <c r="Q770" s="57"/>
      <c r="R770" s="58"/>
    </row>
    <row r="771" spans="8:8" ht="15.0" customHeight="1">
      <c r="B771" s="54">
        <v>855.0</v>
      </c>
      <c r="C771" s="8" t="s">
        <v>8351</v>
      </c>
      <c r="D771" s="8" t="s">
        <v>820</v>
      </c>
      <c r="E771" s="8" t="s">
        <v>1383</v>
      </c>
      <c r="F771" s="8" t="s">
        <v>68</v>
      </c>
      <c r="G771" s="8" t="s">
        <v>1963</v>
      </c>
      <c r="H771" s="8" t="s">
        <v>1384</v>
      </c>
      <c r="I771" s="8" t="s">
        <v>1382</v>
      </c>
      <c r="J771" s="78" t="s">
        <v>4686</v>
      </c>
      <c r="K771" s="22">
        <v>0.0</v>
      </c>
      <c r="L771" s="22">
        <f>+SUMIF('حركه المخزن الرئيسي اليوميه'!$F:$F,$H:$H,'حركه المخزن الرئيسي اليوميه'!$H:$H)</f>
        <v>0.0</v>
      </c>
      <c r="M771" s="22">
        <f>+SUMIF('حركه المخزن الرئيسي اليوميه'!$F:$F,$H:$H,'حركه المخزن الرئيسي اليوميه'!$I:$I)</f>
        <v>0.0</v>
      </c>
      <c r="N771" s="22">
        <f>+K771+L771-M771</f>
        <v>0.0</v>
      </c>
      <c r="O771" s="22">
        <f>+N771</f>
        <v>0.0</v>
      </c>
      <c r="P771" s="22">
        <f>+N771-O771</f>
        <v>0.0</v>
      </c>
      <c r="Q771" s="57"/>
      <c r="R771" s="58"/>
    </row>
    <row r="772" spans="8:8" ht="15.0" customHeight="1">
      <c r="B772" s="54">
        <v>856.0</v>
      </c>
      <c r="C772" s="8" t="s">
        <v>8351</v>
      </c>
      <c r="D772" s="8" t="s">
        <v>820</v>
      </c>
      <c r="E772" s="8" t="s">
        <v>794</v>
      </c>
      <c r="F772" s="8" t="s">
        <v>1027</v>
      </c>
      <c r="G772" s="8" t="s">
        <v>1963</v>
      </c>
      <c r="H772" s="8" t="s">
        <v>1385</v>
      </c>
      <c r="I772" s="8" t="s">
        <v>1382</v>
      </c>
      <c r="J772" s="78" t="s">
        <v>4687</v>
      </c>
      <c r="K772" s="22">
        <v>1.0</v>
      </c>
      <c r="L772" s="22">
        <f>+SUMIF('حركه المخزن الرئيسي اليوميه'!$F:$F,$H:$H,'حركه المخزن الرئيسي اليوميه'!$H:$H)</f>
        <v>0.0</v>
      </c>
      <c r="M772" s="22">
        <f>+SUMIF('حركه المخزن الرئيسي اليوميه'!$F:$F,$H:$H,'حركه المخزن الرئيسي اليوميه'!$I:$I)</f>
        <v>0.0</v>
      </c>
      <c r="N772" s="22">
        <f>+K772+L772-M772</f>
        <v>1.0</v>
      </c>
      <c r="O772" s="22">
        <f>+N772</f>
        <v>1.0</v>
      </c>
      <c r="P772" s="22">
        <f>+N772-O772</f>
        <v>0.0</v>
      </c>
      <c r="Q772" s="57"/>
      <c r="R772" s="58"/>
    </row>
    <row r="773" spans="8:8" ht="15.0" customHeight="1">
      <c r="B773" s="54">
        <v>857.0</v>
      </c>
      <c r="C773" s="8" t="s">
        <v>8351</v>
      </c>
      <c r="D773" s="8" t="s">
        <v>820</v>
      </c>
      <c r="E773" s="8" t="s">
        <v>975</v>
      </c>
      <c r="F773" s="8" t="s">
        <v>68</v>
      </c>
      <c r="G773" s="8" t="s">
        <v>1963</v>
      </c>
      <c r="H773" s="8" t="s">
        <v>907</v>
      </c>
      <c r="I773" s="8" t="s">
        <v>1382</v>
      </c>
      <c r="J773" s="78" t="s">
        <v>4688</v>
      </c>
      <c r="K773" s="22">
        <v>0.0</v>
      </c>
      <c r="L773" s="22">
        <f>+SUMIF('حركه المخزن الرئيسي اليوميه'!$F:$F,$H:$H,'حركه المخزن الرئيسي اليوميه'!$H:$H)</f>
        <v>0.0</v>
      </c>
      <c r="M773" s="22">
        <f>+SUMIF('حركه المخزن الرئيسي اليوميه'!$F:$F,$H:$H,'حركه المخزن الرئيسي اليوميه'!$I:$I)</f>
        <v>0.0</v>
      </c>
      <c r="N773" s="22">
        <f>+K773+L773-M773</f>
        <v>0.0</v>
      </c>
      <c r="O773" s="22">
        <f>+N773</f>
        <v>0.0</v>
      </c>
      <c r="P773" s="22">
        <f>+N773-O773</f>
        <v>0.0</v>
      </c>
      <c r="Q773" s="57"/>
      <c r="R773" s="58"/>
    </row>
    <row r="774" spans="8:8" ht="15.0" customHeight="1">
      <c r="B774" s="54">
        <v>858.0</v>
      </c>
      <c r="C774" s="8" t="s">
        <v>8351</v>
      </c>
      <c r="D774" s="8" t="s">
        <v>820</v>
      </c>
      <c r="E774" s="8" t="s">
        <v>977</v>
      </c>
      <c r="F774" s="8" t="s">
        <v>68</v>
      </c>
      <c r="G774" s="8" t="s">
        <v>1963</v>
      </c>
      <c r="H774" s="8" t="s">
        <v>909</v>
      </c>
      <c r="I774" s="8" t="s">
        <v>3286</v>
      </c>
      <c r="J774" s="78" t="s">
        <v>4689</v>
      </c>
      <c r="K774" s="22">
        <v>35.0</v>
      </c>
      <c r="L774" s="22">
        <f>+SUMIF('حركه المخزن الرئيسي اليوميه'!$F:$F,$H:$H,'حركه المخزن الرئيسي اليوميه'!$H:$H)</f>
        <v>0.0</v>
      </c>
      <c r="M774" s="22">
        <f>+SUMIF('حركه المخزن الرئيسي اليوميه'!$F:$F,$H:$H,'حركه المخزن الرئيسي اليوميه'!$I:$I)</f>
        <v>0.0</v>
      </c>
      <c r="N774" s="22">
        <f>+K774+L774-M774</f>
        <v>35.0</v>
      </c>
      <c r="O774" s="22">
        <f>+N774</f>
        <v>35.0</v>
      </c>
      <c r="P774" s="22">
        <f>+N774-O774</f>
        <v>0.0</v>
      </c>
      <c r="Q774" s="57"/>
      <c r="R774" s="58"/>
    </row>
    <row r="775" spans="8:8" ht="15.0" customHeight="1">
      <c r="B775" s="54">
        <v>859.0</v>
      </c>
      <c r="C775" s="8" t="s">
        <v>8351</v>
      </c>
      <c r="D775" s="8" t="s">
        <v>820</v>
      </c>
      <c r="E775" s="8" t="s">
        <v>955</v>
      </c>
      <c r="F775" s="8" t="s">
        <v>68</v>
      </c>
      <c r="G775" s="8" t="s">
        <v>1963</v>
      </c>
      <c r="H775" s="8" t="s">
        <v>955</v>
      </c>
      <c r="I775" s="8" t="s">
        <v>933</v>
      </c>
      <c r="J775" s="78" t="s">
        <v>4690</v>
      </c>
      <c r="K775" s="22">
        <v>2.0</v>
      </c>
      <c r="L775" s="22">
        <f>+SUMIF('حركه المخزن الرئيسي اليوميه'!$F:$F,$H:$H,'حركه المخزن الرئيسي اليوميه'!$H:$H)</f>
        <v>0.0</v>
      </c>
      <c r="M775" s="22">
        <f>+SUMIF('حركه المخزن الرئيسي اليوميه'!$F:$F,$H:$H,'حركه المخزن الرئيسي اليوميه'!$I:$I)</f>
        <v>0.0</v>
      </c>
      <c r="N775" s="22">
        <f>+K775+L775-M775</f>
        <v>2.0</v>
      </c>
      <c r="O775" s="22">
        <f>+N775</f>
        <v>2.0</v>
      </c>
      <c r="P775" s="22">
        <f>+N775-O775</f>
        <v>0.0</v>
      </c>
      <c r="Q775" s="57"/>
      <c r="R775" s="58"/>
    </row>
    <row r="776" spans="8:8" ht="15.0" customHeight="1">
      <c r="B776" s="54">
        <v>860.0</v>
      </c>
      <c r="C776" s="8" t="s">
        <v>8351</v>
      </c>
      <c r="D776" s="8" t="s">
        <v>1013</v>
      </c>
      <c r="E776" s="8" t="s">
        <v>1600</v>
      </c>
      <c r="F776" s="8" t="s">
        <v>1501</v>
      </c>
      <c r="G776" s="8" t="s">
        <v>1963</v>
      </c>
      <c r="H776" s="8" t="s">
        <v>1600</v>
      </c>
      <c r="I776" s="8" t="s">
        <v>993</v>
      </c>
      <c r="J776" s="78" t="s">
        <v>4691</v>
      </c>
      <c r="K776" s="22">
        <v>3.0</v>
      </c>
      <c r="L776" s="22">
        <f>+SUMIF('حركه المخزن الرئيسي اليوميه'!$F:$F,$H:$H,'حركه المخزن الرئيسي اليوميه'!$H:$H)</f>
        <v>0.0</v>
      </c>
      <c r="M776" s="22">
        <f>+SUMIF('حركه المخزن الرئيسي اليوميه'!$F:$F,$H:$H,'حركه المخزن الرئيسي اليوميه'!$I:$I)</f>
        <v>0.0</v>
      </c>
      <c r="N776" s="22">
        <f>+K776+L776-M776</f>
        <v>3.0</v>
      </c>
      <c r="O776" s="22">
        <f>+N776</f>
        <v>3.0</v>
      </c>
      <c r="P776" s="22">
        <f>+N776-O776</f>
        <v>0.0</v>
      </c>
      <c r="Q776" s="57"/>
      <c r="R776" s="58"/>
    </row>
    <row r="777" spans="8:8" ht="15.0" customHeight="1">
      <c r="B777" s="54">
        <v>861.0</v>
      </c>
      <c r="C777" s="8" t="s">
        <v>8351</v>
      </c>
      <c r="D777" s="8" t="s">
        <v>820</v>
      </c>
      <c r="E777" s="8" t="s">
        <v>980</v>
      </c>
      <c r="F777" s="8" t="s">
        <v>68</v>
      </c>
      <c r="G777" s="8" t="s">
        <v>1963</v>
      </c>
      <c r="H777" s="8" t="s">
        <v>912</v>
      </c>
      <c r="I777" s="8" t="s">
        <v>993</v>
      </c>
      <c r="J777" s="78" t="s">
        <v>4692</v>
      </c>
      <c r="K777" s="22">
        <v>0.0</v>
      </c>
      <c r="L777" s="22">
        <f>+SUMIF('حركه المخزن الرئيسي اليوميه'!$F:$F,$H:$H,'حركه المخزن الرئيسي اليوميه'!$H:$H)</f>
        <v>0.0</v>
      </c>
      <c r="M777" s="22">
        <f>+SUMIF('حركه المخزن الرئيسي اليوميه'!$F:$F,$H:$H,'حركه المخزن الرئيسي اليوميه'!$I:$I)</f>
        <v>0.0</v>
      </c>
      <c r="N777" s="22">
        <f>+K777+L777-M777</f>
        <v>0.0</v>
      </c>
      <c r="O777" s="22">
        <f>+N777</f>
        <v>0.0</v>
      </c>
      <c r="P777" s="22">
        <f>+N777-O777</f>
        <v>0.0</v>
      </c>
      <c r="Q777" s="57"/>
      <c r="R777" s="58"/>
    </row>
    <row r="778" spans="8:8" ht="15.0" customHeight="1">
      <c r="B778" s="54">
        <v>862.0</v>
      </c>
      <c r="C778" s="8" t="s">
        <v>8351</v>
      </c>
      <c r="D778" s="8" t="s">
        <v>820</v>
      </c>
      <c r="E778" s="8" t="s">
        <v>951</v>
      </c>
      <c r="F778" s="8" t="s">
        <v>68</v>
      </c>
      <c r="G778" s="8" t="s">
        <v>1963</v>
      </c>
      <c r="H778" s="8" t="s">
        <v>951</v>
      </c>
      <c r="I778" s="8" t="s">
        <v>961</v>
      </c>
      <c r="J778" s="78" t="s">
        <v>4693</v>
      </c>
      <c r="K778" s="22">
        <v>2.0</v>
      </c>
      <c r="L778" s="22">
        <f>+SUMIF('حركه المخزن الرئيسي اليوميه'!$F:$F,$H:$H,'حركه المخزن الرئيسي اليوميه'!$H:$H)</f>
        <v>0.0</v>
      </c>
      <c r="M778" s="22">
        <f>+SUMIF('حركه المخزن الرئيسي اليوميه'!$F:$F,$H:$H,'حركه المخزن الرئيسي اليوميه'!$I:$I)</f>
        <v>0.0</v>
      </c>
      <c r="N778" s="22">
        <f>+K778+L778-M778</f>
        <v>2.0</v>
      </c>
      <c r="O778" s="22">
        <f>+N778</f>
        <v>2.0</v>
      </c>
      <c r="P778" s="22">
        <f>+N778-O778</f>
        <v>0.0</v>
      </c>
      <c r="Q778" s="57"/>
      <c r="R778" s="58"/>
    </row>
    <row r="779" spans="8:8" ht="15.0" customHeight="1">
      <c r="B779" s="54">
        <v>863.0</v>
      </c>
      <c r="C779" s="8" t="s">
        <v>8351</v>
      </c>
      <c r="D779" s="8" t="s">
        <v>820</v>
      </c>
      <c r="E779" s="8" t="s">
        <v>950</v>
      </c>
      <c r="F779" s="8" t="s">
        <v>68</v>
      </c>
      <c r="G779" s="8" t="s">
        <v>1963</v>
      </c>
      <c r="H779" s="8" t="s">
        <v>950</v>
      </c>
      <c r="I779" s="8" t="s">
        <v>960</v>
      </c>
      <c r="J779" s="78" t="s">
        <v>4694</v>
      </c>
      <c r="K779" s="22">
        <v>0.0</v>
      </c>
      <c r="L779" s="22">
        <f>+SUMIF('حركه المخزن الرئيسي اليوميه'!$F:$F,$H:$H,'حركه المخزن الرئيسي اليوميه'!$H:$H)</f>
        <v>0.0</v>
      </c>
      <c r="M779" s="22">
        <f>+SUMIF('حركه المخزن الرئيسي اليوميه'!$F:$F,$H:$H,'حركه المخزن الرئيسي اليوميه'!$I:$I)</f>
        <v>0.0</v>
      </c>
      <c r="N779" s="22">
        <f>+K779+L779-M779</f>
        <v>0.0</v>
      </c>
      <c r="O779" s="22">
        <f>+N779</f>
        <v>0.0</v>
      </c>
      <c r="P779" s="22">
        <f>+N779-O779</f>
        <v>0.0</v>
      </c>
      <c r="Q779" s="57"/>
      <c r="R779" s="58"/>
    </row>
    <row r="780" spans="8:8" ht="15.0" customHeight="1">
      <c r="B780" s="54">
        <v>864.0</v>
      </c>
      <c r="C780" s="8" t="s">
        <v>8351</v>
      </c>
      <c r="D780" s="8" t="s">
        <v>820</v>
      </c>
      <c r="E780" s="8" t="s">
        <v>972</v>
      </c>
      <c r="F780" s="8" t="s">
        <v>68</v>
      </c>
      <c r="G780" s="8" t="s">
        <v>1963</v>
      </c>
      <c r="H780" s="8" t="s">
        <v>904</v>
      </c>
      <c r="I780" s="8" t="s">
        <v>8142</v>
      </c>
      <c r="J780" s="78" t="s">
        <v>4695</v>
      </c>
      <c r="K780" s="22">
        <v>60.0</v>
      </c>
      <c r="L780" s="22">
        <f>+SUMIF('حركه المخزن الرئيسي اليوميه'!$F:$F,$H:$H,'حركه المخزن الرئيسي اليوميه'!$H:$H)</f>
        <v>0.0</v>
      </c>
      <c r="M780" s="22">
        <f>+SUMIF('حركه المخزن الرئيسي اليوميه'!$F:$F,$H:$H,'حركه المخزن الرئيسي اليوميه'!$I:$I)</f>
        <v>0.0</v>
      </c>
      <c r="N780" s="22">
        <f>+K780+L780-M780</f>
        <v>60.0</v>
      </c>
      <c r="O780" s="22">
        <f>+N780</f>
        <v>60.0</v>
      </c>
      <c r="P780" s="22">
        <f>+N780-O780</f>
        <v>0.0</v>
      </c>
      <c r="Q780" s="57"/>
      <c r="R780" s="58"/>
    </row>
    <row r="781" spans="8:8" ht="15.0" customHeight="1">
      <c r="B781" s="54">
        <v>865.0</v>
      </c>
      <c r="C781" s="8" t="s">
        <v>8351</v>
      </c>
      <c r="D781" s="8" t="s">
        <v>820</v>
      </c>
      <c r="E781" s="8" t="s">
        <v>954</v>
      </c>
      <c r="F781" s="8" t="s">
        <v>68</v>
      </c>
      <c r="G781" s="8" t="s">
        <v>1963</v>
      </c>
      <c r="H781" s="8" t="s">
        <v>3007</v>
      </c>
      <c r="I781" s="8" t="s">
        <v>963</v>
      </c>
      <c r="J781" s="78" t="s">
        <v>4696</v>
      </c>
      <c r="K781" s="22">
        <v>0.0</v>
      </c>
      <c r="L781" s="22">
        <f>+SUMIF('حركه المخزن الرئيسي اليوميه'!$F:$F,$H:$H,'حركه المخزن الرئيسي اليوميه'!$H:$H)</f>
        <v>0.0</v>
      </c>
      <c r="M781" s="22">
        <f>+SUMIF('حركه المخزن الرئيسي اليوميه'!$F:$F,$H:$H,'حركه المخزن الرئيسي اليوميه'!$I:$I)</f>
        <v>0.0</v>
      </c>
      <c r="N781" s="22">
        <f>+K781+L781-M781</f>
        <v>0.0</v>
      </c>
      <c r="O781" s="22">
        <f>+N781</f>
        <v>0.0</v>
      </c>
      <c r="P781" s="22">
        <f>+N781-O781</f>
        <v>0.0</v>
      </c>
      <c r="Q781" s="57"/>
      <c r="R781" s="58"/>
    </row>
    <row r="782" spans="8:8" ht="15.0" customHeight="1">
      <c r="B782" s="54">
        <v>866.0</v>
      </c>
      <c r="C782" s="8" t="s">
        <v>8351</v>
      </c>
      <c r="D782" s="8" t="s">
        <v>820</v>
      </c>
      <c r="E782" s="8" t="s">
        <v>992</v>
      </c>
      <c r="F782" s="8" t="s">
        <v>68</v>
      </c>
      <c r="G782" s="8" t="s">
        <v>1963</v>
      </c>
      <c r="H782" s="8" t="s">
        <v>2021</v>
      </c>
      <c r="I782" s="8" t="s">
        <v>963</v>
      </c>
      <c r="J782" s="78" t="s">
        <v>4697</v>
      </c>
      <c r="K782" s="22">
        <v>0.0</v>
      </c>
      <c r="L782" s="22">
        <f>+SUMIF('حركه المخزن الرئيسي اليوميه'!$F:$F,$H:$H,'حركه المخزن الرئيسي اليوميه'!$H:$H)</f>
        <v>0.0</v>
      </c>
      <c r="M782" s="22">
        <f>+SUMIF('حركه المخزن الرئيسي اليوميه'!$F:$F,$H:$H,'حركه المخزن الرئيسي اليوميه'!$I:$I)</f>
        <v>0.0</v>
      </c>
      <c r="N782" s="22">
        <f>+K782+L782-M782</f>
        <v>0.0</v>
      </c>
      <c r="O782" s="22">
        <f>+N782</f>
        <v>0.0</v>
      </c>
      <c r="P782" s="22">
        <f>+N782-O782</f>
        <v>0.0</v>
      </c>
      <c r="Q782" s="57"/>
      <c r="R782" s="58"/>
    </row>
    <row r="783" spans="8:8" ht="15.0" customHeight="1">
      <c r="B783" s="54">
        <v>867.0</v>
      </c>
      <c r="C783" s="8" t="s">
        <v>8351</v>
      </c>
      <c r="D783" s="8" t="s">
        <v>820</v>
      </c>
      <c r="E783" s="8" t="s">
        <v>990</v>
      </c>
      <c r="F783" s="8" t="s">
        <v>68</v>
      </c>
      <c r="G783" s="8" t="s">
        <v>1963</v>
      </c>
      <c r="H783" s="8" t="s">
        <v>921</v>
      </c>
      <c r="I783" s="8" t="s">
        <v>936</v>
      </c>
      <c r="J783" s="78" t="s">
        <v>4698</v>
      </c>
      <c r="K783" s="22">
        <v>0.0</v>
      </c>
      <c r="L783" s="22">
        <f>+SUMIF('حركه المخزن الرئيسي اليوميه'!$F:$F,$H:$H,'حركه المخزن الرئيسي اليوميه'!$H:$H)</f>
        <v>0.0</v>
      </c>
      <c r="M783" s="22">
        <f>+SUMIF('حركه المخزن الرئيسي اليوميه'!$F:$F,$H:$H,'حركه المخزن الرئيسي اليوميه'!$I:$I)</f>
        <v>0.0</v>
      </c>
      <c r="N783" s="22">
        <f>+K783+L783-M783</f>
        <v>0.0</v>
      </c>
      <c r="O783" s="22">
        <f>+N783</f>
        <v>0.0</v>
      </c>
      <c r="P783" s="22">
        <f>+N783-O783</f>
        <v>0.0</v>
      </c>
      <c r="Q783" s="57"/>
      <c r="R783" s="58"/>
    </row>
    <row r="784" spans="8:8" ht="15.0" customHeight="1">
      <c r="B784" s="54">
        <v>868.0</v>
      </c>
      <c r="C784" s="8" t="s">
        <v>8351</v>
      </c>
      <c r="D784" s="8" t="s">
        <v>1013</v>
      </c>
      <c r="E784" s="8" t="s">
        <v>1603</v>
      </c>
      <c r="F784" s="8" t="s">
        <v>1501</v>
      </c>
      <c r="G784" s="8" t="s">
        <v>1963</v>
      </c>
      <c r="H784" s="8" t="s">
        <v>1602</v>
      </c>
      <c r="I784" s="8" t="s">
        <v>2954</v>
      </c>
      <c r="J784" s="78" t="s">
        <v>4699</v>
      </c>
      <c r="K784" s="22">
        <v>6.0</v>
      </c>
      <c r="L784" s="22">
        <f>+SUMIF('حركه المخزن الرئيسي اليوميه'!$F:$F,$H:$H,'حركه المخزن الرئيسي اليوميه'!$H:$H)</f>
        <v>0.0</v>
      </c>
      <c r="M784" s="22">
        <f>+SUMIF('حركه المخزن الرئيسي اليوميه'!$F:$F,$H:$H,'حركه المخزن الرئيسي اليوميه'!$I:$I)</f>
        <v>0.0</v>
      </c>
      <c r="N784" s="22">
        <f>+K784+L784-M784</f>
        <v>6.0</v>
      </c>
      <c r="O784" s="22">
        <f>+N784</f>
        <v>6.0</v>
      </c>
      <c r="P784" s="22">
        <f>+N784-O784</f>
        <v>0.0</v>
      </c>
      <c r="Q784" s="57"/>
      <c r="R784" s="58"/>
    </row>
    <row r="785" spans="8:8" ht="15.0" customHeight="1">
      <c r="B785" s="54">
        <v>869.0</v>
      </c>
      <c r="C785" s="8" t="s">
        <v>8351</v>
      </c>
      <c r="D785" s="8" t="s">
        <v>820</v>
      </c>
      <c r="E785" s="8" t="s">
        <v>969</v>
      </c>
      <c r="F785" s="8" t="s">
        <v>68</v>
      </c>
      <c r="G785" s="8" t="s">
        <v>1963</v>
      </c>
      <c r="H785" s="8" t="s">
        <v>929</v>
      </c>
      <c r="I785" s="8" t="s">
        <v>3286</v>
      </c>
      <c r="J785" s="78" t="s">
        <v>4700</v>
      </c>
      <c r="K785" s="22">
        <v>0.0</v>
      </c>
      <c r="L785" s="22">
        <f>+SUMIF('حركه المخزن الرئيسي اليوميه'!$F:$F,$H:$H,'حركه المخزن الرئيسي اليوميه'!$H:$H)</f>
        <v>0.0</v>
      </c>
      <c r="M785" s="22">
        <f>+SUMIF('حركه المخزن الرئيسي اليوميه'!$F:$F,$H:$H,'حركه المخزن الرئيسي اليوميه'!$I:$I)</f>
        <v>0.0</v>
      </c>
      <c r="N785" s="22">
        <f>+K785+L785-M785</f>
        <v>0.0</v>
      </c>
      <c r="O785" s="22">
        <f>+N785</f>
        <v>0.0</v>
      </c>
      <c r="P785" s="22">
        <f>+N785-O785</f>
        <v>0.0</v>
      </c>
      <c r="Q785" s="57"/>
      <c r="R785" s="58"/>
    </row>
    <row r="786" spans="8:8" ht="15.0" customHeight="1">
      <c r="B786" s="54">
        <v>870.0</v>
      </c>
      <c r="C786" s="8" t="s">
        <v>8351</v>
      </c>
      <c r="D786" s="8" t="s">
        <v>820</v>
      </c>
      <c r="E786" s="8" t="s">
        <v>991</v>
      </c>
      <c r="F786" s="8" t="s">
        <v>68</v>
      </c>
      <c r="G786" s="8" t="s">
        <v>1963</v>
      </c>
      <c r="H786" s="8" t="s">
        <v>922</v>
      </c>
      <c r="I786" s="8" t="s">
        <v>962</v>
      </c>
      <c r="J786" s="78" t="s">
        <v>4701</v>
      </c>
      <c r="K786" s="22">
        <v>0.0</v>
      </c>
      <c r="L786" s="22">
        <f>+SUMIF('حركه المخزن الرئيسي اليوميه'!$F:$F,$H:$H,'حركه المخزن الرئيسي اليوميه'!$H:$H)</f>
        <v>0.0</v>
      </c>
      <c r="M786" s="22">
        <f>+SUMIF('حركه المخزن الرئيسي اليوميه'!$F:$F,$H:$H,'حركه المخزن الرئيسي اليوميه'!$I:$I)</f>
        <v>0.0</v>
      </c>
      <c r="N786" s="22">
        <f>+K786+L786-M786</f>
        <v>0.0</v>
      </c>
      <c r="O786" s="22">
        <f>+N786</f>
        <v>0.0</v>
      </c>
      <c r="P786" s="22">
        <f>+N786-O786</f>
        <v>0.0</v>
      </c>
      <c r="Q786" s="57"/>
      <c r="R786" s="58"/>
    </row>
    <row r="787" spans="8:8" ht="15.0" customHeight="1">
      <c r="B787" s="54">
        <v>871.0</v>
      </c>
      <c r="C787" s="8" t="s">
        <v>8351</v>
      </c>
      <c r="D787" s="8" t="s">
        <v>820</v>
      </c>
      <c r="E787" s="8" t="s">
        <v>953</v>
      </c>
      <c r="F787" s="8" t="s">
        <v>68</v>
      </c>
      <c r="G787" s="8" t="s">
        <v>1963</v>
      </c>
      <c r="H787" s="8" t="s">
        <v>953</v>
      </c>
      <c r="I787" s="8" t="s">
        <v>3286</v>
      </c>
      <c r="J787" s="78" t="s">
        <v>4702</v>
      </c>
      <c r="K787" s="22">
        <v>20.0</v>
      </c>
      <c r="L787" s="22">
        <f>+SUMIF('حركه المخزن الرئيسي اليوميه'!$F:$F,$H:$H,'حركه المخزن الرئيسي اليوميه'!$H:$H)</f>
        <v>0.0</v>
      </c>
      <c r="M787" s="22">
        <f>+SUMIF('حركه المخزن الرئيسي اليوميه'!$F:$F,$H:$H,'حركه المخزن الرئيسي اليوميه'!$I:$I)</f>
        <v>0.0</v>
      </c>
      <c r="N787" s="22">
        <f>+K787+L787-M787</f>
        <v>20.0</v>
      </c>
      <c r="O787" s="22">
        <f>+N787</f>
        <v>20.0</v>
      </c>
      <c r="P787" s="22">
        <f>+N787-O787</f>
        <v>0.0</v>
      </c>
      <c r="Q787" s="57"/>
      <c r="R787" s="58"/>
    </row>
    <row r="788" spans="8:8" ht="15.0" customHeight="1">
      <c r="B788" s="54">
        <v>872.0</v>
      </c>
      <c r="C788" s="8" t="s">
        <v>8351</v>
      </c>
      <c r="D788" s="8" t="s">
        <v>820</v>
      </c>
      <c r="E788" s="8" t="s">
        <v>978</v>
      </c>
      <c r="F788" s="8" t="s">
        <v>68</v>
      </c>
      <c r="G788" s="8" t="s">
        <v>1963</v>
      </c>
      <c r="H788" s="8" t="s">
        <v>910</v>
      </c>
      <c r="I788" s="8" t="s">
        <v>3286</v>
      </c>
      <c r="J788" s="78" t="s">
        <v>4703</v>
      </c>
      <c r="K788" s="22">
        <v>0.0</v>
      </c>
      <c r="L788" s="22">
        <f>+SUMIF('حركه المخزن الرئيسي اليوميه'!$F:$F,$H:$H,'حركه المخزن الرئيسي اليوميه'!$H:$H)</f>
        <v>0.0</v>
      </c>
      <c r="M788" s="22">
        <f>+SUMIF('حركه المخزن الرئيسي اليوميه'!$F:$F,$H:$H,'حركه المخزن الرئيسي اليوميه'!$I:$I)</f>
        <v>0.0</v>
      </c>
      <c r="N788" s="22">
        <f>+K788+L788-M788</f>
        <v>0.0</v>
      </c>
      <c r="O788" s="22">
        <f>+N788</f>
        <v>0.0</v>
      </c>
      <c r="P788" s="22">
        <f>+N788-O788</f>
        <v>0.0</v>
      </c>
      <c r="Q788" s="57"/>
      <c r="R788" s="58"/>
    </row>
    <row r="789" spans="8:8" ht="15.0" customHeight="1">
      <c r="B789" s="54">
        <v>873.0</v>
      </c>
      <c r="C789" s="8" t="s">
        <v>8351</v>
      </c>
      <c r="D789" s="8" t="s">
        <v>820</v>
      </c>
      <c r="E789" s="8" t="s">
        <v>973</v>
      </c>
      <c r="F789" s="8" t="s">
        <v>68</v>
      </c>
      <c r="G789" s="8" t="s">
        <v>1963</v>
      </c>
      <c r="H789" s="8" t="s">
        <v>905</v>
      </c>
      <c r="I789" s="8" t="s">
        <v>2896</v>
      </c>
      <c r="J789" s="78" t="s">
        <v>4704</v>
      </c>
      <c r="K789" s="22">
        <v>53.0</v>
      </c>
      <c r="L789" s="22">
        <f>+SUMIF('حركه المخزن الرئيسي اليوميه'!$F:$F,$H:$H,'حركه المخزن الرئيسي اليوميه'!$H:$H)</f>
        <v>0.0</v>
      </c>
      <c r="M789" s="22">
        <f>+SUMIF('حركه المخزن الرئيسي اليوميه'!$F:$F,$H:$H,'حركه المخزن الرئيسي اليوميه'!$I:$I)</f>
        <v>0.0</v>
      </c>
      <c r="N789" s="22">
        <f>+K789+L789-M789</f>
        <v>53.0</v>
      </c>
      <c r="O789" s="22">
        <f>+N789</f>
        <v>53.0</v>
      </c>
      <c r="P789" s="22">
        <f>+N789-O789</f>
        <v>0.0</v>
      </c>
      <c r="Q789" s="57"/>
      <c r="R789" s="58"/>
    </row>
    <row r="790" spans="8:8" ht="15.0" customHeight="1">
      <c r="B790" s="54">
        <v>874.0</v>
      </c>
      <c r="C790" s="8" t="s">
        <v>8351</v>
      </c>
      <c r="D790" s="8" t="s">
        <v>820</v>
      </c>
      <c r="E790" s="8" t="s">
        <v>987</v>
      </c>
      <c r="F790" s="8" t="s">
        <v>68</v>
      </c>
      <c r="G790" s="8" t="s">
        <v>1963</v>
      </c>
      <c r="H790" s="8" t="s">
        <v>918</v>
      </c>
      <c r="I790" s="8" t="s">
        <v>939</v>
      </c>
      <c r="J790" s="78" t="s">
        <v>4705</v>
      </c>
      <c r="K790" s="22">
        <v>98.0</v>
      </c>
      <c r="L790" s="22">
        <f>+SUMIF('حركه المخزن الرئيسي اليوميه'!$F:$F,$H:$H,'حركه المخزن الرئيسي اليوميه'!$H:$H)</f>
        <v>0.0</v>
      </c>
      <c r="M790" s="22">
        <f>+SUMIF('حركه المخزن الرئيسي اليوميه'!$F:$F,$H:$H,'حركه المخزن الرئيسي اليوميه'!$I:$I)</f>
        <v>0.0</v>
      </c>
      <c r="N790" s="22">
        <f>+K790+L790-M790</f>
        <v>98.0</v>
      </c>
      <c r="O790" s="22">
        <f>+N790</f>
        <v>98.0</v>
      </c>
      <c r="P790" s="22">
        <f>+N790-O790</f>
        <v>0.0</v>
      </c>
      <c r="Q790" s="57"/>
      <c r="R790" s="58"/>
    </row>
    <row r="791" spans="8:8" ht="15.0" customHeight="1">
      <c r="B791" s="54">
        <v>875.0</v>
      </c>
      <c r="C791" s="8" t="s">
        <v>8351</v>
      </c>
      <c r="D791" s="8" t="s">
        <v>820</v>
      </c>
      <c r="E791" s="8" t="s">
        <v>970</v>
      </c>
      <c r="F791" s="8" t="s">
        <v>68</v>
      </c>
      <c r="G791" s="8" t="s">
        <v>1963</v>
      </c>
      <c r="H791" s="8" t="s">
        <v>930</v>
      </c>
      <c r="I791" s="8" t="s">
        <v>3286</v>
      </c>
      <c r="J791" s="78" t="s">
        <v>4706</v>
      </c>
      <c r="K791" s="22">
        <v>7.0</v>
      </c>
      <c r="L791" s="22">
        <f>+SUMIF('حركه المخزن الرئيسي اليوميه'!$F:$F,$H:$H,'حركه المخزن الرئيسي اليوميه'!$H:$H)</f>
        <v>0.0</v>
      </c>
      <c r="M791" s="22">
        <f>+SUMIF('حركه المخزن الرئيسي اليوميه'!$F:$F,$H:$H,'حركه المخزن الرئيسي اليوميه'!$I:$I)</f>
        <v>0.0</v>
      </c>
      <c r="N791" s="22">
        <f>+K791+L791-M791</f>
        <v>7.0</v>
      </c>
      <c r="O791" s="22">
        <f>+N791</f>
        <v>7.0</v>
      </c>
      <c r="P791" s="22">
        <f>+N791-O791</f>
        <v>0.0</v>
      </c>
      <c r="Q791" s="57"/>
      <c r="R791" s="58"/>
    </row>
    <row r="792" spans="8:8" ht="15.0" customHeight="1">
      <c r="B792" s="54">
        <v>876.0</v>
      </c>
      <c r="C792" s="8" t="s">
        <v>8351</v>
      </c>
      <c r="D792" s="8" t="s">
        <v>1013</v>
      </c>
      <c r="E792" s="8" t="s">
        <v>3621</v>
      </c>
      <c r="F792" s="8" t="s">
        <v>68</v>
      </c>
      <c r="G792" s="8"/>
      <c r="H792" s="8" t="s">
        <v>3621</v>
      </c>
      <c r="I792" s="8" t="s">
        <v>3622</v>
      </c>
      <c r="J792" s="78" t="s">
        <v>4707</v>
      </c>
      <c r="K792" s="22">
        <v>72.0</v>
      </c>
      <c r="L792" s="22">
        <f>+SUMIF('حركه المخزن الرئيسي اليوميه'!$F:$F,$H:$H,'حركه المخزن الرئيسي اليوميه'!$H:$H)</f>
        <v>0.0</v>
      </c>
      <c r="M792" s="22">
        <f>+SUMIF('حركه المخزن الرئيسي اليوميه'!$F:$F,$H:$H,'حركه المخزن الرئيسي اليوميه'!$I:$I)</f>
        <v>0.0</v>
      </c>
      <c r="N792" s="22">
        <f>+K792+L792-M792</f>
        <v>72.0</v>
      </c>
      <c r="O792" s="22">
        <f>+N792</f>
        <v>72.0</v>
      </c>
      <c r="P792" s="22">
        <f>+N792-O792</f>
        <v>0.0</v>
      </c>
      <c r="Q792" s="57"/>
      <c r="R792" s="58"/>
    </row>
    <row r="793" spans="8:8" ht="15.0" customHeight="1">
      <c r="B793" s="54">
        <v>877.0</v>
      </c>
      <c r="C793" s="8" t="s">
        <v>8351</v>
      </c>
      <c r="D793" s="8" t="s">
        <v>1013</v>
      </c>
      <c r="E793" s="8" t="s">
        <v>415</v>
      </c>
      <c r="F793" s="8" t="s">
        <v>68</v>
      </c>
      <c r="G793" s="8"/>
      <c r="H793" s="8" t="s">
        <v>3918</v>
      </c>
      <c r="I793" s="8" t="s">
        <v>818</v>
      </c>
      <c r="J793" s="78" t="s">
        <v>4708</v>
      </c>
      <c r="K793" s="22">
        <v>2.0</v>
      </c>
      <c r="L793" s="22">
        <f>+SUMIF('حركه المخزن الرئيسي اليوميه'!$F:$F,$H:$H,'حركه المخزن الرئيسي اليوميه'!$H:$H)</f>
        <v>0.0</v>
      </c>
      <c r="M793" s="22">
        <f>+SUMIF('حركه المخزن الرئيسي اليوميه'!$F:$F,$H:$H,'حركه المخزن الرئيسي اليوميه'!$I:$I)</f>
        <v>0.0</v>
      </c>
      <c r="N793" s="22">
        <f>+K793+L793-M793</f>
        <v>2.0</v>
      </c>
      <c r="O793" s="22">
        <f>+N793</f>
        <v>2.0</v>
      </c>
      <c r="P793" s="22">
        <f>+N793-O793</f>
        <v>0.0</v>
      </c>
      <c r="Q793" s="57"/>
      <c r="R793" s="58"/>
    </row>
    <row r="794" spans="8:8" ht="15.0" customHeight="1">
      <c r="B794" s="54">
        <v>880.0</v>
      </c>
      <c r="C794" s="8" t="s">
        <v>8351</v>
      </c>
      <c r="D794" s="8" t="s">
        <v>1013</v>
      </c>
      <c r="E794" s="8" t="s">
        <v>327</v>
      </c>
      <c r="F794" s="8" t="s">
        <v>282</v>
      </c>
      <c r="G794" s="8" t="s">
        <v>2335</v>
      </c>
      <c r="H794" s="8" t="s">
        <v>327</v>
      </c>
      <c r="I794" s="8" t="s">
        <v>328</v>
      </c>
      <c r="J794" s="78" t="s">
        <v>4709</v>
      </c>
      <c r="K794" s="22">
        <v>11.0</v>
      </c>
      <c r="L794" s="22">
        <f>+SUMIF('حركه المخزن الرئيسي اليوميه'!$F:$F,$H:$H,'حركه المخزن الرئيسي اليوميه'!$H:$H)</f>
        <v>0.0</v>
      </c>
      <c r="M794" s="22">
        <f>+SUMIF('حركه المخزن الرئيسي اليوميه'!$F:$F,$H:$H,'حركه المخزن الرئيسي اليوميه'!$I:$I)</f>
        <v>0.0</v>
      </c>
      <c r="N794" s="22">
        <f>+K794+L794-M794</f>
        <v>11.0</v>
      </c>
      <c r="O794" s="22">
        <f>+N794</f>
        <v>11.0</v>
      </c>
      <c r="P794" s="22">
        <f>+N794-O794</f>
        <v>0.0</v>
      </c>
      <c r="Q794" s="57"/>
      <c r="R794" s="58"/>
    </row>
    <row r="795" spans="8:8" ht="15.0" customHeight="1">
      <c r="B795" s="54">
        <v>881.0</v>
      </c>
      <c r="C795" s="8" t="s">
        <v>8351</v>
      </c>
      <c r="D795" s="8" t="s">
        <v>1013</v>
      </c>
      <c r="E795" s="8" t="s">
        <v>2973</v>
      </c>
      <c r="F795" s="8" t="s">
        <v>68</v>
      </c>
      <c r="G795" s="8" t="s">
        <v>333</v>
      </c>
      <c r="H795" s="8" t="s">
        <v>1329</v>
      </c>
      <c r="I795" s="8" t="s">
        <v>328</v>
      </c>
      <c r="J795" s="78" t="s">
        <v>4710</v>
      </c>
      <c r="K795" s="22">
        <v>0.0</v>
      </c>
      <c r="L795" s="22">
        <f>+SUMIF('حركه المخزن الرئيسي اليوميه'!$F:$F,$H:$H,'حركه المخزن الرئيسي اليوميه'!$H:$H)</f>
        <v>0.0</v>
      </c>
      <c r="M795" s="22">
        <f>+SUMIF('حركه المخزن الرئيسي اليوميه'!$F:$F,$H:$H,'حركه المخزن الرئيسي اليوميه'!$I:$I)</f>
        <v>0.0</v>
      </c>
      <c r="N795" s="22">
        <f>+K795+L795-M795</f>
        <v>0.0</v>
      </c>
      <c r="O795" s="22">
        <f>+N795</f>
        <v>0.0</v>
      </c>
      <c r="P795" s="22">
        <f>+N795-O795</f>
        <v>0.0</v>
      </c>
      <c r="Q795" s="57"/>
      <c r="R795" s="58"/>
    </row>
    <row r="796" spans="8:8" ht="15.0" customHeight="1">
      <c r="B796" s="54">
        <v>882.0</v>
      </c>
      <c r="C796" s="8" t="s">
        <v>8351</v>
      </c>
      <c r="D796" s="8" t="s">
        <v>1013</v>
      </c>
      <c r="E796" s="8" t="s">
        <v>332</v>
      </c>
      <c r="F796" s="8" t="s">
        <v>68</v>
      </c>
      <c r="G796" s="8" t="s">
        <v>2117</v>
      </c>
      <c r="H796" s="8" t="s">
        <v>332</v>
      </c>
      <c r="I796" s="8" t="s">
        <v>328</v>
      </c>
      <c r="J796" s="78" t="s">
        <v>4711</v>
      </c>
      <c r="K796" s="22">
        <v>0.0</v>
      </c>
      <c r="L796" s="22">
        <f>+SUMIF('حركه المخزن الرئيسي اليوميه'!$F:$F,$H:$H,'حركه المخزن الرئيسي اليوميه'!$H:$H)</f>
        <v>0.0</v>
      </c>
      <c r="M796" s="22">
        <f>+SUMIF('حركه المخزن الرئيسي اليوميه'!$F:$F,$H:$H,'حركه المخزن الرئيسي اليوميه'!$I:$I)</f>
        <v>0.0</v>
      </c>
      <c r="N796" s="22">
        <f>+K796+L796-M796</f>
        <v>0.0</v>
      </c>
      <c r="O796" s="22">
        <f>+N796</f>
        <v>0.0</v>
      </c>
      <c r="P796" s="22">
        <f>+N796-O796</f>
        <v>0.0</v>
      </c>
      <c r="Q796" s="57"/>
      <c r="R796" s="58"/>
    </row>
    <row r="797" spans="8:8" ht="15.0" customHeight="1">
      <c r="B797" s="54">
        <v>883.0</v>
      </c>
      <c r="C797" s="8"/>
      <c r="D797" s="8"/>
      <c r="E797" s="8"/>
      <c r="F797" s="8"/>
      <c r="G797" s="8"/>
      <c r="H797" s="8"/>
      <c r="I797" s="8"/>
      <c r="J797" s="78" t="s">
        <v>4712</v>
      </c>
      <c r="K797" s="22">
        <v>0.0</v>
      </c>
      <c r="L797" s="22">
        <f>+SUMIF('حركه المخزن الرئيسي اليوميه'!$F:$F,$H:$H,'حركه المخزن الرئيسي اليوميه'!$H:$H)</f>
        <v>0.0</v>
      </c>
      <c r="M797" s="22">
        <f>+SUMIF('حركه المخزن الرئيسي اليوميه'!$F:$F,$H:$H,'حركه المخزن الرئيسي اليوميه'!$I:$I)</f>
        <v>0.0</v>
      </c>
      <c r="N797" s="22">
        <f>+K797+L797-M797</f>
        <v>0.0</v>
      </c>
      <c r="O797" s="22">
        <f>+N797</f>
        <v>0.0</v>
      </c>
      <c r="P797" s="22">
        <f>+N797-O797</f>
        <v>0.0</v>
      </c>
      <c r="Q797" s="57"/>
      <c r="R797" s="58"/>
    </row>
    <row r="798" spans="8:8" ht="15.0" customHeight="1">
      <c r="B798" s="54">
        <v>892.0</v>
      </c>
      <c r="C798" s="8"/>
      <c r="D798" s="8"/>
      <c r="E798" s="8"/>
      <c r="F798" s="8"/>
      <c r="G798" s="8"/>
      <c r="H798" s="8"/>
      <c r="I798" s="8"/>
      <c r="J798" s="78" t="s">
        <v>4713</v>
      </c>
      <c r="K798" s="22">
        <v>0.0</v>
      </c>
      <c r="L798" s="22">
        <f>+SUMIF('حركه المخزن الرئيسي اليوميه'!$F:$F,$H:$H,'حركه المخزن الرئيسي اليوميه'!$H:$H)</f>
        <v>0.0</v>
      </c>
      <c r="M798" s="22">
        <f>+SUMIF('حركه المخزن الرئيسي اليوميه'!$F:$F,$H:$H,'حركه المخزن الرئيسي اليوميه'!$I:$I)</f>
        <v>0.0</v>
      </c>
      <c r="N798" s="22">
        <f>+K798+L798-M798</f>
        <v>0.0</v>
      </c>
      <c r="O798" s="22">
        <f>+N798</f>
        <v>0.0</v>
      </c>
      <c r="P798" s="22">
        <f>+N798-O798</f>
        <v>0.0</v>
      </c>
      <c r="Q798" s="57"/>
      <c r="R798" s="58"/>
    </row>
    <row r="799" spans="8:8" ht="15.0" customHeight="1">
      <c r="B799" s="54">
        <v>893.0</v>
      </c>
      <c r="C799" s="8" t="s">
        <v>8351</v>
      </c>
      <c r="D799" s="8" t="s">
        <v>1013</v>
      </c>
      <c r="E799" s="8" t="s">
        <v>1876</v>
      </c>
      <c r="F799" s="8" t="s">
        <v>1573</v>
      </c>
      <c r="G799" s="8" t="s">
        <v>2342</v>
      </c>
      <c r="H799" s="8" t="s">
        <v>1876</v>
      </c>
      <c r="I799" s="8" t="s">
        <v>335</v>
      </c>
      <c r="J799" s="78" t="s">
        <v>4714</v>
      </c>
      <c r="K799" s="22">
        <v>16.0</v>
      </c>
      <c r="L799" s="22">
        <f>+SUMIF('حركه المخزن الرئيسي اليوميه'!$F:$F,$H:$H,'حركه المخزن الرئيسي اليوميه'!$H:$H)</f>
        <v>0.0</v>
      </c>
      <c r="M799" s="22">
        <f>+SUMIF('حركه المخزن الرئيسي اليوميه'!$F:$F,$H:$H,'حركه المخزن الرئيسي اليوميه'!$I:$I)</f>
        <v>0.0</v>
      </c>
      <c r="N799" s="22">
        <f>+K799+L799-M799</f>
        <v>16.0</v>
      </c>
      <c r="O799" s="22">
        <f>+N799</f>
        <v>16.0</v>
      </c>
      <c r="P799" s="22">
        <f>+N799-O799</f>
        <v>0.0</v>
      </c>
      <c r="Q799" s="57"/>
      <c r="R799" s="58"/>
    </row>
    <row r="800" spans="8:8" ht="15.0" customHeight="1">
      <c r="B800" s="54">
        <v>894.0</v>
      </c>
      <c r="C800" s="8" t="s">
        <v>8351</v>
      </c>
      <c r="D800" s="8" t="s">
        <v>1013</v>
      </c>
      <c r="E800" s="8" t="s">
        <v>3639</v>
      </c>
      <c r="F800" s="8" t="s">
        <v>68</v>
      </c>
      <c r="G800" s="8"/>
      <c r="H800" s="8" t="s">
        <v>3639</v>
      </c>
      <c r="I800" s="8" t="s">
        <v>3629</v>
      </c>
      <c r="J800" s="78" t="s">
        <v>4715</v>
      </c>
      <c r="K800" s="22">
        <v>2.0</v>
      </c>
      <c r="L800" s="22">
        <f>+SUMIF('حركه المخزن الرئيسي اليوميه'!$F:$F,$H:$H,'حركه المخزن الرئيسي اليوميه'!$H:$H)</f>
        <v>0.0</v>
      </c>
      <c r="M800" s="22">
        <f>+SUMIF('حركه المخزن الرئيسي اليوميه'!$F:$F,$H:$H,'حركه المخزن الرئيسي اليوميه'!$I:$I)</f>
        <v>0.0</v>
      </c>
      <c r="N800" s="22">
        <f>+K800+L800-M800</f>
        <v>2.0</v>
      </c>
      <c r="O800" s="22">
        <f>+N800</f>
        <v>2.0</v>
      </c>
      <c r="P800" s="22">
        <f>+N800-O800</f>
        <v>0.0</v>
      </c>
      <c r="Q800" s="57"/>
      <c r="R800" s="58"/>
    </row>
    <row r="801" spans="8:8" ht="15.0" customHeight="1">
      <c r="B801" s="54">
        <v>895.0</v>
      </c>
      <c r="C801" s="8" t="s">
        <v>8351</v>
      </c>
      <c r="D801" s="8" t="s">
        <v>1013</v>
      </c>
      <c r="E801" s="8" t="s">
        <v>3630</v>
      </c>
      <c r="F801" s="8" t="s">
        <v>68</v>
      </c>
      <c r="G801" s="8"/>
      <c r="H801" s="8" t="s">
        <v>3632</v>
      </c>
      <c r="I801" s="8" t="s">
        <v>3631</v>
      </c>
      <c r="J801" s="78" t="s">
        <v>4716</v>
      </c>
      <c r="K801" s="22">
        <v>2.0</v>
      </c>
      <c r="L801" s="22">
        <f>+SUMIF('حركه المخزن الرئيسي اليوميه'!$F:$F,$H:$H,'حركه المخزن الرئيسي اليوميه'!$H:$H)</f>
        <v>0.0</v>
      </c>
      <c r="M801" s="22">
        <f>+SUMIF('حركه المخزن الرئيسي اليوميه'!$F:$F,$H:$H,'حركه المخزن الرئيسي اليوميه'!$I:$I)</f>
        <v>0.0</v>
      </c>
      <c r="N801" s="22">
        <f>+K801+L801-M801</f>
        <v>2.0</v>
      </c>
      <c r="O801" s="22">
        <f>+N801</f>
        <v>2.0</v>
      </c>
      <c r="P801" s="22">
        <f>+N801-O801</f>
        <v>0.0</v>
      </c>
      <c r="Q801" s="57"/>
      <c r="R801" s="58"/>
    </row>
    <row r="802" spans="8:8" ht="15.0" customHeight="1">
      <c r="B802" s="54">
        <v>896.0</v>
      </c>
      <c r="C802" s="8" t="s">
        <v>8351</v>
      </c>
      <c r="D802" s="8" t="s">
        <v>1013</v>
      </c>
      <c r="E802" s="8" t="s">
        <v>3633</v>
      </c>
      <c r="F802" s="8" t="s">
        <v>92</v>
      </c>
      <c r="G802" s="8"/>
      <c r="H802" s="8" t="s">
        <v>8143</v>
      </c>
      <c r="I802" s="8" t="s">
        <v>3631</v>
      </c>
      <c r="J802" s="78" t="s">
        <v>4717</v>
      </c>
      <c r="K802" s="22">
        <v>4.0</v>
      </c>
      <c r="L802" s="22">
        <f>+SUMIF('حركه المخزن الرئيسي اليوميه'!$F:$F,$H:$H,'حركه المخزن الرئيسي اليوميه'!$H:$H)</f>
        <v>0.0</v>
      </c>
      <c r="M802" s="22">
        <f>+SUMIF('حركه المخزن الرئيسي اليوميه'!$F:$F,$H:$H,'حركه المخزن الرئيسي اليوميه'!$I:$I)</f>
        <v>0.0</v>
      </c>
      <c r="N802" s="22">
        <f>+K802+L802-M802</f>
        <v>4.0</v>
      </c>
      <c r="O802" s="22">
        <f>+N802</f>
        <v>4.0</v>
      </c>
      <c r="P802" s="22">
        <f>+N802-O802</f>
        <v>0.0</v>
      </c>
      <c r="Q802" s="57"/>
      <c r="R802" s="58"/>
    </row>
    <row r="803" spans="8:8" ht="15.0" customHeight="1">
      <c r="B803" s="54">
        <v>897.0</v>
      </c>
      <c r="C803" s="8" t="s">
        <v>8351</v>
      </c>
      <c r="D803" s="8" t="s">
        <v>1013</v>
      </c>
      <c r="E803" s="8" t="s">
        <v>3634</v>
      </c>
      <c r="F803" s="8" t="s">
        <v>68</v>
      </c>
      <c r="G803" s="8"/>
      <c r="H803" s="8" t="s">
        <v>3634</v>
      </c>
      <c r="I803" s="8" t="s">
        <v>3631</v>
      </c>
      <c r="J803" s="78" t="s">
        <v>4718</v>
      </c>
      <c r="K803" s="22">
        <v>2.0</v>
      </c>
      <c r="L803" s="22">
        <f>+SUMIF('حركه المخزن الرئيسي اليوميه'!$F:$F,$H:$H,'حركه المخزن الرئيسي اليوميه'!$H:$H)</f>
        <v>0.0</v>
      </c>
      <c r="M803" s="22">
        <f>+SUMIF('حركه المخزن الرئيسي اليوميه'!$F:$F,$H:$H,'حركه المخزن الرئيسي اليوميه'!$I:$I)</f>
        <v>0.0</v>
      </c>
      <c r="N803" s="22">
        <f>+K803+L803-M803</f>
        <v>2.0</v>
      </c>
      <c r="O803" s="22">
        <f>+N803</f>
        <v>2.0</v>
      </c>
      <c r="P803" s="22">
        <f>+N803-O803</f>
        <v>0.0</v>
      </c>
      <c r="Q803" s="57"/>
      <c r="R803" s="58"/>
    </row>
    <row r="804" spans="8:8" ht="15.0" customHeight="1">
      <c r="B804" s="54">
        <v>898.0</v>
      </c>
      <c r="C804" s="8" t="s">
        <v>8351</v>
      </c>
      <c r="D804" s="8" t="s">
        <v>1013</v>
      </c>
      <c r="E804" s="8" t="s">
        <v>3635</v>
      </c>
      <c r="F804" s="8" t="s">
        <v>68</v>
      </c>
      <c r="G804" s="8"/>
      <c r="H804" s="8" t="s">
        <v>3636</v>
      </c>
      <c r="I804" s="8" t="s">
        <v>3631</v>
      </c>
      <c r="J804" s="78" t="s">
        <v>4719</v>
      </c>
      <c r="K804" s="22">
        <v>1.0</v>
      </c>
      <c r="L804" s="22">
        <f>+SUMIF('حركه المخزن الرئيسي اليوميه'!$F:$F,$H:$H,'حركه المخزن الرئيسي اليوميه'!$H:$H)</f>
        <v>0.0</v>
      </c>
      <c r="M804" s="22">
        <f>+SUMIF('حركه المخزن الرئيسي اليوميه'!$F:$F,$H:$H,'حركه المخزن الرئيسي اليوميه'!$I:$I)</f>
        <v>0.0</v>
      </c>
      <c r="N804" s="22">
        <f>+K804+L804-M804</f>
        <v>1.0</v>
      </c>
      <c r="O804" s="22">
        <f>+N804</f>
        <v>1.0</v>
      </c>
      <c r="P804" s="22">
        <f>+N804-O804</f>
        <v>0.0</v>
      </c>
      <c r="Q804" s="57"/>
      <c r="R804" s="58"/>
    </row>
    <row r="805" spans="8:8" ht="15.0" customHeight="1">
      <c r="B805" s="54">
        <v>899.0</v>
      </c>
      <c r="C805" s="8" t="s">
        <v>8351</v>
      </c>
      <c r="D805" s="8" t="s">
        <v>1013</v>
      </c>
      <c r="E805" s="8" t="s">
        <v>252</v>
      </c>
      <c r="F805" s="8" t="s">
        <v>68</v>
      </c>
      <c r="G805" s="8" t="s">
        <v>1859</v>
      </c>
      <c r="H805" s="8" t="s">
        <v>8106</v>
      </c>
      <c r="I805" s="55" t="s">
        <v>8102</v>
      </c>
      <c r="J805" s="78" t="s">
        <v>4720</v>
      </c>
      <c r="K805" s="22">
        <v>0.0</v>
      </c>
      <c r="L805" s="22">
        <f>+SUMIF('حركه المخزن الرئيسي اليوميه'!$F:$F,$H:$H,'حركه المخزن الرئيسي اليوميه'!$H:$H)</f>
        <v>0.0</v>
      </c>
      <c r="M805" s="22">
        <f>+SUMIF('حركه المخزن الرئيسي اليوميه'!$F:$F,$H:$H,'حركه المخزن الرئيسي اليوميه'!$I:$I)</f>
        <v>0.0</v>
      </c>
      <c r="N805" s="22">
        <f>+K805+L805-M805</f>
        <v>0.0</v>
      </c>
      <c r="O805" s="22">
        <f>+N805</f>
        <v>0.0</v>
      </c>
      <c r="P805" s="22">
        <f>+N805-O805</f>
        <v>0.0</v>
      </c>
      <c r="Q805" s="57"/>
      <c r="R805" s="58"/>
    </row>
    <row r="806" spans="8:8" ht="15.0" customHeight="1">
      <c r="B806" s="54">
        <v>900.0</v>
      </c>
      <c r="C806" s="8" t="s">
        <v>8351</v>
      </c>
      <c r="D806" s="8" t="s">
        <v>1013</v>
      </c>
      <c r="E806" s="8" t="s">
        <v>1488</v>
      </c>
      <c r="F806" s="8" t="s">
        <v>68</v>
      </c>
      <c r="G806" s="8"/>
      <c r="H806" s="8" t="s">
        <v>3637</v>
      </c>
      <c r="I806" s="8" t="s">
        <v>197</v>
      </c>
      <c r="J806" s="78" t="s">
        <v>4721</v>
      </c>
      <c r="K806" s="22">
        <v>2.0</v>
      </c>
      <c r="L806" s="22">
        <f>+SUMIF('حركه المخزن الرئيسي اليوميه'!$F:$F,$H:$H,'حركه المخزن الرئيسي اليوميه'!$H:$H)</f>
        <v>0.0</v>
      </c>
      <c r="M806" s="22">
        <f>+SUMIF('حركه المخزن الرئيسي اليوميه'!$F:$F,$H:$H,'حركه المخزن الرئيسي اليوميه'!$I:$I)</f>
        <v>0.0</v>
      </c>
      <c r="N806" s="22">
        <f>+K806+L806-M806</f>
        <v>2.0</v>
      </c>
      <c r="O806" s="22">
        <f>+N806</f>
        <v>2.0</v>
      </c>
      <c r="P806" s="22">
        <f>+N806-O806</f>
        <v>0.0</v>
      </c>
      <c r="Q806" s="57"/>
      <c r="R806" s="58"/>
    </row>
    <row r="807" spans="8:8" ht="15.0" customHeight="1">
      <c r="B807" s="54">
        <v>901.0</v>
      </c>
      <c r="C807" s="8" t="s">
        <v>8351</v>
      </c>
      <c r="D807" s="8" t="s">
        <v>1013</v>
      </c>
      <c r="E807" s="8" t="s">
        <v>1488</v>
      </c>
      <c r="F807" s="8" t="s">
        <v>68</v>
      </c>
      <c r="G807" s="8"/>
      <c r="H807" s="8" t="s">
        <v>3638</v>
      </c>
      <c r="I807" s="8" t="s">
        <v>236</v>
      </c>
      <c r="J807" s="78" t="s">
        <v>4722</v>
      </c>
      <c r="K807" s="22">
        <v>2.0</v>
      </c>
      <c r="L807" s="22">
        <f>+SUMIF('حركه المخزن الرئيسي اليوميه'!$F:$F,$H:$H,'حركه المخزن الرئيسي اليوميه'!$H:$H)</f>
        <v>0.0</v>
      </c>
      <c r="M807" s="22">
        <f>+SUMIF('حركه المخزن الرئيسي اليوميه'!$F:$F,$H:$H,'حركه المخزن الرئيسي اليوميه'!$I:$I)</f>
        <v>0.0</v>
      </c>
      <c r="N807" s="22">
        <f>+K807+L807-M807</f>
        <v>2.0</v>
      </c>
      <c r="O807" s="22">
        <f>+N807</f>
        <v>2.0</v>
      </c>
      <c r="P807" s="22">
        <f>+N807-O807</f>
        <v>0.0</v>
      </c>
      <c r="Q807" s="57"/>
      <c r="R807" s="58"/>
    </row>
    <row r="808" spans="8:8" ht="15.0" customHeight="1">
      <c r="B808" s="54">
        <v>902.0</v>
      </c>
      <c r="C808" s="8"/>
      <c r="D808" s="8"/>
      <c r="E808" s="8"/>
      <c r="F808" s="8"/>
      <c r="G808" s="8"/>
      <c r="H808" s="8"/>
      <c r="I808" s="8"/>
      <c r="J808" s="78" t="s">
        <v>4723</v>
      </c>
      <c r="K808" s="22">
        <v>0.0</v>
      </c>
      <c r="L808" s="22">
        <f>+SUMIF('حركه المخزن الرئيسي اليوميه'!$F:$F,$H:$H,'حركه المخزن الرئيسي اليوميه'!$H:$H)</f>
        <v>0.0</v>
      </c>
      <c r="M808" s="22">
        <f>+SUMIF('حركه المخزن الرئيسي اليوميه'!$F:$F,$H:$H,'حركه المخزن الرئيسي اليوميه'!$I:$I)</f>
        <v>0.0</v>
      </c>
      <c r="N808" s="22">
        <f>+K808+L808-M808</f>
        <v>0.0</v>
      </c>
      <c r="O808" s="22">
        <f>+N808</f>
        <v>0.0</v>
      </c>
      <c r="P808" s="22">
        <f>+N808-O808</f>
        <v>0.0</v>
      </c>
      <c r="Q808" s="57"/>
      <c r="R808" s="58"/>
    </row>
    <row r="809" spans="8:8" ht="15.0" customHeight="1">
      <c r="B809" s="54">
        <v>903.0</v>
      </c>
      <c r="C809" s="8" t="s">
        <v>8351</v>
      </c>
      <c r="D809" s="8" t="s">
        <v>1013</v>
      </c>
      <c r="E809" s="8" t="s">
        <v>340</v>
      </c>
      <c r="F809" s="8" t="s">
        <v>341</v>
      </c>
      <c r="G809" s="8" t="s">
        <v>1821</v>
      </c>
      <c r="H809" s="8" t="s">
        <v>340</v>
      </c>
      <c r="I809" s="8" t="s">
        <v>335</v>
      </c>
      <c r="J809" s="78" t="s">
        <v>4724</v>
      </c>
      <c r="K809" s="22">
        <v>0.0</v>
      </c>
      <c r="L809" s="22">
        <f>+SUMIF('حركه المخزن الرئيسي اليوميه'!$F:$F,$H:$H,'حركه المخزن الرئيسي اليوميه'!$H:$H)</f>
        <v>0.0</v>
      </c>
      <c r="M809" s="22">
        <f>+SUMIF('حركه المخزن الرئيسي اليوميه'!$F:$F,$H:$H,'حركه المخزن الرئيسي اليوميه'!$I:$I)</f>
        <v>0.0</v>
      </c>
      <c r="N809" s="22">
        <f>+K809+L809-M809</f>
        <v>0.0</v>
      </c>
      <c r="O809" s="22">
        <f>+N809</f>
        <v>0.0</v>
      </c>
      <c r="P809" s="22">
        <f>+N809-O809</f>
        <v>0.0</v>
      </c>
      <c r="Q809" s="57"/>
      <c r="R809" s="58"/>
    </row>
    <row r="810" spans="8:8" ht="15.0" customHeight="1">
      <c r="B810" s="54">
        <v>908.0</v>
      </c>
      <c r="C810" s="8" t="s">
        <v>8351</v>
      </c>
      <c r="D810" s="8" t="s">
        <v>1013</v>
      </c>
      <c r="E810" s="8" t="s">
        <v>8184</v>
      </c>
      <c r="F810" s="8" t="s">
        <v>92</v>
      </c>
      <c r="G810" s="8"/>
      <c r="H810" s="8" t="s">
        <v>8184</v>
      </c>
      <c r="I810" s="8" t="s">
        <v>2948</v>
      </c>
      <c r="J810" s="78" t="s">
        <v>4725</v>
      </c>
      <c r="K810" s="22">
        <v>2.0</v>
      </c>
      <c r="L810" s="22">
        <f>+SUMIF('حركه المخزن الرئيسي اليوميه'!$F:$F,$H:$H,'حركه المخزن الرئيسي اليوميه'!$H:$H)</f>
        <v>0.0</v>
      </c>
      <c r="M810" s="22">
        <f>+SUMIF('حركه المخزن الرئيسي اليوميه'!$F:$F,$H:$H,'حركه المخزن الرئيسي اليوميه'!$I:$I)</f>
        <v>0.0</v>
      </c>
      <c r="N810" s="22">
        <f>+K810+L810-M810</f>
        <v>2.0</v>
      </c>
      <c r="O810" s="22">
        <f>+N810</f>
        <v>2.0</v>
      </c>
      <c r="P810" s="22">
        <f>+N810-O810</f>
        <v>0.0</v>
      </c>
      <c r="Q810" s="57"/>
      <c r="R810" s="58"/>
    </row>
    <row r="811" spans="8:8" ht="15.0" customHeight="1">
      <c r="B811" s="54">
        <v>909.0</v>
      </c>
      <c r="C811" s="8" t="s">
        <v>8351</v>
      </c>
      <c r="D811" s="8" t="s">
        <v>1013</v>
      </c>
      <c r="E811" s="8" t="s">
        <v>345</v>
      </c>
      <c r="F811" s="8" t="s">
        <v>282</v>
      </c>
      <c r="G811" s="8" t="s">
        <v>2336</v>
      </c>
      <c r="H811" s="8" t="s">
        <v>345</v>
      </c>
      <c r="I811" s="8" t="s">
        <v>335</v>
      </c>
      <c r="J811" s="78" t="s">
        <v>4726</v>
      </c>
      <c r="K811" s="22">
        <v>0.0</v>
      </c>
      <c r="L811" s="22">
        <f>+SUMIF('حركه المخزن الرئيسي اليوميه'!$F:$F,$H:$H,'حركه المخزن الرئيسي اليوميه'!$H:$H)</f>
        <v>0.0</v>
      </c>
      <c r="M811" s="22">
        <f>+SUMIF('حركه المخزن الرئيسي اليوميه'!$F:$F,$H:$H,'حركه المخزن الرئيسي اليوميه'!$I:$I)</f>
        <v>0.0</v>
      </c>
      <c r="N811" s="22">
        <f>+K811+L811-M811</f>
        <v>0.0</v>
      </c>
      <c r="O811" s="22">
        <f>+N811</f>
        <v>0.0</v>
      </c>
      <c r="P811" s="22">
        <f>+N811-O811</f>
        <v>0.0</v>
      </c>
      <c r="Q811" s="57"/>
      <c r="R811" s="58"/>
    </row>
    <row r="812" spans="8:8" ht="15.0" customHeight="1">
      <c r="B812" s="54">
        <v>911.0</v>
      </c>
      <c r="C812" s="8" t="s">
        <v>8351</v>
      </c>
      <c r="D812" s="8" t="s">
        <v>1013</v>
      </c>
      <c r="E812" s="8" t="s">
        <v>392</v>
      </c>
      <c r="F812" s="8" t="s">
        <v>68</v>
      </c>
      <c r="G812" s="8" t="s">
        <v>2130</v>
      </c>
      <c r="H812" s="8" t="s">
        <v>394</v>
      </c>
      <c r="I812" s="8" t="s">
        <v>391</v>
      </c>
      <c r="J812" s="78" t="s">
        <v>4727</v>
      </c>
      <c r="K812" s="22">
        <v>0.0</v>
      </c>
      <c r="L812" s="22">
        <f>+SUMIF('حركه المخزن الرئيسي اليوميه'!$F:$F,$H:$H,'حركه المخزن الرئيسي اليوميه'!$H:$H)</f>
        <v>0.0</v>
      </c>
      <c r="M812" s="22">
        <f>+SUMIF('حركه المخزن الرئيسي اليوميه'!$F:$F,$H:$H,'حركه المخزن الرئيسي اليوميه'!$I:$I)</f>
        <v>0.0</v>
      </c>
      <c r="N812" s="22">
        <f>+K812+L812-M812</f>
        <v>0.0</v>
      </c>
      <c r="O812" s="22">
        <f>+N812</f>
        <v>0.0</v>
      </c>
      <c r="P812" s="22">
        <f>+N812-O812</f>
        <v>0.0</v>
      </c>
      <c r="Q812" s="57"/>
      <c r="R812" s="58"/>
    </row>
    <row r="813" spans="8:8" ht="15.0" customHeight="1">
      <c r="B813" s="54">
        <v>912.0</v>
      </c>
      <c r="C813" s="8" t="s">
        <v>8351</v>
      </c>
      <c r="D813" s="8" t="s">
        <v>1013</v>
      </c>
      <c r="E813" s="8" t="s">
        <v>392</v>
      </c>
      <c r="F813" s="8" t="s">
        <v>68</v>
      </c>
      <c r="G813" s="8" t="s">
        <v>2129</v>
      </c>
      <c r="H813" s="8" t="s">
        <v>393</v>
      </c>
      <c r="I813" s="8" t="s">
        <v>391</v>
      </c>
      <c r="J813" s="78" t="s">
        <v>4728</v>
      </c>
      <c r="K813" s="22">
        <v>0.0</v>
      </c>
      <c r="L813" s="22">
        <f>+SUMIF('حركه المخزن الرئيسي اليوميه'!$F:$F,$H:$H,'حركه المخزن الرئيسي اليوميه'!$H:$H)</f>
        <v>0.0</v>
      </c>
      <c r="M813" s="22">
        <f>+SUMIF('حركه المخزن الرئيسي اليوميه'!$F:$F,$H:$H,'حركه المخزن الرئيسي اليوميه'!$I:$I)</f>
        <v>0.0</v>
      </c>
      <c r="N813" s="22">
        <f>+K813+L813-M813</f>
        <v>0.0</v>
      </c>
      <c r="O813" s="22">
        <f>+N813</f>
        <v>0.0</v>
      </c>
      <c r="P813" s="22">
        <f>+N813-O813</f>
        <v>0.0</v>
      </c>
      <c r="Q813" s="57"/>
      <c r="R813" s="58"/>
    </row>
    <row r="814" spans="8:8" ht="15.0" customHeight="1">
      <c r="B814" s="54">
        <v>913.0</v>
      </c>
      <c r="C814" s="8" t="s">
        <v>8351</v>
      </c>
      <c r="D814" s="8" t="s">
        <v>713</v>
      </c>
      <c r="E814" s="8" t="s">
        <v>796</v>
      </c>
      <c r="F814" s="8" t="s">
        <v>68</v>
      </c>
      <c r="G814" s="8" t="s">
        <v>1768</v>
      </c>
      <c r="H814" s="8" t="s">
        <v>725</v>
      </c>
      <c r="I814" s="8" t="s">
        <v>8144</v>
      </c>
      <c r="J814" s="78" t="s">
        <v>4729</v>
      </c>
      <c r="K814" s="22">
        <v>79.0</v>
      </c>
      <c r="L814" s="22">
        <f>+SUMIF('حركه المخزن الرئيسي اليوميه'!$F:$F,$H:$H,'حركه المخزن الرئيسي اليوميه'!$H:$H)</f>
        <v>0.0</v>
      </c>
      <c r="M814" s="22">
        <f>+SUMIF('حركه المخزن الرئيسي اليوميه'!$F:$F,$H:$H,'حركه المخزن الرئيسي اليوميه'!$I:$I)</f>
        <v>3.0</v>
      </c>
      <c r="N814" s="22">
        <f>+K814+L814-M814</f>
        <v>76.0</v>
      </c>
      <c r="O814" s="22">
        <f>+N814</f>
        <v>76.0</v>
      </c>
      <c r="P814" s="22">
        <f>+N814-O814</f>
        <v>0.0</v>
      </c>
      <c r="Q814" s="57"/>
      <c r="R814" s="58"/>
    </row>
    <row r="815" spans="8:8" ht="15.0" customHeight="1">
      <c r="B815" s="54">
        <v>914.0</v>
      </c>
      <c r="C815" s="8" t="s">
        <v>8351</v>
      </c>
      <c r="D815" s="8" t="s">
        <v>713</v>
      </c>
      <c r="E815" s="8" t="s">
        <v>793</v>
      </c>
      <c r="F815" s="8" t="s">
        <v>68</v>
      </c>
      <c r="G815" s="8" t="s">
        <v>1776</v>
      </c>
      <c r="H815" s="8" t="s">
        <v>810</v>
      </c>
      <c r="I815" s="8" t="s">
        <v>937</v>
      </c>
      <c r="J815" s="78" t="s">
        <v>4730</v>
      </c>
      <c r="K815" s="22">
        <v>9.0</v>
      </c>
      <c r="L815" s="22">
        <f>+SUMIF('حركه المخزن الرئيسي اليوميه'!$F:$F,$H:$H,'حركه المخزن الرئيسي اليوميه'!$H:$H)</f>
        <v>0.0</v>
      </c>
      <c r="M815" s="22">
        <f>+SUMIF('حركه المخزن الرئيسي اليوميه'!$F:$F,$H:$H,'حركه المخزن الرئيسي اليوميه'!$I:$I)</f>
        <v>3.0</v>
      </c>
      <c r="N815" s="22">
        <f>+K815+L815-M815</f>
        <v>6.0</v>
      </c>
      <c r="O815" s="22">
        <f>+N815</f>
        <v>6.0</v>
      </c>
      <c r="P815" s="22">
        <f>+N815-O815</f>
        <v>0.0</v>
      </c>
      <c r="Q815" s="57"/>
      <c r="R815" s="58"/>
    </row>
    <row r="816" spans="8:8" ht="15.0" customHeight="1">
      <c r="B816" s="54">
        <v>915.0</v>
      </c>
      <c r="C816" s="8" t="s">
        <v>8351</v>
      </c>
      <c r="D816" s="8" t="s">
        <v>713</v>
      </c>
      <c r="E816" s="8" t="s">
        <v>794</v>
      </c>
      <c r="F816" s="8" t="s">
        <v>68</v>
      </c>
      <c r="G816" s="8" t="s">
        <v>1765</v>
      </c>
      <c r="H816" s="8" t="s">
        <v>718</v>
      </c>
      <c r="I816" s="8" t="s">
        <v>8145</v>
      </c>
      <c r="J816" s="78" t="s">
        <v>4731</v>
      </c>
      <c r="K816" s="22">
        <v>32.0</v>
      </c>
      <c r="L816" s="22">
        <f>+SUMIF('حركه المخزن الرئيسي اليوميه'!$F:$F,$H:$H,'حركه المخزن الرئيسي اليوميه'!$H:$H)</f>
        <v>0.0</v>
      </c>
      <c r="M816" s="22">
        <f>+SUMIF('حركه المخزن الرئيسي اليوميه'!$F:$F,$H:$H,'حركه المخزن الرئيسي اليوميه'!$I:$I)</f>
        <v>0.0</v>
      </c>
      <c r="N816" s="22">
        <f>+K816+L816-M816</f>
        <v>32.0</v>
      </c>
      <c r="O816" s="22">
        <f>+N816</f>
        <v>32.0</v>
      </c>
      <c r="P816" s="22">
        <f>+N816-O816</f>
        <v>0.0</v>
      </c>
      <c r="Q816" s="57"/>
      <c r="R816" s="58"/>
    </row>
    <row r="817" spans="8:8" ht="15.0" customHeight="1">
      <c r="B817" s="54">
        <v>916.0</v>
      </c>
      <c r="C817" s="8" t="s">
        <v>8351</v>
      </c>
      <c r="D817" s="8" t="s">
        <v>713</v>
      </c>
      <c r="E817" s="8" t="s">
        <v>797</v>
      </c>
      <c r="F817" s="8" t="s">
        <v>68</v>
      </c>
      <c r="G817" s="8" t="s">
        <v>1769</v>
      </c>
      <c r="H817" s="8" t="s">
        <v>732</v>
      </c>
      <c r="I817" s="8" t="s">
        <v>2900</v>
      </c>
      <c r="J817" s="78" t="s">
        <v>4732</v>
      </c>
      <c r="K817" s="22">
        <v>66.0</v>
      </c>
      <c r="L817" s="22">
        <f>+SUMIF('حركه المخزن الرئيسي اليوميه'!$F:$F,$H:$H,'حركه المخزن الرئيسي اليوميه'!$H:$H)</f>
        <v>0.0</v>
      </c>
      <c r="M817" s="22">
        <f>+SUMIF('حركه المخزن الرئيسي اليوميه'!$F:$F,$H:$H,'حركه المخزن الرئيسي اليوميه'!$I:$I)</f>
        <v>0.0</v>
      </c>
      <c r="N817" s="22">
        <f>+K817+L817-M817</f>
        <v>66.0</v>
      </c>
      <c r="O817" s="22">
        <f>+N817</f>
        <v>66.0</v>
      </c>
      <c r="P817" s="22">
        <f>+N817-O817</f>
        <v>0.0</v>
      </c>
      <c r="Q817" s="57"/>
      <c r="R817" s="58"/>
    </row>
    <row r="818" spans="8:8" ht="15.0" customHeight="1">
      <c r="B818" s="54">
        <v>917.0</v>
      </c>
      <c r="C818" s="8" t="s">
        <v>8351</v>
      </c>
      <c r="D818" s="8" t="s">
        <v>713</v>
      </c>
      <c r="E818" s="8" t="s">
        <v>794</v>
      </c>
      <c r="F818" s="8" t="s">
        <v>68</v>
      </c>
      <c r="G818" s="8" t="s">
        <v>1765</v>
      </c>
      <c r="H818" s="8" t="s">
        <v>715</v>
      </c>
      <c r="I818" s="8" t="s">
        <v>938</v>
      </c>
      <c r="J818" s="78" t="s">
        <v>4733</v>
      </c>
      <c r="K818" s="22">
        <v>6.0</v>
      </c>
      <c r="L818" s="22">
        <f>+SUMIF('حركه المخزن الرئيسي اليوميه'!$F:$F,$H:$H,'حركه المخزن الرئيسي اليوميه'!$H:$H)</f>
        <v>0.0</v>
      </c>
      <c r="M818" s="22">
        <f>+SUMIF('حركه المخزن الرئيسي اليوميه'!$F:$F,$H:$H,'حركه المخزن الرئيسي اليوميه'!$I:$I)</f>
        <v>0.0</v>
      </c>
      <c r="N818" s="22">
        <f>+K818+L818-M818</f>
        <v>6.0</v>
      </c>
      <c r="O818" s="22">
        <f>+N818</f>
        <v>6.0</v>
      </c>
      <c r="P818" s="22">
        <f>+N818-O818</f>
        <v>0.0</v>
      </c>
      <c r="Q818" s="57"/>
      <c r="R818" s="58"/>
    </row>
    <row r="819" spans="8:8" ht="15.0" customHeight="1">
      <c r="B819" s="54">
        <v>918.0</v>
      </c>
      <c r="C819" s="8" t="s">
        <v>8351</v>
      </c>
      <c r="D819" s="8" t="s">
        <v>713</v>
      </c>
      <c r="E819" s="8" t="s">
        <v>2923</v>
      </c>
      <c r="F819" s="8" t="s">
        <v>68</v>
      </c>
      <c r="G819" s="8" t="s">
        <v>2160</v>
      </c>
      <c r="H819" s="8" t="s">
        <v>2924</v>
      </c>
      <c r="I819" s="8" t="s">
        <v>8108</v>
      </c>
      <c r="J819" s="78" t="s">
        <v>4734</v>
      </c>
      <c r="K819" s="22">
        <v>4.0</v>
      </c>
      <c r="L819" s="22">
        <f>+SUMIF('حركه المخزن الرئيسي اليوميه'!$F:$F,$H:$H,'حركه المخزن الرئيسي اليوميه'!$H:$H)</f>
        <v>0.0</v>
      </c>
      <c r="M819" s="22">
        <f>+SUMIF('حركه المخزن الرئيسي اليوميه'!$F:$F,$H:$H,'حركه المخزن الرئيسي اليوميه'!$I:$I)</f>
        <v>0.0</v>
      </c>
      <c r="N819" s="22">
        <f>+K819+L819-M819</f>
        <v>4.0</v>
      </c>
      <c r="O819" s="22">
        <f>+N819</f>
        <v>4.0</v>
      </c>
      <c r="P819" s="22">
        <f>+N819-O819</f>
        <v>0.0</v>
      </c>
      <c r="Q819" s="57"/>
      <c r="R819" s="58"/>
    </row>
    <row r="820" spans="8:8" ht="15.0" customHeight="1">
      <c r="B820" s="54">
        <v>919.0</v>
      </c>
      <c r="C820" s="8" t="s">
        <v>8351</v>
      </c>
      <c r="D820" s="8" t="s">
        <v>713</v>
      </c>
      <c r="E820" s="8" t="s">
        <v>803</v>
      </c>
      <c r="F820" s="8" t="s">
        <v>68</v>
      </c>
      <c r="G820" s="8" t="s">
        <v>1773</v>
      </c>
      <c r="H820" s="8" t="s">
        <v>744</v>
      </c>
      <c r="I820" s="8" t="s">
        <v>8108</v>
      </c>
      <c r="J820" s="78" t="s">
        <v>4735</v>
      </c>
      <c r="K820" s="22">
        <v>6.0</v>
      </c>
      <c r="L820" s="22">
        <f>+SUMIF('حركه المخزن الرئيسي اليوميه'!$F:$F,$H:$H,'حركه المخزن الرئيسي اليوميه'!$H:$H)</f>
        <v>0.0</v>
      </c>
      <c r="M820" s="22">
        <f>+SUMIF('حركه المخزن الرئيسي اليوميه'!$F:$F,$H:$H,'حركه المخزن الرئيسي اليوميه'!$I:$I)</f>
        <v>0.0</v>
      </c>
      <c r="N820" s="22">
        <f>+K820+L820-M820</f>
        <v>6.0</v>
      </c>
      <c r="O820" s="22">
        <f>+N820</f>
        <v>6.0</v>
      </c>
      <c r="P820" s="22">
        <f>+N820-O820</f>
        <v>0.0</v>
      </c>
      <c r="Q820" s="57"/>
      <c r="R820" s="58"/>
    </row>
    <row r="821" spans="8:8" ht="15.0" customHeight="1">
      <c r="B821" s="54">
        <v>920.0</v>
      </c>
      <c r="C821" s="8" t="s">
        <v>8351</v>
      </c>
      <c r="D821" s="8" t="s">
        <v>713</v>
      </c>
      <c r="E821" s="8" t="s">
        <v>797</v>
      </c>
      <c r="F821" s="8" t="s">
        <v>68</v>
      </c>
      <c r="G821" s="8" t="s">
        <v>1769</v>
      </c>
      <c r="H821" s="8" t="s">
        <v>806</v>
      </c>
      <c r="I821" s="8" t="s">
        <v>2908</v>
      </c>
      <c r="J821" s="78" t="s">
        <v>4736</v>
      </c>
      <c r="K821" s="22">
        <v>0.0</v>
      </c>
      <c r="L821" s="22">
        <f>+SUMIF('حركه المخزن الرئيسي اليوميه'!$F:$F,$H:$H,'حركه المخزن الرئيسي اليوميه'!$H:$H)</f>
        <v>0.0</v>
      </c>
      <c r="M821" s="22">
        <f>+SUMIF('حركه المخزن الرئيسي اليوميه'!$F:$F,$H:$H,'حركه المخزن الرئيسي اليوميه'!$I:$I)</f>
        <v>0.0</v>
      </c>
      <c r="N821" s="22">
        <f>+K821+L821-M821</f>
        <v>0.0</v>
      </c>
      <c r="O821" s="22">
        <f>+N821</f>
        <v>0.0</v>
      </c>
      <c r="P821" s="22">
        <f>+N821-O821</f>
        <v>0.0</v>
      </c>
      <c r="Q821" s="57"/>
      <c r="R821" s="58"/>
    </row>
    <row r="822" spans="8:8" ht="15.0" customHeight="1">
      <c r="B822" s="54">
        <v>921.0</v>
      </c>
      <c r="C822" s="8" t="s">
        <v>8351</v>
      </c>
      <c r="D822" s="8" t="s">
        <v>713</v>
      </c>
      <c r="E822" s="8" t="s">
        <v>797</v>
      </c>
      <c r="F822" s="8" t="s">
        <v>68</v>
      </c>
      <c r="G822" s="8" t="s">
        <v>1769</v>
      </c>
      <c r="H822" s="8" t="s">
        <v>802</v>
      </c>
      <c r="I822" s="8" t="s">
        <v>8108</v>
      </c>
      <c r="J822" s="78" t="s">
        <v>4737</v>
      </c>
      <c r="K822" s="22">
        <v>6.0</v>
      </c>
      <c r="L822" s="22">
        <f>+SUMIF('حركه المخزن الرئيسي اليوميه'!$F:$F,$H:$H,'حركه المخزن الرئيسي اليوميه'!$H:$H)</f>
        <v>0.0</v>
      </c>
      <c r="M822" s="22">
        <f>+SUMIF('حركه المخزن الرئيسي اليوميه'!$F:$F,$H:$H,'حركه المخزن الرئيسي اليوميه'!$I:$I)</f>
        <v>0.0</v>
      </c>
      <c r="N822" s="22">
        <f>+K822+L822-M822</f>
        <v>6.0</v>
      </c>
      <c r="O822" s="22">
        <f>+N822</f>
        <v>6.0</v>
      </c>
      <c r="P822" s="22">
        <f>+N822-O822</f>
        <v>0.0</v>
      </c>
      <c r="Q822" s="57"/>
      <c r="R822" s="58"/>
    </row>
    <row r="823" spans="8:8" ht="15.0" customHeight="1">
      <c r="B823" s="54">
        <v>922.0</v>
      </c>
      <c r="C823" s="8" t="s">
        <v>8351</v>
      </c>
      <c r="D823" s="8" t="s">
        <v>2995</v>
      </c>
      <c r="E823" s="8" t="s">
        <v>2856</v>
      </c>
      <c r="F823" s="8" t="s">
        <v>2833</v>
      </c>
      <c r="G823" s="8"/>
      <c r="H823" s="8" t="s">
        <v>2857</v>
      </c>
      <c r="I823" s="8" t="s">
        <v>8108</v>
      </c>
      <c r="J823" s="78" t="s">
        <v>4738</v>
      </c>
      <c r="K823" s="22">
        <v>10.0</v>
      </c>
      <c r="L823" s="22">
        <f>+SUMIF('حركه المخزن الرئيسي اليوميه'!$F:$F,$H:$H,'حركه المخزن الرئيسي اليوميه'!$H:$H)</f>
        <v>0.0</v>
      </c>
      <c r="M823" s="22">
        <f>+SUMIF('حركه المخزن الرئيسي اليوميه'!$F:$F,$H:$H,'حركه المخزن الرئيسي اليوميه'!$I:$I)</f>
        <v>0.0</v>
      </c>
      <c r="N823" s="22">
        <f>+K823+L823-M823</f>
        <v>10.0</v>
      </c>
      <c r="O823" s="22">
        <f>+N823</f>
        <v>10.0</v>
      </c>
      <c r="P823" s="22">
        <f>+N823-O823</f>
        <v>0.0</v>
      </c>
      <c r="Q823" s="57"/>
      <c r="R823" s="58"/>
    </row>
    <row r="824" spans="8:8" ht="15.0" customHeight="1">
      <c r="B824" s="54">
        <v>923.0</v>
      </c>
      <c r="C824" s="8" t="s">
        <v>8351</v>
      </c>
      <c r="D824" s="8" t="s">
        <v>713</v>
      </c>
      <c r="E824" s="8" t="s">
        <v>797</v>
      </c>
      <c r="F824" s="8" t="s">
        <v>68</v>
      </c>
      <c r="G824" s="8" t="s">
        <v>1769</v>
      </c>
      <c r="H824" s="8" t="s">
        <v>809</v>
      </c>
      <c r="I824" s="8" t="s">
        <v>2908</v>
      </c>
      <c r="J824" s="78" t="s">
        <v>4739</v>
      </c>
      <c r="K824" s="22">
        <v>0.0</v>
      </c>
      <c r="L824" s="22">
        <f>+SUMIF('حركه المخزن الرئيسي اليوميه'!$F:$F,$H:$H,'حركه المخزن الرئيسي اليوميه'!$H:$H)</f>
        <v>0.0</v>
      </c>
      <c r="M824" s="22">
        <f>+SUMIF('حركه المخزن الرئيسي اليوميه'!$F:$F,$H:$H,'حركه المخزن الرئيسي اليوميه'!$I:$I)</f>
        <v>0.0</v>
      </c>
      <c r="N824" s="22">
        <f>+K824+L824-M824</f>
        <v>0.0</v>
      </c>
      <c r="O824" s="22">
        <f>+N824</f>
        <v>0.0</v>
      </c>
      <c r="P824" s="22">
        <f>+N824-O824</f>
        <v>0.0</v>
      </c>
      <c r="Q824" s="57"/>
      <c r="R824" s="58"/>
    </row>
    <row r="825" spans="8:8" ht="15.0" customHeight="1">
      <c r="B825" s="54">
        <v>924.0</v>
      </c>
      <c r="C825" s="8" t="s">
        <v>8351</v>
      </c>
      <c r="D825" s="8" t="s">
        <v>713</v>
      </c>
      <c r="E825" s="8" t="s">
        <v>797</v>
      </c>
      <c r="F825" s="8" t="s">
        <v>68</v>
      </c>
      <c r="G825" s="8" t="s">
        <v>1769</v>
      </c>
      <c r="H825" s="8" t="s">
        <v>730</v>
      </c>
      <c r="I825" s="8" t="s">
        <v>8146</v>
      </c>
      <c r="J825" s="78" t="s">
        <v>4740</v>
      </c>
      <c r="K825" s="22">
        <v>65.0</v>
      </c>
      <c r="L825" s="22">
        <f>+SUMIF('حركه المخزن الرئيسي اليوميه'!$F:$F,$H:$H,'حركه المخزن الرئيسي اليوميه'!$H:$H)</f>
        <v>0.0</v>
      </c>
      <c r="M825" s="22">
        <f>+SUMIF('حركه المخزن الرئيسي اليوميه'!$F:$F,$H:$H,'حركه المخزن الرئيسي اليوميه'!$I:$I)</f>
        <v>4.0</v>
      </c>
      <c r="N825" s="22">
        <f>+K825+L825-M825</f>
        <v>61.0</v>
      </c>
      <c r="O825" s="22">
        <f>+N825</f>
        <v>61.0</v>
      </c>
      <c r="P825" s="22">
        <f>+N825-O825</f>
        <v>0.0</v>
      </c>
      <c r="Q825" s="57"/>
      <c r="R825" s="58"/>
    </row>
    <row r="826" spans="8:8" ht="15.0" customHeight="1">
      <c r="B826" s="54">
        <v>925.0</v>
      </c>
      <c r="C826" s="8" t="s">
        <v>764</v>
      </c>
      <c r="D826" s="8" t="s">
        <v>713</v>
      </c>
      <c r="E826" s="8" t="s">
        <v>794</v>
      </c>
      <c r="F826" s="8" t="s">
        <v>68</v>
      </c>
      <c r="G826" s="8" t="s">
        <v>1765</v>
      </c>
      <c r="H826" s="8" t="s">
        <v>720</v>
      </c>
      <c r="I826" s="8" t="s">
        <v>937</v>
      </c>
      <c r="J826" s="78" t="s">
        <v>4741</v>
      </c>
      <c r="K826" s="22">
        <v>1.0</v>
      </c>
      <c r="L826" s="22">
        <f>+SUMIF('حركه المخزن الرئيسي اليوميه'!$F:$F,$H:$H,'حركه المخزن الرئيسي اليوميه'!$H:$H)</f>
        <v>0.0</v>
      </c>
      <c r="M826" s="22">
        <f>+SUMIF('حركه المخزن الرئيسي اليوميه'!$F:$F,$H:$H,'حركه المخزن الرئيسي اليوميه'!$I:$I)</f>
        <v>0.0</v>
      </c>
      <c r="N826" s="22">
        <f>+K826+L826-M826</f>
        <v>1.0</v>
      </c>
      <c r="O826" s="22">
        <f>+N826</f>
        <v>1.0</v>
      </c>
      <c r="P826" s="22">
        <f>+N826-O826</f>
        <v>0.0</v>
      </c>
      <c r="Q826" s="57"/>
      <c r="R826" s="58"/>
    </row>
    <row r="827" spans="8:8" ht="15.0" customHeight="1">
      <c r="B827" s="54">
        <v>926.0</v>
      </c>
      <c r="C827" s="8" t="s">
        <v>8351</v>
      </c>
      <c r="D827" s="8" t="s">
        <v>713</v>
      </c>
      <c r="E827" s="8" t="s">
        <v>794</v>
      </c>
      <c r="F827" s="8" t="s">
        <v>68</v>
      </c>
      <c r="G827" s="8" t="s">
        <v>1765</v>
      </c>
      <c r="H827" s="8" t="s">
        <v>723</v>
      </c>
      <c r="I827" s="8" t="s">
        <v>937</v>
      </c>
      <c r="J827" s="78" t="s">
        <v>4742</v>
      </c>
      <c r="K827" s="22">
        <v>1.0</v>
      </c>
      <c r="L827" s="22">
        <f>+SUMIF('حركه المخزن الرئيسي اليوميه'!$F:$F,$H:$H,'حركه المخزن الرئيسي اليوميه'!$H:$H)</f>
        <v>0.0</v>
      </c>
      <c r="M827" s="22">
        <f>+SUMIF('حركه المخزن الرئيسي اليوميه'!$F:$F,$H:$H,'حركه المخزن الرئيسي اليوميه'!$I:$I)</f>
        <v>0.0</v>
      </c>
      <c r="N827" s="22">
        <f>+K827+L827-M827</f>
        <v>1.0</v>
      </c>
      <c r="O827" s="22">
        <f>+N827</f>
        <v>1.0</v>
      </c>
      <c r="P827" s="22">
        <f>+N827-O827</f>
        <v>0.0</v>
      </c>
      <c r="Q827" s="57"/>
      <c r="R827" s="58"/>
    </row>
    <row r="828" spans="8:8" ht="15.0" customHeight="1">
      <c r="B828" s="54">
        <v>927.0</v>
      </c>
      <c r="C828" s="8" t="s">
        <v>8351</v>
      </c>
      <c r="D828" s="8" t="s">
        <v>713</v>
      </c>
      <c r="E828" s="8" t="s">
        <v>797</v>
      </c>
      <c r="F828" s="8" t="s">
        <v>68</v>
      </c>
      <c r="G828" s="8" t="s">
        <v>1769</v>
      </c>
      <c r="H828" s="8" t="s">
        <v>729</v>
      </c>
      <c r="I828" s="8" t="s">
        <v>960</v>
      </c>
      <c r="J828" s="78" t="s">
        <v>4743</v>
      </c>
      <c r="K828" s="22">
        <v>63.0</v>
      </c>
      <c r="L828" s="22">
        <f>+SUMIF('حركه المخزن الرئيسي اليوميه'!$F:$F,$H:$H,'حركه المخزن الرئيسي اليوميه'!$H:$H)</f>
        <v>0.0</v>
      </c>
      <c r="M828" s="22">
        <f>+SUMIF('حركه المخزن الرئيسي اليوميه'!$F:$F,$H:$H,'حركه المخزن الرئيسي اليوميه'!$I:$I)</f>
        <v>4.0</v>
      </c>
      <c r="N828" s="22">
        <f>+K828+L828-M828</f>
        <v>59.0</v>
      </c>
      <c r="O828" s="22">
        <f>+N828</f>
        <v>59.0</v>
      </c>
      <c r="P828" s="22">
        <f>+N828-O828</f>
        <v>0.0</v>
      </c>
      <c r="Q828" s="57"/>
      <c r="R828" s="59"/>
    </row>
    <row r="829" spans="8:8" ht="15.0" customHeight="1">
      <c r="B829" s="54">
        <v>928.0</v>
      </c>
      <c r="C829" s="8" t="s">
        <v>8351</v>
      </c>
      <c r="D829" s="8" t="s">
        <v>713</v>
      </c>
      <c r="E829" s="8" t="s">
        <v>794</v>
      </c>
      <c r="F829" s="8" t="s">
        <v>68</v>
      </c>
      <c r="G829" s="8" t="s">
        <v>1765</v>
      </c>
      <c r="H829" s="8" t="s">
        <v>2935</v>
      </c>
      <c r="I829" s="8" t="s">
        <v>2934</v>
      </c>
      <c r="J829" s="78" t="s">
        <v>4744</v>
      </c>
      <c r="K829" s="22">
        <v>19.0</v>
      </c>
      <c r="L829" s="22">
        <f>+SUMIF('حركه المخزن الرئيسي اليوميه'!$F:$F,$H:$H,'حركه المخزن الرئيسي اليوميه'!$H:$H)</f>
        <v>0.0</v>
      </c>
      <c r="M829" s="22">
        <f>+SUMIF('حركه المخزن الرئيسي اليوميه'!$F:$F,$H:$H,'حركه المخزن الرئيسي اليوميه'!$I:$I)</f>
        <v>0.0</v>
      </c>
      <c r="N829" s="22">
        <f>+K829+L829-M829</f>
        <v>19.0</v>
      </c>
      <c r="O829" s="22">
        <f>+N829</f>
        <v>19.0</v>
      </c>
      <c r="P829" s="22">
        <f>+N829-O829</f>
        <v>0.0</v>
      </c>
      <c r="Q829" s="57"/>
      <c r="R829" s="58"/>
    </row>
    <row r="830" spans="8:8" ht="15.0" customHeight="1">
      <c r="B830" s="54">
        <v>929.0</v>
      </c>
      <c r="C830" s="8" t="s">
        <v>8351</v>
      </c>
      <c r="D830" s="8" t="s">
        <v>713</v>
      </c>
      <c r="E830" s="8" t="s">
        <v>771</v>
      </c>
      <c r="F830" s="8" t="s">
        <v>68</v>
      </c>
      <c r="G830" s="8" t="s">
        <v>1921</v>
      </c>
      <c r="H830" s="8" t="s">
        <v>697</v>
      </c>
      <c r="I830" s="8" t="s">
        <v>8108</v>
      </c>
      <c r="J830" s="78" t="s">
        <v>4745</v>
      </c>
      <c r="K830" s="22">
        <v>4.0</v>
      </c>
      <c r="L830" s="22">
        <f>+SUMIF('حركه المخزن الرئيسي اليوميه'!$F:$F,$H:$H,'حركه المخزن الرئيسي اليوميه'!$H:$H)</f>
        <v>0.0</v>
      </c>
      <c r="M830" s="22">
        <f>+SUMIF('حركه المخزن الرئيسي اليوميه'!$F:$F,$H:$H,'حركه المخزن الرئيسي اليوميه'!$I:$I)</f>
        <v>0.0</v>
      </c>
      <c r="N830" s="22">
        <f>+K830+L830-M830</f>
        <v>4.0</v>
      </c>
      <c r="O830" s="22">
        <f>+N830</f>
        <v>4.0</v>
      </c>
      <c r="P830" s="22">
        <f>+N830-O830</f>
        <v>0.0</v>
      </c>
      <c r="Q830" s="57"/>
      <c r="R830" s="58"/>
    </row>
    <row r="831" spans="8:8" ht="15.0" customHeight="1">
      <c r="B831" s="54">
        <v>930.0</v>
      </c>
      <c r="C831" s="8" t="s">
        <v>8351</v>
      </c>
      <c r="D831" s="8" t="s">
        <v>713</v>
      </c>
      <c r="E831" s="8" t="s">
        <v>771</v>
      </c>
      <c r="F831" s="8" t="s">
        <v>68</v>
      </c>
      <c r="G831" s="8" t="s">
        <v>1921</v>
      </c>
      <c r="H831" s="8" t="s">
        <v>699</v>
      </c>
      <c r="I831" s="8" t="s">
        <v>8108</v>
      </c>
      <c r="J831" s="78" t="s">
        <v>4746</v>
      </c>
      <c r="K831" s="22">
        <v>6.0</v>
      </c>
      <c r="L831" s="22">
        <f>+SUMIF('حركه المخزن الرئيسي اليوميه'!$F:$F,$H:$H,'حركه المخزن الرئيسي اليوميه'!$H:$H)</f>
        <v>0.0</v>
      </c>
      <c r="M831" s="22">
        <f>+SUMIF('حركه المخزن الرئيسي اليوميه'!$F:$F,$H:$H,'حركه المخزن الرئيسي اليوميه'!$I:$I)</f>
        <v>0.0</v>
      </c>
      <c r="N831" s="22">
        <f>+K831+L831-M831</f>
        <v>6.0</v>
      </c>
      <c r="O831" s="22">
        <f>+N831</f>
        <v>6.0</v>
      </c>
      <c r="P831" s="22">
        <f>+N831-O831</f>
        <v>0.0</v>
      </c>
      <c r="Q831" s="57"/>
      <c r="R831" s="58"/>
    </row>
    <row r="832" spans="8:8" ht="15.0" customHeight="1">
      <c r="B832" s="54">
        <v>931.0</v>
      </c>
      <c r="C832" s="8" t="s">
        <v>8351</v>
      </c>
      <c r="D832" s="8" t="s">
        <v>713</v>
      </c>
      <c r="E832" s="8" t="s">
        <v>771</v>
      </c>
      <c r="F832" s="8" t="s">
        <v>68</v>
      </c>
      <c r="G832" s="8" t="s">
        <v>1921</v>
      </c>
      <c r="H832" s="8" t="s">
        <v>698</v>
      </c>
      <c r="I832" s="8" t="s">
        <v>8108</v>
      </c>
      <c r="J832" s="78" t="s">
        <v>4747</v>
      </c>
      <c r="K832" s="22">
        <v>6.0</v>
      </c>
      <c r="L832" s="22">
        <f>+SUMIF('حركه المخزن الرئيسي اليوميه'!$F:$F,$H:$H,'حركه المخزن الرئيسي اليوميه'!$H:$H)</f>
        <v>0.0</v>
      </c>
      <c r="M832" s="22">
        <f>+SUMIF('حركه المخزن الرئيسي اليوميه'!$F:$F,$H:$H,'حركه المخزن الرئيسي اليوميه'!$I:$I)</f>
        <v>0.0</v>
      </c>
      <c r="N832" s="22">
        <f>+K832+L832-M832</f>
        <v>6.0</v>
      </c>
      <c r="O832" s="22">
        <f>+N832</f>
        <v>6.0</v>
      </c>
      <c r="P832" s="22">
        <f>+N832-O832</f>
        <v>0.0</v>
      </c>
      <c r="Q832" s="57"/>
      <c r="R832" s="58"/>
    </row>
    <row r="833" spans="8:8" ht="15.0" customHeight="1">
      <c r="B833" s="54">
        <v>932.0</v>
      </c>
      <c r="C833" s="8" t="s">
        <v>8351</v>
      </c>
      <c r="D833" s="8" t="s">
        <v>713</v>
      </c>
      <c r="E833" s="8" t="s">
        <v>798</v>
      </c>
      <c r="F833" s="8" t="s">
        <v>68</v>
      </c>
      <c r="G833" s="8" t="s">
        <v>1773</v>
      </c>
      <c r="H833" s="8" t="s">
        <v>747</v>
      </c>
      <c r="I833" s="8" t="s">
        <v>8108</v>
      </c>
      <c r="J833" s="78" t="s">
        <v>4748</v>
      </c>
      <c r="K833" s="22">
        <v>1.0</v>
      </c>
      <c r="L833" s="22">
        <f>+SUMIF('حركه المخزن الرئيسي اليوميه'!$F:$F,$H:$H,'حركه المخزن الرئيسي اليوميه'!$H:$H)</f>
        <v>0.0</v>
      </c>
      <c r="M833" s="22">
        <f>+SUMIF('حركه المخزن الرئيسي اليوميه'!$F:$F,$H:$H,'حركه المخزن الرئيسي اليوميه'!$I:$I)</f>
        <v>0.0</v>
      </c>
      <c r="N833" s="22">
        <f>+K833+L833-M833</f>
        <v>1.0</v>
      </c>
      <c r="O833" s="22">
        <f>+N833</f>
        <v>1.0</v>
      </c>
      <c r="P833" s="22">
        <f>+N833-O833</f>
        <v>0.0</v>
      </c>
      <c r="Q833" s="57"/>
      <c r="R833" s="58"/>
    </row>
    <row r="834" spans="8:8" ht="15.0" customHeight="1">
      <c r="B834" s="54">
        <v>933.0</v>
      </c>
      <c r="C834" s="8" t="s">
        <v>8351</v>
      </c>
      <c r="D834" s="8" t="s">
        <v>713</v>
      </c>
      <c r="E834" s="8" t="s">
        <v>803</v>
      </c>
      <c r="F834" s="8" t="s">
        <v>68</v>
      </c>
      <c r="G834" s="8" t="s">
        <v>1773</v>
      </c>
      <c r="H834" s="8" t="s">
        <v>755</v>
      </c>
      <c r="I834" s="8" t="s">
        <v>8108</v>
      </c>
      <c r="J834" s="78" t="s">
        <v>4749</v>
      </c>
      <c r="K834" s="22">
        <v>6.0</v>
      </c>
      <c r="L834" s="22">
        <f>+SUMIF('حركه المخزن الرئيسي اليوميه'!$F:$F,$H:$H,'حركه المخزن الرئيسي اليوميه'!$H:$H)</f>
        <v>0.0</v>
      </c>
      <c r="M834" s="22">
        <f>+SUMIF('حركه المخزن الرئيسي اليوميه'!$F:$F,$H:$H,'حركه المخزن الرئيسي اليوميه'!$I:$I)</f>
        <v>0.0</v>
      </c>
      <c r="N834" s="22">
        <f>+K834+L834-M834</f>
        <v>6.0</v>
      </c>
      <c r="O834" s="22">
        <f>+N834</f>
        <v>6.0</v>
      </c>
      <c r="P834" s="22">
        <f>+N834-O834</f>
        <v>0.0</v>
      </c>
      <c r="Q834" s="57"/>
      <c r="R834" s="58"/>
    </row>
    <row r="835" spans="8:8" ht="15.0" customHeight="1">
      <c r="B835" s="54">
        <v>934.0</v>
      </c>
      <c r="C835" s="8" t="s">
        <v>8351</v>
      </c>
      <c r="D835" s="8" t="s">
        <v>713</v>
      </c>
      <c r="E835" s="8" t="s">
        <v>803</v>
      </c>
      <c r="F835" s="8" t="s">
        <v>68</v>
      </c>
      <c r="G835" s="8" t="s">
        <v>1773</v>
      </c>
      <c r="H835" s="8" t="s">
        <v>741</v>
      </c>
      <c r="I835" s="8" t="s">
        <v>8108</v>
      </c>
      <c r="J835" s="78" t="s">
        <v>4750</v>
      </c>
      <c r="K835" s="22">
        <v>2.0</v>
      </c>
      <c r="L835" s="22">
        <f>+SUMIF('حركه المخزن الرئيسي اليوميه'!$F:$F,$H:$H,'حركه المخزن الرئيسي اليوميه'!$H:$H)</f>
        <v>0.0</v>
      </c>
      <c r="M835" s="22">
        <f>+SUMIF('حركه المخزن الرئيسي اليوميه'!$F:$F,$H:$H,'حركه المخزن الرئيسي اليوميه'!$I:$I)</f>
        <v>0.0</v>
      </c>
      <c r="N835" s="22">
        <f>+K835+L835-M835</f>
        <v>2.0</v>
      </c>
      <c r="O835" s="22">
        <f>+N835</f>
        <v>2.0</v>
      </c>
      <c r="P835" s="22">
        <f>+N835-O835</f>
        <v>0.0</v>
      </c>
      <c r="Q835" s="57"/>
      <c r="R835" s="58"/>
    </row>
    <row r="836" spans="8:8" ht="15.0" customHeight="1">
      <c r="B836" s="54">
        <v>935.0</v>
      </c>
      <c r="C836" s="8" t="s">
        <v>8351</v>
      </c>
      <c r="D836" s="8" t="s">
        <v>765</v>
      </c>
      <c r="E836" s="8" t="s">
        <v>2855</v>
      </c>
      <c r="F836" s="8" t="s">
        <v>2833</v>
      </c>
      <c r="G836" s="8"/>
      <c r="H836" s="8" t="s">
        <v>2854</v>
      </c>
      <c r="I836" s="8" t="s">
        <v>8108</v>
      </c>
      <c r="J836" s="78" t="s">
        <v>4751</v>
      </c>
      <c r="K836" s="22">
        <v>6.0</v>
      </c>
      <c r="L836" s="22">
        <f>+SUMIF('حركه المخزن الرئيسي اليوميه'!$F:$F,$H:$H,'حركه المخزن الرئيسي اليوميه'!$H:$H)</f>
        <v>0.0</v>
      </c>
      <c r="M836" s="22">
        <f>+SUMIF('حركه المخزن الرئيسي اليوميه'!$F:$F,$H:$H,'حركه المخزن الرئيسي اليوميه'!$I:$I)</f>
        <v>0.0</v>
      </c>
      <c r="N836" s="22">
        <f>+K836+L836-M836</f>
        <v>6.0</v>
      </c>
      <c r="O836" s="22">
        <f>+N836</f>
        <v>6.0</v>
      </c>
      <c r="P836" s="22">
        <f>+N836-O836</f>
        <v>0.0</v>
      </c>
      <c r="Q836" s="57"/>
      <c r="R836" s="58"/>
    </row>
    <row r="837" spans="8:8" ht="15.0" customHeight="1">
      <c r="B837" s="54">
        <v>936.0</v>
      </c>
      <c r="C837" s="8" t="s">
        <v>8351</v>
      </c>
      <c r="D837" s="8" t="s">
        <v>713</v>
      </c>
      <c r="E837" s="8" t="s">
        <v>798</v>
      </c>
      <c r="F837" s="8" t="s">
        <v>68</v>
      </c>
      <c r="G837" s="8" t="s">
        <v>1777</v>
      </c>
      <c r="H837" s="8" t="s">
        <v>733</v>
      </c>
      <c r="I837" s="8" t="s">
        <v>2899</v>
      </c>
      <c r="J837" s="78" t="s">
        <v>4752</v>
      </c>
      <c r="K837" s="22">
        <v>50.0</v>
      </c>
      <c r="L837" s="22">
        <f>+SUMIF('حركه المخزن الرئيسي اليوميه'!$F:$F,$H:$H,'حركه المخزن الرئيسي اليوميه'!$H:$H)</f>
        <v>0.0</v>
      </c>
      <c r="M837" s="22">
        <f>+SUMIF('حركه المخزن الرئيسي اليوميه'!$F:$F,$H:$H,'حركه المخزن الرئيسي اليوميه'!$I:$I)</f>
        <v>0.0</v>
      </c>
      <c r="N837" s="22">
        <f>+K837+L837-M837</f>
        <v>50.0</v>
      </c>
      <c r="O837" s="22">
        <f>+N837</f>
        <v>50.0</v>
      </c>
      <c r="P837" s="22">
        <f>+N837-O837</f>
        <v>0.0</v>
      </c>
      <c r="Q837" s="57"/>
      <c r="R837" s="58"/>
    </row>
    <row r="838" spans="8:8" ht="15.0" customHeight="1">
      <c r="B838" s="54">
        <v>937.0</v>
      </c>
      <c r="C838" s="8" t="s">
        <v>8351</v>
      </c>
      <c r="D838" s="8" t="s">
        <v>713</v>
      </c>
      <c r="E838" s="8" t="s">
        <v>800</v>
      </c>
      <c r="F838" s="8" t="s">
        <v>68</v>
      </c>
      <c r="G838" s="8" t="s">
        <v>1775</v>
      </c>
      <c r="H838" s="8" t="s">
        <v>749</v>
      </c>
      <c r="I838" s="8" t="s">
        <v>8147</v>
      </c>
      <c r="J838" s="78" t="s">
        <v>4753</v>
      </c>
      <c r="K838" s="22">
        <v>33.0</v>
      </c>
      <c r="L838" s="22">
        <f>+SUMIF('حركه المخزن الرئيسي اليوميه'!$F:$F,$H:$H,'حركه المخزن الرئيسي اليوميه'!$H:$H)</f>
        <v>0.0</v>
      </c>
      <c r="M838" s="22">
        <f>+SUMIF('حركه المخزن الرئيسي اليوميه'!$F:$F,$H:$H,'حركه المخزن الرئيسي اليوميه'!$I:$I)</f>
        <v>0.0</v>
      </c>
      <c r="N838" s="22">
        <f>+K838+L838-M838</f>
        <v>33.0</v>
      </c>
      <c r="O838" s="22">
        <f>+N838</f>
        <v>33.0</v>
      </c>
      <c r="P838" s="22">
        <f>+N838-O838</f>
        <v>0.0</v>
      </c>
      <c r="Q838" s="57"/>
      <c r="R838" s="58"/>
    </row>
    <row r="839" spans="8:8" ht="15.0" customHeight="1">
      <c r="B839" s="54">
        <v>938.0</v>
      </c>
      <c r="C839" s="8" t="s">
        <v>8351</v>
      </c>
      <c r="D839" s="8" t="s">
        <v>713</v>
      </c>
      <c r="E839" s="8" t="s">
        <v>800</v>
      </c>
      <c r="F839" s="8" t="s">
        <v>68</v>
      </c>
      <c r="G839" s="8" t="s">
        <v>1771</v>
      </c>
      <c r="H839" s="8" t="s">
        <v>738</v>
      </c>
      <c r="I839" s="8" t="s">
        <v>8147</v>
      </c>
      <c r="J839" s="78" t="s">
        <v>4754</v>
      </c>
      <c r="K839" s="22">
        <v>34.0</v>
      </c>
      <c r="L839" s="22">
        <f>+SUMIF('حركه المخزن الرئيسي اليوميه'!$F:$F,$H:$H,'حركه المخزن الرئيسي اليوميه'!$H:$H)</f>
        <v>0.0</v>
      </c>
      <c r="M839" s="22">
        <f>+SUMIF('حركه المخزن الرئيسي اليوميه'!$F:$F,$H:$H,'حركه المخزن الرئيسي اليوميه'!$I:$I)</f>
        <v>1.0</v>
      </c>
      <c r="N839" s="22">
        <f>+K839+L839-M839</f>
        <v>33.0</v>
      </c>
      <c r="O839" s="22">
        <f>+N839</f>
        <v>33.0</v>
      </c>
      <c r="P839" s="22">
        <f>+N839-O839</f>
        <v>0.0</v>
      </c>
      <c r="Q839" s="57"/>
      <c r="R839" s="58"/>
    </row>
    <row r="840" spans="8:8" ht="15.0" customHeight="1">
      <c r="B840" s="54">
        <v>939.0</v>
      </c>
      <c r="C840" s="8" t="s">
        <v>8351</v>
      </c>
      <c r="D840" s="8" t="s">
        <v>713</v>
      </c>
      <c r="E840" s="8" t="s">
        <v>661</v>
      </c>
      <c r="F840" s="8" t="s">
        <v>68</v>
      </c>
      <c r="G840" s="8" t="s">
        <v>1767</v>
      </c>
      <c r="H840" s="8" t="s">
        <v>721</v>
      </c>
      <c r="I840" s="8" t="s">
        <v>2900</v>
      </c>
      <c r="J840" s="78" t="s">
        <v>4755</v>
      </c>
      <c r="K840" s="22">
        <v>0.0</v>
      </c>
      <c r="L840" s="22">
        <f>+SUMIF('حركه المخزن الرئيسي اليوميه'!$F:$F,$H:$H,'حركه المخزن الرئيسي اليوميه'!$H:$H)</f>
        <v>0.0</v>
      </c>
      <c r="M840" s="22">
        <f>+SUMIF('حركه المخزن الرئيسي اليوميه'!$F:$F,$H:$H,'حركه المخزن الرئيسي اليوميه'!$I:$I)</f>
        <v>0.0</v>
      </c>
      <c r="N840" s="22">
        <f>+K840+L840-M840</f>
        <v>0.0</v>
      </c>
      <c r="O840" s="22">
        <f>+N840</f>
        <v>0.0</v>
      </c>
      <c r="P840" s="22">
        <f>+N840-O840</f>
        <v>0.0</v>
      </c>
      <c r="Q840" s="57"/>
      <c r="R840" s="58"/>
    </row>
    <row r="841" spans="8:8" ht="15.0" customHeight="1">
      <c r="B841" s="54">
        <v>940.0</v>
      </c>
      <c r="C841" s="8" t="s">
        <v>8351</v>
      </c>
      <c r="D841" s="8" t="s">
        <v>713</v>
      </c>
      <c r="E841" s="8" t="s">
        <v>661</v>
      </c>
      <c r="F841" s="8" t="s">
        <v>68</v>
      </c>
      <c r="G841" s="8" t="s">
        <v>1767</v>
      </c>
      <c r="H841" s="8" t="s">
        <v>722</v>
      </c>
      <c r="I841" s="8" t="s">
        <v>2900</v>
      </c>
      <c r="J841" s="78" t="s">
        <v>4756</v>
      </c>
      <c r="K841" s="22">
        <v>0.0</v>
      </c>
      <c r="L841" s="22">
        <f>+SUMIF('حركه المخزن الرئيسي اليوميه'!$F:$F,$H:$H,'حركه المخزن الرئيسي اليوميه'!$H:$H)</f>
        <v>0.0</v>
      </c>
      <c r="M841" s="22">
        <f>+SUMIF('حركه المخزن الرئيسي اليوميه'!$F:$F,$H:$H,'حركه المخزن الرئيسي اليوميه'!$I:$I)</f>
        <v>0.0</v>
      </c>
      <c r="N841" s="22">
        <f>+K841+L841-M841</f>
        <v>0.0</v>
      </c>
      <c r="O841" s="22">
        <f>+N841</f>
        <v>0.0</v>
      </c>
      <c r="P841" s="22">
        <f>+N841-O841</f>
        <v>0.0</v>
      </c>
      <c r="Q841" s="57"/>
      <c r="R841" s="58"/>
    </row>
    <row r="842" spans="8:8" ht="15.0" customHeight="1">
      <c r="B842" s="54">
        <v>941.0</v>
      </c>
      <c r="C842" s="8" t="s">
        <v>8351</v>
      </c>
      <c r="D842" s="8" t="s">
        <v>1013</v>
      </c>
      <c r="E842" s="8" t="s">
        <v>1505</v>
      </c>
      <c r="F842" s="8" t="s">
        <v>1501</v>
      </c>
      <c r="G842" s="8"/>
      <c r="H842" s="8" t="s">
        <v>2039</v>
      </c>
      <c r="I842" s="8" t="s">
        <v>2900</v>
      </c>
      <c r="J842" s="78" t="s">
        <v>4757</v>
      </c>
      <c r="K842" s="22">
        <v>0.0</v>
      </c>
      <c r="L842" s="22">
        <f>+SUMIF('حركه المخزن الرئيسي اليوميه'!$F:$F,$H:$H,'حركه المخزن الرئيسي اليوميه'!$H:$H)</f>
        <v>0.0</v>
      </c>
      <c r="M842" s="22">
        <f>+SUMIF('حركه المخزن الرئيسي اليوميه'!$F:$F,$H:$H,'حركه المخزن الرئيسي اليوميه'!$I:$I)</f>
        <v>0.0</v>
      </c>
      <c r="N842" s="22">
        <f>+K842+L842-M842</f>
        <v>0.0</v>
      </c>
      <c r="O842" s="22">
        <f>+N842</f>
        <v>0.0</v>
      </c>
      <c r="P842" s="22">
        <f>+N842-O842</f>
        <v>0.0</v>
      </c>
      <c r="Q842" s="57"/>
      <c r="R842" s="58"/>
    </row>
    <row r="843" spans="8:8" ht="15.0" customHeight="1">
      <c r="B843" s="54">
        <v>942.0</v>
      </c>
      <c r="C843" s="8" t="s">
        <v>8351</v>
      </c>
      <c r="D843" s="8" t="s">
        <v>713</v>
      </c>
      <c r="E843" s="8" t="s">
        <v>803</v>
      </c>
      <c r="F843" s="8" t="s">
        <v>68</v>
      </c>
      <c r="G843" s="8" t="s">
        <v>1773</v>
      </c>
      <c r="H843" s="8" t="s">
        <v>746</v>
      </c>
      <c r="I843" s="8" t="s">
        <v>2899</v>
      </c>
      <c r="J843" s="78" t="s">
        <v>4758</v>
      </c>
      <c r="K843" s="22">
        <v>20.0</v>
      </c>
      <c r="L843" s="22">
        <f>+SUMIF('حركه المخزن الرئيسي اليوميه'!$F:$F,$H:$H,'حركه المخزن الرئيسي اليوميه'!$H:$H)</f>
        <v>0.0</v>
      </c>
      <c r="M843" s="22">
        <f>+SUMIF('حركه المخزن الرئيسي اليوميه'!$F:$F,$H:$H,'حركه المخزن الرئيسي اليوميه'!$I:$I)</f>
        <v>0.0</v>
      </c>
      <c r="N843" s="22">
        <f>+K843+L843-M843</f>
        <v>20.0</v>
      </c>
      <c r="O843" s="22">
        <f>+N843</f>
        <v>20.0</v>
      </c>
      <c r="P843" s="22">
        <f>+N843-O843</f>
        <v>0.0</v>
      </c>
      <c r="Q843" s="57"/>
      <c r="R843" s="58"/>
    </row>
    <row r="844" spans="8:8" ht="15.0" customHeight="1">
      <c r="B844" s="54">
        <v>943.0</v>
      </c>
      <c r="C844" s="8" t="s">
        <v>8351</v>
      </c>
      <c r="D844" s="8" t="s">
        <v>713</v>
      </c>
      <c r="E844" s="8" t="s">
        <v>798</v>
      </c>
      <c r="F844" s="8" t="s">
        <v>68</v>
      </c>
      <c r="G844" s="8" t="s">
        <v>1777</v>
      </c>
      <c r="H844" s="8" t="s">
        <v>2912</v>
      </c>
      <c r="I844" s="8" t="s">
        <v>2899</v>
      </c>
      <c r="J844" s="78" t="s">
        <v>4759</v>
      </c>
      <c r="K844" s="22">
        <v>4.0</v>
      </c>
      <c r="L844" s="22">
        <f>+SUMIF('حركه المخزن الرئيسي اليوميه'!$F:$F,$H:$H,'حركه المخزن الرئيسي اليوميه'!$H:$H)</f>
        <v>0.0</v>
      </c>
      <c r="M844" s="22">
        <f>+SUMIF('حركه المخزن الرئيسي اليوميه'!$F:$F,$H:$H,'حركه المخزن الرئيسي اليوميه'!$I:$I)</f>
        <v>0.0</v>
      </c>
      <c r="N844" s="22">
        <f>+K844+L844-M844</f>
        <v>4.0</v>
      </c>
      <c r="O844" s="22">
        <f>+N844</f>
        <v>4.0</v>
      </c>
      <c r="P844" s="22">
        <f>+N844-O844</f>
        <v>0.0</v>
      </c>
      <c r="Q844" s="57"/>
      <c r="R844" s="58"/>
    </row>
    <row r="845" spans="8:8" ht="15.0" customHeight="1">
      <c r="B845" s="54">
        <v>944.0</v>
      </c>
      <c r="C845" s="8" t="s">
        <v>8351</v>
      </c>
      <c r="D845" s="8" t="s">
        <v>828</v>
      </c>
      <c r="E845" s="8" t="s">
        <v>2651</v>
      </c>
      <c r="F845" s="8" t="s">
        <v>68</v>
      </c>
      <c r="G845" s="8"/>
      <c r="H845" s="8" t="s">
        <v>2651</v>
      </c>
      <c r="I845" s="8" t="s">
        <v>2934</v>
      </c>
      <c r="J845" s="78" t="s">
        <v>4760</v>
      </c>
      <c r="K845" s="22">
        <v>20.0</v>
      </c>
      <c r="L845" s="22">
        <f>+SUMIF('حركه المخزن الرئيسي اليوميه'!$F:$F,$H:$H,'حركه المخزن الرئيسي اليوميه'!$H:$H)</f>
        <v>0.0</v>
      </c>
      <c r="M845" s="22">
        <f>+SUMIF('حركه المخزن الرئيسي اليوميه'!$F:$F,$H:$H,'حركه المخزن الرئيسي اليوميه'!$I:$I)</f>
        <v>0.0</v>
      </c>
      <c r="N845" s="22">
        <f>+K845+L845-M845</f>
        <v>20.0</v>
      </c>
      <c r="O845" s="22">
        <f>+N845</f>
        <v>20.0</v>
      </c>
      <c r="P845" s="22">
        <f>+N845-O845</f>
        <v>0.0</v>
      </c>
      <c r="Q845" s="57"/>
      <c r="R845" s="58"/>
    </row>
    <row r="846" spans="8:8" ht="15.0" customHeight="1">
      <c r="B846" s="54">
        <v>945.0</v>
      </c>
      <c r="C846" s="8" t="s">
        <v>8351</v>
      </c>
      <c r="D846" s="8" t="s">
        <v>713</v>
      </c>
      <c r="E846" s="8" t="s">
        <v>801</v>
      </c>
      <c r="F846" s="8" t="s">
        <v>68</v>
      </c>
      <c r="G846" s="8" t="s">
        <v>1772</v>
      </c>
      <c r="H846" s="8" t="s">
        <v>739</v>
      </c>
      <c r="I846" s="8" t="s">
        <v>2899</v>
      </c>
      <c r="J846" s="78" t="s">
        <v>4761</v>
      </c>
      <c r="K846" s="22">
        <v>33.0</v>
      </c>
      <c r="L846" s="22">
        <f>+SUMIF('حركه المخزن الرئيسي اليوميه'!$F:$F,$H:$H,'حركه المخزن الرئيسي اليوميه'!$H:$H)</f>
        <v>0.0</v>
      </c>
      <c r="M846" s="22">
        <f>+SUMIF('حركه المخزن الرئيسي اليوميه'!$F:$F,$H:$H,'حركه المخزن الرئيسي اليوميه'!$I:$I)</f>
        <v>0.0</v>
      </c>
      <c r="N846" s="22">
        <f>+K846+L846-M846</f>
        <v>33.0</v>
      </c>
      <c r="O846" s="22">
        <f>+N846</f>
        <v>33.0</v>
      </c>
      <c r="P846" s="22">
        <f>+N846-O846</f>
        <v>0.0</v>
      </c>
      <c r="Q846" s="57"/>
      <c r="R846" s="58"/>
    </row>
    <row r="847" spans="8:8" ht="15.0" customHeight="1">
      <c r="B847" s="54">
        <v>946.0</v>
      </c>
      <c r="C847" s="8" t="s">
        <v>8351</v>
      </c>
      <c r="D847" s="8" t="s">
        <v>713</v>
      </c>
      <c r="E847" s="8" t="s">
        <v>799</v>
      </c>
      <c r="F847" s="8" t="s">
        <v>68</v>
      </c>
      <c r="G847" s="8" t="s">
        <v>1770</v>
      </c>
      <c r="H847" s="8" t="s">
        <v>754</v>
      </c>
      <c r="I847" s="8" t="s">
        <v>8148</v>
      </c>
      <c r="J847" s="78" t="s">
        <v>4762</v>
      </c>
      <c r="K847" s="22">
        <v>12.0</v>
      </c>
      <c r="L847" s="22">
        <f>+SUMIF('حركه المخزن الرئيسي اليوميه'!$F:$F,$H:$H,'حركه المخزن الرئيسي اليوميه'!$H:$H)</f>
        <v>0.0</v>
      </c>
      <c r="M847" s="22">
        <f>+SUMIF('حركه المخزن الرئيسي اليوميه'!$F:$F,$H:$H,'حركه المخزن الرئيسي اليوميه'!$I:$I)</f>
        <v>0.0</v>
      </c>
      <c r="N847" s="22">
        <f>+K847+L847-M847</f>
        <v>12.0</v>
      </c>
      <c r="O847" s="22">
        <f>+N847</f>
        <v>12.0</v>
      </c>
      <c r="P847" s="22">
        <f>+N847-O847</f>
        <v>0.0</v>
      </c>
      <c r="Q847" s="57"/>
      <c r="R847" s="58"/>
    </row>
    <row r="848" spans="8:8" ht="15.0" customHeight="1">
      <c r="B848" s="54">
        <v>947.0</v>
      </c>
      <c r="C848" s="8" t="s">
        <v>8351</v>
      </c>
      <c r="D848" s="8" t="s">
        <v>713</v>
      </c>
      <c r="E848" s="8" t="s">
        <v>799</v>
      </c>
      <c r="F848" s="8" t="s">
        <v>68</v>
      </c>
      <c r="G848" s="8" t="s">
        <v>1770</v>
      </c>
      <c r="H848" s="8" t="s">
        <v>734</v>
      </c>
      <c r="I848" s="8" t="s">
        <v>2913</v>
      </c>
      <c r="J848" s="78" t="s">
        <v>4763</v>
      </c>
      <c r="K848" s="22">
        <v>0.0</v>
      </c>
      <c r="L848" s="22">
        <f>+SUMIF('حركه المخزن الرئيسي اليوميه'!$F:$F,$H:$H,'حركه المخزن الرئيسي اليوميه'!$H:$H)</f>
        <v>0.0</v>
      </c>
      <c r="M848" s="22">
        <f>+SUMIF('حركه المخزن الرئيسي اليوميه'!$F:$F,$H:$H,'حركه المخزن الرئيسي اليوميه'!$I:$I)</f>
        <v>0.0</v>
      </c>
      <c r="N848" s="22">
        <f>+K848+L848-M848</f>
        <v>0.0</v>
      </c>
      <c r="O848" s="22">
        <f>+N848</f>
        <v>0.0</v>
      </c>
      <c r="P848" s="22">
        <f>+N848-O848</f>
        <v>0.0</v>
      </c>
      <c r="Q848" s="57"/>
      <c r="R848" s="58"/>
    </row>
    <row r="849" spans="8:8" ht="15.0" customHeight="1">
      <c r="B849" s="54">
        <v>948.0</v>
      </c>
      <c r="C849" s="8" t="s">
        <v>8351</v>
      </c>
      <c r="D849" s="8" t="s">
        <v>713</v>
      </c>
      <c r="E849" s="8" t="s">
        <v>796</v>
      </c>
      <c r="F849" s="8" t="s">
        <v>68</v>
      </c>
      <c r="G849" s="8" t="s">
        <v>1768</v>
      </c>
      <c r="H849" s="8" t="s">
        <v>726</v>
      </c>
      <c r="I849" s="8" t="s">
        <v>2910</v>
      </c>
      <c r="J849" s="78" t="s">
        <v>4764</v>
      </c>
      <c r="K849" s="22">
        <v>24.0</v>
      </c>
      <c r="L849" s="22">
        <f>+SUMIF('حركه المخزن الرئيسي اليوميه'!$F:$F,$H:$H,'حركه المخزن الرئيسي اليوميه'!$H:$H)</f>
        <v>0.0</v>
      </c>
      <c r="M849" s="22">
        <f>+SUMIF('حركه المخزن الرئيسي اليوميه'!$F:$F,$H:$H,'حركه المخزن الرئيسي اليوميه'!$I:$I)</f>
        <v>0.0</v>
      </c>
      <c r="N849" s="22">
        <f>+K849+L849-M849</f>
        <v>24.0</v>
      </c>
      <c r="O849" s="22">
        <f>+N849</f>
        <v>24.0</v>
      </c>
      <c r="P849" s="22">
        <f>+N849-O849</f>
        <v>0.0</v>
      </c>
      <c r="Q849" s="57"/>
      <c r="R849" s="58"/>
    </row>
    <row r="850" spans="8:8" ht="15.0" customHeight="1">
      <c r="B850" s="54">
        <v>949.0</v>
      </c>
      <c r="C850" s="8" t="s">
        <v>8351</v>
      </c>
      <c r="D850" s="8" t="s">
        <v>713</v>
      </c>
      <c r="E850" s="8" t="s">
        <v>796</v>
      </c>
      <c r="F850" s="8" t="s">
        <v>68</v>
      </c>
      <c r="G850" s="8" t="s">
        <v>1768</v>
      </c>
      <c r="H850" s="8" t="s">
        <v>727</v>
      </c>
      <c r="I850" s="8" t="s">
        <v>2910</v>
      </c>
      <c r="J850" s="78" t="s">
        <v>4765</v>
      </c>
      <c r="K850" s="22">
        <v>4.0</v>
      </c>
      <c r="L850" s="22">
        <f>+SUMIF('حركه المخزن الرئيسي اليوميه'!$F:$F,$H:$H,'حركه المخزن الرئيسي اليوميه'!$H:$H)</f>
        <v>0.0</v>
      </c>
      <c r="M850" s="22">
        <f>+SUMIF('حركه المخزن الرئيسي اليوميه'!$F:$F,$H:$H,'حركه المخزن الرئيسي اليوميه'!$I:$I)</f>
        <v>0.0</v>
      </c>
      <c r="N850" s="22">
        <f>+K850+L850-M850</f>
        <v>4.0</v>
      </c>
      <c r="O850" s="22">
        <f>+N850</f>
        <v>4.0</v>
      </c>
      <c r="P850" s="22">
        <f>+N850-O850</f>
        <v>0.0</v>
      </c>
      <c r="Q850" s="57"/>
      <c r="R850" s="58"/>
    </row>
    <row r="851" spans="8:8" ht="15.0" customHeight="1">
      <c r="B851" s="54">
        <v>950.0</v>
      </c>
      <c r="C851" s="8" t="s">
        <v>8351</v>
      </c>
      <c r="D851" s="8" t="s">
        <v>713</v>
      </c>
      <c r="E851" s="8" t="s">
        <v>803</v>
      </c>
      <c r="F851" s="8" t="s">
        <v>68</v>
      </c>
      <c r="G851" s="8" t="s">
        <v>1773</v>
      </c>
      <c r="H851" s="8" t="s">
        <v>740</v>
      </c>
      <c r="I851" s="8" t="s">
        <v>8108</v>
      </c>
      <c r="J851" s="78" t="s">
        <v>4766</v>
      </c>
      <c r="K851" s="22">
        <v>2.0</v>
      </c>
      <c r="L851" s="22">
        <f>+SUMIF('حركه المخزن الرئيسي اليوميه'!$F:$F,$H:$H,'حركه المخزن الرئيسي اليوميه'!$H:$H)</f>
        <v>0.0</v>
      </c>
      <c r="M851" s="22">
        <f>+SUMIF('حركه المخزن الرئيسي اليوميه'!$F:$F,$H:$H,'حركه المخزن الرئيسي اليوميه'!$I:$I)</f>
        <v>0.0</v>
      </c>
      <c r="N851" s="22">
        <f>+K851+L851-M851</f>
        <v>2.0</v>
      </c>
      <c r="O851" s="22">
        <f>+N851</f>
        <v>2.0</v>
      </c>
      <c r="P851" s="22">
        <f>+N851-O851</f>
        <v>0.0</v>
      </c>
      <c r="Q851" s="57"/>
      <c r="R851" s="58"/>
    </row>
    <row r="852" spans="8:8" ht="15.0" customHeight="1">
      <c r="B852" s="54">
        <v>951.0</v>
      </c>
      <c r="C852" s="8" t="s">
        <v>8351</v>
      </c>
      <c r="D852" s="8" t="s">
        <v>713</v>
      </c>
      <c r="E852" s="8" t="s">
        <v>796</v>
      </c>
      <c r="F852" s="8" t="s">
        <v>68</v>
      </c>
      <c r="G852" s="8" t="s">
        <v>1768</v>
      </c>
      <c r="H852" s="8" t="s">
        <v>728</v>
      </c>
      <c r="I852" s="8" t="s">
        <v>2910</v>
      </c>
      <c r="J852" s="78" t="s">
        <v>4767</v>
      </c>
      <c r="K852" s="22">
        <v>10.0</v>
      </c>
      <c r="L852" s="22">
        <f>+SUMIF('حركه المخزن الرئيسي اليوميه'!$F:$F,$H:$H,'حركه المخزن الرئيسي اليوميه'!$H:$H)</f>
        <v>0.0</v>
      </c>
      <c r="M852" s="22">
        <f>+SUMIF('حركه المخزن الرئيسي اليوميه'!$F:$F,$H:$H,'حركه المخزن الرئيسي اليوميه'!$I:$I)</f>
        <v>0.0</v>
      </c>
      <c r="N852" s="22">
        <f>+K852+L852-M852</f>
        <v>10.0</v>
      </c>
      <c r="O852" s="22">
        <f>+N852</f>
        <v>10.0</v>
      </c>
      <c r="P852" s="22">
        <f>+N852-O852</f>
        <v>0.0</v>
      </c>
      <c r="Q852" s="57"/>
      <c r="R852" s="58"/>
    </row>
    <row r="853" spans="8:8" ht="15.0" customHeight="1">
      <c r="B853" s="54">
        <v>952.0</v>
      </c>
      <c r="C853" s="8" t="s">
        <v>8351</v>
      </c>
      <c r="D853" s="8" t="s">
        <v>713</v>
      </c>
      <c r="E853" s="8" t="s">
        <v>797</v>
      </c>
      <c r="F853" s="8" t="s">
        <v>68</v>
      </c>
      <c r="G853" s="8" t="s">
        <v>1769</v>
      </c>
      <c r="H853" s="8" t="s">
        <v>731</v>
      </c>
      <c r="I853" s="8" t="s">
        <v>2911</v>
      </c>
      <c r="J853" s="78" t="s">
        <v>4768</v>
      </c>
      <c r="K853" s="22">
        <v>101.0</v>
      </c>
      <c r="L853" s="22">
        <f>+SUMIF('حركه المخزن الرئيسي اليوميه'!$F:$F,$H:$H,'حركه المخزن الرئيسي اليوميه'!$H:$H)</f>
        <v>0.0</v>
      </c>
      <c r="M853" s="22">
        <f>+SUMIF('حركه المخزن الرئيسي اليوميه'!$F:$F,$H:$H,'حركه المخزن الرئيسي اليوميه'!$I:$I)</f>
        <v>0.0</v>
      </c>
      <c r="N853" s="22">
        <f>+K853+L853-M853</f>
        <v>101.0</v>
      </c>
      <c r="O853" s="22">
        <f>+N853</f>
        <v>101.0</v>
      </c>
      <c r="P853" s="22">
        <f>+N853-O853</f>
        <v>0.0</v>
      </c>
      <c r="Q853" s="57"/>
      <c r="R853" s="58"/>
    </row>
    <row r="854" spans="8:8" ht="15.0" customHeight="1">
      <c r="B854" s="54">
        <v>953.0</v>
      </c>
      <c r="C854" s="8" t="s">
        <v>8351</v>
      </c>
      <c r="D854" s="8" t="s">
        <v>713</v>
      </c>
      <c r="E854" s="8" t="s">
        <v>794</v>
      </c>
      <c r="F854" s="8" t="s">
        <v>68</v>
      </c>
      <c r="G854" s="8" t="s">
        <v>1765</v>
      </c>
      <c r="H854" s="8" t="s">
        <v>717</v>
      </c>
      <c r="I854" s="8" t="s">
        <v>963</v>
      </c>
      <c r="J854" s="78" t="s">
        <v>4769</v>
      </c>
      <c r="K854" s="22">
        <v>41.0</v>
      </c>
      <c r="L854" s="22">
        <f>+SUMIF('حركه المخزن الرئيسي اليوميه'!$F:$F,$H:$H,'حركه المخزن الرئيسي اليوميه'!$H:$H)</f>
        <v>0.0</v>
      </c>
      <c r="M854" s="22">
        <f>+SUMIF('حركه المخزن الرئيسي اليوميه'!$F:$F,$H:$H,'حركه المخزن الرئيسي اليوميه'!$I:$I)</f>
        <v>0.0</v>
      </c>
      <c r="N854" s="22">
        <f>+K854+L854-M854</f>
        <v>41.0</v>
      </c>
      <c r="O854" s="22">
        <f>+N854</f>
        <v>41.0</v>
      </c>
      <c r="P854" s="22">
        <f>+N854-O854</f>
        <v>0.0</v>
      </c>
      <c r="Q854" s="57"/>
      <c r="R854" s="58"/>
    </row>
    <row r="855" spans="8:8" ht="15.0" customHeight="1">
      <c r="B855" s="54">
        <v>954.0</v>
      </c>
      <c r="C855" s="8" t="s">
        <v>8351</v>
      </c>
      <c r="D855" s="8" t="s">
        <v>713</v>
      </c>
      <c r="E855" s="8" t="s">
        <v>794</v>
      </c>
      <c r="F855" s="8" t="s">
        <v>68</v>
      </c>
      <c r="G855" s="8" t="s">
        <v>1765</v>
      </c>
      <c r="H855" s="8" t="s">
        <v>716</v>
      </c>
      <c r="I855" s="8" t="s">
        <v>962</v>
      </c>
      <c r="J855" s="78" t="s">
        <v>4770</v>
      </c>
      <c r="K855" s="22">
        <v>18.0</v>
      </c>
      <c r="L855" s="22">
        <f>+SUMIF('حركه المخزن الرئيسي اليوميه'!$F:$F,$H:$H,'حركه المخزن الرئيسي اليوميه'!$H:$H)</f>
        <v>0.0</v>
      </c>
      <c r="M855" s="22">
        <f>+SUMIF('حركه المخزن الرئيسي اليوميه'!$F:$F,$H:$H,'حركه المخزن الرئيسي اليوميه'!$I:$I)</f>
        <v>0.0</v>
      </c>
      <c r="N855" s="22">
        <f>+K855+L855-M855</f>
        <v>18.0</v>
      </c>
      <c r="O855" s="22">
        <f>+N855</f>
        <v>18.0</v>
      </c>
      <c r="P855" s="22">
        <f>+N855-O855</f>
        <v>0.0</v>
      </c>
      <c r="Q855" s="57"/>
      <c r="R855" s="58"/>
    </row>
    <row r="856" spans="8:8" ht="15.0" customHeight="1">
      <c r="B856" s="54">
        <v>955.0</v>
      </c>
      <c r="C856" s="8" t="s">
        <v>8351</v>
      </c>
      <c r="D856" s="8" t="s">
        <v>1013</v>
      </c>
      <c r="E856" s="8" t="s">
        <v>23</v>
      </c>
      <c r="F856" s="8" t="s">
        <v>68</v>
      </c>
      <c r="G856" s="8" t="s">
        <v>2344</v>
      </c>
      <c r="H856" s="8">
        <v>3640.0</v>
      </c>
      <c r="I856" s="8" t="s">
        <v>818</v>
      </c>
      <c r="J856" s="78" t="s">
        <v>4771</v>
      </c>
      <c r="K856" s="22">
        <v>0.0</v>
      </c>
      <c r="L856" s="22">
        <f>+SUMIF('حركه المخزن الرئيسي اليوميه'!$F:$F,$H:$H,'حركه المخزن الرئيسي اليوميه'!$H:$H)</f>
        <v>0.0</v>
      </c>
      <c r="M856" s="22">
        <f>+SUMIF('حركه المخزن الرئيسي اليوميه'!$F:$F,$H:$H,'حركه المخزن الرئيسي اليوميه'!$I:$I)</f>
        <v>0.0</v>
      </c>
      <c r="N856" s="22">
        <f>+K856+L856-M856</f>
        <v>0.0</v>
      </c>
      <c r="O856" s="22">
        <f>+N856</f>
        <v>0.0</v>
      </c>
      <c r="P856" s="22">
        <f>+N856-O856</f>
        <v>0.0</v>
      </c>
      <c r="Q856" s="57"/>
      <c r="R856" s="58"/>
    </row>
    <row r="857" spans="8:8" ht="15.0" customHeight="1">
      <c r="B857" s="54">
        <v>956.0</v>
      </c>
      <c r="C857" s="8" t="s">
        <v>8351</v>
      </c>
      <c r="D857" s="8" t="s">
        <v>1013</v>
      </c>
      <c r="E857" s="8" t="s">
        <v>385</v>
      </c>
      <c r="F857" s="8" t="s">
        <v>68</v>
      </c>
      <c r="G857" s="8" t="s">
        <v>1580</v>
      </c>
      <c r="H857" s="8" t="s">
        <v>386</v>
      </c>
      <c r="I857" s="8" t="s">
        <v>3198</v>
      </c>
      <c r="J857" s="78" t="s">
        <v>4772</v>
      </c>
      <c r="K857" s="22">
        <v>0.0</v>
      </c>
      <c r="L857" s="22">
        <f>+SUMIF('حركه المخزن الرئيسي اليوميه'!$F:$F,$H:$H,'حركه المخزن الرئيسي اليوميه'!$H:$H)</f>
        <v>0.0</v>
      </c>
      <c r="M857" s="22">
        <f>+SUMIF('حركه المخزن الرئيسي اليوميه'!$F:$F,$H:$H,'حركه المخزن الرئيسي اليوميه'!$I:$I)</f>
        <v>0.0</v>
      </c>
      <c r="N857" s="22">
        <f>+K857+L857-M857</f>
        <v>0.0</v>
      </c>
      <c r="O857" s="22">
        <f>+N857</f>
        <v>0.0</v>
      </c>
      <c r="P857" s="22">
        <f>+N857-O857</f>
        <v>0.0</v>
      </c>
      <c r="Q857" s="57"/>
      <c r="R857" s="58"/>
    </row>
    <row r="858" spans="8:8" ht="15.0" customHeight="1">
      <c r="B858" s="54">
        <v>957.0</v>
      </c>
      <c r="C858" s="8" t="s">
        <v>8351</v>
      </c>
      <c r="D858" s="8" t="s">
        <v>820</v>
      </c>
      <c r="E858" s="8" t="s">
        <v>1378</v>
      </c>
      <c r="F858" s="8" t="s">
        <v>1127</v>
      </c>
      <c r="G858" s="8" t="s">
        <v>2430</v>
      </c>
      <c r="H858" s="8" t="s">
        <v>1379</v>
      </c>
      <c r="I858" s="8" t="s">
        <v>818</v>
      </c>
      <c r="J858" s="78" t="s">
        <v>4773</v>
      </c>
      <c r="K858" s="22">
        <v>0.0</v>
      </c>
      <c r="L858" s="22">
        <f>+SUMIF('حركه المخزن الرئيسي اليوميه'!$F:$F,$H:$H,'حركه المخزن الرئيسي اليوميه'!$H:$H)</f>
        <v>0.0</v>
      </c>
      <c r="M858" s="22">
        <f>+SUMIF('حركه المخزن الرئيسي اليوميه'!$F:$F,$H:$H,'حركه المخزن الرئيسي اليوميه'!$I:$I)</f>
        <v>0.0</v>
      </c>
      <c r="N858" s="22">
        <f>+K858+L858-M858</f>
        <v>0.0</v>
      </c>
      <c r="O858" s="22">
        <f>+N858</f>
        <v>0.0</v>
      </c>
      <c r="P858" s="22">
        <f>+N858-O858</f>
        <v>0.0</v>
      </c>
      <c r="Q858" s="57"/>
      <c r="R858" s="58"/>
    </row>
    <row r="859" spans="8:8" ht="15.0" customHeight="1">
      <c r="B859" s="54">
        <v>958.0</v>
      </c>
      <c r="C859" s="8" t="s">
        <v>8351</v>
      </c>
      <c r="D859" s="8" t="s">
        <v>820</v>
      </c>
      <c r="E859" s="8" t="s">
        <v>1422</v>
      </c>
      <c r="F859" s="8" t="s">
        <v>68</v>
      </c>
      <c r="G859" s="8" t="s">
        <v>2271</v>
      </c>
      <c r="H859" s="8" t="s">
        <v>2587</v>
      </c>
      <c r="I859" s="8" t="s">
        <v>818</v>
      </c>
      <c r="J859" s="78" t="s">
        <v>4774</v>
      </c>
      <c r="K859" s="22">
        <v>0.0</v>
      </c>
      <c r="L859" s="22">
        <f>+SUMIF('حركه المخزن الرئيسي اليوميه'!$F:$F,$H:$H,'حركه المخزن الرئيسي اليوميه'!$H:$H)</f>
        <v>0.0</v>
      </c>
      <c r="M859" s="22">
        <f>+SUMIF('حركه المخزن الرئيسي اليوميه'!$F:$F,$H:$H,'حركه المخزن الرئيسي اليوميه'!$I:$I)</f>
        <v>0.0</v>
      </c>
      <c r="N859" s="22">
        <f>+K859+L859-M859</f>
        <v>0.0</v>
      </c>
      <c r="O859" s="22">
        <f>+N859</f>
        <v>0.0</v>
      </c>
      <c r="P859" s="22">
        <f>+N859-O859</f>
        <v>0.0</v>
      </c>
      <c r="Q859" s="57"/>
      <c r="R859" s="58"/>
    </row>
    <row r="860" spans="8:8" ht="15.0" customHeight="1">
      <c r="B860" s="54">
        <v>959.0</v>
      </c>
      <c r="C860" s="8" t="s">
        <v>8351</v>
      </c>
      <c r="D860" s="8" t="s">
        <v>820</v>
      </c>
      <c r="E860" s="8" t="s">
        <v>3250</v>
      </c>
      <c r="F860" s="8" t="s">
        <v>68</v>
      </c>
      <c r="G860" s="8"/>
      <c r="H860" s="8" t="s">
        <v>3249</v>
      </c>
      <c r="I860" s="8" t="s">
        <v>818</v>
      </c>
      <c r="J860" s="78" t="s">
        <v>4775</v>
      </c>
      <c r="K860" s="22">
        <v>3.0</v>
      </c>
      <c r="L860" s="22">
        <f>+SUMIF('حركه المخزن الرئيسي اليوميه'!$F:$F,$H:$H,'حركه المخزن الرئيسي اليوميه'!$H:$H)</f>
        <v>0.0</v>
      </c>
      <c r="M860" s="22">
        <f>+SUMIF('حركه المخزن الرئيسي اليوميه'!$F:$F,$H:$H,'حركه المخزن الرئيسي اليوميه'!$I:$I)</f>
        <v>0.0</v>
      </c>
      <c r="N860" s="22">
        <f>+K860+L860-M860</f>
        <v>3.0</v>
      </c>
      <c r="O860" s="22">
        <f>+N860</f>
        <v>3.0</v>
      </c>
      <c r="P860" s="22">
        <f>+N860-O860</f>
        <v>0.0</v>
      </c>
      <c r="Q860" s="57"/>
      <c r="R860" s="58"/>
    </row>
    <row r="861" spans="8:8" ht="15.0" customHeight="1">
      <c r="B861" s="54">
        <v>960.0</v>
      </c>
      <c r="C861" s="8" t="s">
        <v>8351</v>
      </c>
      <c r="D861" s="8" t="s">
        <v>1013</v>
      </c>
      <c r="E861" s="8" t="s">
        <v>23</v>
      </c>
      <c r="F861" s="8" t="s">
        <v>68</v>
      </c>
      <c r="G861" s="8"/>
      <c r="H861" s="8" t="s">
        <v>3302</v>
      </c>
      <c r="I861" s="8" t="s">
        <v>3303</v>
      </c>
      <c r="J861" s="78" t="s">
        <v>4776</v>
      </c>
      <c r="K861" s="22">
        <v>10.0</v>
      </c>
      <c r="L861" s="22">
        <f>+SUMIF('حركه المخزن الرئيسي اليوميه'!$F:$F,$H:$H,'حركه المخزن الرئيسي اليوميه'!$H:$H)</f>
        <v>0.0</v>
      </c>
      <c r="M861" s="22">
        <f>+SUMIF('حركه المخزن الرئيسي اليوميه'!$F:$F,$H:$H,'حركه المخزن الرئيسي اليوميه'!$I:$I)</f>
        <v>0.0</v>
      </c>
      <c r="N861" s="22">
        <f>+K861+L861-M861</f>
        <v>10.0</v>
      </c>
      <c r="O861" s="22">
        <f>+N861</f>
        <v>10.0</v>
      </c>
      <c r="P861" s="22">
        <f>+N861-O861</f>
        <v>0.0</v>
      </c>
      <c r="Q861" s="57"/>
      <c r="R861" s="58"/>
    </row>
    <row r="862" spans="8:8" ht="15.0" customHeight="1">
      <c r="B862" s="54">
        <v>961.0</v>
      </c>
      <c r="C862" s="8" t="s">
        <v>8351</v>
      </c>
      <c r="D862" s="8" t="s">
        <v>820</v>
      </c>
      <c r="E862" s="8" t="s">
        <v>1296</v>
      </c>
      <c r="F862" s="8" t="s">
        <v>68</v>
      </c>
      <c r="G862" s="8" t="s">
        <v>1651</v>
      </c>
      <c r="H862" s="8" t="s">
        <v>1297</v>
      </c>
      <c r="I862" s="8" t="s">
        <v>361</v>
      </c>
      <c r="J862" s="78" t="s">
        <v>4777</v>
      </c>
      <c r="K862" s="22">
        <v>23.0</v>
      </c>
      <c r="L862" s="22">
        <f>+SUMIF('حركه المخزن الرئيسي اليوميه'!$F:$F,$H:$H,'حركه المخزن الرئيسي اليوميه'!$H:$H)</f>
        <v>0.0</v>
      </c>
      <c r="M862" s="22">
        <f>+SUMIF('حركه المخزن الرئيسي اليوميه'!$F:$F,$H:$H,'حركه المخزن الرئيسي اليوميه'!$I:$I)</f>
        <v>0.0</v>
      </c>
      <c r="N862" s="22">
        <f>+K862+L862-M862</f>
        <v>23.0</v>
      </c>
      <c r="O862" s="22">
        <f>+N862</f>
        <v>23.0</v>
      </c>
      <c r="P862" s="22">
        <f>+N862-O862</f>
        <v>0.0</v>
      </c>
      <c r="Q862" s="57"/>
      <c r="R862" s="58"/>
    </row>
    <row r="863" spans="8:8" ht="15.0" customHeight="1">
      <c r="B863" s="54">
        <v>962.0</v>
      </c>
      <c r="C863" s="8" t="s">
        <v>8351</v>
      </c>
      <c r="D863" s="8" t="s">
        <v>828</v>
      </c>
      <c r="E863" s="8" t="s">
        <v>412</v>
      </c>
      <c r="F863" s="8" t="s">
        <v>68</v>
      </c>
      <c r="G863" s="8"/>
      <c r="H863" s="8" t="s">
        <v>3237</v>
      </c>
      <c r="I863" s="8" t="s">
        <v>818</v>
      </c>
      <c r="J863" s="78" t="s">
        <v>4778</v>
      </c>
      <c r="K863" s="22">
        <v>3.0</v>
      </c>
      <c r="L863" s="22">
        <f>+SUMIF('حركه المخزن الرئيسي اليوميه'!$F:$F,$H:$H,'حركه المخزن الرئيسي اليوميه'!$H:$H)</f>
        <v>0.0</v>
      </c>
      <c r="M863" s="22">
        <f>+SUMIF('حركه المخزن الرئيسي اليوميه'!$F:$F,$H:$H,'حركه المخزن الرئيسي اليوميه'!$I:$I)</f>
        <v>0.0</v>
      </c>
      <c r="N863" s="22">
        <f>+K863+L863-M863</f>
        <v>3.0</v>
      </c>
      <c r="O863" s="22">
        <f>+N863</f>
        <v>3.0</v>
      </c>
      <c r="P863" s="22">
        <f>+N863-O863</f>
        <v>0.0</v>
      </c>
      <c r="Q863" s="57"/>
      <c r="R863" s="58"/>
    </row>
    <row r="864" spans="8:8" ht="15.0" customHeight="1">
      <c r="B864" s="54">
        <v>963.0</v>
      </c>
      <c r="C864" s="8" t="s">
        <v>8351</v>
      </c>
      <c r="D864" s="8" t="s">
        <v>820</v>
      </c>
      <c r="E864" s="8" t="s">
        <v>1255</v>
      </c>
      <c r="F864" s="8" t="s">
        <v>873</v>
      </c>
      <c r="G864" s="8"/>
      <c r="H864" s="8" t="s">
        <v>1254</v>
      </c>
      <c r="I864" s="8" t="s">
        <v>818</v>
      </c>
      <c r="J864" s="78" t="s">
        <v>4779</v>
      </c>
      <c r="K864" s="22">
        <v>0.0</v>
      </c>
      <c r="L864" s="22">
        <f>+SUMIF('حركه المخزن الرئيسي اليوميه'!$F:$F,$H:$H,'حركه المخزن الرئيسي اليوميه'!$H:$H)</f>
        <v>0.0</v>
      </c>
      <c r="M864" s="22">
        <f>+SUMIF('حركه المخزن الرئيسي اليوميه'!$F:$F,$H:$H,'حركه المخزن الرئيسي اليوميه'!$I:$I)</f>
        <v>0.0</v>
      </c>
      <c r="N864" s="22">
        <f>+K864+L864-M864</f>
        <v>0.0</v>
      </c>
      <c r="O864" s="22">
        <f>+N864</f>
        <v>0.0</v>
      </c>
      <c r="P864" s="22">
        <f>+N864-O864</f>
        <v>0.0</v>
      </c>
      <c r="Q864" s="57"/>
      <c r="R864" s="58"/>
    </row>
    <row r="865" spans="8:8" ht="15.0" customHeight="1">
      <c r="B865" s="54">
        <v>964.0</v>
      </c>
      <c r="C865" s="8" t="s">
        <v>8351</v>
      </c>
      <c r="D865" s="8" t="s">
        <v>820</v>
      </c>
      <c r="E865" s="8" t="s">
        <v>1252</v>
      </c>
      <c r="F865" s="8" t="s">
        <v>68</v>
      </c>
      <c r="G865" s="8" t="s">
        <v>1252</v>
      </c>
      <c r="H865" s="8" t="s">
        <v>1252</v>
      </c>
      <c r="I865" s="8" t="s">
        <v>818</v>
      </c>
      <c r="J865" s="78" t="s">
        <v>4780</v>
      </c>
      <c r="K865" s="22">
        <v>0.0</v>
      </c>
      <c r="L865" s="22">
        <f>+SUMIF('حركه المخزن الرئيسي اليوميه'!$F:$F,$H:$H,'حركه المخزن الرئيسي اليوميه'!$H:$H)</f>
        <v>0.0</v>
      </c>
      <c r="M865" s="22">
        <f>+SUMIF('حركه المخزن الرئيسي اليوميه'!$F:$F,$H:$H,'حركه المخزن الرئيسي اليوميه'!$I:$I)</f>
        <v>0.0</v>
      </c>
      <c r="N865" s="22">
        <f>+K865+L865-M865</f>
        <v>0.0</v>
      </c>
      <c r="O865" s="22">
        <f>+N865</f>
        <v>0.0</v>
      </c>
      <c r="P865" s="22">
        <f>+N865-O865</f>
        <v>0.0</v>
      </c>
      <c r="Q865" s="57"/>
      <c r="R865" s="58"/>
    </row>
    <row r="866" spans="8:8" ht="15.0" customHeight="1">
      <c r="B866" s="54">
        <v>965.0</v>
      </c>
      <c r="C866" s="8" t="s">
        <v>8351</v>
      </c>
      <c r="D866" s="8" t="s">
        <v>1013</v>
      </c>
      <c r="E866" s="8" t="s">
        <v>329</v>
      </c>
      <c r="F866" s="8" t="s">
        <v>68</v>
      </c>
      <c r="G866" s="8" t="s">
        <v>2055</v>
      </c>
      <c r="H866" s="8" t="s">
        <v>344</v>
      </c>
      <c r="I866" s="8" t="s">
        <v>3288</v>
      </c>
      <c r="J866" s="78" t="s">
        <v>4781</v>
      </c>
      <c r="K866" s="22">
        <v>0.0</v>
      </c>
      <c r="L866" s="22">
        <f>+SUMIF('حركه المخزن الرئيسي اليوميه'!$F:$F,$H:$H,'حركه المخزن الرئيسي اليوميه'!$H:$H)</f>
        <v>0.0</v>
      </c>
      <c r="M866" s="22">
        <f>+SUMIF('حركه المخزن الرئيسي اليوميه'!$F:$F,$H:$H,'حركه المخزن الرئيسي اليوميه'!$I:$I)</f>
        <v>0.0</v>
      </c>
      <c r="N866" s="22">
        <f>+K866+L866-M866</f>
        <v>0.0</v>
      </c>
      <c r="O866" s="22">
        <f>+N866</f>
        <v>0.0</v>
      </c>
      <c r="P866" s="22">
        <f>+N866-O866</f>
        <v>0.0</v>
      </c>
      <c r="Q866" s="57"/>
      <c r="R866" s="58"/>
    </row>
    <row r="867" spans="8:8" ht="15.0" customHeight="1">
      <c r="B867" s="54">
        <v>966.0</v>
      </c>
      <c r="C867" s="8" t="s">
        <v>8351</v>
      </c>
      <c r="D867" s="8" t="s">
        <v>828</v>
      </c>
      <c r="E867" s="8" t="s">
        <v>3592</v>
      </c>
      <c r="F867" s="8" t="s">
        <v>68</v>
      </c>
      <c r="G867" s="8" t="s">
        <v>1840</v>
      </c>
      <c r="H867" s="8" t="s">
        <v>3592</v>
      </c>
      <c r="I867" s="8" t="s">
        <v>818</v>
      </c>
      <c r="J867" s="78" t="s">
        <v>4782</v>
      </c>
      <c r="K867" s="22">
        <v>1.0</v>
      </c>
      <c r="L867" s="22">
        <f>+SUMIF('حركه المخزن الرئيسي اليوميه'!$F:$F,$H:$H,'حركه المخزن الرئيسي اليوميه'!$H:$H)</f>
        <v>0.0</v>
      </c>
      <c r="M867" s="22">
        <f>+SUMIF('حركه المخزن الرئيسي اليوميه'!$F:$F,$H:$H,'حركه المخزن الرئيسي اليوميه'!$I:$I)</f>
        <v>0.0</v>
      </c>
      <c r="N867" s="22">
        <f>+K867+L867-M867</f>
        <v>1.0</v>
      </c>
      <c r="O867" s="22">
        <f>+N867</f>
        <v>1.0</v>
      </c>
      <c r="P867" s="22">
        <f>+N867-O867</f>
        <v>0.0</v>
      </c>
      <c r="Q867" s="57"/>
      <c r="R867" s="58"/>
    </row>
    <row r="868" spans="8:8" ht="15.0" customHeight="1">
      <c r="B868" s="54">
        <v>967.0</v>
      </c>
      <c r="C868" s="8" t="s">
        <v>8351</v>
      </c>
      <c r="D868" s="8" t="s">
        <v>820</v>
      </c>
      <c r="E868" s="8" t="s">
        <v>1280</v>
      </c>
      <c r="F868" s="8" t="s">
        <v>68</v>
      </c>
      <c r="G868" s="8" t="s">
        <v>2251</v>
      </c>
      <c r="H868" s="8" t="s">
        <v>1280</v>
      </c>
      <c r="I868" s="8" t="s">
        <v>818</v>
      </c>
      <c r="J868" s="78" t="s">
        <v>4783</v>
      </c>
      <c r="K868" s="22">
        <v>0.0</v>
      </c>
      <c r="L868" s="22">
        <f>+SUMIF('حركه المخزن الرئيسي اليوميه'!$F:$F,$H:$H,'حركه المخزن الرئيسي اليوميه'!$H:$H)</f>
        <v>0.0</v>
      </c>
      <c r="M868" s="22">
        <f>+SUMIF('حركه المخزن الرئيسي اليوميه'!$F:$F,$H:$H,'حركه المخزن الرئيسي اليوميه'!$I:$I)</f>
        <v>0.0</v>
      </c>
      <c r="N868" s="22">
        <f>+K868+L868-M868</f>
        <v>0.0</v>
      </c>
      <c r="O868" s="22">
        <f>+N868</f>
        <v>0.0</v>
      </c>
      <c r="P868" s="22">
        <f>+N868-O868</f>
        <v>0.0</v>
      </c>
      <c r="Q868" s="57"/>
      <c r="R868" s="58"/>
    </row>
    <row r="869" spans="8:8" ht="15.0" customHeight="1">
      <c r="B869" s="54">
        <v>968.0</v>
      </c>
      <c r="C869" s="8" t="s">
        <v>8351</v>
      </c>
      <c r="D869" s="8" t="s">
        <v>820</v>
      </c>
      <c r="E869" s="8" t="s">
        <v>1279</v>
      </c>
      <c r="F869" s="8" t="s">
        <v>68</v>
      </c>
      <c r="G869" s="8" t="s">
        <v>2250</v>
      </c>
      <c r="H869" s="8" t="s">
        <v>1279</v>
      </c>
      <c r="I869" s="8" t="s">
        <v>818</v>
      </c>
      <c r="J869" s="78" t="s">
        <v>4784</v>
      </c>
      <c r="K869" s="22">
        <v>0.0</v>
      </c>
      <c r="L869" s="22">
        <f>+SUMIF('حركه المخزن الرئيسي اليوميه'!$F:$F,$H:$H,'حركه المخزن الرئيسي اليوميه'!$H:$H)</f>
        <v>0.0</v>
      </c>
      <c r="M869" s="22">
        <f>+SUMIF('حركه المخزن الرئيسي اليوميه'!$F:$F,$H:$H,'حركه المخزن الرئيسي اليوميه'!$I:$I)</f>
        <v>0.0</v>
      </c>
      <c r="N869" s="22">
        <f>+K869+L869-M869</f>
        <v>0.0</v>
      </c>
      <c r="O869" s="22">
        <f>+N869</f>
        <v>0.0</v>
      </c>
      <c r="P869" s="22">
        <f>+N869-O869</f>
        <v>0.0</v>
      </c>
      <c r="Q869" s="57"/>
      <c r="R869" s="58"/>
    </row>
    <row r="870" spans="8:8" ht="15.0" customHeight="1">
      <c r="B870" s="54">
        <v>969.0</v>
      </c>
      <c r="C870" s="8" t="s">
        <v>8351</v>
      </c>
      <c r="D870" s="8" t="s">
        <v>828</v>
      </c>
      <c r="E870" s="8" t="s">
        <v>1049</v>
      </c>
      <c r="F870" s="8" t="s">
        <v>1050</v>
      </c>
      <c r="G870" s="8" t="s">
        <v>2196</v>
      </c>
      <c r="H870" s="8" t="s">
        <v>1049</v>
      </c>
      <c r="I870" s="8" t="s">
        <v>818</v>
      </c>
      <c r="J870" s="78" t="s">
        <v>4785</v>
      </c>
      <c r="K870" s="22">
        <v>0.0</v>
      </c>
      <c r="L870" s="22">
        <f>+SUMIF('حركه المخزن الرئيسي اليوميه'!$F:$F,$H:$H,'حركه المخزن الرئيسي اليوميه'!$H:$H)</f>
        <v>0.0</v>
      </c>
      <c r="M870" s="22">
        <f>+SUMIF('حركه المخزن الرئيسي اليوميه'!$F:$F,$H:$H,'حركه المخزن الرئيسي اليوميه'!$I:$I)</f>
        <v>0.0</v>
      </c>
      <c r="N870" s="22">
        <f>+K870+L870-M870</f>
        <v>0.0</v>
      </c>
      <c r="O870" s="22">
        <f>+N870</f>
        <v>0.0</v>
      </c>
      <c r="P870" s="22">
        <f>+N870-O870</f>
        <v>0.0</v>
      </c>
      <c r="Q870" s="57"/>
      <c r="R870" s="58"/>
    </row>
    <row r="871" spans="8:8" ht="15.0" customHeight="1">
      <c r="B871" s="54">
        <v>972.0</v>
      </c>
      <c r="C871" s="8" t="s">
        <v>8351</v>
      </c>
      <c r="D871" s="8" t="s">
        <v>1405</v>
      </c>
      <c r="E871" s="8" t="s">
        <v>1404</v>
      </c>
      <c r="F871" s="8" t="s">
        <v>1199</v>
      </c>
      <c r="G871" s="8" t="s">
        <v>2371</v>
      </c>
      <c r="H871" s="8" t="s">
        <v>1224</v>
      </c>
      <c r="I871" s="8" t="s">
        <v>818</v>
      </c>
      <c r="J871" s="78" t="s">
        <v>4786</v>
      </c>
      <c r="K871" s="22">
        <v>0.0</v>
      </c>
      <c r="L871" s="22">
        <f>+SUMIF('حركه المخزن الرئيسي اليوميه'!$F:$F,$H:$H,'حركه المخزن الرئيسي اليوميه'!$H:$H)</f>
        <v>3400.0</v>
      </c>
      <c r="M871" s="22">
        <f>+SUMIF('حركه المخزن الرئيسي اليوميه'!$F:$F,$H:$H,'حركه المخزن الرئيسي اليوميه'!$I:$I)</f>
        <v>3400.0</v>
      </c>
      <c r="N871" s="22">
        <f>+K871+L871-M871</f>
        <v>0.0</v>
      </c>
      <c r="O871" s="22">
        <f>+N871</f>
        <v>0.0</v>
      </c>
      <c r="P871" s="22">
        <f>+N871-O871</f>
        <v>0.0</v>
      </c>
      <c r="Q871" s="57"/>
      <c r="R871" s="58"/>
    </row>
    <row r="872" spans="8:8" ht="15.0" customHeight="1">
      <c r="B872" s="54">
        <v>973.0</v>
      </c>
      <c r="C872" s="8" t="s">
        <v>8351</v>
      </c>
      <c r="D872" s="8" t="s">
        <v>820</v>
      </c>
      <c r="E872" s="8" t="s">
        <v>1225</v>
      </c>
      <c r="F872" s="8" t="s">
        <v>1199</v>
      </c>
      <c r="G872" s="8"/>
      <c r="H872" s="8" t="s">
        <v>1225</v>
      </c>
      <c r="I872" s="8" t="s">
        <v>818</v>
      </c>
      <c r="J872" s="78" t="s">
        <v>4787</v>
      </c>
      <c r="K872" s="22">
        <v>0.0</v>
      </c>
      <c r="L872" s="22">
        <f>+SUMIF('حركه المخزن الرئيسي اليوميه'!$F:$F,$H:$H,'حركه المخزن الرئيسي اليوميه'!$H:$H)</f>
        <v>0.0</v>
      </c>
      <c r="M872" s="22">
        <f>+SUMIF('حركه المخزن الرئيسي اليوميه'!$F:$F,$H:$H,'حركه المخزن الرئيسي اليوميه'!$I:$I)</f>
        <v>0.0</v>
      </c>
      <c r="N872" s="22">
        <f>+K872+L872-M872</f>
        <v>0.0</v>
      </c>
      <c r="O872" s="22">
        <f>+N872</f>
        <v>0.0</v>
      </c>
      <c r="P872" s="22">
        <f>+N872-O872</f>
        <v>0.0</v>
      </c>
      <c r="Q872" s="57"/>
      <c r="R872" s="58"/>
    </row>
    <row r="873" spans="8:8" ht="15.0" customHeight="1">
      <c r="B873" s="54">
        <v>974.0</v>
      </c>
      <c r="C873" s="8" t="s">
        <v>8351</v>
      </c>
      <c r="D873" s="8" t="s">
        <v>820</v>
      </c>
      <c r="E873" s="8" t="s">
        <v>1428</v>
      </c>
      <c r="F873" s="8" t="s">
        <v>68</v>
      </c>
      <c r="G873" s="8"/>
      <c r="H873" s="8" t="s">
        <v>1428</v>
      </c>
      <c r="I873" s="8" t="s">
        <v>818</v>
      </c>
      <c r="J873" s="78" t="s">
        <v>4788</v>
      </c>
      <c r="K873" s="22">
        <v>0.0</v>
      </c>
      <c r="L873" s="22">
        <f>+SUMIF('حركه المخزن الرئيسي اليوميه'!$F:$F,$H:$H,'حركه المخزن الرئيسي اليوميه'!$H:$H)</f>
        <v>0.0</v>
      </c>
      <c r="M873" s="22">
        <f>+SUMIF('حركه المخزن الرئيسي اليوميه'!$F:$F,$H:$H,'حركه المخزن الرئيسي اليوميه'!$I:$I)</f>
        <v>0.0</v>
      </c>
      <c r="N873" s="22">
        <f>+K873+L873-M873</f>
        <v>0.0</v>
      </c>
      <c r="O873" s="22">
        <f>+N873</f>
        <v>0.0</v>
      </c>
      <c r="P873" s="22">
        <f>+N873-O873</f>
        <v>0.0</v>
      </c>
      <c r="Q873" s="57"/>
      <c r="R873" s="58"/>
    </row>
    <row r="874" spans="8:8" ht="15.0" customHeight="1">
      <c r="B874" s="54">
        <v>975.0</v>
      </c>
      <c r="C874" s="8" t="s">
        <v>8351</v>
      </c>
      <c r="D874" s="8" t="s">
        <v>1013</v>
      </c>
      <c r="E874" s="8" t="s">
        <v>3194</v>
      </c>
      <c r="F874" s="8" t="s">
        <v>68</v>
      </c>
      <c r="G874" s="8" t="s">
        <v>2133</v>
      </c>
      <c r="H874" s="8" t="s">
        <v>3194</v>
      </c>
      <c r="I874" s="8" t="s">
        <v>818</v>
      </c>
      <c r="J874" s="78" t="s">
        <v>4789</v>
      </c>
      <c r="K874" s="22">
        <v>0.0</v>
      </c>
      <c r="L874" s="22">
        <f>+SUMIF('حركه المخزن الرئيسي اليوميه'!$F:$F,$H:$H,'حركه المخزن الرئيسي اليوميه'!$H:$H)</f>
        <v>0.0</v>
      </c>
      <c r="M874" s="22">
        <f>+SUMIF('حركه المخزن الرئيسي اليوميه'!$F:$F,$H:$H,'حركه المخزن الرئيسي اليوميه'!$I:$I)</f>
        <v>0.0</v>
      </c>
      <c r="N874" s="22">
        <f>+K874+L874-M874</f>
        <v>0.0</v>
      </c>
      <c r="O874" s="22">
        <f>+N874</f>
        <v>0.0</v>
      </c>
      <c r="P874" s="22">
        <f>+N874-O874</f>
        <v>0.0</v>
      </c>
      <c r="Q874" s="57"/>
      <c r="R874" s="58"/>
    </row>
    <row r="875" spans="8:8" ht="15.0" customHeight="1">
      <c r="B875" s="54">
        <v>976.0</v>
      </c>
      <c r="C875" s="8" t="s">
        <v>8351</v>
      </c>
      <c r="D875" s="8" t="s">
        <v>816</v>
      </c>
      <c r="E875" s="8" t="s">
        <v>69</v>
      </c>
      <c r="F875" s="8" t="s">
        <v>67</v>
      </c>
      <c r="G875" s="8" t="s">
        <v>2158</v>
      </c>
      <c r="H875" s="8" t="s">
        <v>602</v>
      </c>
      <c r="I875" s="8" t="s">
        <v>8149</v>
      </c>
      <c r="J875" s="78" t="s">
        <v>4790</v>
      </c>
      <c r="K875" s="22">
        <v>171.0</v>
      </c>
      <c r="L875" s="22">
        <f>+SUMIF('حركه المخزن الرئيسي اليوميه'!$F:$F,$H:$H,'حركه المخزن الرئيسي اليوميه'!$H:$H)</f>
        <v>0.0</v>
      </c>
      <c r="M875" s="22">
        <f>+SUMIF('حركه المخزن الرئيسي اليوميه'!$F:$F,$H:$H,'حركه المخزن الرئيسي اليوميه'!$I:$I)</f>
        <v>5.0</v>
      </c>
      <c r="N875" s="22">
        <f>+K875+L875-M875</f>
        <v>166.0</v>
      </c>
      <c r="O875" s="22">
        <f>+N875</f>
        <v>166.0</v>
      </c>
      <c r="P875" s="22">
        <f>+N875-O875</f>
        <v>0.0</v>
      </c>
      <c r="Q875" s="57"/>
      <c r="R875" s="58"/>
    </row>
    <row r="876" spans="8:8" ht="15.0" customHeight="1">
      <c r="B876" s="54">
        <v>977.0</v>
      </c>
      <c r="C876" s="8" t="s">
        <v>8351</v>
      </c>
      <c r="D876" s="8" t="s">
        <v>820</v>
      </c>
      <c r="E876" s="8" t="s">
        <v>1223</v>
      </c>
      <c r="F876" s="8" t="s">
        <v>68</v>
      </c>
      <c r="G876" s="8"/>
      <c r="H876" s="8" t="s">
        <v>1223</v>
      </c>
      <c r="I876" s="8" t="s">
        <v>818</v>
      </c>
      <c r="J876" s="78" t="s">
        <v>4791</v>
      </c>
      <c r="K876" s="22">
        <v>0.0</v>
      </c>
      <c r="L876" s="22">
        <f>+SUMIF('حركه المخزن الرئيسي اليوميه'!$F:$F,$H:$H,'حركه المخزن الرئيسي اليوميه'!$H:$H)</f>
        <v>0.0</v>
      </c>
      <c r="M876" s="22">
        <f>+SUMIF('حركه المخزن الرئيسي اليوميه'!$F:$F,$H:$H,'حركه المخزن الرئيسي اليوميه'!$I:$I)</f>
        <v>0.0</v>
      </c>
      <c r="N876" s="22">
        <f>+K876+L876-M876</f>
        <v>0.0</v>
      </c>
      <c r="O876" s="22">
        <f>+N876</f>
        <v>0.0</v>
      </c>
      <c r="P876" s="22">
        <f>+N876-O876</f>
        <v>0.0</v>
      </c>
      <c r="Q876" s="57"/>
      <c r="R876" s="58"/>
    </row>
    <row r="877" spans="8:8" ht="15.0" customHeight="1">
      <c r="B877" s="54">
        <v>978.0</v>
      </c>
      <c r="C877" s="8" t="s">
        <v>8351</v>
      </c>
      <c r="D877" s="8" t="s">
        <v>820</v>
      </c>
      <c r="E877" s="8" t="s">
        <v>1222</v>
      </c>
      <c r="F877" s="8" t="s">
        <v>68</v>
      </c>
      <c r="G877" s="8"/>
      <c r="H877" s="8" t="s">
        <v>1222</v>
      </c>
      <c r="I877" s="8" t="s">
        <v>818</v>
      </c>
      <c r="J877" s="78" t="s">
        <v>4792</v>
      </c>
      <c r="K877" s="22">
        <v>0.0</v>
      </c>
      <c r="L877" s="22">
        <f>+SUMIF('حركه المخزن الرئيسي اليوميه'!$F:$F,$H:$H,'حركه المخزن الرئيسي اليوميه'!$H:$H)</f>
        <v>0.0</v>
      </c>
      <c r="M877" s="22">
        <f>+SUMIF('حركه المخزن الرئيسي اليوميه'!$F:$F,$H:$H,'حركه المخزن الرئيسي اليوميه'!$I:$I)</f>
        <v>0.0</v>
      </c>
      <c r="N877" s="22">
        <f>+K877+L877-M877</f>
        <v>0.0</v>
      </c>
      <c r="O877" s="22">
        <f>+N877</f>
        <v>0.0</v>
      </c>
      <c r="P877" s="22">
        <f>+N877-O877</f>
        <v>0.0</v>
      </c>
      <c r="Q877" s="57"/>
      <c r="R877" s="58"/>
    </row>
    <row r="878" spans="8:8" ht="15.0" customHeight="1">
      <c r="B878" s="54">
        <v>979.0</v>
      </c>
      <c r="C878" s="8" t="s">
        <v>8351</v>
      </c>
      <c r="D878" s="8" t="s">
        <v>1013</v>
      </c>
      <c r="E878" s="8" t="s">
        <v>1332</v>
      </c>
      <c r="F878" s="8" t="s">
        <v>68</v>
      </c>
      <c r="G878" s="8" t="s">
        <v>1911</v>
      </c>
      <c r="H878" s="8" t="s">
        <v>1332</v>
      </c>
      <c r="I878" s="8" t="s">
        <v>818</v>
      </c>
      <c r="J878" s="78" t="s">
        <v>4793</v>
      </c>
      <c r="K878" s="22">
        <v>0.0</v>
      </c>
      <c r="L878" s="22">
        <f>+SUMIF('حركه المخزن الرئيسي اليوميه'!$F:$F,$H:$H,'حركه المخزن الرئيسي اليوميه'!$H:$H)</f>
        <v>0.0</v>
      </c>
      <c r="M878" s="22">
        <f>+SUMIF('حركه المخزن الرئيسي اليوميه'!$F:$F,$H:$H,'حركه المخزن الرئيسي اليوميه'!$I:$I)</f>
        <v>0.0</v>
      </c>
      <c r="N878" s="22">
        <f>+K878+L878-M878</f>
        <v>0.0</v>
      </c>
      <c r="O878" s="22">
        <f>+N878</f>
        <v>0.0</v>
      </c>
      <c r="P878" s="22">
        <f>+N878-O878</f>
        <v>0.0</v>
      </c>
      <c r="Q878" s="57"/>
      <c r="R878" s="58"/>
    </row>
    <row r="879" spans="8:8" ht="15.0" customHeight="1">
      <c r="B879" s="54">
        <v>980.0</v>
      </c>
      <c r="C879" s="8" t="s">
        <v>8351</v>
      </c>
      <c r="D879" s="8" t="s">
        <v>568</v>
      </c>
      <c r="E879" s="8" t="s">
        <v>1340</v>
      </c>
      <c r="F879" s="8" t="s">
        <v>68</v>
      </c>
      <c r="G879" s="8" t="s">
        <v>2059</v>
      </c>
      <c r="H879" s="8" t="s">
        <v>3108</v>
      </c>
      <c r="I879" s="8" t="s">
        <v>8110</v>
      </c>
      <c r="J879" s="78" t="s">
        <v>4794</v>
      </c>
      <c r="K879" s="22">
        <v>2.0</v>
      </c>
      <c r="L879" s="22">
        <f>+SUMIF('حركه المخزن الرئيسي اليوميه'!$F:$F,$H:$H,'حركه المخزن الرئيسي اليوميه'!$H:$H)</f>
        <v>0.0</v>
      </c>
      <c r="M879" s="22">
        <f>+SUMIF('حركه المخزن الرئيسي اليوميه'!$F:$F,$H:$H,'حركه المخزن الرئيسي اليوميه'!$I:$I)</f>
        <v>0.0</v>
      </c>
      <c r="N879" s="22">
        <f>+K879+L879-M879</f>
        <v>2.0</v>
      </c>
      <c r="O879" s="22">
        <f>+N879</f>
        <v>2.0</v>
      </c>
      <c r="P879" s="22">
        <f>+N879-O879</f>
        <v>0.0</v>
      </c>
      <c r="Q879" s="57"/>
      <c r="R879" s="58"/>
    </row>
    <row r="880" spans="8:8" ht="15.0" customHeight="1">
      <c r="B880" s="54">
        <v>981.0</v>
      </c>
      <c r="C880" s="8" t="s">
        <v>8351</v>
      </c>
      <c r="D880" s="8" t="s">
        <v>1013</v>
      </c>
      <c r="E880" s="8" t="s">
        <v>2564</v>
      </c>
      <c r="F880" s="8" t="s">
        <v>68</v>
      </c>
      <c r="G880" s="8" t="s">
        <v>2048</v>
      </c>
      <c r="H880" s="8" t="s">
        <v>2564</v>
      </c>
      <c r="I880" s="8" t="s">
        <v>8101</v>
      </c>
      <c r="J880" s="78" t="s">
        <v>4795</v>
      </c>
      <c r="K880" s="22">
        <v>26.0</v>
      </c>
      <c r="L880" s="22">
        <f>+SUMIF('حركه المخزن الرئيسي اليوميه'!$F:$F,$H:$H,'حركه المخزن الرئيسي اليوميه'!$H:$H)</f>
        <v>0.0</v>
      </c>
      <c r="M880" s="22">
        <f>+SUMIF('حركه المخزن الرئيسي اليوميه'!$F:$F,$H:$H,'حركه المخزن الرئيسي اليوميه'!$I:$I)</f>
        <v>0.0</v>
      </c>
      <c r="N880" s="22">
        <f>+K880+L880-M880</f>
        <v>26.0</v>
      </c>
      <c r="O880" s="22">
        <f>+N880</f>
        <v>26.0</v>
      </c>
      <c r="P880" s="22">
        <f>+N880-O880</f>
        <v>0.0</v>
      </c>
      <c r="Q880" s="57"/>
      <c r="R880" s="58"/>
    </row>
    <row r="881" spans="8:8" ht="15.0" customHeight="1">
      <c r="B881" s="54">
        <v>983.0</v>
      </c>
      <c r="C881" s="8" t="s">
        <v>8351</v>
      </c>
      <c r="D881" s="8" t="s">
        <v>1013</v>
      </c>
      <c r="E881" s="8" t="s">
        <v>1863</v>
      </c>
      <c r="F881" s="8" t="s">
        <v>1501</v>
      </c>
      <c r="G881" s="8" t="s">
        <v>2481</v>
      </c>
      <c r="H881" s="8" t="s">
        <v>1868</v>
      </c>
      <c r="I881" s="8" t="s">
        <v>349</v>
      </c>
      <c r="J881" s="78" t="s">
        <v>4796</v>
      </c>
      <c r="K881" s="22">
        <v>101.0</v>
      </c>
      <c r="L881" s="22">
        <f>+SUMIF('حركه المخزن الرئيسي اليوميه'!$F:$F,$H:$H,'حركه المخزن الرئيسي اليوميه'!$H:$H)</f>
        <v>0.0</v>
      </c>
      <c r="M881" s="22">
        <f>+SUMIF('حركه المخزن الرئيسي اليوميه'!$F:$F,$H:$H,'حركه المخزن الرئيسي اليوميه'!$I:$I)</f>
        <v>0.0</v>
      </c>
      <c r="N881" s="22">
        <f>+K881+L881-M881</f>
        <v>101.0</v>
      </c>
      <c r="O881" s="22">
        <f>+N881</f>
        <v>101.0</v>
      </c>
      <c r="P881" s="22">
        <f>+N881-O881</f>
        <v>0.0</v>
      </c>
      <c r="Q881" s="57"/>
      <c r="R881" s="58"/>
    </row>
    <row r="882" spans="8:8" ht="15.0" customHeight="1">
      <c r="B882" s="54">
        <v>984.0</v>
      </c>
      <c r="C882" s="8" t="s">
        <v>8351</v>
      </c>
      <c r="D882" s="8" t="s">
        <v>1013</v>
      </c>
      <c r="E882" s="8" t="s">
        <v>1863</v>
      </c>
      <c r="F882" s="8" t="s">
        <v>1501</v>
      </c>
      <c r="G882" s="8" t="s">
        <v>2479</v>
      </c>
      <c r="H882" s="8" t="s">
        <v>1865</v>
      </c>
      <c r="I882" s="8" t="s">
        <v>375</v>
      </c>
      <c r="J882" s="78" t="s">
        <v>4797</v>
      </c>
      <c r="K882" s="22">
        <v>176.0</v>
      </c>
      <c r="L882" s="22">
        <f>+SUMIF('حركه المخزن الرئيسي اليوميه'!$F:$F,$H:$H,'حركه المخزن الرئيسي اليوميه'!$H:$H)</f>
        <v>0.0</v>
      </c>
      <c r="M882" s="22">
        <f>+SUMIF('حركه المخزن الرئيسي اليوميه'!$F:$F,$H:$H,'حركه المخزن الرئيسي اليوميه'!$I:$I)</f>
        <v>0.0</v>
      </c>
      <c r="N882" s="22">
        <f>+K882+L882-M882</f>
        <v>176.0</v>
      </c>
      <c r="O882" s="22">
        <f>+N882</f>
        <v>176.0</v>
      </c>
      <c r="P882" s="22">
        <f>+N882-O882</f>
        <v>0.0</v>
      </c>
      <c r="Q882" s="57"/>
      <c r="R882" s="58"/>
    </row>
    <row r="883" spans="8:8" ht="15.0" customHeight="1">
      <c r="B883" s="54">
        <v>985.0</v>
      </c>
      <c r="C883" s="8" t="s">
        <v>8351</v>
      </c>
      <c r="D883" s="8" t="s">
        <v>1013</v>
      </c>
      <c r="E883" s="8" t="s">
        <v>1863</v>
      </c>
      <c r="F883" s="8" t="s">
        <v>1501</v>
      </c>
      <c r="G883" s="8" t="s">
        <v>2480</v>
      </c>
      <c r="H883" s="8" t="s">
        <v>1866</v>
      </c>
      <c r="I883" s="8" t="s">
        <v>371</v>
      </c>
      <c r="J883" s="78" t="s">
        <v>4798</v>
      </c>
      <c r="K883" s="22">
        <v>307.0</v>
      </c>
      <c r="L883" s="22">
        <f>+SUMIF('حركه المخزن الرئيسي اليوميه'!$F:$F,$H:$H,'حركه المخزن الرئيسي اليوميه'!$H:$H)</f>
        <v>0.0</v>
      </c>
      <c r="M883" s="22">
        <f>+SUMIF('حركه المخزن الرئيسي اليوميه'!$F:$F,$H:$H,'حركه المخزن الرئيسي اليوميه'!$I:$I)</f>
        <v>8.0</v>
      </c>
      <c r="N883" s="22">
        <f>+K883+L883-M883</f>
        <v>299.0</v>
      </c>
      <c r="O883" s="22">
        <f>+N883</f>
        <v>299.0</v>
      </c>
      <c r="P883" s="22">
        <f>+N883-O883</f>
        <v>0.0</v>
      </c>
      <c r="Q883" s="57"/>
      <c r="R883" s="58"/>
    </row>
    <row r="884" spans="8:8" ht="15.0" customHeight="1">
      <c r="B884" s="54">
        <v>987.0</v>
      </c>
      <c r="C884" s="8" t="s">
        <v>8351</v>
      </c>
      <c r="D884" s="8" t="s">
        <v>820</v>
      </c>
      <c r="E884" s="8" t="s">
        <v>2693</v>
      </c>
      <c r="F884" s="8" t="s">
        <v>68</v>
      </c>
      <c r="G884" s="8"/>
      <c r="H884" s="8" t="s">
        <v>2693</v>
      </c>
      <c r="I884" s="8" t="s">
        <v>8193</v>
      </c>
      <c r="J884" s="78" t="s">
        <v>4799</v>
      </c>
      <c r="K884" s="22">
        <v>5.0</v>
      </c>
      <c r="L884" s="22">
        <f>+SUMIF('حركه المخزن الرئيسي اليوميه'!$F:$F,$H:$H,'حركه المخزن الرئيسي اليوميه'!$H:$H)</f>
        <v>0.0</v>
      </c>
      <c r="M884" s="22">
        <f>+SUMIF('حركه المخزن الرئيسي اليوميه'!$F:$F,$H:$H,'حركه المخزن الرئيسي اليوميه'!$I:$I)</f>
        <v>0.0</v>
      </c>
      <c r="N884" s="22">
        <f>+K884+L884-M884</f>
        <v>5.0</v>
      </c>
      <c r="O884" s="22">
        <f>+N884</f>
        <v>5.0</v>
      </c>
      <c r="P884" s="22">
        <f>+N884-O884</f>
        <v>0.0</v>
      </c>
      <c r="Q884" s="57"/>
      <c r="R884" s="58"/>
    </row>
    <row r="885" spans="8:8" ht="15.0" customHeight="1">
      <c r="B885" s="54">
        <v>988.0</v>
      </c>
      <c r="C885" s="8" t="s">
        <v>8351</v>
      </c>
      <c r="D885" s="8" t="s">
        <v>820</v>
      </c>
      <c r="E885" s="8" t="s">
        <v>1395</v>
      </c>
      <c r="F885" s="8" t="s">
        <v>68</v>
      </c>
      <c r="G885" s="8"/>
      <c r="H885" s="8" t="s">
        <v>1395</v>
      </c>
      <c r="I885" s="8" t="s">
        <v>767</v>
      </c>
      <c r="J885" s="78" t="s">
        <v>4800</v>
      </c>
      <c r="K885" s="22">
        <v>1.0</v>
      </c>
      <c r="L885" s="22">
        <f>+SUMIF('حركه المخزن الرئيسي اليوميه'!$F:$F,$H:$H,'حركه المخزن الرئيسي اليوميه'!$H:$H)</f>
        <v>0.0</v>
      </c>
      <c r="M885" s="22">
        <f>+SUMIF('حركه المخزن الرئيسي اليوميه'!$F:$F,$H:$H,'حركه المخزن الرئيسي اليوميه'!$I:$I)</f>
        <v>0.0</v>
      </c>
      <c r="N885" s="22">
        <f>+K885+L885-M885</f>
        <v>1.0</v>
      </c>
      <c r="O885" s="22">
        <f>+N885</f>
        <v>1.0</v>
      </c>
      <c r="P885" s="22">
        <f>+N885-O885</f>
        <v>0.0</v>
      </c>
      <c r="Q885" s="57"/>
      <c r="R885" s="58"/>
    </row>
    <row r="886" spans="8:8" ht="15.0" customHeight="1">
      <c r="B886" s="54">
        <v>989.0</v>
      </c>
      <c r="C886" s="8" t="s">
        <v>8351</v>
      </c>
      <c r="D886" s="8" t="s">
        <v>1018</v>
      </c>
      <c r="E886" s="8" t="s">
        <v>3869</v>
      </c>
      <c r="F886" s="8" t="s">
        <v>68</v>
      </c>
      <c r="G886" s="8" t="s">
        <v>2454</v>
      </c>
      <c r="H886" s="8" t="s">
        <v>3654</v>
      </c>
      <c r="I886" s="8" t="s">
        <v>818</v>
      </c>
      <c r="J886" s="78" t="s">
        <v>4801</v>
      </c>
      <c r="K886" s="22">
        <v>0.0</v>
      </c>
      <c r="L886" s="22">
        <f>+SUMIF('حركه المخزن الرئيسي اليوميه'!$F:$F,$H:$H,'حركه المخزن الرئيسي اليوميه'!$H:$H)</f>
        <v>0.0</v>
      </c>
      <c r="M886" s="22">
        <f>+SUMIF('حركه المخزن الرئيسي اليوميه'!$F:$F,$H:$H,'حركه المخزن الرئيسي اليوميه'!$I:$I)</f>
        <v>0.0</v>
      </c>
      <c r="N886" s="22">
        <f>+K886+L886-M886</f>
        <v>0.0</v>
      </c>
      <c r="O886" s="22">
        <f>+N886</f>
        <v>0.0</v>
      </c>
      <c r="P886" s="22">
        <f>+N886-O886</f>
        <v>0.0</v>
      </c>
      <c r="Q886" s="57"/>
      <c r="R886" s="58"/>
    </row>
    <row r="887" spans="8:8" ht="15.0" customHeight="1">
      <c r="B887" s="54">
        <v>990.0</v>
      </c>
      <c r="C887" s="8" t="s">
        <v>8351</v>
      </c>
      <c r="D887" s="8" t="s">
        <v>820</v>
      </c>
      <c r="E887" s="8" t="s">
        <v>851</v>
      </c>
      <c r="F887" s="8" t="s">
        <v>68</v>
      </c>
      <c r="G887" s="8" t="s">
        <v>2395</v>
      </c>
      <c r="H887" s="8" t="s">
        <v>851</v>
      </c>
      <c r="I887" s="8" t="s">
        <v>818</v>
      </c>
      <c r="J887" s="78" t="s">
        <v>4802</v>
      </c>
      <c r="K887" s="22">
        <v>0.0</v>
      </c>
      <c r="L887" s="22">
        <f>+SUMIF('حركه المخزن الرئيسي اليوميه'!$F:$F,$H:$H,'حركه المخزن الرئيسي اليوميه'!$H:$H)</f>
        <v>0.0</v>
      </c>
      <c r="M887" s="22">
        <f>+SUMIF('حركه المخزن الرئيسي اليوميه'!$F:$F,$H:$H,'حركه المخزن الرئيسي اليوميه'!$I:$I)</f>
        <v>0.0</v>
      </c>
      <c r="N887" s="22">
        <f>+K887+L887-M887</f>
        <v>0.0</v>
      </c>
      <c r="O887" s="22">
        <f>+N887</f>
        <v>0.0</v>
      </c>
      <c r="P887" s="22">
        <f>+N887-O887</f>
        <v>0.0</v>
      </c>
      <c r="Q887" s="57"/>
      <c r="R887" s="58"/>
    </row>
    <row r="888" spans="8:8" ht="15.0" customHeight="1">
      <c r="B888" s="54">
        <v>991.0</v>
      </c>
      <c r="C888" s="8" t="s">
        <v>8351</v>
      </c>
      <c r="D888" s="8" t="s">
        <v>1013</v>
      </c>
      <c r="E888" s="8" t="s">
        <v>392</v>
      </c>
      <c r="F888" s="8" t="s">
        <v>68</v>
      </c>
      <c r="G888" s="8" t="s">
        <v>2131</v>
      </c>
      <c r="H888" s="8" t="s">
        <v>2749</v>
      </c>
      <c r="I888" s="8" t="s">
        <v>8101</v>
      </c>
      <c r="J888" s="78" t="s">
        <v>4803</v>
      </c>
      <c r="K888" s="22">
        <v>114.0</v>
      </c>
      <c r="L888" s="22">
        <f>+SUMIF('حركه المخزن الرئيسي اليوميه'!$F:$F,$H:$H,'حركه المخزن الرئيسي اليوميه'!$H:$H)</f>
        <v>0.0</v>
      </c>
      <c r="M888" s="22">
        <f>+SUMIF('حركه المخزن الرئيسي اليوميه'!$F:$F,$H:$H,'حركه المخزن الرئيسي اليوميه'!$I:$I)</f>
        <v>0.0</v>
      </c>
      <c r="N888" s="22">
        <f>+K888+L888-M888</f>
        <v>114.0</v>
      </c>
      <c r="O888" s="22">
        <f>+N888</f>
        <v>114.0</v>
      </c>
      <c r="P888" s="22">
        <f>+N888-O888</f>
        <v>0.0</v>
      </c>
      <c r="Q888" s="57"/>
      <c r="R888" s="58"/>
    </row>
    <row r="889" spans="8:8" ht="15.0" customHeight="1">
      <c r="B889" s="54">
        <v>992.0</v>
      </c>
      <c r="C889" s="8" t="s">
        <v>8351</v>
      </c>
      <c r="D889" s="8" t="s">
        <v>820</v>
      </c>
      <c r="E889" s="8" t="s">
        <v>1157</v>
      </c>
      <c r="F889" s="8" t="s">
        <v>1158</v>
      </c>
      <c r="G889" s="8"/>
      <c r="H889" s="8" t="s">
        <v>1157</v>
      </c>
      <c r="I889" s="8" t="s">
        <v>3289</v>
      </c>
      <c r="J889" s="78" t="s">
        <v>4804</v>
      </c>
      <c r="K889" s="22">
        <v>0.0</v>
      </c>
      <c r="L889" s="22">
        <f>+SUMIF('حركه المخزن الرئيسي اليوميه'!$F:$F,$H:$H,'حركه المخزن الرئيسي اليوميه'!$H:$H)</f>
        <v>0.0</v>
      </c>
      <c r="M889" s="22">
        <f>+SUMIF('حركه المخزن الرئيسي اليوميه'!$F:$F,$H:$H,'حركه المخزن الرئيسي اليوميه'!$I:$I)</f>
        <v>0.0</v>
      </c>
      <c r="N889" s="22">
        <f>+K889+L889-M889</f>
        <v>0.0</v>
      </c>
      <c r="O889" s="22">
        <f>+N889</f>
        <v>0.0</v>
      </c>
      <c r="P889" s="22">
        <f>+N889-O889</f>
        <v>0.0</v>
      </c>
      <c r="Q889" s="57"/>
      <c r="R889" s="58"/>
    </row>
    <row r="890" spans="8:8" ht="15.0" customHeight="1">
      <c r="B890" s="54">
        <v>993.0</v>
      </c>
      <c r="C890" s="8" t="s">
        <v>8351</v>
      </c>
      <c r="D890" s="8" t="s">
        <v>1013</v>
      </c>
      <c r="E890" s="8" t="s">
        <v>1554</v>
      </c>
      <c r="F890" s="8" t="s">
        <v>1501</v>
      </c>
      <c r="G890" s="8" t="s">
        <v>2291</v>
      </c>
      <c r="H890" s="8" t="s">
        <v>1554</v>
      </c>
      <c r="I890" s="8" t="s">
        <v>818</v>
      </c>
      <c r="J890" s="78" t="s">
        <v>4805</v>
      </c>
      <c r="K890" s="22">
        <v>0.0</v>
      </c>
      <c r="L890" s="22">
        <f>+SUMIF('حركه المخزن الرئيسي اليوميه'!$F:$F,$H:$H,'حركه المخزن الرئيسي اليوميه'!$H:$H)</f>
        <v>0.0</v>
      </c>
      <c r="M890" s="22">
        <f>+SUMIF('حركه المخزن الرئيسي اليوميه'!$F:$F,$H:$H,'حركه المخزن الرئيسي اليوميه'!$I:$I)</f>
        <v>0.0</v>
      </c>
      <c r="N890" s="22">
        <f>+K890+L890-M890</f>
        <v>0.0</v>
      </c>
      <c r="O890" s="22">
        <f>+N890</f>
        <v>0.0</v>
      </c>
      <c r="P890" s="22">
        <f>+N890-O890</f>
        <v>0.0</v>
      </c>
      <c r="Q890" s="57"/>
      <c r="R890" s="58"/>
    </row>
    <row r="891" spans="8:8" ht="15.0" customHeight="1">
      <c r="B891" s="54">
        <v>994.0</v>
      </c>
      <c r="C891" s="8" t="s">
        <v>8351</v>
      </c>
      <c r="D891" s="8" t="s">
        <v>1018</v>
      </c>
      <c r="E891" s="8" t="s">
        <v>2507</v>
      </c>
      <c r="F891" s="8" t="s">
        <v>68</v>
      </c>
      <c r="G891" s="8"/>
      <c r="H891" s="8" t="s">
        <v>2507</v>
      </c>
      <c r="I891" s="8" t="s">
        <v>224</v>
      </c>
      <c r="J891" s="78" t="s">
        <v>4806</v>
      </c>
      <c r="K891" s="22">
        <v>6.0</v>
      </c>
      <c r="L891" s="22">
        <f>+SUMIF('حركه المخزن الرئيسي اليوميه'!$F:$F,$H:$H,'حركه المخزن الرئيسي اليوميه'!$H:$H)</f>
        <v>0.0</v>
      </c>
      <c r="M891" s="22">
        <f>+SUMIF('حركه المخزن الرئيسي اليوميه'!$F:$F,$H:$H,'حركه المخزن الرئيسي اليوميه'!$I:$I)</f>
        <v>1.0</v>
      </c>
      <c r="N891" s="22">
        <f>+K891+L891-M891</f>
        <v>5.0</v>
      </c>
      <c r="O891" s="22">
        <f>+N891</f>
        <v>5.0</v>
      </c>
      <c r="P891" s="22">
        <f>+N891-O891</f>
        <v>0.0</v>
      </c>
      <c r="Q891" s="57"/>
      <c r="R891" s="58"/>
    </row>
    <row r="892" spans="8:8" ht="15.0" customHeight="1">
      <c r="B892" s="54">
        <v>995.0</v>
      </c>
      <c r="C892" s="8" t="s">
        <v>8351</v>
      </c>
      <c r="D892" s="8" t="s">
        <v>820</v>
      </c>
      <c r="E892" s="8" t="s">
        <v>1388</v>
      </c>
      <c r="F892" s="8" t="s">
        <v>68</v>
      </c>
      <c r="G892" s="8"/>
      <c r="H892" s="8" t="s">
        <v>1388</v>
      </c>
      <c r="I892" s="8" t="s">
        <v>818</v>
      </c>
      <c r="J892" s="78" t="s">
        <v>4807</v>
      </c>
      <c r="K892" s="22">
        <v>1.0</v>
      </c>
      <c r="L892" s="22">
        <f>+SUMIF('حركه المخزن الرئيسي اليوميه'!$F:$F,$H:$H,'حركه المخزن الرئيسي اليوميه'!$H:$H)</f>
        <v>0.0</v>
      </c>
      <c r="M892" s="22">
        <f>+SUMIF('حركه المخزن الرئيسي اليوميه'!$F:$F,$H:$H,'حركه المخزن الرئيسي اليوميه'!$I:$I)</f>
        <v>0.0</v>
      </c>
      <c r="N892" s="22">
        <f>+K892+L892-M892</f>
        <v>1.0</v>
      </c>
      <c r="O892" s="22">
        <f>+N892</f>
        <v>1.0</v>
      </c>
      <c r="P892" s="22">
        <f>+N892-O892</f>
        <v>0.0</v>
      </c>
      <c r="Q892" s="57"/>
      <c r="R892" s="58"/>
    </row>
    <row r="893" spans="8:8" ht="15.0" customHeight="1">
      <c r="B893" s="54">
        <v>996.0</v>
      </c>
      <c r="C893" s="8" t="s">
        <v>8351</v>
      </c>
      <c r="D893" s="8" t="s">
        <v>1013</v>
      </c>
      <c r="E893" s="8" t="s">
        <v>1375</v>
      </c>
      <c r="F893" s="8" t="s">
        <v>68</v>
      </c>
      <c r="G893" s="8"/>
      <c r="H893" s="8" t="s">
        <v>1375</v>
      </c>
      <c r="I893" s="8" t="s">
        <v>818</v>
      </c>
      <c r="J893" s="78" t="s">
        <v>4808</v>
      </c>
      <c r="K893" s="22">
        <v>0.0</v>
      </c>
      <c r="L893" s="22">
        <f>+SUMIF('حركه المخزن الرئيسي اليوميه'!$F:$F,$H:$H,'حركه المخزن الرئيسي اليوميه'!$H:$H)</f>
        <v>0.0</v>
      </c>
      <c r="M893" s="22">
        <f>+SUMIF('حركه المخزن الرئيسي اليوميه'!$F:$F,$H:$H,'حركه المخزن الرئيسي اليوميه'!$I:$I)</f>
        <v>0.0</v>
      </c>
      <c r="N893" s="22">
        <f>+K893+L893-M893</f>
        <v>0.0</v>
      </c>
      <c r="O893" s="22">
        <f>+N893</f>
        <v>0.0</v>
      </c>
      <c r="P893" s="22">
        <f>+N893-O893</f>
        <v>0.0</v>
      </c>
      <c r="Q893" s="57"/>
      <c r="R893" s="58"/>
    </row>
    <row r="894" spans="8:8" ht="15.0" customHeight="1">
      <c r="B894" s="54">
        <v>997.0</v>
      </c>
      <c r="C894" s="8" t="s">
        <v>8351</v>
      </c>
      <c r="D894" s="8" t="s">
        <v>820</v>
      </c>
      <c r="E894" s="8" t="s">
        <v>1439</v>
      </c>
      <c r="F894" s="8" t="s">
        <v>68</v>
      </c>
      <c r="G894" s="8" t="s">
        <v>2275</v>
      </c>
      <c r="H894" s="8" t="s">
        <v>1439</v>
      </c>
      <c r="I894" s="8" t="s">
        <v>818</v>
      </c>
      <c r="J894" s="78" t="s">
        <v>4809</v>
      </c>
      <c r="K894" s="22">
        <v>0.0</v>
      </c>
      <c r="L894" s="22">
        <f>+SUMIF('حركه المخزن الرئيسي اليوميه'!$F:$F,$H:$H,'حركه المخزن الرئيسي اليوميه'!$H:$H)</f>
        <v>0.0</v>
      </c>
      <c r="M894" s="22">
        <f>+SUMIF('حركه المخزن الرئيسي اليوميه'!$F:$F,$H:$H,'حركه المخزن الرئيسي اليوميه'!$I:$I)</f>
        <v>0.0</v>
      </c>
      <c r="N894" s="22">
        <f>+K894+L894-M894</f>
        <v>0.0</v>
      </c>
      <c r="O894" s="22">
        <f>+N894</f>
        <v>0.0</v>
      </c>
      <c r="P894" s="22">
        <f>+N894-O894</f>
        <v>0.0</v>
      </c>
      <c r="Q894" s="57"/>
      <c r="R894" s="58"/>
    </row>
    <row r="895" spans="8:8" ht="15.0" customHeight="1">
      <c r="B895" s="54">
        <v>998.0</v>
      </c>
      <c r="C895" s="8" t="s">
        <v>8351</v>
      </c>
      <c r="D895" s="8" t="s">
        <v>820</v>
      </c>
      <c r="E895" s="8" t="s">
        <v>1202</v>
      </c>
      <c r="F895" s="8" t="s">
        <v>68</v>
      </c>
      <c r="G895" s="8"/>
      <c r="H895" s="8" t="s">
        <v>1202</v>
      </c>
      <c r="I895" s="8" t="s">
        <v>818</v>
      </c>
      <c r="J895" s="78" t="s">
        <v>4810</v>
      </c>
      <c r="K895" s="22">
        <v>0.0</v>
      </c>
      <c r="L895" s="22">
        <f>+SUMIF('حركه المخزن الرئيسي اليوميه'!$F:$F,$H:$H,'حركه المخزن الرئيسي اليوميه'!$H:$H)</f>
        <v>0.0</v>
      </c>
      <c r="M895" s="22">
        <f>+SUMIF('حركه المخزن الرئيسي اليوميه'!$F:$F,$H:$H,'حركه المخزن الرئيسي اليوميه'!$I:$I)</f>
        <v>0.0</v>
      </c>
      <c r="N895" s="22">
        <f>+K895+L895-M895</f>
        <v>0.0</v>
      </c>
      <c r="O895" s="22">
        <f>+N895</f>
        <v>0.0</v>
      </c>
      <c r="P895" s="22">
        <f>+N895-O895</f>
        <v>0.0</v>
      </c>
      <c r="Q895" s="57"/>
      <c r="R895" s="58"/>
    </row>
    <row r="896" spans="8:8" ht="15.0" customHeight="1">
      <c r="B896" s="54">
        <v>999.0</v>
      </c>
      <c r="C896" s="8" t="s">
        <v>8351</v>
      </c>
      <c r="D896" s="8" t="s">
        <v>1013</v>
      </c>
      <c r="E896" s="8" t="s">
        <v>379</v>
      </c>
      <c r="F896" s="8" t="s">
        <v>68</v>
      </c>
      <c r="G896" s="8"/>
      <c r="H896" s="8" t="s">
        <v>380</v>
      </c>
      <c r="I896" s="8" t="s">
        <v>818</v>
      </c>
      <c r="J896" s="78" t="s">
        <v>4811</v>
      </c>
      <c r="K896" s="22">
        <v>0.0</v>
      </c>
      <c r="L896" s="22">
        <f>+SUMIF('حركه المخزن الرئيسي اليوميه'!$F:$F,$H:$H,'حركه المخزن الرئيسي اليوميه'!$H:$H)</f>
        <v>0.0</v>
      </c>
      <c r="M896" s="22">
        <f>+SUMIF('حركه المخزن الرئيسي اليوميه'!$F:$F,$H:$H,'حركه المخزن الرئيسي اليوميه'!$I:$I)</f>
        <v>0.0</v>
      </c>
      <c r="N896" s="22">
        <f>+K896+L896-M896</f>
        <v>0.0</v>
      </c>
      <c r="O896" s="22">
        <f>+N896</f>
        <v>0.0</v>
      </c>
      <c r="P896" s="22">
        <f>+N896-O896</f>
        <v>0.0</v>
      </c>
      <c r="Q896" s="57"/>
      <c r="R896" s="58"/>
    </row>
    <row r="897" spans="8:8" ht="15.0" customHeight="1">
      <c r="B897" s="54">
        <v>1000.0</v>
      </c>
      <c r="C897" s="8" t="s">
        <v>8351</v>
      </c>
      <c r="D897" s="8" t="s">
        <v>820</v>
      </c>
      <c r="E897" s="8" t="s">
        <v>1149</v>
      </c>
      <c r="F897" s="8" t="s">
        <v>68</v>
      </c>
      <c r="G897" s="8"/>
      <c r="H897" s="8" t="s">
        <v>2678</v>
      </c>
      <c r="I897" s="8" t="s">
        <v>818</v>
      </c>
      <c r="J897" s="78" t="s">
        <v>4812</v>
      </c>
      <c r="K897" s="22">
        <v>0.0</v>
      </c>
      <c r="L897" s="22">
        <f>+SUMIF('حركه المخزن الرئيسي اليوميه'!$F:$F,$H:$H,'حركه المخزن الرئيسي اليوميه'!$H:$H)</f>
        <v>0.0</v>
      </c>
      <c r="M897" s="22">
        <f>+SUMIF('حركه المخزن الرئيسي اليوميه'!$F:$F,$H:$H,'حركه المخزن الرئيسي اليوميه'!$I:$I)</f>
        <v>0.0</v>
      </c>
      <c r="N897" s="22">
        <f>+K897+L897-M897</f>
        <v>0.0</v>
      </c>
      <c r="O897" s="22">
        <f>+N897</f>
        <v>0.0</v>
      </c>
      <c r="P897" s="22">
        <f>+N897-O897</f>
        <v>0.0</v>
      </c>
      <c r="Q897" s="57"/>
      <c r="R897" s="58"/>
    </row>
    <row r="898" spans="8:8" ht="15.0" customHeight="1">
      <c r="B898" s="54">
        <v>1001.0</v>
      </c>
      <c r="C898" s="8" t="s">
        <v>8351</v>
      </c>
      <c r="D898" s="8" t="s">
        <v>820</v>
      </c>
      <c r="E898" s="8" t="s">
        <v>1014</v>
      </c>
      <c r="F898" s="8" t="s">
        <v>1128</v>
      </c>
      <c r="G898" s="8"/>
      <c r="H898" s="8" t="s">
        <v>1387</v>
      </c>
      <c r="I898" s="8" t="s">
        <v>818</v>
      </c>
      <c r="J898" s="78" t="s">
        <v>4813</v>
      </c>
      <c r="K898" s="22">
        <v>0.0</v>
      </c>
      <c r="L898" s="22">
        <f>+SUMIF('حركه المخزن الرئيسي اليوميه'!$F:$F,$H:$H,'حركه المخزن الرئيسي اليوميه'!$H:$H)</f>
        <v>0.0</v>
      </c>
      <c r="M898" s="22">
        <f>+SUMIF('حركه المخزن الرئيسي اليوميه'!$F:$F,$H:$H,'حركه المخزن الرئيسي اليوميه'!$I:$I)</f>
        <v>0.0</v>
      </c>
      <c r="N898" s="22">
        <f>+K898+L898-M898</f>
        <v>0.0</v>
      </c>
      <c r="O898" s="22">
        <f>+N898</f>
        <v>0.0</v>
      </c>
      <c r="P898" s="22">
        <f>+N898-O898</f>
        <v>0.0</v>
      </c>
      <c r="Q898" s="57"/>
      <c r="R898" s="58"/>
    </row>
    <row r="899" spans="8:8" ht="15.0" customHeight="1">
      <c r="B899" s="54">
        <v>1002.0</v>
      </c>
      <c r="C899" s="8" t="s">
        <v>828</v>
      </c>
      <c r="D899" s="8" t="s">
        <v>1013</v>
      </c>
      <c r="E899" s="8" t="s">
        <v>1893</v>
      </c>
      <c r="F899" s="8" t="s">
        <v>1501</v>
      </c>
      <c r="G899" s="8"/>
      <c r="H899" s="8" t="s">
        <v>1893</v>
      </c>
      <c r="I899" s="8" t="s">
        <v>818</v>
      </c>
      <c r="J899" s="78" t="s">
        <v>4814</v>
      </c>
      <c r="K899" s="22">
        <v>0.0</v>
      </c>
      <c r="L899" s="22">
        <f>+SUMIF('حركه المخزن الرئيسي اليوميه'!$F:$F,$H:$H,'حركه المخزن الرئيسي اليوميه'!$H:$H)</f>
        <v>0.0</v>
      </c>
      <c r="M899" s="22">
        <f>+SUMIF('حركه المخزن الرئيسي اليوميه'!$F:$F,$H:$H,'حركه المخزن الرئيسي اليوميه'!$I:$I)</f>
        <v>0.0</v>
      </c>
      <c r="N899" s="22">
        <f>+K899+L899-M899</f>
        <v>0.0</v>
      </c>
      <c r="O899" s="22">
        <f>+N899</f>
        <v>0.0</v>
      </c>
      <c r="P899" s="22">
        <f>+N899-O899</f>
        <v>0.0</v>
      </c>
      <c r="Q899" s="57"/>
      <c r="R899" s="58"/>
    </row>
    <row r="900" spans="8:8" ht="15.0" customHeight="1">
      <c r="B900" s="54">
        <v>1003.0</v>
      </c>
      <c r="C900" s="8" t="s">
        <v>8351</v>
      </c>
      <c r="D900" s="8" t="s">
        <v>1013</v>
      </c>
      <c r="E900" s="8" t="s">
        <v>2030</v>
      </c>
      <c r="F900" s="8" t="s">
        <v>1501</v>
      </c>
      <c r="G900" s="8" t="s">
        <v>1972</v>
      </c>
      <c r="H900" s="8" t="s">
        <v>1971</v>
      </c>
      <c r="I900" s="8" t="s">
        <v>818</v>
      </c>
      <c r="J900" s="78" t="s">
        <v>4815</v>
      </c>
      <c r="K900" s="22">
        <v>0.0</v>
      </c>
      <c r="L900" s="22">
        <f>+SUMIF('حركه المخزن الرئيسي اليوميه'!$F:$F,$H:$H,'حركه المخزن الرئيسي اليوميه'!$H:$H)</f>
        <v>0.0</v>
      </c>
      <c r="M900" s="22">
        <f>+SUMIF('حركه المخزن الرئيسي اليوميه'!$F:$F,$H:$H,'حركه المخزن الرئيسي اليوميه'!$I:$I)</f>
        <v>0.0</v>
      </c>
      <c r="N900" s="22">
        <f>+K900+L900-M900</f>
        <v>0.0</v>
      </c>
      <c r="O900" s="22">
        <f>+N900</f>
        <v>0.0</v>
      </c>
      <c r="P900" s="22">
        <f>+N900-O900</f>
        <v>0.0</v>
      </c>
      <c r="Q900" s="57"/>
      <c r="R900" s="58"/>
    </row>
    <row r="901" spans="8:8" ht="15.0" customHeight="1">
      <c r="B901" s="54">
        <v>1004.0</v>
      </c>
      <c r="C901" s="8" t="s">
        <v>8351</v>
      </c>
      <c r="D901" s="8" t="s">
        <v>828</v>
      </c>
      <c r="E901" s="8" t="s">
        <v>2657</v>
      </c>
      <c r="F901" s="8" t="s">
        <v>68</v>
      </c>
      <c r="G901" s="8" t="s">
        <v>2240</v>
      </c>
      <c r="H901" s="8" t="s">
        <v>2657</v>
      </c>
      <c r="I901" s="8" t="s">
        <v>818</v>
      </c>
      <c r="J901" s="78" t="s">
        <v>4816</v>
      </c>
      <c r="K901" s="22">
        <v>0.0</v>
      </c>
      <c r="L901" s="22">
        <f>+SUMIF('حركه المخزن الرئيسي اليوميه'!$F:$F,$H:$H,'حركه المخزن الرئيسي اليوميه'!$H:$H)</f>
        <v>0.0</v>
      </c>
      <c r="M901" s="22">
        <f>+SUMIF('حركه المخزن الرئيسي اليوميه'!$F:$F,$H:$H,'حركه المخزن الرئيسي اليوميه'!$I:$I)</f>
        <v>0.0</v>
      </c>
      <c r="N901" s="22">
        <f>+K901+L901-M901</f>
        <v>0.0</v>
      </c>
      <c r="O901" s="22">
        <f>+N901</f>
        <v>0.0</v>
      </c>
      <c r="P901" s="22">
        <f>+N901-O901</f>
        <v>0.0</v>
      </c>
      <c r="Q901" s="57"/>
      <c r="R901" s="58"/>
    </row>
    <row r="902" spans="8:8" ht="15.0" customHeight="1">
      <c r="B902" s="54">
        <v>1005.0</v>
      </c>
      <c r="C902" s="8" t="s">
        <v>8351</v>
      </c>
      <c r="D902" s="8" t="s">
        <v>820</v>
      </c>
      <c r="E902" s="8" t="s">
        <v>1229</v>
      </c>
      <c r="F902" s="8" t="s">
        <v>68</v>
      </c>
      <c r="G902" s="8"/>
      <c r="H902" s="8" t="s">
        <v>2679</v>
      </c>
      <c r="I902" s="8" t="s">
        <v>818</v>
      </c>
      <c r="J902" s="78" t="s">
        <v>4817</v>
      </c>
      <c r="K902" s="22">
        <v>0.0</v>
      </c>
      <c r="L902" s="22">
        <f>+SUMIF('حركه المخزن الرئيسي اليوميه'!$F:$F,$H:$H,'حركه المخزن الرئيسي اليوميه'!$H:$H)</f>
        <v>0.0</v>
      </c>
      <c r="M902" s="22">
        <f>+SUMIF('حركه المخزن الرئيسي اليوميه'!$F:$F,$H:$H,'حركه المخزن الرئيسي اليوميه'!$I:$I)</f>
        <v>0.0</v>
      </c>
      <c r="N902" s="22">
        <f>+K902+L902-M902</f>
        <v>0.0</v>
      </c>
      <c r="O902" s="22">
        <f>+N902</f>
        <v>0.0</v>
      </c>
      <c r="P902" s="22">
        <f>+N902-O902</f>
        <v>0.0</v>
      </c>
      <c r="Q902" s="57"/>
      <c r="R902" s="58"/>
    </row>
    <row r="903" spans="8:8" ht="15.0" customHeight="1">
      <c r="B903" s="54">
        <v>1006.0</v>
      </c>
      <c r="C903" s="8" t="s">
        <v>8351</v>
      </c>
      <c r="D903" s="8" t="s">
        <v>1013</v>
      </c>
      <c r="E903" s="8" t="s">
        <v>2046</v>
      </c>
      <c r="F903" s="8" t="s">
        <v>68</v>
      </c>
      <c r="G903" s="8"/>
      <c r="H903" s="8" t="s">
        <v>2046</v>
      </c>
      <c r="I903" s="8" t="s">
        <v>818</v>
      </c>
      <c r="J903" s="78" t="s">
        <v>4818</v>
      </c>
      <c r="K903" s="22">
        <v>0.0</v>
      </c>
      <c r="L903" s="22">
        <f>+SUMIF('حركه المخزن الرئيسي اليوميه'!$F:$F,$H:$H,'حركه المخزن الرئيسي اليوميه'!$H:$H)</f>
        <v>0.0</v>
      </c>
      <c r="M903" s="22">
        <f>+SUMIF('حركه المخزن الرئيسي اليوميه'!$F:$F,$H:$H,'حركه المخزن الرئيسي اليوميه'!$I:$I)</f>
        <v>0.0</v>
      </c>
      <c r="N903" s="22">
        <f>+K903+L903-M903</f>
        <v>0.0</v>
      </c>
      <c r="O903" s="22">
        <f>+N903</f>
        <v>0.0</v>
      </c>
      <c r="P903" s="22">
        <f>+N903-O903</f>
        <v>0.0</v>
      </c>
      <c r="Q903" s="57"/>
      <c r="R903" s="58"/>
    </row>
    <row r="904" spans="8:8" ht="15.0" customHeight="1">
      <c r="B904" s="54">
        <v>1007.0</v>
      </c>
      <c r="C904" s="8" t="s">
        <v>8351</v>
      </c>
      <c r="D904" s="8" t="s">
        <v>820</v>
      </c>
      <c r="E904" s="8" t="s">
        <v>1321</v>
      </c>
      <c r="F904" s="8" t="s">
        <v>68</v>
      </c>
      <c r="G904" s="8"/>
      <c r="H904" s="8" t="s">
        <v>1321</v>
      </c>
      <c r="I904" s="8" t="s">
        <v>818</v>
      </c>
      <c r="J904" s="78" t="s">
        <v>4819</v>
      </c>
      <c r="K904" s="22">
        <v>0.0</v>
      </c>
      <c r="L904" s="22">
        <f>+SUMIF('حركه المخزن الرئيسي اليوميه'!$F:$F,$H:$H,'حركه المخزن الرئيسي اليوميه'!$H:$H)</f>
        <v>0.0</v>
      </c>
      <c r="M904" s="22">
        <f>+SUMIF('حركه المخزن الرئيسي اليوميه'!$F:$F,$H:$H,'حركه المخزن الرئيسي اليوميه'!$I:$I)</f>
        <v>0.0</v>
      </c>
      <c r="N904" s="22">
        <f>+K904+L904-M904</f>
        <v>0.0</v>
      </c>
      <c r="O904" s="22">
        <f>+N904</f>
        <v>0.0</v>
      </c>
      <c r="P904" s="22">
        <f>+N904-O904</f>
        <v>0.0</v>
      </c>
      <c r="Q904" s="57"/>
      <c r="R904" s="58"/>
    </row>
    <row r="905" spans="8:8" ht="15.0" customHeight="1">
      <c r="B905" s="54">
        <v>1008.0</v>
      </c>
      <c r="C905" s="8" t="s">
        <v>8351</v>
      </c>
      <c r="D905" s="8" t="s">
        <v>820</v>
      </c>
      <c r="E905" s="8" t="s">
        <v>1177</v>
      </c>
      <c r="F905" s="8" t="s">
        <v>68</v>
      </c>
      <c r="G905" s="8"/>
      <c r="H905" s="8" t="s">
        <v>1177</v>
      </c>
      <c r="I905" s="8" t="s">
        <v>818</v>
      </c>
      <c r="J905" s="78" t="s">
        <v>4820</v>
      </c>
      <c r="K905" s="22">
        <v>0.0</v>
      </c>
      <c r="L905" s="22">
        <f>+SUMIF('حركه المخزن الرئيسي اليوميه'!$F:$F,$H:$H,'حركه المخزن الرئيسي اليوميه'!$H:$H)</f>
        <v>0.0</v>
      </c>
      <c r="M905" s="22">
        <f>+SUMIF('حركه المخزن الرئيسي اليوميه'!$F:$F,$H:$H,'حركه المخزن الرئيسي اليوميه'!$I:$I)</f>
        <v>0.0</v>
      </c>
      <c r="N905" s="22">
        <f>+K905+L905-M905</f>
        <v>0.0</v>
      </c>
      <c r="O905" s="22">
        <f>+N905</f>
        <v>0.0</v>
      </c>
      <c r="P905" s="22">
        <f>+N905-O905</f>
        <v>0.0</v>
      </c>
      <c r="Q905" s="57"/>
      <c r="R905" s="58"/>
    </row>
    <row r="906" spans="8:8" ht="15.0" customHeight="1">
      <c r="B906" s="54">
        <v>1009.0</v>
      </c>
      <c r="C906" s="8" t="s">
        <v>8351</v>
      </c>
      <c r="D906" s="8" t="s">
        <v>820</v>
      </c>
      <c r="E906" s="8" t="s">
        <v>1248</v>
      </c>
      <c r="F906" s="8" t="s">
        <v>68</v>
      </c>
      <c r="G906" s="8" t="s">
        <v>2442</v>
      </c>
      <c r="H906" s="8" t="s">
        <v>1248</v>
      </c>
      <c r="I906" s="8" t="s">
        <v>818</v>
      </c>
      <c r="J906" s="78" t="s">
        <v>4821</v>
      </c>
      <c r="K906" s="22">
        <v>11.0</v>
      </c>
      <c r="L906" s="22">
        <f>+SUMIF('حركه المخزن الرئيسي اليوميه'!$F:$F,$H:$H,'حركه المخزن الرئيسي اليوميه'!$H:$H)</f>
        <v>0.0</v>
      </c>
      <c r="M906" s="22">
        <f>+SUMIF('حركه المخزن الرئيسي اليوميه'!$F:$F,$H:$H,'حركه المخزن الرئيسي اليوميه'!$I:$I)</f>
        <v>6.0</v>
      </c>
      <c r="N906" s="22">
        <f>+K906+L906-M906</f>
        <v>5.0</v>
      </c>
      <c r="O906" s="22">
        <f>+N906</f>
        <v>5.0</v>
      </c>
      <c r="P906" s="22">
        <f>+N906-O906</f>
        <v>0.0</v>
      </c>
      <c r="Q906" s="57"/>
      <c r="R906" s="58"/>
    </row>
    <row r="907" spans="8:8" ht="15.0" customHeight="1">
      <c r="B907" s="54">
        <v>1010.0</v>
      </c>
      <c r="C907" s="8" t="s">
        <v>8351</v>
      </c>
      <c r="D907" s="8" t="s">
        <v>713</v>
      </c>
      <c r="E907" s="8" t="s">
        <v>2993</v>
      </c>
      <c r="F907" s="8" t="s">
        <v>68</v>
      </c>
      <c r="G907" s="8" t="s">
        <v>3682</v>
      </c>
      <c r="H907" s="8" t="s">
        <v>2993</v>
      </c>
      <c r="I907" s="8" t="s">
        <v>224</v>
      </c>
      <c r="J907" s="78" t="s">
        <v>4822</v>
      </c>
      <c r="K907" s="22">
        <v>4.0</v>
      </c>
      <c r="L907" s="22">
        <f>+SUMIF('حركه المخزن الرئيسي اليوميه'!$F:$F,$H:$H,'حركه المخزن الرئيسي اليوميه'!$H:$H)</f>
        <v>0.0</v>
      </c>
      <c r="M907" s="22">
        <f>+SUMIF('حركه المخزن الرئيسي اليوميه'!$F:$F,$H:$H,'حركه المخزن الرئيسي اليوميه'!$I:$I)</f>
        <v>0.0</v>
      </c>
      <c r="N907" s="22">
        <f>+K907+L907-M907</f>
        <v>4.0</v>
      </c>
      <c r="O907" s="22">
        <f>+N907</f>
        <v>4.0</v>
      </c>
      <c r="P907" s="22">
        <f>+N907-O907</f>
        <v>0.0</v>
      </c>
      <c r="Q907" s="57"/>
      <c r="R907" s="58"/>
    </row>
    <row r="908" spans="8:8" ht="15.0" customHeight="1">
      <c r="B908" s="54">
        <v>1011.0</v>
      </c>
      <c r="C908" s="8" t="s">
        <v>8351</v>
      </c>
      <c r="D908" s="8" t="s">
        <v>713</v>
      </c>
      <c r="E908" s="8" t="s">
        <v>2994</v>
      </c>
      <c r="F908" s="8" t="s">
        <v>68</v>
      </c>
      <c r="G908" s="8"/>
      <c r="H908" s="8" t="s">
        <v>2994</v>
      </c>
      <c r="I908" s="8" t="s">
        <v>224</v>
      </c>
      <c r="J908" s="78" t="s">
        <v>4823</v>
      </c>
      <c r="K908" s="22">
        <v>2.0</v>
      </c>
      <c r="L908" s="22">
        <f>+SUMIF('حركه المخزن الرئيسي اليوميه'!$F:$F,$H:$H,'حركه المخزن الرئيسي اليوميه'!$H:$H)</f>
        <v>0.0</v>
      </c>
      <c r="M908" s="22">
        <f>+SUMIF('حركه المخزن الرئيسي اليوميه'!$F:$F,$H:$H,'حركه المخزن الرئيسي اليوميه'!$I:$I)</f>
        <v>0.0</v>
      </c>
      <c r="N908" s="22">
        <f>+K908+L908-M908</f>
        <v>2.0</v>
      </c>
      <c r="O908" s="22">
        <f>+N908</f>
        <v>2.0</v>
      </c>
      <c r="P908" s="22">
        <f>+N908-O908</f>
        <v>0.0</v>
      </c>
      <c r="Q908" s="57"/>
      <c r="R908" s="58"/>
    </row>
    <row r="909" spans="8:8" ht="15.0" customHeight="1">
      <c r="B909" s="54">
        <v>1012.0</v>
      </c>
      <c r="C909" s="8" t="s">
        <v>8351</v>
      </c>
      <c r="D909" s="8" t="s">
        <v>820</v>
      </c>
      <c r="E909" s="8" t="s">
        <v>1143</v>
      </c>
      <c r="F909" s="8" t="s">
        <v>68</v>
      </c>
      <c r="G909" s="8"/>
      <c r="H909" s="8" t="s">
        <v>1143</v>
      </c>
      <c r="I909" s="8" t="s">
        <v>818</v>
      </c>
      <c r="J909" s="78" t="s">
        <v>4824</v>
      </c>
      <c r="K909" s="22">
        <v>0.0</v>
      </c>
      <c r="L909" s="22">
        <f>+SUMIF('حركه المخزن الرئيسي اليوميه'!$F:$F,$H:$H,'حركه المخزن الرئيسي اليوميه'!$H:$H)</f>
        <v>0.0</v>
      </c>
      <c r="M909" s="22">
        <f>+SUMIF('حركه المخزن الرئيسي اليوميه'!$F:$F,$H:$H,'حركه المخزن الرئيسي اليوميه'!$I:$I)</f>
        <v>0.0</v>
      </c>
      <c r="N909" s="22">
        <f>+K909+L909-M909</f>
        <v>0.0</v>
      </c>
      <c r="O909" s="22">
        <f>+N909</f>
        <v>0.0</v>
      </c>
      <c r="P909" s="22">
        <f>+N909-O909</f>
        <v>0.0</v>
      </c>
      <c r="Q909" s="57"/>
      <c r="R909" s="58"/>
    </row>
    <row r="910" spans="8:8" ht="15.0" customHeight="1">
      <c r="B910" s="54">
        <v>1013.0</v>
      </c>
      <c r="C910" s="8" t="s">
        <v>8351</v>
      </c>
      <c r="D910" s="8" t="s">
        <v>820</v>
      </c>
      <c r="E910" s="8" t="s">
        <v>1234</v>
      </c>
      <c r="F910" s="8" t="s">
        <v>68</v>
      </c>
      <c r="G910" s="8" t="s">
        <v>2232</v>
      </c>
      <c r="H910" s="8" t="s">
        <v>1234</v>
      </c>
      <c r="I910" s="8" t="s">
        <v>818</v>
      </c>
      <c r="J910" s="78" t="s">
        <v>4825</v>
      </c>
      <c r="K910" s="22">
        <v>0.0</v>
      </c>
      <c r="L910" s="22">
        <f>+SUMIF('حركه المخزن الرئيسي اليوميه'!$F:$F,$H:$H,'حركه المخزن الرئيسي اليوميه'!$H:$H)</f>
        <v>0.0</v>
      </c>
      <c r="M910" s="22">
        <f>+SUMIF('حركه المخزن الرئيسي اليوميه'!$F:$F,$H:$H,'حركه المخزن الرئيسي اليوميه'!$I:$I)</f>
        <v>0.0</v>
      </c>
      <c r="N910" s="22">
        <f>+K910+L910-M910</f>
        <v>0.0</v>
      </c>
      <c r="O910" s="22">
        <f>+N910</f>
        <v>0.0</v>
      </c>
      <c r="P910" s="22">
        <f>+N910-O910</f>
        <v>0.0</v>
      </c>
      <c r="Q910" s="57"/>
      <c r="R910" s="58"/>
    </row>
    <row r="911" spans="8:8" ht="15.0" customHeight="1">
      <c r="B911" s="54">
        <v>1014.0</v>
      </c>
      <c r="C911" s="8" t="s">
        <v>8351</v>
      </c>
      <c r="D911" s="8" t="s">
        <v>3000</v>
      </c>
      <c r="E911" s="8" t="s">
        <v>3001</v>
      </c>
      <c r="F911" s="8" t="s">
        <v>68</v>
      </c>
      <c r="G911" s="8" t="s">
        <v>8150</v>
      </c>
      <c r="H911" s="8" t="s">
        <v>3001</v>
      </c>
      <c r="I911" s="8" t="s">
        <v>818</v>
      </c>
      <c r="J911" s="78" t="s">
        <v>4826</v>
      </c>
      <c r="K911" s="22">
        <v>2.0</v>
      </c>
      <c r="L911" s="22">
        <f>+SUMIF('حركه المخزن الرئيسي اليوميه'!$F:$F,$H:$H,'حركه المخزن الرئيسي اليوميه'!$H:$H)</f>
        <v>0.0</v>
      </c>
      <c r="M911" s="22">
        <f>+SUMIF('حركه المخزن الرئيسي اليوميه'!$F:$F,$H:$H,'حركه المخزن الرئيسي اليوميه'!$I:$I)</f>
        <v>0.0</v>
      </c>
      <c r="N911" s="22">
        <f>+K911+L911-M911</f>
        <v>2.0</v>
      </c>
      <c r="O911" s="22">
        <f>+N911</f>
        <v>2.0</v>
      </c>
      <c r="P911" s="22">
        <f>+N911-O911</f>
        <v>0.0</v>
      </c>
      <c r="Q911" s="57"/>
      <c r="R911" s="58"/>
    </row>
    <row r="912" spans="8:8" ht="15.0" customHeight="1">
      <c r="B912" s="54">
        <v>1015.0</v>
      </c>
      <c r="C912" s="8" t="s">
        <v>8351</v>
      </c>
      <c r="D912" s="8" t="s">
        <v>820</v>
      </c>
      <c r="E912" s="8" t="s">
        <v>856</v>
      </c>
      <c r="F912" s="8" t="s">
        <v>68</v>
      </c>
      <c r="G912" s="8" t="s">
        <v>2396</v>
      </c>
      <c r="H912" s="8" t="s">
        <v>856</v>
      </c>
      <c r="I912" s="8" t="s">
        <v>286</v>
      </c>
      <c r="J912" s="78" t="s">
        <v>4827</v>
      </c>
      <c r="K912" s="22">
        <v>0.0</v>
      </c>
      <c r="L912" s="22">
        <f>+SUMIF('حركه المخزن الرئيسي اليوميه'!$F:$F,$H:$H,'حركه المخزن الرئيسي اليوميه'!$H:$H)</f>
        <v>0.0</v>
      </c>
      <c r="M912" s="22">
        <f>+SUMIF('حركه المخزن الرئيسي اليوميه'!$F:$F,$H:$H,'حركه المخزن الرئيسي اليوميه'!$I:$I)</f>
        <v>0.0</v>
      </c>
      <c r="N912" s="22">
        <f>+K912+L912-M912</f>
        <v>0.0</v>
      </c>
      <c r="O912" s="22">
        <f>+N912</f>
        <v>0.0</v>
      </c>
      <c r="P912" s="22">
        <f>+N912-O912</f>
        <v>0.0</v>
      </c>
      <c r="Q912" s="57"/>
      <c r="R912" s="58"/>
    </row>
    <row r="913" spans="8:8" ht="15.0" customHeight="1">
      <c r="B913" s="54">
        <v>1016.0</v>
      </c>
      <c r="C913" s="8" t="s">
        <v>8351</v>
      </c>
      <c r="D913" s="8" t="s">
        <v>820</v>
      </c>
      <c r="E913" s="8" t="s">
        <v>857</v>
      </c>
      <c r="F913" s="8" t="s">
        <v>68</v>
      </c>
      <c r="G913" s="8" t="s">
        <v>2397</v>
      </c>
      <c r="H913" s="8" t="s">
        <v>857</v>
      </c>
      <c r="I913" s="8" t="s">
        <v>286</v>
      </c>
      <c r="J913" s="78" t="s">
        <v>4828</v>
      </c>
      <c r="K913" s="22">
        <v>0.0</v>
      </c>
      <c r="L913" s="22">
        <f>+SUMIF('حركه المخزن الرئيسي اليوميه'!$F:$F,$H:$H,'حركه المخزن الرئيسي اليوميه'!$H:$H)</f>
        <v>0.0</v>
      </c>
      <c r="M913" s="22">
        <f>+SUMIF('حركه المخزن الرئيسي اليوميه'!$F:$F,$H:$H,'حركه المخزن الرئيسي اليوميه'!$I:$I)</f>
        <v>0.0</v>
      </c>
      <c r="N913" s="22">
        <f>+K913+L913-M913</f>
        <v>0.0</v>
      </c>
      <c r="O913" s="22">
        <f>+N913</f>
        <v>0.0</v>
      </c>
      <c r="P913" s="22">
        <f>+N913-O913</f>
        <v>0.0</v>
      </c>
      <c r="Q913" s="57"/>
      <c r="R913" s="58"/>
    </row>
    <row r="914" spans="8:8" ht="15.0" customHeight="1">
      <c r="B914" s="54">
        <v>1017.0</v>
      </c>
      <c r="C914" s="8" t="s">
        <v>8351</v>
      </c>
      <c r="D914" s="8" t="s">
        <v>820</v>
      </c>
      <c r="E914" s="8" t="s">
        <v>858</v>
      </c>
      <c r="F914" s="8" t="s">
        <v>68</v>
      </c>
      <c r="G914" s="8" t="s">
        <v>2168</v>
      </c>
      <c r="H914" s="8" t="s">
        <v>858</v>
      </c>
      <c r="I914" s="8" t="s">
        <v>286</v>
      </c>
      <c r="J914" s="78" t="s">
        <v>4829</v>
      </c>
      <c r="K914" s="22">
        <v>0.0</v>
      </c>
      <c r="L914" s="22">
        <f>+SUMIF('حركه المخزن الرئيسي اليوميه'!$F:$F,$H:$H,'حركه المخزن الرئيسي اليوميه'!$H:$H)</f>
        <v>0.0</v>
      </c>
      <c r="M914" s="22">
        <f>+SUMIF('حركه المخزن الرئيسي اليوميه'!$F:$F,$H:$H,'حركه المخزن الرئيسي اليوميه'!$I:$I)</f>
        <v>0.0</v>
      </c>
      <c r="N914" s="22">
        <f>+K914+L914-M914</f>
        <v>0.0</v>
      </c>
      <c r="O914" s="22">
        <f>+N914</f>
        <v>0.0</v>
      </c>
      <c r="P914" s="22">
        <f>+N914-O914</f>
        <v>0.0</v>
      </c>
      <c r="Q914" s="57"/>
      <c r="R914" s="58"/>
    </row>
    <row r="915" spans="8:8" ht="15.0" customHeight="1">
      <c r="B915" s="54">
        <v>1018.0</v>
      </c>
      <c r="C915" s="8" t="s">
        <v>8351</v>
      </c>
      <c r="D915" s="8" t="s">
        <v>820</v>
      </c>
      <c r="E915" s="8" t="s">
        <v>3597</v>
      </c>
      <c r="F915" s="8" t="s">
        <v>68</v>
      </c>
      <c r="G915" s="8" t="s">
        <v>3598</v>
      </c>
      <c r="H915" s="8" t="s">
        <v>3597</v>
      </c>
      <c r="I915" s="8" t="s">
        <v>286</v>
      </c>
      <c r="J915" s="78" t="s">
        <v>4830</v>
      </c>
      <c r="K915" s="22">
        <v>6.0</v>
      </c>
      <c r="L915" s="22">
        <f>+SUMIF('حركه المخزن الرئيسي اليوميه'!$F:$F,$H:$H,'حركه المخزن الرئيسي اليوميه'!$H:$H)</f>
        <v>0.0</v>
      </c>
      <c r="M915" s="22">
        <f>+SUMIF('حركه المخزن الرئيسي اليوميه'!$F:$F,$H:$H,'حركه المخزن الرئيسي اليوميه'!$I:$I)</f>
        <v>4.0</v>
      </c>
      <c r="N915" s="22">
        <f>+K915+L915-M915</f>
        <v>2.0</v>
      </c>
      <c r="O915" s="22">
        <f>+N915</f>
        <v>2.0</v>
      </c>
      <c r="P915" s="22">
        <f>+N915-O915</f>
        <v>0.0</v>
      </c>
      <c r="Q915" s="57"/>
      <c r="R915" s="58"/>
    </row>
    <row r="916" spans="8:8" ht="15.0" customHeight="1">
      <c r="B916" s="54">
        <v>1019.0</v>
      </c>
      <c r="C916" s="8" t="s">
        <v>8351</v>
      </c>
      <c r="D916" s="8" t="s">
        <v>820</v>
      </c>
      <c r="E916" s="8" t="s">
        <v>1243</v>
      </c>
      <c r="F916" s="8" t="s">
        <v>68</v>
      </c>
      <c r="G916" s="8" t="s">
        <v>2169</v>
      </c>
      <c r="H916" s="8" t="s">
        <v>1243</v>
      </c>
      <c r="I916" s="8" t="s">
        <v>286</v>
      </c>
      <c r="J916" s="78" t="s">
        <v>4831</v>
      </c>
      <c r="K916" s="22">
        <v>0.0</v>
      </c>
      <c r="L916" s="22">
        <f>+SUMIF('حركه المخزن الرئيسي اليوميه'!$F:$F,$H:$H,'حركه المخزن الرئيسي اليوميه'!$H:$H)</f>
        <v>0.0</v>
      </c>
      <c r="M916" s="22">
        <f>+SUMIF('حركه المخزن الرئيسي اليوميه'!$F:$F,$H:$H,'حركه المخزن الرئيسي اليوميه'!$I:$I)</f>
        <v>0.0</v>
      </c>
      <c r="N916" s="22">
        <f>+K916+L916-M916</f>
        <v>0.0</v>
      </c>
      <c r="O916" s="22">
        <f>+N916</f>
        <v>0.0</v>
      </c>
      <c r="P916" s="22">
        <f>+N916-O916</f>
        <v>0.0</v>
      </c>
      <c r="Q916" s="57"/>
      <c r="R916" s="58"/>
    </row>
    <row r="917" spans="8:8" ht="15.0" customHeight="1">
      <c r="B917" s="54">
        <v>1020.0</v>
      </c>
      <c r="C917" s="8" t="s">
        <v>8351</v>
      </c>
      <c r="D917" s="8" t="s">
        <v>1013</v>
      </c>
      <c r="E917" s="8" t="s">
        <v>379</v>
      </c>
      <c r="F917" s="8" t="s">
        <v>68</v>
      </c>
      <c r="G917" s="8" t="s">
        <v>2339</v>
      </c>
      <c r="H917" s="8" t="s">
        <v>289</v>
      </c>
      <c r="I917" s="8" t="s">
        <v>818</v>
      </c>
      <c r="J917" s="78" t="s">
        <v>4832</v>
      </c>
      <c r="K917" s="22">
        <v>0.0</v>
      </c>
      <c r="L917" s="22">
        <f>+SUMIF('حركه المخزن الرئيسي اليوميه'!$F:$F,$H:$H,'حركه المخزن الرئيسي اليوميه'!$H:$H)</f>
        <v>0.0</v>
      </c>
      <c r="M917" s="22">
        <f>+SUMIF('حركه المخزن الرئيسي اليوميه'!$F:$F,$H:$H,'حركه المخزن الرئيسي اليوميه'!$I:$I)</f>
        <v>0.0</v>
      </c>
      <c r="N917" s="22">
        <f>+K917+L917-M917</f>
        <v>0.0</v>
      </c>
      <c r="O917" s="22">
        <f>+N917</f>
        <v>0.0</v>
      </c>
      <c r="P917" s="22">
        <f>+N917-O917</f>
        <v>0.0</v>
      </c>
      <c r="Q917" s="57"/>
      <c r="R917" s="58"/>
    </row>
    <row r="918" spans="8:8" ht="15.0" customHeight="1">
      <c r="B918" s="54">
        <v>1021.0</v>
      </c>
      <c r="C918" s="8" t="s">
        <v>8351</v>
      </c>
      <c r="D918" s="8" t="s">
        <v>1013</v>
      </c>
      <c r="E918" s="8" t="s">
        <v>1380</v>
      </c>
      <c r="F918" s="8" t="s">
        <v>68</v>
      </c>
      <c r="G918" s="8" t="s">
        <v>2138</v>
      </c>
      <c r="H918" s="8" t="s">
        <v>1380</v>
      </c>
      <c r="I918" s="8" t="s">
        <v>818</v>
      </c>
      <c r="J918" s="78" t="s">
        <v>4833</v>
      </c>
      <c r="K918" s="22">
        <v>0.0</v>
      </c>
      <c r="L918" s="22">
        <f>+SUMIF('حركه المخزن الرئيسي اليوميه'!$F:$F,$H:$H,'حركه المخزن الرئيسي اليوميه'!$H:$H)</f>
        <v>0.0</v>
      </c>
      <c r="M918" s="22">
        <f>+SUMIF('حركه المخزن الرئيسي اليوميه'!$F:$F,$H:$H,'حركه المخزن الرئيسي اليوميه'!$I:$I)</f>
        <v>0.0</v>
      </c>
      <c r="N918" s="22">
        <f>+K918+L918-M918</f>
        <v>0.0</v>
      </c>
      <c r="O918" s="22">
        <f>+N918</f>
        <v>0.0</v>
      </c>
      <c r="P918" s="22">
        <f>+N918-O918</f>
        <v>0.0</v>
      </c>
      <c r="Q918" s="57"/>
      <c r="R918" s="58"/>
    </row>
    <row r="919" spans="8:8" ht="15.0" customHeight="1">
      <c r="B919" s="54">
        <v>1022.0</v>
      </c>
      <c r="C919" s="8" t="s">
        <v>8351</v>
      </c>
      <c r="D919" s="8" t="s">
        <v>1013</v>
      </c>
      <c r="E919" s="8" t="s">
        <v>1555</v>
      </c>
      <c r="F919" s="8" t="s">
        <v>1501</v>
      </c>
      <c r="G919" s="8" t="s">
        <v>2291</v>
      </c>
      <c r="H919" s="8" t="s">
        <v>1555</v>
      </c>
      <c r="I919" s="8" t="s">
        <v>818</v>
      </c>
      <c r="J919" s="78" t="s">
        <v>4834</v>
      </c>
      <c r="K919" s="22">
        <v>0.0</v>
      </c>
      <c r="L919" s="22">
        <f>+SUMIF('حركه المخزن الرئيسي اليوميه'!$F:$F,$H:$H,'حركه المخزن الرئيسي اليوميه'!$H:$H)</f>
        <v>0.0</v>
      </c>
      <c r="M919" s="22">
        <f>+SUMIF('حركه المخزن الرئيسي اليوميه'!$F:$F,$H:$H,'حركه المخزن الرئيسي اليوميه'!$I:$I)</f>
        <v>0.0</v>
      </c>
      <c r="N919" s="22">
        <f>+K919+L919-M919</f>
        <v>0.0</v>
      </c>
      <c r="O919" s="22">
        <f>+N919</f>
        <v>0.0</v>
      </c>
      <c r="P919" s="22">
        <f>+N919-O919</f>
        <v>0.0</v>
      </c>
      <c r="Q919" s="57"/>
      <c r="R919" s="58"/>
    </row>
    <row r="920" spans="8:8" ht="15.0" customHeight="1">
      <c r="B920" s="54">
        <v>1023.0</v>
      </c>
      <c r="C920" s="8" t="s">
        <v>8351</v>
      </c>
      <c r="D920" s="8" t="s">
        <v>820</v>
      </c>
      <c r="E920" s="8" t="s">
        <v>3690</v>
      </c>
      <c r="F920" s="8" t="s">
        <v>68</v>
      </c>
      <c r="G920" s="8"/>
      <c r="H920" s="8" t="s">
        <v>3690</v>
      </c>
      <c r="I920" s="8" t="s">
        <v>818</v>
      </c>
      <c r="J920" s="78" t="s">
        <v>4835</v>
      </c>
      <c r="K920" s="22">
        <v>0.0</v>
      </c>
      <c r="L920" s="22">
        <f>+SUMIF('حركه المخزن الرئيسي اليوميه'!$F:$F,$H:$H,'حركه المخزن الرئيسي اليوميه'!$H:$H)</f>
        <v>0.0</v>
      </c>
      <c r="M920" s="22">
        <f>+SUMIF('حركه المخزن الرئيسي اليوميه'!$F:$F,$H:$H,'حركه المخزن الرئيسي اليوميه'!$I:$I)</f>
        <v>0.0</v>
      </c>
      <c r="N920" s="22">
        <f>+K920+L920-M920</f>
        <v>0.0</v>
      </c>
      <c r="O920" s="22">
        <f>+N920</f>
        <v>0.0</v>
      </c>
      <c r="P920" s="22">
        <f>+N920-O920</f>
        <v>0.0</v>
      </c>
      <c r="Q920" s="57"/>
      <c r="R920" s="58"/>
    </row>
    <row r="921" spans="8:8" ht="15.0" customHeight="1">
      <c r="B921" s="54">
        <v>1024.0</v>
      </c>
      <c r="C921" s="8" t="s">
        <v>8351</v>
      </c>
      <c r="D921" s="8" t="s">
        <v>820</v>
      </c>
      <c r="E921" s="8" t="s">
        <v>1381</v>
      </c>
      <c r="F921" s="8" t="s">
        <v>68</v>
      </c>
      <c r="G921" s="8" t="s">
        <v>2215</v>
      </c>
      <c r="H921" s="8" t="s">
        <v>1381</v>
      </c>
      <c r="I921" s="8" t="s">
        <v>818</v>
      </c>
      <c r="J921" s="78" t="s">
        <v>4836</v>
      </c>
      <c r="K921" s="22">
        <v>2.0</v>
      </c>
      <c r="L921" s="22">
        <f>+SUMIF('حركه المخزن الرئيسي اليوميه'!$F:$F,$H:$H,'حركه المخزن الرئيسي اليوميه'!$H:$H)</f>
        <v>0.0</v>
      </c>
      <c r="M921" s="22">
        <f>+SUMIF('حركه المخزن الرئيسي اليوميه'!$F:$F,$H:$H,'حركه المخزن الرئيسي اليوميه'!$I:$I)</f>
        <v>0.0</v>
      </c>
      <c r="N921" s="22">
        <f>+K921+L921-M921</f>
        <v>2.0</v>
      </c>
      <c r="O921" s="22">
        <f>+N921</f>
        <v>2.0</v>
      </c>
      <c r="P921" s="22">
        <f>+N921-O921</f>
        <v>0.0</v>
      </c>
      <c r="Q921" s="57"/>
      <c r="R921" s="58"/>
    </row>
    <row r="922" spans="8:8" ht="15.0" customHeight="1">
      <c r="B922" s="54">
        <v>1025.0</v>
      </c>
      <c r="C922" s="8" t="s">
        <v>8351</v>
      </c>
      <c r="D922" s="8" t="s">
        <v>1013</v>
      </c>
      <c r="E922" s="8" t="s">
        <v>398</v>
      </c>
      <c r="F922" s="8" t="s">
        <v>68</v>
      </c>
      <c r="G922" s="8"/>
      <c r="H922" s="8" t="s">
        <v>3531</v>
      </c>
      <c r="I922" s="8" t="s">
        <v>818</v>
      </c>
      <c r="J922" s="78" t="s">
        <v>4837</v>
      </c>
      <c r="K922" s="22">
        <v>1.0</v>
      </c>
      <c r="L922" s="22">
        <f>+SUMIF('حركه المخزن الرئيسي اليوميه'!$F:$F,$H:$H,'حركه المخزن الرئيسي اليوميه'!$H:$H)</f>
        <v>0.0</v>
      </c>
      <c r="M922" s="22">
        <f>+SUMIF('حركه المخزن الرئيسي اليوميه'!$F:$F,$H:$H,'حركه المخزن الرئيسي اليوميه'!$I:$I)</f>
        <v>0.0</v>
      </c>
      <c r="N922" s="22">
        <f>+K922+L922-M922</f>
        <v>1.0</v>
      </c>
      <c r="O922" s="22">
        <f>+N922</f>
        <v>1.0</v>
      </c>
      <c r="P922" s="22">
        <f>+N922-O922</f>
        <v>0.0</v>
      </c>
      <c r="Q922" s="57"/>
      <c r="R922" s="58"/>
    </row>
    <row r="923" spans="8:8" ht="15.0" customHeight="1">
      <c r="B923" s="54">
        <v>1026.0</v>
      </c>
      <c r="C923" s="8" t="s">
        <v>8352</v>
      </c>
      <c r="D923" s="8" t="s">
        <v>3751</v>
      </c>
      <c r="E923" s="8" t="s">
        <v>3753</v>
      </c>
      <c r="F923" s="8" t="s">
        <v>1046</v>
      </c>
      <c r="G923" s="8"/>
      <c r="H923" s="8" t="s">
        <v>3753</v>
      </c>
      <c r="I923" s="8" t="s">
        <v>174</v>
      </c>
      <c r="J923" s="78" t="s">
        <v>4838</v>
      </c>
      <c r="K923" s="22">
        <v>4.0</v>
      </c>
      <c r="L923" s="22">
        <f>+SUMIF('حركه المخزن الرئيسي اليوميه'!$F:$F,$H:$H,'حركه المخزن الرئيسي اليوميه'!$H:$H)</f>
        <v>0.0</v>
      </c>
      <c r="M923" s="22">
        <f>+SUMIF('حركه المخزن الرئيسي اليوميه'!$F:$F,$H:$H,'حركه المخزن الرئيسي اليوميه'!$I:$I)</f>
        <v>0.0</v>
      </c>
      <c r="N923" s="22">
        <f>+K923+L923-M923</f>
        <v>4.0</v>
      </c>
      <c r="O923" s="22">
        <f>+N923</f>
        <v>4.0</v>
      </c>
      <c r="P923" s="22">
        <f>+N923-O923</f>
        <v>0.0</v>
      </c>
      <c r="Q923" s="57"/>
      <c r="R923" s="59"/>
    </row>
    <row r="924" spans="8:8" ht="15.0" customHeight="1">
      <c r="B924" s="54">
        <v>1027.0</v>
      </c>
      <c r="C924" s="8" t="s">
        <v>8351</v>
      </c>
      <c r="D924" s="8" t="s">
        <v>820</v>
      </c>
      <c r="E924" s="8" t="s">
        <v>1390</v>
      </c>
      <c r="F924" s="8" t="s">
        <v>68</v>
      </c>
      <c r="G924" s="8"/>
      <c r="H924" s="8" t="s">
        <v>1391</v>
      </c>
      <c r="I924" s="8" t="s">
        <v>818</v>
      </c>
      <c r="J924" s="78" t="s">
        <v>4839</v>
      </c>
      <c r="K924" s="22">
        <v>0.0</v>
      </c>
      <c r="L924" s="22">
        <f>+SUMIF('حركه المخزن الرئيسي اليوميه'!$F:$F,$H:$H,'حركه المخزن الرئيسي اليوميه'!$H:$H)</f>
        <v>0.0</v>
      </c>
      <c r="M924" s="22">
        <f>+SUMIF('حركه المخزن الرئيسي اليوميه'!$F:$F,$H:$H,'حركه المخزن الرئيسي اليوميه'!$I:$I)</f>
        <v>0.0</v>
      </c>
      <c r="N924" s="22">
        <f>+K924+L924-M924</f>
        <v>0.0</v>
      </c>
      <c r="O924" s="22">
        <f>+N924</f>
        <v>0.0</v>
      </c>
      <c r="P924" s="22">
        <f>+N924-O924</f>
        <v>0.0</v>
      </c>
      <c r="Q924" s="57"/>
      <c r="R924" s="58"/>
    </row>
    <row r="925" spans="8:8" ht="15.0" customHeight="1">
      <c r="B925" s="54">
        <v>1028.0</v>
      </c>
      <c r="C925" s="8"/>
      <c r="D925" s="8"/>
      <c r="E925" s="8"/>
      <c r="F925" s="8"/>
      <c r="G925" s="8"/>
      <c r="H925" s="8"/>
      <c r="I925" s="8"/>
      <c r="J925" s="78" t="s">
        <v>4840</v>
      </c>
      <c r="K925" s="22">
        <v>0.0</v>
      </c>
      <c r="L925" s="22">
        <f>+SUMIF('حركه المخزن الرئيسي اليوميه'!$F:$F,$H:$H,'حركه المخزن الرئيسي اليوميه'!$H:$H)</f>
        <v>0.0</v>
      </c>
      <c r="M925" s="22">
        <f>+SUMIF('حركه المخزن الرئيسي اليوميه'!$F:$F,$H:$H,'حركه المخزن الرئيسي اليوميه'!$I:$I)</f>
        <v>0.0</v>
      </c>
      <c r="N925" s="22">
        <f>+K925+L925-M925</f>
        <v>0.0</v>
      </c>
      <c r="O925" s="22">
        <f>+N925</f>
        <v>0.0</v>
      </c>
      <c r="P925" s="22">
        <f>+N925-O925</f>
        <v>0.0</v>
      </c>
      <c r="Q925" s="57"/>
      <c r="R925" s="58"/>
    </row>
    <row r="926" spans="8:8" ht="15.0" customHeight="1">
      <c r="B926" s="54">
        <v>1029.0</v>
      </c>
      <c r="C926" s="8" t="s">
        <v>8351</v>
      </c>
      <c r="D926" s="8" t="s">
        <v>820</v>
      </c>
      <c r="E926" s="8" t="s">
        <v>2038</v>
      </c>
      <c r="F926" s="8" t="s">
        <v>68</v>
      </c>
      <c r="G926" s="8" t="s">
        <v>1630</v>
      </c>
      <c r="H926" s="8" t="s">
        <v>2038</v>
      </c>
      <c r="I926" s="8" t="s">
        <v>818</v>
      </c>
      <c r="J926" s="78" t="s">
        <v>4841</v>
      </c>
      <c r="K926" s="22">
        <v>0.0</v>
      </c>
      <c r="L926" s="22">
        <f>+SUMIF('حركه المخزن الرئيسي اليوميه'!$F:$F,$H:$H,'حركه المخزن الرئيسي اليوميه'!$H:$H)</f>
        <v>0.0</v>
      </c>
      <c r="M926" s="22">
        <f>+SUMIF('حركه المخزن الرئيسي اليوميه'!$F:$F,$H:$H,'حركه المخزن الرئيسي اليوميه'!$I:$I)</f>
        <v>0.0</v>
      </c>
      <c r="N926" s="22">
        <f>+K926+L926-M926</f>
        <v>0.0</v>
      </c>
      <c r="O926" s="22">
        <f>+N926</f>
        <v>0.0</v>
      </c>
      <c r="P926" s="22">
        <f>+N926-O926</f>
        <v>0.0</v>
      </c>
      <c r="Q926" s="57"/>
      <c r="R926" s="58"/>
    </row>
    <row r="927" spans="8:8" ht="15.0" customHeight="1">
      <c r="B927" s="54">
        <v>1030.0</v>
      </c>
      <c r="C927" s="8" t="s">
        <v>8351</v>
      </c>
      <c r="D927" s="8" t="s">
        <v>1013</v>
      </c>
      <c r="E927" s="8" t="s">
        <v>1611</v>
      </c>
      <c r="F927" s="8" t="s">
        <v>1501</v>
      </c>
      <c r="G927" s="8" t="s">
        <v>1652</v>
      </c>
      <c r="H927" s="8" t="s">
        <v>1611</v>
      </c>
      <c r="I927" s="8" t="s">
        <v>352</v>
      </c>
      <c r="J927" s="78" t="s">
        <v>4842</v>
      </c>
      <c r="K927" s="22">
        <v>834.0</v>
      </c>
      <c r="L927" s="22">
        <f>+SUMIF('حركه المخزن الرئيسي اليوميه'!$F:$F,$H:$H,'حركه المخزن الرئيسي اليوميه'!$H:$H)</f>
        <v>0.0</v>
      </c>
      <c r="M927" s="22">
        <f>+SUMIF('حركه المخزن الرئيسي اليوميه'!$F:$F,$H:$H,'حركه المخزن الرئيسي اليوميه'!$I:$I)</f>
        <v>27.0</v>
      </c>
      <c r="N927" s="22">
        <f>+K927+L927-M927</f>
        <v>807.0</v>
      </c>
      <c r="O927" s="22">
        <f>+N927</f>
        <v>807.0</v>
      </c>
      <c r="P927" s="22">
        <f>+N927-O927</f>
        <v>0.0</v>
      </c>
      <c r="Q927" s="57"/>
      <c r="R927" s="58"/>
    </row>
    <row r="928" spans="8:8" ht="15.0" customHeight="1">
      <c r="B928" s="54">
        <v>1031.0</v>
      </c>
      <c r="C928" s="8" t="s">
        <v>8351</v>
      </c>
      <c r="D928" s="8" t="s">
        <v>820</v>
      </c>
      <c r="E928" s="8" t="s">
        <v>861</v>
      </c>
      <c r="F928" s="8" t="s">
        <v>68</v>
      </c>
      <c r="G928" s="8" t="s">
        <v>1641</v>
      </c>
      <c r="H928" s="8" t="s">
        <v>861</v>
      </c>
      <c r="I928" s="8" t="s">
        <v>818</v>
      </c>
      <c r="J928" s="78" t="s">
        <v>4843</v>
      </c>
      <c r="K928" s="22">
        <v>0.0</v>
      </c>
      <c r="L928" s="22">
        <f>+SUMIF('حركه المخزن الرئيسي اليوميه'!$F:$F,$H:$H,'حركه المخزن الرئيسي اليوميه'!$H:$H)</f>
        <v>0.0</v>
      </c>
      <c r="M928" s="22">
        <f>+SUMIF('حركه المخزن الرئيسي اليوميه'!$F:$F,$H:$H,'حركه المخزن الرئيسي اليوميه'!$I:$I)</f>
        <v>0.0</v>
      </c>
      <c r="N928" s="22">
        <f>+K928+L928-M928</f>
        <v>0.0</v>
      </c>
      <c r="O928" s="22">
        <f>+N928</f>
        <v>0.0</v>
      </c>
      <c r="P928" s="22">
        <f>+N928-O928</f>
        <v>0.0</v>
      </c>
      <c r="Q928" s="57"/>
      <c r="R928" s="58"/>
    </row>
    <row r="929" spans="8:8" ht="15.0" customHeight="1">
      <c r="B929" s="54">
        <v>1032.0</v>
      </c>
      <c r="C929" s="8" t="s">
        <v>8351</v>
      </c>
      <c r="D929" s="8" t="s">
        <v>1013</v>
      </c>
      <c r="E929" s="8" t="s">
        <v>1599</v>
      </c>
      <c r="F929" s="8" t="s">
        <v>1501</v>
      </c>
      <c r="G929" s="8" t="s">
        <v>1650</v>
      </c>
      <c r="H929" s="8" t="s">
        <v>1599</v>
      </c>
      <c r="I929" s="8" t="s">
        <v>350</v>
      </c>
      <c r="J929" s="78" t="s">
        <v>4844</v>
      </c>
      <c r="K929" s="22">
        <v>786.0</v>
      </c>
      <c r="L929" s="22">
        <f>+SUMIF('حركه المخزن الرئيسي اليوميه'!$F:$F,$H:$H,'حركه المخزن الرئيسي اليوميه'!$H:$H)</f>
        <v>0.0</v>
      </c>
      <c r="M929" s="22">
        <f>+SUMIF('حركه المخزن الرئيسي اليوميه'!$F:$F,$H:$H,'حركه المخزن الرئيسي اليوميه'!$I:$I)</f>
        <v>105.0</v>
      </c>
      <c r="N929" s="22">
        <f>+K929+L929-M929</f>
        <v>681.0</v>
      </c>
      <c r="O929" s="22">
        <f>+N929</f>
        <v>681.0</v>
      </c>
      <c r="P929" s="22">
        <f>+N929-O929</f>
        <v>0.0</v>
      </c>
      <c r="Q929" s="57"/>
      <c r="R929" s="58"/>
    </row>
    <row r="930" spans="8:8" ht="15.0" customHeight="1">
      <c r="B930" s="54">
        <v>1033.0</v>
      </c>
      <c r="C930" s="8" t="s">
        <v>8351</v>
      </c>
      <c r="D930" s="8" t="s">
        <v>820</v>
      </c>
      <c r="E930" s="8" t="s">
        <v>862</v>
      </c>
      <c r="F930" s="8" t="s">
        <v>68</v>
      </c>
      <c r="G930" s="8" t="s">
        <v>1643</v>
      </c>
      <c r="H930" s="8" t="s">
        <v>862</v>
      </c>
      <c r="I930" s="8" t="s">
        <v>818</v>
      </c>
      <c r="J930" s="78" t="s">
        <v>4845</v>
      </c>
      <c r="K930" s="22">
        <v>0.0</v>
      </c>
      <c r="L930" s="22">
        <f>+SUMIF('حركه المخزن الرئيسي اليوميه'!$F:$F,$H:$H,'حركه المخزن الرئيسي اليوميه'!$H:$H)</f>
        <v>0.0</v>
      </c>
      <c r="M930" s="22">
        <f>+SUMIF('حركه المخزن الرئيسي اليوميه'!$F:$F,$H:$H,'حركه المخزن الرئيسي اليوميه'!$I:$I)</f>
        <v>0.0</v>
      </c>
      <c r="N930" s="22">
        <f>+K930+L930-M930</f>
        <v>0.0</v>
      </c>
      <c r="O930" s="22">
        <f>+N930</f>
        <v>0.0</v>
      </c>
      <c r="P930" s="22">
        <f>+N930-O930</f>
        <v>0.0</v>
      </c>
      <c r="Q930" s="57"/>
      <c r="R930" s="58"/>
    </row>
    <row r="931" spans="8:8" ht="15.0" customHeight="1">
      <c r="B931" s="54">
        <v>1034.0</v>
      </c>
      <c r="C931" s="8" t="s">
        <v>8351</v>
      </c>
      <c r="D931" s="8" t="s">
        <v>820</v>
      </c>
      <c r="E931" s="8" t="s">
        <v>864</v>
      </c>
      <c r="F931" s="8" t="s">
        <v>68</v>
      </c>
      <c r="G931" s="8" t="s">
        <v>1645</v>
      </c>
      <c r="H931" s="8" t="s">
        <v>864</v>
      </c>
      <c r="I931" s="8" t="s">
        <v>361</v>
      </c>
      <c r="J931" s="78" t="s">
        <v>4846</v>
      </c>
      <c r="K931" s="22">
        <v>693.0</v>
      </c>
      <c r="L931" s="22">
        <f>+SUMIF('حركه المخزن الرئيسي اليوميه'!$F:$F,$H:$H,'حركه المخزن الرئيسي اليوميه'!$H:$H)</f>
        <v>0.0</v>
      </c>
      <c r="M931" s="22">
        <f>+SUMIF('حركه المخزن الرئيسي اليوميه'!$F:$F,$H:$H,'حركه المخزن الرئيسي اليوميه'!$I:$I)</f>
        <v>14.0</v>
      </c>
      <c r="N931" s="22">
        <f>+K931+L931-M931</f>
        <v>679.0</v>
      </c>
      <c r="O931" s="22">
        <f>+N931</f>
        <v>679.0</v>
      </c>
      <c r="P931" s="22">
        <f>+N931-O931</f>
        <v>0.0</v>
      </c>
      <c r="Q931" s="57"/>
      <c r="R931" s="58"/>
    </row>
    <row r="932" spans="8:8" ht="15.0" customHeight="1">
      <c r="B932" s="54">
        <v>1035.0</v>
      </c>
      <c r="C932" s="8" t="s">
        <v>8351</v>
      </c>
      <c r="D932" s="8" t="s">
        <v>820</v>
      </c>
      <c r="E932" s="8" t="s">
        <v>863</v>
      </c>
      <c r="F932" s="8" t="s">
        <v>68</v>
      </c>
      <c r="G932" s="8" t="s">
        <v>1644</v>
      </c>
      <c r="H932" s="8" t="s">
        <v>863</v>
      </c>
      <c r="I932" s="8" t="s">
        <v>361</v>
      </c>
      <c r="J932" s="78" t="s">
        <v>4847</v>
      </c>
      <c r="K932" s="22">
        <v>7.0</v>
      </c>
      <c r="L932" s="22">
        <f>+SUMIF('حركه المخزن الرئيسي اليوميه'!$F:$F,$H:$H,'حركه المخزن الرئيسي اليوميه'!$H:$H)</f>
        <v>0.0</v>
      </c>
      <c r="M932" s="22">
        <f>+SUMIF('حركه المخزن الرئيسي اليوميه'!$F:$F,$H:$H,'حركه المخزن الرئيسي اليوميه'!$I:$I)</f>
        <v>0.0</v>
      </c>
      <c r="N932" s="22">
        <f>+K932+L932-M932</f>
        <v>7.0</v>
      </c>
      <c r="O932" s="22">
        <f>+N932</f>
        <v>7.0</v>
      </c>
      <c r="P932" s="22">
        <f>+N932-O932</f>
        <v>0.0</v>
      </c>
      <c r="Q932" s="57"/>
      <c r="R932" s="58"/>
    </row>
    <row r="933" spans="8:8" ht="15.0" customHeight="1">
      <c r="B933" s="54">
        <v>1036.0</v>
      </c>
      <c r="C933" s="8" t="s">
        <v>8351</v>
      </c>
      <c r="D933" s="8" t="s">
        <v>1013</v>
      </c>
      <c r="E933" s="8" t="s">
        <v>1890</v>
      </c>
      <c r="F933" s="8" t="s">
        <v>1501</v>
      </c>
      <c r="G933" s="8"/>
      <c r="H933" s="8" t="s">
        <v>1890</v>
      </c>
      <c r="I933" s="8" t="s">
        <v>818</v>
      </c>
      <c r="J933" s="78" t="s">
        <v>4848</v>
      </c>
      <c r="K933" s="22">
        <v>0.0</v>
      </c>
      <c r="L933" s="22">
        <f>+SUMIF('حركه المخزن الرئيسي اليوميه'!$F:$F,$H:$H,'حركه المخزن الرئيسي اليوميه'!$H:$H)</f>
        <v>0.0</v>
      </c>
      <c r="M933" s="22">
        <f>+SUMIF('حركه المخزن الرئيسي اليوميه'!$F:$F,$H:$H,'حركه المخزن الرئيسي اليوميه'!$I:$I)</f>
        <v>0.0</v>
      </c>
      <c r="N933" s="22">
        <f>+K933+L933-M933</f>
        <v>0.0</v>
      </c>
      <c r="O933" s="22">
        <f>+N933</f>
        <v>0.0</v>
      </c>
      <c r="P933" s="22">
        <f>+N933-O933</f>
        <v>0.0</v>
      </c>
      <c r="Q933" s="57"/>
      <c r="R933" s="58"/>
    </row>
    <row r="934" spans="8:8" ht="15.0" customHeight="1">
      <c r="B934" s="54">
        <v>1037.0</v>
      </c>
      <c r="C934" s="8" t="s">
        <v>8351</v>
      </c>
      <c r="D934" s="8" t="s">
        <v>820</v>
      </c>
      <c r="E934" s="8" t="s">
        <v>867</v>
      </c>
      <c r="F934" s="8" t="s">
        <v>68</v>
      </c>
      <c r="G934" s="8" t="s">
        <v>1647</v>
      </c>
      <c r="H934" s="8" t="s">
        <v>867</v>
      </c>
      <c r="I934" s="8" t="s">
        <v>818</v>
      </c>
      <c r="J934" s="78" t="s">
        <v>4849</v>
      </c>
      <c r="K934" s="22">
        <v>0.0</v>
      </c>
      <c r="L934" s="22">
        <f>+SUMIF('حركه المخزن الرئيسي اليوميه'!$F:$F,$H:$H,'حركه المخزن الرئيسي اليوميه'!$H:$H)</f>
        <v>0.0</v>
      </c>
      <c r="M934" s="22">
        <f>+SUMIF('حركه المخزن الرئيسي اليوميه'!$F:$F,$H:$H,'حركه المخزن الرئيسي اليوميه'!$I:$I)</f>
        <v>0.0</v>
      </c>
      <c r="N934" s="22">
        <f>+K934+L934-M934</f>
        <v>0.0</v>
      </c>
      <c r="O934" s="22">
        <f>+N934</f>
        <v>0.0</v>
      </c>
      <c r="P934" s="22">
        <f>+N934-O934</f>
        <v>0.0</v>
      </c>
      <c r="Q934" s="57"/>
      <c r="R934" s="58"/>
    </row>
    <row r="935" spans="8:8" ht="15.0" customHeight="1">
      <c r="B935" s="54">
        <v>1038.0</v>
      </c>
      <c r="C935" s="8" t="s">
        <v>8351</v>
      </c>
      <c r="D935" s="8" t="s">
        <v>820</v>
      </c>
      <c r="E935" s="8" t="s">
        <v>865</v>
      </c>
      <c r="F935" s="8" t="s">
        <v>68</v>
      </c>
      <c r="G935" s="8" t="s">
        <v>1646</v>
      </c>
      <c r="H935" s="8" t="s">
        <v>865</v>
      </c>
      <c r="I935" s="8" t="s">
        <v>818</v>
      </c>
      <c r="J935" s="78" t="s">
        <v>4850</v>
      </c>
      <c r="K935" s="22">
        <v>0.0</v>
      </c>
      <c r="L935" s="22">
        <f>+SUMIF('حركه المخزن الرئيسي اليوميه'!$F:$F,$H:$H,'حركه المخزن الرئيسي اليوميه'!$H:$H)</f>
        <v>0.0</v>
      </c>
      <c r="M935" s="22">
        <f>+SUMIF('حركه المخزن الرئيسي اليوميه'!$F:$F,$H:$H,'حركه المخزن الرئيسي اليوميه'!$I:$I)</f>
        <v>0.0</v>
      </c>
      <c r="N935" s="22">
        <f>+K935+L935-M935</f>
        <v>0.0</v>
      </c>
      <c r="O935" s="22">
        <f>+N935</f>
        <v>0.0</v>
      </c>
      <c r="P935" s="22">
        <f>+N935-O935</f>
        <v>0.0</v>
      </c>
      <c r="Q935" s="57"/>
      <c r="R935" s="58"/>
    </row>
    <row r="936" spans="8:8" ht="15.0" customHeight="1">
      <c r="B936" s="54">
        <v>1039.0</v>
      </c>
      <c r="C936" s="8" t="s">
        <v>8351</v>
      </c>
      <c r="D936" s="8" t="s">
        <v>820</v>
      </c>
      <c r="E936" s="8" t="s">
        <v>849</v>
      </c>
      <c r="F936" s="8" t="s">
        <v>68</v>
      </c>
      <c r="G936" s="8" t="s">
        <v>1636</v>
      </c>
      <c r="H936" s="8" t="s">
        <v>2561</v>
      </c>
      <c r="I936" s="8" t="s">
        <v>818</v>
      </c>
      <c r="J936" s="78" t="s">
        <v>4851</v>
      </c>
      <c r="K936" s="22">
        <v>0.0</v>
      </c>
      <c r="L936" s="22">
        <f>+SUMIF('حركه المخزن الرئيسي اليوميه'!$F:$F,$H:$H,'حركه المخزن الرئيسي اليوميه'!$H:$H)</f>
        <v>0.0</v>
      </c>
      <c r="M936" s="22">
        <f>+SUMIF('حركه المخزن الرئيسي اليوميه'!$F:$F,$H:$H,'حركه المخزن الرئيسي اليوميه'!$I:$I)</f>
        <v>0.0</v>
      </c>
      <c r="N936" s="22">
        <f>+K936+L936-M936</f>
        <v>0.0</v>
      </c>
      <c r="O936" s="22">
        <f>+N936</f>
        <v>0.0</v>
      </c>
      <c r="P936" s="22">
        <f>+N936-O936</f>
        <v>0.0</v>
      </c>
      <c r="Q936" s="57"/>
      <c r="R936" s="58"/>
    </row>
    <row r="937" spans="8:8" ht="15.0" customHeight="1">
      <c r="B937" s="54">
        <v>1040.0</v>
      </c>
      <c r="C937" s="8" t="s">
        <v>8351</v>
      </c>
      <c r="D937" s="8" t="s">
        <v>820</v>
      </c>
      <c r="E937" s="8" t="s">
        <v>847</v>
      </c>
      <c r="F937" s="8" t="s">
        <v>68</v>
      </c>
      <c r="G937" s="8" t="s">
        <v>1634</v>
      </c>
      <c r="H937" s="8" t="s">
        <v>847</v>
      </c>
      <c r="I937" s="8" t="s">
        <v>818</v>
      </c>
      <c r="J937" s="78" t="s">
        <v>4852</v>
      </c>
      <c r="K937" s="22">
        <v>0.0</v>
      </c>
      <c r="L937" s="22">
        <f>+SUMIF('حركه المخزن الرئيسي اليوميه'!$F:$F,$H:$H,'حركه المخزن الرئيسي اليوميه'!$H:$H)</f>
        <v>0.0</v>
      </c>
      <c r="M937" s="22">
        <f>+SUMIF('حركه المخزن الرئيسي اليوميه'!$F:$F,$H:$H,'حركه المخزن الرئيسي اليوميه'!$I:$I)</f>
        <v>0.0</v>
      </c>
      <c r="N937" s="22">
        <f>+K937+L937-M937</f>
        <v>0.0</v>
      </c>
      <c r="O937" s="22">
        <f>+N937</f>
        <v>0.0</v>
      </c>
      <c r="P937" s="22">
        <f>+N937-O937</f>
        <v>0.0</v>
      </c>
      <c r="Q937" s="57"/>
      <c r="R937" s="58"/>
    </row>
    <row r="938" spans="8:8">
      <c r="B938" s="54">
        <v>1041.0</v>
      </c>
      <c r="C938" s="8" t="s">
        <v>8351</v>
      </c>
      <c r="D938" s="8" t="s">
        <v>1013</v>
      </c>
      <c r="E938" s="8" t="s">
        <v>2669</v>
      </c>
      <c r="F938" s="8" t="s">
        <v>68</v>
      </c>
      <c r="G938" s="8"/>
      <c r="H938" s="8" t="s">
        <v>2669</v>
      </c>
      <c r="I938" s="8" t="s">
        <v>467</v>
      </c>
      <c r="J938" s="78" t="s">
        <v>4853</v>
      </c>
      <c r="K938" s="22">
        <v>83.0</v>
      </c>
      <c r="L938" s="22">
        <f>+SUMIF('حركه المخزن الرئيسي اليوميه'!$F:$F,$H:$H,'حركه المخزن الرئيسي اليوميه'!$H:$H)</f>
        <v>0.0</v>
      </c>
      <c r="M938" s="22">
        <f>+SUMIF('حركه المخزن الرئيسي اليوميه'!$F:$F,$H:$H,'حركه المخزن الرئيسي اليوميه'!$I:$I)</f>
        <v>0.0</v>
      </c>
      <c r="N938" s="22">
        <f>+K938+L938-M938</f>
        <v>83.0</v>
      </c>
      <c r="O938" s="22">
        <f>+N938</f>
        <v>83.0</v>
      </c>
      <c r="P938" s="22">
        <f>+N938-O938</f>
        <v>0.0</v>
      </c>
      <c r="Q938" s="57"/>
      <c r="R938" s="58"/>
    </row>
    <row r="939" spans="8:8" ht="15.0" customHeight="1">
      <c r="B939" s="54">
        <v>1042.0</v>
      </c>
      <c r="C939" s="8" t="s">
        <v>8351</v>
      </c>
      <c r="D939" s="8" t="s">
        <v>820</v>
      </c>
      <c r="E939" s="8" t="s">
        <v>848</v>
      </c>
      <c r="F939" s="8" t="s">
        <v>68</v>
      </c>
      <c r="G939" s="8" t="s">
        <v>1635</v>
      </c>
      <c r="H939" s="8" t="s">
        <v>848</v>
      </c>
      <c r="I939" s="8" t="s">
        <v>377</v>
      </c>
      <c r="J939" s="78" t="s">
        <v>4854</v>
      </c>
      <c r="K939" s="22">
        <v>630.0</v>
      </c>
      <c r="L939" s="22">
        <f>+SUMIF('حركه المخزن الرئيسي اليوميه'!$F:$F,$H:$H,'حركه المخزن الرئيسي اليوميه'!$H:$H)</f>
        <v>0.0</v>
      </c>
      <c r="M939" s="22">
        <f>+SUMIF('حركه المخزن الرئيسي اليوميه'!$F:$F,$H:$H,'حركه المخزن الرئيسي اليوميه'!$I:$I)</f>
        <v>8.0</v>
      </c>
      <c r="N939" s="22">
        <f>+K939+L939-M939</f>
        <v>622.0</v>
      </c>
      <c r="O939" s="22">
        <f>+N939</f>
        <v>622.0</v>
      </c>
      <c r="P939" s="22">
        <f>+N939-O939</f>
        <v>0.0</v>
      </c>
      <c r="Q939" s="57"/>
      <c r="R939" s="58"/>
    </row>
    <row r="940" spans="8:8" ht="15.0" customHeight="1">
      <c r="B940" s="54">
        <v>1043.0</v>
      </c>
      <c r="C940" s="8" t="s">
        <v>8351</v>
      </c>
      <c r="D940" s="8" t="s">
        <v>820</v>
      </c>
      <c r="E940" s="8" t="s">
        <v>853</v>
      </c>
      <c r="F940" s="8" t="s">
        <v>68</v>
      </c>
      <c r="G940" s="8" t="s">
        <v>1638</v>
      </c>
      <c r="H940" s="8" t="s">
        <v>2562</v>
      </c>
      <c r="I940" s="8" t="s">
        <v>8101</v>
      </c>
      <c r="J940" s="78" t="s">
        <v>4855</v>
      </c>
      <c r="K940" s="22">
        <v>8.0</v>
      </c>
      <c r="L940" s="22">
        <f>+SUMIF('حركه المخزن الرئيسي اليوميه'!$F:$F,$H:$H,'حركه المخزن الرئيسي اليوميه'!$H:$H)</f>
        <v>0.0</v>
      </c>
      <c r="M940" s="22">
        <f>+SUMIF('حركه المخزن الرئيسي اليوميه'!$F:$F,$H:$H,'حركه المخزن الرئيسي اليوميه'!$I:$I)</f>
        <v>0.0</v>
      </c>
      <c r="N940" s="22">
        <f>+K940+L940-M940</f>
        <v>8.0</v>
      </c>
      <c r="O940" s="22">
        <f>+N940</f>
        <v>8.0</v>
      </c>
      <c r="P940" s="22">
        <f>+N940-O940</f>
        <v>0.0</v>
      </c>
      <c r="Q940" s="57"/>
      <c r="R940" s="58"/>
    </row>
    <row r="941" spans="8:8" ht="15.0" customHeight="1">
      <c r="B941" s="54">
        <v>1044.0</v>
      </c>
      <c r="C941" s="8" t="s">
        <v>8351</v>
      </c>
      <c r="D941" s="8" t="s">
        <v>820</v>
      </c>
      <c r="E941" s="8" t="s">
        <v>852</v>
      </c>
      <c r="F941" s="8" t="s">
        <v>68</v>
      </c>
      <c r="G941" s="8" t="s">
        <v>1637</v>
      </c>
      <c r="H941" s="8" t="s">
        <v>852</v>
      </c>
      <c r="I941" s="8" t="s">
        <v>8101</v>
      </c>
      <c r="J941" s="78" t="s">
        <v>4856</v>
      </c>
      <c r="K941" s="22">
        <v>0.0</v>
      </c>
      <c r="L941" s="22">
        <f>+SUMIF('حركه المخزن الرئيسي اليوميه'!$F:$F,$H:$H,'حركه المخزن الرئيسي اليوميه'!$H:$H)</f>
        <v>0.0</v>
      </c>
      <c r="M941" s="22">
        <f>+SUMIF('حركه المخزن الرئيسي اليوميه'!$F:$F,$H:$H,'حركه المخزن الرئيسي اليوميه'!$I:$I)</f>
        <v>0.0</v>
      </c>
      <c r="N941" s="22">
        <f>+K941+L941-M941</f>
        <v>0.0</v>
      </c>
      <c r="O941" s="22">
        <f>+N941</f>
        <v>0.0</v>
      </c>
      <c r="P941" s="22">
        <f>+N941-O941</f>
        <v>0.0</v>
      </c>
      <c r="Q941" s="57"/>
      <c r="R941" s="58"/>
    </row>
    <row r="942" spans="8:8" ht="15.0" customHeight="1">
      <c r="B942" s="54">
        <v>1045.0</v>
      </c>
      <c r="C942" s="8" t="s">
        <v>8351</v>
      </c>
      <c r="D942" s="8" t="s">
        <v>1013</v>
      </c>
      <c r="E942" s="8" t="s">
        <v>1974</v>
      </c>
      <c r="F942" s="8" t="s">
        <v>1501</v>
      </c>
      <c r="G942" s="8" t="s">
        <v>1973</v>
      </c>
      <c r="H942" s="8" t="s">
        <v>1974</v>
      </c>
      <c r="I942" s="8" t="s">
        <v>818</v>
      </c>
      <c r="J942" s="78" t="s">
        <v>4857</v>
      </c>
      <c r="K942" s="22">
        <v>0.0</v>
      </c>
      <c r="L942" s="22">
        <f>+SUMIF('حركه المخزن الرئيسي اليوميه'!$F:$F,$H:$H,'حركه المخزن الرئيسي اليوميه'!$H:$H)</f>
        <v>0.0</v>
      </c>
      <c r="M942" s="22">
        <f>+SUMIF('حركه المخزن الرئيسي اليوميه'!$F:$F,$H:$H,'حركه المخزن الرئيسي اليوميه'!$I:$I)</f>
        <v>0.0</v>
      </c>
      <c r="N942" s="22">
        <f>+K942+L942-M942</f>
        <v>0.0</v>
      </c>
      <c r="O942" s="22">
        <f>+N942</f>
        <v>0.0</v>
      </c>
      <c r="P942" s="22">
        <f>+N942-O942</f>
        <v>0.0</v>
      </c>
      <c r="Q942" s="57"/>
      <c r="R942" s="58"/>
    </row>
    <row r="943" spans="8:8" ht="15.0" customHeight="1">
      <c r="B943" s="54">
        <v>1046.0</v>
      </c>
      <c r="C943" s="8" t="s">
        <v>8351</v>
      </c>
      <c r="D943" s="8" t="s">
        <v>820</v>
      </c>
      <c r="E943" s="8" t="s">
        <v>855</v>
      </c>
      <c r="F943" s="8" t="s">
        <v>68</v>
      </c>
      <c r="G943" s="8" t="s">
        <v>1640</v>
      </c>
      <c r="H943" s="8" t="s">
        <v>855</v>
      </c>
      <c r="I943" s="8" t="s">
        <v>818</v>
      </c>
      <c r="J943" s="78" t="s">
        <v>4858</v>
      </c>
      <c r="K943" s="22">
        <v>0.0</v>
      </c>
      <c r="L943" s="22">
        <f>+SUMIF('حركه المخزن الرئيسي اليوميه'!$F:$F,$H:$H,'حركه المخزن الرئيسي اليوميه'!$H:$H)</f>
        <v>0.0</v>
      </c>
      <c r="M943" s="22">
        <f>+SUMIF('حركه المخزن الرئيسي اليوميه'!$F:$F,$H:$H,'حركه المخزن الرئيسي اليوميه'!$I:$I)</f>
        <v>0.0</v>
      </c>
      <c r="N943" s="22">
        <f>+K943+L943-M943</f>
        <v>0.0</v>
      </c>
      <c r="O943" s="22">
        <f>+N943</f>
        <v>0.0</v>
      </c>
      <c r="P943" s="22">
        <f>+N943-O943</f>
        <v>0.0</v>
      </c>
      <c r="Q943" s="57"/>
      <c r="R943" s="58"/>
    </row>
    <row r="944" spans="8:8" ht="15.0" customHeight="1">
      <c r="B944" s="54">
        <v>1047.0</v>
      </c>
      <c r="C944" s="8" t="s">
        <v>8351</v>
      </c>
      <c r="D944" s="8" t="s">
        <v>820</v>
      </c>
      <c r="E944" s="8" t="s">
        <v>866</v>
      </c>
      <c r="F944" s="8" t="s">
        <v>68</v>
      </c>
      <c r="G944" s="8" t="s">
        <v>2399</v>
      </c>
      <c r="H944" s="8" t="s">
        <v>866</v>
      </c>
      <c r="I944" s="8" t="s">
        <v>818</v>
      </c>
      <c r="J944" s="78" t="s">
        <v>4859</v>
      </c>
      <c r="K944" s="22">
        <v>0.0</v>
      </c>
      <c r="L944" s="22">
        <f>+SUMIF('حركه المخزن الرئيسي اليوميه'!$F:$F,$H:$H,'حركه المخزن الرئيسي اليوميه'!$H:$H)</f>
        <v>0.0</v>
      </c>
      <c r="M944" s="22">
        <f>+SUMIF('حركه المخزن الرئيسي اليوميه'!$F:$F,$H:$H,'حركه المخزن الرئيسي اليوميه'!$I:$I)</f>
        <v>0.0</v>
      </c>
      <c r="N944" s="22">
        <f>+K944+L944-M944</f>
        <v>0.0</v>
      </c>
      <c r="O944" s="22">
        <f>+N944</f>
        <v>0.0</v>
      </c>
      <c r="P944" s="22">
        <f>+N944-O944</f>
        <v>0.0</v>
      </c>
      <c r="Q944" s="57"/>
      <c r="R944" s="58"/>
    </row>
    <row r="945" spans="8:8" ht="15.0" customHeight="1">
      <c r="B945" s="54">
        <v>1048.0</v>
      </c>
      <c r="C945" s="8" t="s">
        <v>8351</v>
      </c>
      <c r="D945" s="8" t="s">
        <v>820</v>
      </c>
      <c r="E945" s="8" t="s">
        <v>836</v>
      </c>
      <c r="F945" s="8" t="s">
        <v>68</v>
      </c>
      <c r="G945" s="8" t="s">
        <v>1629</v>
      </c>
      <c r="H945" s="8" t="s">
        <v>836</v>
      </c>
      <c r="I945" s="8" t="s">
        <v>382</v>
      </c>
      <c r="J945" s="78" t="s">
        <v>4860</v>
      </c>
      <c r="K945" s="22">
        <v>281.0</v>
      </c>
      <c r="L945" s="22">
        <f>+SUMIF('حركه المخزن الرئيسي اليوميه'!$F:$F,$H:$H,'حركه المخزن الرئيسي اليوميه'!$H:$H)</f>
        <v>0.0</v>
      </c>
      <c r="M945" s="22">
        <f>+SUMIF('حركه المخزن الرئيسي اليوميه'!$F:$F,$H:$H,'حركه المخزن الرئيسي اليوميه'!$I:$I)</f>
        <v>0.0</v>
      </c>
      <c r="N945" s="22">
        <f>+K945+L945-M945</f>
        <v>281.0</v>
      </c>
      <c r="O945" s="22">
        <f>+N945</f>
        <v>281.0</v>
      </c>
      <c r="P945" s="22">
        <f>+N945-O945</f>
        <v>0.0</v>
      </c>
      <c r="Q945" s="57"/>
      <c r="R945" s="58"/>
    </row>
    <row r="946" spans="8:8" ht="15.0" customHeight="1">
      <c r="B946" s="54">
        <v>1049.0</v>
      </c>
      <c r="C946" s="8" t="s">
        <v>8351</v>
      </c>
      <c r="D946" s="8" t="s">
        <v>820</v>
      </c>
      <c r="E946" s="8" t="s">
        <v>841</v>
      </c>
      <c r="F946" s="8" t="s">
        <v>68</v>
      </c>
      <c r="G946" s="8" t="s">
        <v>1630</v>
      </c>
      <c r="H946" s="8" t="s">
        <v>841</v>
      </c>
      <c r="I946" s="8" t="s">
        <v>8100</v>
      </c>
      <c r="J946" s="78" t="s">
        <v>4861</v>
      </c>
      <c r="K946" s="22">
        <v>71.0</v>
      </c>
      <c r="L946" s="22">
        <f>+SUMIF('حركه المخزن الرئيسي اليوميه'!$F:$F,$H:$H,'حركه المخزن الرئيسي اليوميه'!$H:$H)</f>
        <v>0.0</v>
      </c>
      <c r="M946" s="22">
        <f>+SUMIF('حركه المخزن الرئيسي اليوميه'!$F:$F,$H:$H,'حركه المخزن الرئيسي اليوميه'!$I:$I)</f>
        <v>0.0</v>
      </c>
      <c r="N946" s="22">
        <f>+K946+L946-M946</f>
        <v>71.0</v>
      </c>
      <c r="O946" s="22">
        <f>+N946</f>
        <v>71.0</v>
      </c>
      <c r="P946" s="22">
        <f>+N946-O946</f>
        <v>0.0</v>
      </c>
      <c r="Q946" s="57"/>
      <c r="R946" s="58"/>
    </row>
    <row r="947" spans="8:8" ht="15.0" customHeight="1">
      <c r="B947" s="54">
        <v>1050.0</v>
      </c>
      <c r="C947" s="8" t="s">
        <v>8351</v>
      </c>
      <c r="D947" s="8" t="s">
        <v>820</v>
      </c>
      <c r="E947" s="8" t="s">
        <v>837</v>
      </c>
      <c r="F947" s="8" t="s">
        <v>68</v>
      </c>
      <c r="G947" s="8" t="s">
        <v>1630</v>
      </c>
      <c r="H947" s="8" t="s">
        <v>837</v>
      </c>
      <c r="I947" s="8" t="s">
        <v>467</v>
      </c>
      <c r="J947" s="78" t="s">
        <v>4862</v>
      </c>
      <c r="K947" s="22">
        <v>363.0</v>
      </c>
      <c r="L947" s="22">
        <f>+SUMIF('حركه المخزن الرئيسي اليوميه'!$F:$F,$H:$H,'حركه المخزن الرئيسي اليوميه'!$H:$H)</f>
        <v>0.0</v>
      </c>
      <c r="M947" s="22">
        <f>+SUMIF('حركه المخزن الرئيسي اليوميه'!$F:$F,$H:$H,'حركه المخزن الرئيسي اليوميه'!$I:$I)</f>
        <v>0.0</v>
      </c>
      <c r="N947" s="22">
        <f>+K947+L947-M947</f>
        <v>363.0</v>
      </c>
      <c r="O947" s="22">
        <f>+N947</f>
        <v>363.0</v>
      </c>
      <c r="P947" s="22">
        <f>+N947-O947</f>
        <v>0.0</v>
      </c>
      <c r="Q947" s="57"/>
      <c r="R947" s="58"/>
    </row>
    <row r="948" spans="8:8" ht="15.0" customHeight="1">
      <c r="B948" s="54">
        <v>1051.0</v>
      </c>
      <c r="C948" s="8" t="s">
        <v>8351</v>
      </c>
      <c r="D948" s="8" t="s">
        <v>820</v>
      </c>
      <c r="E948" s="8" t="s">
        <v>838</v>
      </c>
      <c r="F948" s="8" t="s">
        <v>68</v>
      </c>
      <c r="G948" s="8" t="s">
        <v>1631</v>
      </c>
      <c r="H948" s="8" t="s">
        <v>838</v>
      </c>
      <c r="I948" s="8" t="s">
        <v>382</v>
      </c>
      <c r="J948" s="78" t="s">
        <v>4863</v>
      </c>
      <c r="K948" s="22">
        <v>176.0</v>
      </c>
      <c r="L948" s="22">
        <f>+SUMIF('حركه المخزن الرئيسي اليوميه'!$F:$F,$H:$H,'حركه المخزن الرئيسي اليوميه'!$H:$H)</f>
        <v>0.0</v>
      </c>
      <c r="M948" s="22">
        <f>+SUMIF('حركه المخزن الرئيسي اليوميه'!$F:$F,$H:$H,'حركه المخزن الرئيسي اليوميه'!$I:$I)</f>
        <v>0.0</v>
      </c>
      <c r="N948" s="22">
        <f>+K948+L948-M948</f>
        <v>176.0</v>
      </c>
      <c r="O948" s="22">
        <f>+N948</f>
        <v>176.0</v>
      </c>
      <c r="P948" s="22">
        <f>+N948-O948</f>
        <v>0.0</v>
      </c>
      <c r="Q948" s="57"/>
      <c r="R948" s="58"/>
    </row>
    <row r="949" spans="8:8" ht="15.0" customHeight="1">
      <c r="B949" s="54">
        <v>1052.0</v>
      </c>
      <c r="C949" s="8" t="s">
        <v>8351</v>
      </c>
      <c r="D949" s="8" t="s">
        <v>568</v>
      </c>
      <c r="E949" s="8" t="s">
        <v>2024</v>
      </c>
      <c r="F949" s="8" t="s">
        <v>68</v>
      </c>
      <c r="G949" s="8" t="s">
        <v>1811</v>
      </c>
      <c r="H949" s="8" t="s">
        <v>2025</v>
      </c>
      <c r="I949" s="8" t="s">
        <v>818</v>
      </c>
      <c r="J949" s="78" t="s">
        <v>4864</v>
      </c>
      <c r="K949" s="22">
        <v>0.0</v>
      </c>
      <c r="L949" s="22">
        <f>+SUMIF('حركه المخزن الرئيسي اليوميه'!$F:$F,$H:$H,'حركه المخزن الرئيسي اليوميه'!$H:$H)</f>
        <v>0.0</v>
      </c>
      <c r="M949" s="22">
        <f>+SUMIF('حركه المخزن الرئيسي اليوميه'!$F:$F,$H:$H,'حركه المخزن الرئيسي اليوميه'!$I:$I)</f>
        <v>0.0</v>
      </c>
      <c r="N949" s="22">
        <f>+K949+L949-M949</f>
        <v>0.0</v>
      </c>
      <c r="O949" s="22">
        <f>+N949</f>
        <v>0.0</v>
      </c>
      <c r="P949" s="22">
        <f>+N949-O949</f>
        <v>0.0</v>
      </c>
      <c r="Q949" s="57"/>
      <c r="R949" s="58"/>
    </row>
    <row r="950" spans="8:8" ht="15.0" customHeight="1">
      <c r="B950" s="54">
        <v>1053.0</v>
      </c>
      <c r="C950" s="8" t="s">
        <v>8351</v>
      </c>
      <c r="D950" s="8" t="s">
        <v>820</v>
      </c>
      <c r="E950" s="8" t="s">
        <v>839</v>
      </c>
      <c r="F950" s="8" t="s">
        <v>68</v>
      </c>
      <c r="G950" s="8" t="s">
        <v>1632</v>
      </c>
      <c r="H950" s="8" t="s">
        <v>839</v>
      </c>
      <c r="I950" s="8" t="s">
        <v>8100</v>
      </c>
      <c r="J950" s="78" t="s">
        <v>4865</v>
      </c>
      <c r="K950" s="22">
        <v>39.0</v>
      </c>
      <c r="L950" s="22">
        <f>+SUMIF('حركه المخزن الرئيسي اليوميه'!$F:$F,$H:$H,'حركه المخزن الرئيسي اليوميه'!$H:$H)</f>
        <v>0.0</v>
      </c>
      <c r="M950" s="22">
        <f>+SUMIF('حركه المخزن الرئيسي اليوميه'!$F:$F,$H:$H,'حركه المخزن الرئيسي اليوميه'!$I:$I)</f>
        <v>0.0</v>
      </c>
      <c r="N950" s="22">
        <f>+K950+L950-M950</f>
        <v>39.0</v>
      </c>
      <c r="O950" s="22">
        <f>+N950</f>
        <v>39.0</v>
      </c>
      <c r="P950" s="22">
        <f>+N950-O950</f>
        <v>0.0</v>
      </c>
      <c r="Q950" s="57"/>
      <c r="R950" s="58"/>
    </row>
    <row r="951" spans="8:8" ht="15.0" customHeight="1">
      <c r="B951" s="54">
        <v>1054.0</v>
      </c>
      <c r="C951" s="8" t="s">
        <v>8351</v>
      </c>
      <c r="D951" s="8" t="s">
        <v>1013</v>
      </c>
      <c r="E951" s="8" t="s">
        <v>2572</v>
      </c>
      <c r="F951" s="8" t="s">
        <v>68</v>
      </c>
      <c r="G951" s="8" t="s">
        <v>2055</v>
      </c>
      <c r="H951" s="8" t="s">
        <v>2572</v>
      </c>
      <c r="I951" s="8" t="s">
        <v>8100</v>
      </c>
      <c r="J951" s="78" t="s">
        <v>4866</v>
      </c>
      <c r="K951" s="22">
        <v>103.0</v>
      </c>
      <c r="L951" s="22">
        <f>+SUMIF('حركه المخزن الرئيسي اليوميه'!$F:$F,$H:$H,'حركه المخزن الرئيسي اليوميه'!$H:$H)</f>
        <v>0.0</v>
      </c>
      <c r="M951" s="22">
        <f>+SUMIF('حركه المخزن الرئيسي اليوميه'!$F:$F,$H:$H,'حركه المخزن الرئيسي اليوميه'!$I:$I)</f>
        <v>0.0</v>
      </c>
      <c r="N951" s="22">
        <f>+K951+L951-M951</f>
        <v>103.0</v>
      </c>
      <c r="O951" s="22">
        <f>+N951</f>
        <v>103.0</v>
      </c>
      <c r="P951" s="22">
        <f>+N951-O951</f>
        <v>0.0</v>
      </c>
      <c r="Q951" s="57"/>
      <c r="R951" s="58"/>
    </row>
    <row r="952" spans="8:8" ht="15.0" customHeight="1">
      <c r="B952" s="54">
        <v>1055.0</v>
      </c>
      <c r="C952" s="8" t="s">
        <v>8351</v>
      </c>
      <c r="D952" s="8" t="s">
        <v>1013</v>
      </c>
      <c r="E952" s="8" t="s">
        <v>2573</v>
      </c>
      <c r="F952" s="8" t="s">
        <v>68</v>
      </c>
      <c r="G952" s="8" t="s">
        <v>2055</v>
      </c>
      <c r="H952" s="8" t="s">
        <v>2573</v>
      </c>
      <c r="I952" s="8" t="s">
        <v>8101</v>
      </c>
      <c r="J952" s="78" t="s">
        <v>4867</v>
      </c>
      <c r="K952" s="22">
        <v>8.0</v>
      </c>
      <c r="L952" s="22">
        <f>+SUMIF('حركه المخزن الرئيسي اليوميه'!$F:$F,$H:$H,'حركه المخزن الرئيسي اليوميه'!$H:$H)</f>
        <v>0.0</v>
      </c>
      <c r="M952" s="22">
        <f>+SUMIF('حركه المخزن الرئيسي اليوميه'!$F:$F,$H:$H,'حركه المخزن الرئيسي اليوميه'!$I:$I)</f>
        <v>0.0</v>
      </c>
      <c r="N952" s="22">
        <f>+K952+L952-M952</f>
        <v>8.0</v>
      </c>
      <c r="O952" s="22">
        <f>+N952</f>
        <v>8.0</v>
      </c>
      <c r="P952" s="22">
        <f>+N952-O952</f>
        <v>0.0</v>
      </c>
      <c r="Q952" s="57"/>
      <c r="R952" s="58"/>
    </row>
    <row r="953" spans="8:8" ht="15.0" customHeight="1">
      <c r="B953" s="54">
        <v>1056.0</v>
      </c>
      <c r="C953" s="8" t="s">
        <v>8351</v>
      </c>
      <c r="D953" s="8" t="s">
        <v>1013</v>
      </c>
      <c r="E953" s="8" t="s">
        <v>2575</v>
      </c>
      <c r="F953" s="8" t="s">
        <v>68</v>
      </c>
      <c r="G953" s="8" t="s">
        <v>2314</v>
      </c>
      <c r="H953" s="8" t="s">
        <v>2575</v>
      </c>
      <c r="I953" s="8" t="s">
        <v>818</v>
      </c>
      <c r="J953" s="78" t="s">
        <v>4868</v>
      </c>
      <c r="K953" s="22">
        <v>2.0</v>
      </c>
      <c r="L953" s="22">
        <f>+SUMIF('حركه المخزن الرئيسي اليوميه'!$F:$F,$H:$H,'حركه المخزن الرئيسي اليوميه'!$H:$H)</f>
        <v>0.0</v>
      </c>
      <c r="M953" s="22">
        <f>+SUMIF('حركه المخزن الرئيسي اليوميه'!$F:$F,$H:$H,'حركه المخزن الرئيسي اليوميه'!$I:$I)</f>
        <v>0.0</v>
      </c>
      <c r="N953" s="22">
        <f>+K953+L953-M953</f>
        <v>2.0</v>
      </c>
      <c r="O953" s="22">
        <f>+N953</f>
        <v>2.0</v>
      </c>
      <c r="P953" s="22">
        <f>+N953-O953</f>
        <v>0.0</v>
      </c>
      <c r="Q953" s="57"/>
      <c r="R953" s="58"/>
    </row>
    <row r="954" spans="8:8" ht="15.0" customHeight="1">
      <c r="B954" s="54">
        <v>1057.0</v>
      </c>
      <c r="C954" s="8" t="s">
        <v>8351</v>
      </c>
      <c r="D954" s="8" t="s">
        <v>820</v>
      </c>
      <c r="E954" s="8" t="s">
        <v>2785</v>
      </c>
      <c r="F954" s="8" t="s">
        <v>68</v>
      </c>
      <c r="G954" s="8" t="s">
        <v>2171</v>
      </c>
      <c r="H954" s="8" t="s">
        <v>860</v>
      </c>
      <c r="I954" s="8" t="s">
        <v>286</v>
      </c>
      <c r="J954" s="78" t="s">
        <v>4869</v>
      </c>
      <c r="K954" s="22">
        <v>0.0</v>
      </c>
      <c r="L954" s="22">
        <f>+SUMIF('حركه المخزن الرئيسي اليوميه'!$F:$F,$H:$H,'حركه المخزن الرئيسي اليوميه'!$H:$H)</f>
        <v>0.0</v>
      </c>
      <c r="M954" s="22">
        <f>+SUMIF('حركه المخزن الرئيسي اليوميه'!$F:$F,$H:$H,'حركه المخزن الرئيسي اليوميه'!$I:$I)</f>
        <v>0.0</v>
      </c>
      <c r="N954" s="22">
        <f>+K954+L954-M954</f>
        <v>0.0</v>
      </c>
      <c r="O954" s="22">
        <f>+N954</f>
        <v>0.0</v>
      </c>
      <c r="P954" s="22">
        <f>+N954-O954</f>
        <v>0.0</v>
      </c>
      <c r="Q954" s="57"/>
      <c r="R954" s="58"/>
    </row>
    <row r="955" spans="8:8" ht="15.0" customHeight="1">
      <c r="B955" s="54">
        <v>1058.0</v>
      </c>
      <c r="C955" s="8"/>
      <c r="D955" s="8"/>
      <c r="E955" s="8"/>
      <c r="F955" s="8"/>
      <c r="G955" s="8"/>
      <c r="H955" s="8"/>
      <c r="I955" s="8"/>
      <c r="J955" s="78" t="s">
        <v>4870</v>
      </c>
      <c r="K955" s="22">
        <v>0.0</v>
      </c>
      <c r="L955" s="22">
        <f>+SUMIF('حركه المخزن الرئيسي اليوميه'!$F:$F,$H:$H,'حركه المخزن الرئيسي اليوميه'!$H:$H)</f>
        <v>0.0</v>
      </c>
      <c r="M955" s="22">
        <f>+SUMIF('حركه المخزن الرئيسي اليوميه'!$F:$F,$H:$H,'حركه المخزن الرئيسي اليوميه'!$I:$I)</f>
        <v>0.0</v>
      </c>
      <c r="N955" s="22">
        <f>+K955+L955-M955</f>
        <v>0.0</v>
      </c>
      <c r="O955" s="22">
        <f>+N955</f>
        <v>0.0</v>
      </c>
      <c r="P955" s="22">
        <f>+N955-O955</f>
        <v>0.0</v>
      </c>
      <c r="Q955" s="57"/>
      <c r="R955" s="58"/>
    </row>
    <row r="956" spans="8:8" ht="15.0" customHeight="1">
      <c r="B956" s="54">
        <v>1059.0</v>
      </c>
      <c r="C956" s="8" t="s">
        <v>8351</v>
      </c>
      <c r="D956" s="8" t="s">
        <v>1013</v>
      </c>
      <c r="E956" s="8" t="s">
        <v>2670</v>
      </c>
      <c r="F956" s="8" t="s">
        <v>68</v>
      </c>
      <c r="G956" s="8"/>
      <c r="H956" s="8" t="s">
        <v>2670</v>
      </c>
      <c r="I956" s="8" t="s">
        <v>818</v>
      </c>
      <c r="J956" s="78" t="s">
        <v>4871</v>
      </c>
      <c r="K956" s="22">
        <v>0.0</v>
      </c>
      <c r="L956" s="22">
        <f>+SUMIF('حركه المخزن الرئيسي اليوميه'!$F:$F,$H:$H,'حركه المخزن الرئيسي اليوميه'!$H:$H)</f>
        <v>0.0</v>
      </c>
      <c r="M956" s="22">
        <f>+SUMIF('حركه المخزن الرئيسي اليوميه'!$F:$F,$H:$H,'حركه المخزن الرئيسي اليوميه'!$I:$I)</f>
        <v>0.0</v>
      </c>
      <c r="N956" s="22">
        <f>+K956+L956-M956</f>
        <v>0.0</v>
      </c>
      <c r="O956" s="22">
        <f>+N956</f>
        <v>0.0</v>
      </c>
      <c r="P956" s="22">
        <f>+N956-O956</f>
        <v>0.0</v>
      </c>
      <c r="Q956" s="57"/>
      <c r="R956" s="58"/>
    </row>
    <row r="957" spans="8:8" ht="15.0" customHeight="1">
      <c r="B957" s="54">
        <v>1060.0</v>
      </c>
      <c r="C957" s="8" t="s">
        <v>8351</v>
      </c>
      <c r="D957" s="8" t="s">
        <v>1013</v>
      </c>
      <c r="E957" s="8" t="s">
        <v>2617</v>
      </c>
      <c r="F957" s="8" t="s">
        <v>68</v>
      </c>
      <c r="G957" s="8" t="s">
        <v>2055</v>
      </c>
      <c r="H957" s="8" t="s">
        <v>3533</v>
      </c>
      <c r="I957" s="8" t="s">
        <v>3290</v>
      </c>
      <c r="J957" s="78" t="s">
        <v>4872</v>
      </c>
      <c r="K957" s="22">
        <v>17.0</v>
      </c>
      <c r="L957" s="22">
        <f>+SUMIF('حركه المخزن الرئيسي اليوميه'!$F:$F,$H:$H,'حركه المخزن الرئيسي اليوميه'!$H:$H)</f>
        <v>0.0</v>
      </c>
      <c r="M957" s="22">
        <f>+SUMIF('حركه المخزن الرئيسي اليوميه'!$F:$F,$H:$H,'حركه المخزن الرئيسي اليوميه'!$I:$I)</f>
        <v>0.0</v>
      </c>
      <c r="N957" s="22">
        <f>+K957+L957-M957</f>
        <v>17.0</v>
      </c>
      <c r="O957" s="22">
        <f>+N957</f>
        <v>17.0</v>
      </c>
      <c r="P957" s="22">
        <f>+N957-O957</f>
        <v>0.0</v>
      </c>
      <c r="Q957" s="57"/>
      <c r="R957" s="58"/>
    </row>
    <row r="958" spans="8:8" ht="15.0" customHeight="1">
      <c r="B958" s="54">
        <v>1061.0</v>
      </c>
      <c r="C958" s="8" t="s">
        <v>8351</v>
      </c>
      <c r="D958" s="8" t="s">
        <v>1013</v>
      </c>
      <c r="E958" s="8" t="s">
        <v>1594</v>
      </c>
      <c r="F958" s="8" t="s">
        <v>1501</v>
      </c>
      <c r="G958" s="8"/>
      <c r="H958" s="8" t="s">
        <v>1594</v>
      </c>
      <c r="I958" s="8" t="s">
        <v>818</v>
      </c>
      <c r="J958" s="78" t="s">
        <v>4873</v>
      </c>
      <c r="K958" s="22">
        <v>0.0</v>
      </c>
      <c r="L958" s="22">
        <f>+SUMIF('حركه المخزن الرئيسي اليوميه'!$F:$F,$H:$H,'حركه المخزن الرئيسي اليوميه'!$H:$H)</f>
        <v>0.0</v>
      </c>
      <c r="M958" s="22">
        <f>+SUMIF('حركه المخزن الرئيسي اليوميه'!$F:$F,$H:$H,'حركه المخزن الرئيسي اليوميه'!$I:$I)</f>
        <v>0.0</v>
      </c>
      <c r="N958" s="22">
        <f>+K958+L958-M958</f>
        <v>0.0</v>
      </c>
      <c r="O958" s="22">
        <f>+N958</f>
        <v>0.0</v>
      </c>
      <c r="P958" s="22">
        <f>+N958-O958</f>
        <v>0.0</v>
      </c>
      <c r="Q958" s="57"/>
      <c r="R958" s="58"/>
    </row>
    <row r="959" spans="8:8" ht="15.0" customHeight="1">
      <c r="B959" s="54">
        <v>1062.0</v>
      </c>
      <c r="C959" s="8" t="s">
        <v>8351</v>
      </c>
      <c r="D959" s="8" t="s">
        <v>568</v>
      </c>
      <c r="E959" s="8" t="s">
        <v>2680</v>
      </c>
      <c r="F959" s="8" t="s">
        <v>68</v>
      </c>
      <c r="G959" s="8"/>
      <c r="H959" s="8" t="s">
        <v>2680</v>
      </c>
      <c r="I959" s="8" t="s">
        <v>818</v>
      </c>
      <c r="J959" s="78" t="s">
        <v>4874</v>
      </c>
      <c r="K959" s="22">
        <v>0.0</v>
      </c>
      <c r="L959" s="22">
        <f>+SUMIF('حركه المخزن الرئيسي اليوميه'!$F:$F,$H:$H,'حركه المخزن الرئيسي اليوميه'!$H:$H)</f>
        <v>0.0</v>
      </c>
      <c r="M959" s="22">
        <f>+SUMIF('حركه المخزن الرئيسي اليوميه'!$F:$F,$H:$H,'حركه المخزن الرئيسي اليوميه'!$I:$I)</f>
        <v>0.0</v>
      </c>
      <c r="N959" s="22">
        <f>+K959+L959-M959</f>
        <v>0.0</v>
      </c>
      <c r="O959" s="22">
        <f>+N959</f>
        <v>0.0</v>
      </c>
      <c r="P959" s="22">
        <f>+N959-O959</f>
        <v>0.0</v>
      </c>
      <c r="Q959" s="57"/>
      <c r="R959" s="58"/>
    </row>
    <row r="960" spans="8:8" ht="15.0" customHeight="1">
      <c r="B960" s="54">
        <v>1063.0</v>
      </c>
      <c r="C960" s="8" t="s">
        <v>8351</v>
      </c>
      <c r="D960" s="8" t="s">
        <v>820</v>
      </c>
      <c r="E960" s="8" t="s">
        <v>2702</v>
      </c>
      <c r="F960" s="8" t="s">
        <v>68</v>
      </c>
      <c r="G960" s="8" t="s">
        <v>1671</v>
      </c>
      <c r="H960" s="8" t="s">
        <v>2702</v>
      </c>
      <c r="I960" s="8" t="s">
        <v>818</v>
      </c>
      <c r="J960" s="78" t="s">
        <v>4875</v>
      </c>
      <c r="K960" s="22">
        <v>0.0</v>
      </c>
      <c r="L960" s="22">
        <f>+SUMIF('حركه المخزن الرئيسي اليوميه'!$F:$F,$H:$H,'حركه المخزن الرئيسي اليوميه'!$H:$H)</f>
        <v>0.0</v>
      </c>
      <c r="M960" s="22">
        <f>+SUMIF('حركه المخزن الرئيسي اليوميه'!$F:$F,$H:$H,'حركه المخزن الرئيسي اليوميه'!$I:$I)</f>
        <v>0.0</v>
      </c>
      <c r="N960" s="22">
        <f>+K960+L960-M960</f>
        <v>0.0</v>
      </c>
      <c r="O960" s="22">
        <f>+N960</f>
        <v>0.0</v>
      </c>
      <c r="P960" s="22">
        <f>+N960-O960</f>
        <v>0.0</v>
      </c>
      <c r="Q960" s="57"/>
      <c r="R960" s="58"/>
    </row>
    <row r="961" spans="8:8" ht="15.0" customHeight="1">
      <c r="B961" s="54">
        <v>1064.0</v>
      </c>
      <c r="C961" s="8"/>
      <c r="D961" s="8"/>
      <c r="E961" s="8"/>
      <c r="F961" s="8"/>
      <c r="G961" s="8"/>
      <c r="H961" s="8"/>
      <c r="I961" s="8"/>
      <c r="J961" s="78" t="s">
        <v>4876</v>
      </c>
      <c r="K961" s="22">
        <v>0.0</v>
      </c>
      <c r="L961" s="22">
        <f>+SUMIF('حركه المخزن الرئيسي اليوميه'!$F:$F,$H:$H,'حركه المخزن الرئيسي اليوميه'!$H:$H)</f>
        <v>0.0</v>
      </c>
      <c r="M961" s="22">
        <f>+SUMIF('حركه المخزن الرئيسي اليوميه'!$F:$F,$H:$H,'حركه المخزن الرئيسي اليوميه'!$I:$I)</f>
        <v>0.0</v>
      </c>
      <c r="N961" s="22">
        <f>+K961+L961-M961</f>
        <v>0.0</v>
      </c>
      <c r="O961" s="22">
        <f>+N961</f>
        <v>0.0</v>
      </c>
      <c r="P961" s="22">
        <f>+N961-O961</f>
        <v>0.0</v>
      </c>
      <c r="Q961" s="57"/>
      <c r="R961" s="58"/>
    </row>
    <row r="962" spans="8:8" ht="15.0" customHeight="1">
      <c r="B962" s="54">
        <v>1065.0</v>
      </c>
      <c r="C962" s="8" t="s">
        <v>8351</v>
      </c>
      <c r="D962" s="8" t="s">
        <v>820</v>
      </c>
      <c r="E962" s="8" t="s">
        <v>2704</v>
      </c>
      <c r="F962" s="8" t="s">
        <v>68</v>
      </c>
      <c r="G962" s="8" t="s">
        <v>1667</v>
      </c>
      <c r="H962" s="8" t="s">
        <v>2704</v>
      </c>
      <c r="I962" s="8" t="s">
        <v>818</v>
      </c>
      <c r="J962" s="78" t="s">
        <v>4877</v>
      </c>
      <c r="K962" s="22">
        <v>0.0</v>
      </c>
      <c r="L962" s="22">
        <f>+SUMIF('حركه المخزن الرئيسي اليوميه'!$F:$F,$H:$H,'حركه المخزن الرئيسي اليوميه'!$H:$H)</f>
        <v>0.0</v>
      </c>
      <c r="M962" s="22">
        <f>+SUMIF('حركه المخزن الرئيسي اليوميه'!$F:$F,$H:$H,'حركه المخزن الرئيسي اليوميه'!$I:$I)</f>
        <v>0.0</v>
      </c>
      <c r="N962" s="22">
        <f>+K962+L962-M962</f>
        <v>0.0</v>
      </c>
      <c r="O962" s="22">
        <f>+N962</f>
        <v>0.0</v>
      </c>
      <c r="P962" s="22">
        <f>+N962-O962</f>
        <v>0.0</v>
      </c>
      <c r="Q962" s="57"/>
      <c r="R962" s="58"/>
    </row>
    <row r="963" spans="8:8" ht="15.0" customHeight="1">
      <c r="B963" s="54">
        <v>1066.0</v>
      </c>
      <c r="C963" s="8" t="s">
        <v>8351</v>
      </c>
      <c r="D963" s="8" t="s">
        <v>1013</v>
      </c>
      <c r="E963" s="8" t="s">
        <v>2727</v>
      </c>
      <c r="F963" s="8" t="s">
        <v>68</v>
      </c>
      <c r="G963" s="8" t="s">
        <v>1653</v>
      </c>
      <c r="H963" s="8" t="s">
        <v>2727</v>
      </c>
      <c r="I963" s="8" t="s">
        <v>818</v>
      </c>
      <c r="J963" s="78" t="s">
        <v>4878</v>
      </c>
      <c r="K963" s="22">
        <v>0.0</v>
      </c>
      <c r="L963" s="22">
        <f>+SUMIF('حركه المخزن الرئيسي اليوميه'!$F:$F,$H:$H,'حركه المخزن الرئيسي اليوميه'!$H:$H)</f>
        <v>0.0</v>
      </c>
      <c r="M963" s="22">
        <f>+SUMIF('حركه المخزن الرئيسي اليوميه'!$F:$F,$H:$H,'حركه المخزن الرئيسي اليوميه'!$I:$I)</f>
        <v>0.0</v>
      </c>
      <c r="N963" s="22">
        <f>+K963+L963-M963</f>
        <v>0.0</v>
      </c>
      <c r="O963" s="22">
        <f>+N963</f>
        <v>0.0</v>
      </c>
      <c r="P963" s="22">
        <f>+N963-O963</f>
        <v>0.0</v>
      </c>
      <c r="Q963" s="57"/>
      <c r="R963" s="58"/>
    </row>
    <row r="964" spans="8:8" ht="15.0" customHeight="1">
      <c r="B964" s="54">
        <v>1067.0</v>
      </c>
      <c r="C964" s="8" t="s">
        <v>8351</v>
      </c>
      <c r="D964" s="8" t="s">
        <v>820</v>
      </c>
      <c r="E964" s="8" t="s">
        <v>2699</v>
      </c>
      <c r="F964" s="8" t="s">
        <v>68</v>
      </c>
      <c r="G964" s="8" t="s">
        <v>1669</v>
      </c>
      <c r="H964" s="8" t="s">
        <v>2699</v>
      </c>
      <c r="I964" s="8" t="s">
        <v>818</v>
      </c>
      <c r="J964" s="78" t="s">
        <v>4879</v>
      </c>
      <c r="K964" s="22">
        <v>0.0</v>
      </c>
      <c r="L964" s="22">
        <f>+SUMIF('حركه المخزن الرئيسي اليوميه'!$F:$F,$H:$H,'حركه المخزن الرئيسي اليوميه'!$H:$H)</f>
        <v>0.0</v>
      </c>
      <c r="M964" s="22">
        <f>+SUMIF('حركه المخزن الرئيسي اليوميه'!$F:$F,$H:$H,'حركه المخزن الرئيسي اليوميه'!$I:$I)</f>
        <v>0.0</v>
      </c>
      <c r="N964" s="22">
        <f>+K964+L964-M964</f>
        <v>0.0</v>
      </c>
      <c r="O964" s="22">
        <f>+N964</f>
        <v>0.0</v>
      </c>
      <c r="P964" s="22">
        <f>+N964-O964</f>
        <v>0.0</v>
      </c>
      <c r="Q964" s="57"/>
      <c r="R964" s="58"/>
    </row>
    <row r="965" spans="8:8" ht="15.0" customHeight="1">
      <c r="B965" s="54">
        <v>1068.0</v>
      </c>
      <c r="C965" s="8" t="s">
        <v>8351</v>
      </c>
      <c r="D965" s="8" t="s">
        <v>820</v>
      </c>
      <c r="E965" s="8" t="s">
        <v>2705</v>
      </c>
      <c r="F965" s="8" t="s">
        <v>68</v>
      </c>
      <c r="G965" s="8" t="s">
        <v>1655</v>
      </c>
      <c r="H965" s="8" t="s">
        <v>2705</v>
      </c>
      <c r="I965" s="8" t="s">
        <v>818</v>
      </c>
      <c r="J965" s="78" t="s">
        <v>4880</v>
      </c>
      <c r="K965" s="22">
        <v>0.0</v>
      </c>
      <c r="L965" s="22">
        <f>+SUMIF('حركه المخزن الرئيسي اليوميه'!$F:$F,$H:$H,'حركه المخزن الرئيسي اليوميه'!$H:$H)</f>
        <v>0.0</v>
      </c>
      <c r="M965" s="22">
        <f>+SUMIF('حركه المخزن الرئيسي اليوميه'!$F:$F,$H:$H,'حركه المخزن الرئيسي اليوميه'!$I:$I)</f>
        <v>0.0</v>
      </c>
      <c r="N965" s="22">
        <f>+K965+L965-M965</f>
        <v>0.0</v>
      </c>
      <c r="O965" s="22">
        <f>+N965</f>
        <v>0.0</v>
      </c>
      <c r="P965" s="22">
        <f>+N965-O965</f>
        <v>0.0</v>
      </c>
      <c r="Q965" s="57"/>
      <c r="R965" s="58"/>
    </row>
    <row r="966" spans="8:8" ht="15.0" customHeight="1">
      <c r="B966" s="54">
        <v>1069.0</v>
      </c>
      <c r="C966" s="8" t="s">
        <v>8351</v>
      </c>
      <c r="D966" s="8" t="s">
        <v>820</v>
      </c>
      <c r="E966" s="8" t="s">
        <v>2706</v>
      </c>
      <c r="F966" s="8" t="s">
        <v>68</v>
      </c>
      <c r="G966" s="8" t="s">
        <v>1661</v>
      </c>
      <c r="H966" s="8" t="s">
        <v>2706</v>
      </c>
      <c r="I966" s="8" t="s">
        <v>818</v>
      </c>
      <c r="J966" s="78" t="s">
        <v>4881</v>
      </c>
      <c r="K966" s="22">
        <v>0.0</v>
      </c>
      <c r="L966" s="22">
        <f>+SUMIF('حركه المخزن الرئيسي اليوميه'!$F:$F,$H:$H,'حركه المخزن الرئيسي اليوميه'!$H:$H)</f>
        <v>0.0</v>
      </c>
      <c r="M966" s="22">
        <f>+SUMIF('حركه المخزن الرئيسي اليوميه'!$F:$F,$H:$H,'حركه المخزن الرئيسي اليوميه'!$I:$I)</f>
        <v>0.0</v>
      </c>
      <c r="N966" s="22">
        <f>+K966+L966-M966</f>
        <v>0.0</v>
      </c>
      <c r="O966" s="22">
        <f>+N966</f>
        <v>0.0</v>
      </c>
      <c r="P966" s="22">
        <f>+N966-O966</f>
        <v>0.0</v>
      </c>
      <c r="Q966" s="57"/>
      <c r="R966" s="58"/>
    </row>
    <row r="967" spans="8:8" ht="15.0" customHeight="1">
      <c r="B967" s="54">
        <v>1070.0</v>
      </c>
      <c r="C967" s="8" t="s">
        <v>8351</v>
      </c>
      <c r="D967" s="8" t="s">
        <v>820</v>
      </c>
      <c r="E967" s="8" t="s">
        <v>2707</v>
      </c>
      <c r="F967" s="8" t="s">
        <v>68</v>
      </c>
      <c r="G967" s="8" t="s">
        <v>1659</v>
      </c>
      <c r="H967" s="8" t="s">
        <v>2707</v>
      </c>
      <c r="I967" s="8" t="s">
        <v>818</v>
      </c>
      <c r="J967" s="78" t="s">
        <v>4882</v>
      </c>
      <c r="K967" s="22">
        <v>0.0</v>
      </c>
      <c r="L967" s="22">
        <f>+SUMIF('حركه المخزن الرئيسي اليوميه'!$F:$F,$H:$H,'حركه المخزن الرئيسي اليوميه'!$H:$H)</f>
        <v>0.0</v>
      </c>
      <c r="M967" s="22">
        <f>+SUMIF('حركه المخزن الرئيسي اليوميه'!$F:$F,$H:$H,'حركه المخزن الرئيسي اليوميه'!$I:$I)</f>
        <v>0.0</v>
      </c>
      <c r="N967" s="22">
        <f>+K967+L967-M967</f>
        <v>0.0</v>
      </c>
      <c r="O967" s="22">
        <f>+N967</f>
        <v>0.0</v>
      </c>
      <c r="P967" s="22">
        <f>+N967-O967</f>
        <v>0.0</v>
      </c>
      <c r="Q967" s="57"/>
      <c r="R967" s="58"/>
    </row>
    <row r="968" spans="8:8" ht="15.0" customHeight="1">
      <c r="B968" s="54">
        <v>1071.0</v>
      </c>
      <c r="C968" s="8" t="s">
        <v>8351</v>
      </c>
      <c r="D968" s="8" t="s">
        <v>820</v>
      </c>
      <c r="E968" s="8" t="s">
        <v>3653</v>
      </c>
      <c r="F968" s="8" t="s">
        <v>68</v>
      </c>
      <c r="G968" s="8" t="s">
        <v>1663</v>
      </c>
      <c r="H968" s="8" t="s">
        <v>3653</v>
      </c>
      <c r="I968" s="8" t="s">
        <v>818</v>
      </c>
      <c r="J968" s="78" t="s">
        <v>4883</v>
      </c>
      <c r="K968" s="22">
        <v>0.0</v>
      </c>
      <c r="L968" s="22">
        <f>+SUMIF('حركه المخزن الرئيسي اليوميه'!$F:$F,$H:$H,'حركه المخزن الرئيسي اليوميه'!$H:$H)</f>
        <v>0.0</v>
      </c>
      <c r="M968" s="22">
        <f>+SUMIF('حركه المخزن الرئيسي اليوميه'!$F:$F,$H:$H,'حركه المخزن الرئيسي اليوميه'!$I:$I)</f>
        <v>0.0</v>
      </c>
      <c r="N968" s="22">
        <f>+K968+L968-M968</f>
        <v>0.0</v>
      </c>
      <c r="O968" s="22">
        <f>+N968</f>
        <v>0.0</v>
      </c>
      <c r="P968" s="22">
        <f>+N968-O968</f>
        <v>0.0</v>
      </c>
      <c r="Q968" s="57"/>
      <c r="R968" s="58"/>
    </row>
    <row r="969" spans="8:8" ht="15.0" customHeight="1">
      <c r="B969" s="54">
        <v>1072.0</v>
      </c>
      <c r="C969" s="8" t="s">
        <v>8351</v>
      </c>
      <c r="D969" s="8" t="s">
        <v>820</v>
      </c>
      <c r="E969" s="8" t="s">
        <v>2708</v>
      </c>
      <c r="F969" s="8" t="s">
        <v>68</v>
      </c>
      <c r="G969" s="8" t="s">
        <v>1660</v>
      </c>
      <c r="H969" s="8" t="s">
        <v>2708</v>
      </c>
      <c r="I969" s="8" t="s">
        <v>818</v>
      </c>
      <c r="J969" s="78" t="s">
        <v>4884</v>
      </c>
      <c r="K969" s="22">
        <v>0.0</v>
      </c>
      <c r="L969" s="22">
        <f>+SUMIF('حركه المخزن الرئيسي اليوميه'!$F:$F,$H:$H,'حركه المخزن الرئيسي اليوميه'!$H:$H)</f>
        <v>0.0</v>
      </c>
      <c r="M969" s="22">
        <f>+SUMIF('حركه المخزن الرئيسي اليوميه'!$F:$F,$H:$H,'حركه المخزن الرئيسي اليوميه'!$I:$I)</f>
        <v>0.0</v>
      </c>
      <c r="N969" s="22">
        <f>+K969+L969-M969</f>
        <v>0.0</v>
      </c>
      <c r="O969" s="22">
        <f>+N969</f>
        <v>0.0</v>
      </c>
      <c r="P969" s="22">
        <f>+N969-O969</f>
        <v>0.0</v>
      </c>
      <c r="Q969" s="57"/>
      <c r="R969" s="58"/>
    </row>
    <row r="970" spans="8:8" ht="15.0" customHeight="1">
      <c r="B970" s="54">
        <v>1073.0</v>
      </c>
      <c r="C970" s="8" t="s">
        <v>8351</v>
      </c>
      <c r="D970" s="8" t="s">
        <v>820</v>
      </c>
      <c r="E970" s="8" t="s">
        <v>2709</v>
      </c>
      <c r="F970" s="8" t="s">
        <v>68</v>
      </c>
      <c r="G970" s="8" t="s">
        <v>1662</v>
      </c>
      <c r="H970" s="8" t="s">
        <v>3291</v>
      </c>
      <c r="I970" s="8" t="s">
        <v>818</v>
      </c>
      <c r="J970" s="78" t="s">
        <v>4885</v>
      </c>
      <c r="K970" s="22">
        <v>0.0</v>
      </c>
      <c r="L970" s="22">
        <f>+SUMIF('حركه المخزن الرئيسي اليوميه'!$F:$F,$H:$H,'حركه المخزن الرئيسي اليوميه'!$H:$H)</f>
        <v>0.0</v>
      </c>
      <c r="M970" s="22">
        <f>+SUMIF('حركه المخزن الرئيسي اليوميه'!$F:$F,$H:$H,'حركه المخزن الرئيسي اليوميه'!$I:$I)</f>
        <v>0.0</v>
      </c>
      <c r="N970" s="22">
        <f>+K970+L970-M970</f>
        <v>0.0</v>
      </c>
      <c r="O970" s="22">
        <f>+N970</f>
        <v>0.0</v>
      </c>
      <c r="P970" s="22">
        <f>+N970-O970</f>
        <v>0.0</v>
      </c>
      <c r="Q970" s="57"/>
      <c r="R970" s="58"/>
    </row>
    <row r="971" spans="8:8" ht="15.0" customHeight="1">
      <c r="B971" s="54">
        <v>1074.0</v>
      </c>
      <c r="C971" s="8" t="s">
        <v>8351</v>
      </c>
      <c r="D971" s="8" t="s">
        <v>820</v>
      </c>
      <c r="E971" s="8" t="s">
        <v>2710</v>
      </c>
      <c r="F971" s="8" t="s">
        <v>68</v>
      </c>
      <c r="G971" s="8" t="s">
        <v>1666</v>
      </c>
      <c r="H971" s="8" t="s">
        <v>2710</v>
      </c>
      <c r="I971" s="8" t="s">
        <v>818</v>
      </c>
      <c r="J971" s="78" t="s">
        <v>4886</v>
      </c>
      <c r="K971" s="22">
        <v>0.0</v>
      </c>
      <c r="L971" s="22">
        <f>+SUMIF('حركه المخزن الرئيسي اليوميه'!$F:$F,$H:$H,'حركه المخزن الرئيسي اليوميه'!$H:$H)</f>
        <v>0.0</v>
      </c>
      <c r="M971" s="22">
        <f>+SUMIF('حركه المخزن الرئيسي اليوميه'!$F:$F,$H:$H,'حركه المخزن الرئيسي اليوميه'!$I:$I)</f>
        <v>0.0</v>
      </c>
      <c r="N971" s="22">
        <f>+K971+L971-M971</f>
        <v>0.0</v>
      </c>
      <c r="O971" s="22">
        <f>+N971</f>
        <v>0.0</v>
      </c>
      <c r="P971" s="22">
        <f>+N971-O971</f>
        <v>0.0</v>
      </c>
      <c r="Q971" s="57"/>
      <c r="R971" s="58"/>
    </row>
    <row r="972" spans="8:8" ht="15.0" customHeight="1">
      <c r="B972" s="54">
        <v>1075.0</v>
      </c>
      <c r="C972" s="8" t="s">
        <v>8351</v>
      </c>
      <c r="D972" s="8" t="s">
        <v>1013</v>
      </c>
      <c r="E972" s="8" t="s">
        <v>2711</v>
      </c>
      <c r="F972" s="8" t="s">
        <v>1501</v>
      </c>
      <c r="G972" s="8" t="s">
        <v>1654</v>
      </c>
      <c r="H972" s="8" t="s">
        <v>2711</v>
      </c>
      <c r="I972" s="8" t="s">
        <v>359</v>
      </c>
      <c r="J972" s="78" t="s">
        <v>4887</v>
      </c>
      <c r="K972" s="22">
        <v>715.0</v>
      </c>
      <c r="L972" s="22">
        <f>+SUMIF('حركه المخزن الرئيسي اليوميه'!$F:$F,$H:$H,'حركه المخزن الرئيسي اليوميه'!$H:$H)</f>
        <v>0.0</v>
      </c>
      <c r="M972" s="22">
        <f>+SUMIF('حركه المخزن الرئيسي اليوميه'!$F:$F,$H:$H,'حركه المخزن الرئيسي اليوميه'!$I:$I)</f>
        <v>0.0</v>
      </c>
      <c r="N972" s="22">
        <f>+K972+L972-M972</f>
        <v>715.0</v>
      </c>
      <c r="O972" s="22">
        <f>+N972</f>
        <v>715.0</v>
      </c>
      <c r="P972" s="22">
        <f>+N972-O972</f>
        <v>0.0</v>
      </c>
      <c r="Q972" s="57"/>
      <c r="R972" s="58"/>
    </row>
    <row r="973" spans="8:8" ht="15.0" customHeight="1">
      <c r="B973" s="54">
        <v>1076.0</v>
      </c>
      <c r="C973" s="8" t="s">
        <v>8351</v>
      </c>
      <c r="D973" s="8" t="s">
        <v>820</v>
      </c>
      <c r="E973" s="8" t="s">
        <v>3040</v>
      </c>
      <c r="F973" s="8" t="s">
        <v>1158</v>
      </c>
      <c r="G973" s="8"/>
      <c r="H973" s="8" t="s">
        <v>3041</v>
      </c>
      <c r="I973" s="8" t="s">
        <v>818</v>
      </c>
      <c r="J973" s="78" t="s">
        <v>4888</v>
      </c>
      <c r="K973" s="22">
        <v>0.0</v>
      </c>
      <c r="L973" s="22">
        <f>+SUMIF('حركه المخزن الرئيسي اليوميه'!$F:$F,$H:$H,'حركه المخزن الرئيسي اليوميه'!$H:$H)</f>
        <v>0.0</v>
      </c>
      <c r="M973" s="22">
        <f>+SUMIF('حركه المخزن الرئيسي اليوميه'!$F:$F,$H:$H,'حركه المخزن الرئيسي اليوميه'!$I:$I)</f>
        <v>0.0</v>
      </c>
      <c r="N973" s="22">
        <f>+K973+L973-M973</f>
        <v>0.0</v>
      </c>
      <c r="O973" s="22">
        <f>+N973</f>
        <v>0.0</v>
      </c>
      <c r="P973" s="22">
        <f>+N973-O973</f>
        <v>0.0</v>
      </c>
      <c r="Q973" s="57"/>
      <c r="R973" s="58"/>
    </row>
    <row r="974" spans="8:8" ht="15.0" customHeight="1">
      <c r="B974" s="54">
        <v>1077.0</v>
      </c>
      <c r="C974" s="8" t="s">
        <v>8351</v>
      </c>
      <c r="D974" s="8" t="s">
        <v>820</v>
      </c>
      <c r="E974" s="8" t="s">
        <v>2712</v>
      </c>
      <c r="F974" s="8" t="s">
        <v>68</v>
      </c>
      <c r="G974" s="8" t="s">
        <v>1657</v>
      </c>
      <c r="H974" s="8" t="s">
        <v>2712</v>
      </c>
      <c r="I974" s="8" t="s">
        <v>818</v>
      </c>
      <c r="J974" s="78" t="s">
        <v>4889</v>
      </c>
      <c r="K974" s="22">
        <v>0.0</v>
      </c>
      <c r="L974" s="22">
        <f>+SUMIF('حركه المخزن الرئيسي اليوميه'!$F:$F,$H:$H,'حركه المخزن الرئيسي اليوميه'!$H:$H)</f>
        <v>0.0</v>
      </c>
      <c r="M974" s="22">
        <f>+SUMIF('حركه المخزن الرئيسي اليوميه'!$F:$F,$H:$H,'حركه المخزن الرئيسي اليوميه'!$I:$I)</f>
        <v>0.0</v>
      </c>
      <c r="N974" s="22">
        <f>+K974+L974-M974</f>
        <v>0.0</v>
      </c>
      <c r="O974" s="22">
        <f>+N974</f>
        <v>0.0</v>
      </c>
      <c r="P974" s="22">
        <f>+N974-O974</f>
        <v>0.0</v>
      </c>
      <c r="Q974" s="57"/>
      <c r="R974" s="58"/>
    </row>
    <row r="975" spans="8:8" ht="15.0" customHeight="1">
      <c r="B975" s="54">
        <v>1078.0</v>
      </c>
      <c r="C975" s="8" t="s">
        <v>8351</v>
      </c>
      <c r="D975" s="8" t="s">
        <v>820</v>
      </c>
      <c r="E975" s="8" t="s">
        <v>3503</v>
      </c>
      <c r="F975" s="8" t="s">
        <v>68</v>
      </c>
      <c r="G975" s="8" t="s">
        <v>1668</v>
      </c>
      <c r="H975" s="8" t="s">
        <v>3503</v>
      </c>
      <c r="I975" s="8" t="s">
        <v>8101</v>
      </c>
      <c r="J975" s="78" t="s">
        <v>4890</v>
      </c>
      <c r="K975" s="22">
        <v>10.0</v>
      </c>
      <c r="L975" s="22">
        <f>+SUMIF('حركه المخزن الرئيسي اليوميه'!$F:$F,$H:$H,'حركه المخزن الرئيسي اليوميه'!$H:$H)</f>
        <v>0.0</v>
      </c>
      <c r="M975" s="22">
        <f>+SUMIF('حركه المخزن الرئيسي اليوميه'!$F:$F,$H:$H,'حركه المخزن الرئيسي اليوميه'!$I:$I)</f>
        <v>0.0</v>
      </c>
      <c r="N975" s="22">
        <f>+K975+L975-M975</f>
        <v>10.0</v>
      </c>
      <c r="O975" s="22">
        <f>+N975</f>
        <v>10.0</v>
      </c>
      <c r="P975" s="22">
        <f>+N975-O975</f>
        <v>0.0</v>
      </c>
      <c r="Q975" s="57"/>
      <c r="R975" s="58"/>
    </row>
    <row r="976" spans="8:8" ht="15.0" customHeight="1">
      <c r="B976" s="54">
        <v>1079.0</v>
      </c>
      <c r="C976" s="8" t="s">
        <v>8351</v>
      </c>
      <c r="D976" s="8" t="s">
        <v>1013</v>
      </c>
      <c r="E976" s="8" t="s">
        <v>2713</v>
      </c>
      <c r="F976" s="8" t="s">
        <v>68</v>
      </c>
      <c r="G976" s="8"/>
      <c r="H976" s="8" t="s">
        <v>2713</v>
      </c>
      <c r="I976" s="8" t="s">
        <v>818</v>
      </c>
      <c r="J976" s="78" t="s">
        <v>4891</v>
      </c>
      <c r="K976" s="22">
        <v>0.0</v>
      </c>
      <c r="L976" s="22">
        <f>+SUMIF('حركه المخزن الرئيسي اليوميه'!$F:$F,$H:$H,'حركه المخزن الرئيسي اليوميه'!$H:$H)</f>
        <v>0.0</v>
      </c>
      <c r="M976" s="22">
        <f>+SUMIF('حركه المخزن الرئيسي اليوميه'!$F:$F,$H:$H,'حركه المخزن الرئيسي اليوميه'!$I:$I)</f>
        <v>0.0</v>
      </c>
      <c r="N976" s="22">
        <f>+K976+L976-M976</f>
        <v>0.0</v>
      </c>
      <c r="O976" s="22">
        <f>+N976</f>
        <v>0.0</v>
      </c>
      <c r="P976" s="22">
        <f>+N976-O976</f>
        <v>0.0</v>
      </c>
      <c r="Q976" s="57"/>
      <c r="R976" s="58"/>
    </row>
    <row r="977" spans="8:8" ht="15.0" customHeight="1">
      <c r="B977" s="54">
        <v>1080.0</v>
      </c>
      <c r="C977" s="8" t="s">
        <v>8351</v>
      </c>
      <c r="D977" s="8" t="s">
        <v>820</v>
      </c>
      <c r="E977" s="8" t="s">
        <v>3163</v>
      </c>
      <c r="F977" s="8" t="s">
        <v>68</v>
      </c>
      <c r="G977" s="8" t="s">
        <v>1658</v>
      </c>
      <c r="H977" s="8" t="s">
        <v>3163</v>
      </c>
      <c r="I977" s="8" t="s">
        <v>363</v>
      </c>
      <c r="J977" s="78" t="s">
        <v>4892</v>
      </c>
      <c r="K977" s="22">
        <v>1.0</v>
      </c>
      <c r="L977" s="22">
        <f>+SUMIF('حركه المخزن الرئيسي اليوميه'!$F:$F,$H:$H,'حركه المخزن الرئيسي اليوميه'!$H:$H)</f>
        <v>0.0</v>
      </c>
      <c r="M977" s="22">
        <f>+SUMIF('حركه المخزن الرئيسي اليوميه'!$F:$F,$H:$H,'حركه المخزن الرئيسي اليوميه'!$I:$I)</f>
        <v>0.0</v>
      </c>
      <c r="N977" s="22">
        <f>+K977+L977-M977</f>
        <v>1.0</v>
      </c>
      <c r="O977" s="22">
        <f>+N977</f>
        <v>1.0</v>
      </c>
      <c r="P977" s="22">
        <f>+N977-O977</f>
        <v>0.0</v>
      </c>
      <c r="Q977" s="57"/>
      <c r="R977" s="58"/>
    </row>
    <row r="978" spans="8:8" ht="15.0" customHeight="1">
      <c r="B978" s="54">
        <v>1081.0</v>
      </c>
      <c r="C978" s="8" t="s">
        <v>8351</v>
      </c>
      <c r="D978" s="8" t="s">
        <v>820</v>
      </c>
      <c r="E978" s="8" t="s">
        <v>2714</v>
      </c>
      <c r="F978" s="8" t="s">
        <v>68</v>
      </c>
      <c r="G978" s="8" t="s">
        <v>1670</v>
      </c>
      <c r="H978" s="8" t="s">
        <v>2714</v>
      </c>
      <c r="I978" s="8" t="s">
        <v>818</v>
      </c>
      <c r="J978" s="78" t="s">
        <v>4893</v>
      </c>
      <c r="K978" s="22">
        <v>0.0</v>
      </c>
      <c r="L978" s="22">
        <f>+SUMIF('حركه المخزن الرئيسي اليوميه'!$F:$F,$H:$H,'حركه المخزن الرئيسي اليوميه'!$H:$H)</f>
        <v>0.0</v>
      </c>
      <c r="M978" s="22">
        <f>+SUMIF('حركه المخزن الرئيسي اليوميه'!$F:$F,$H:$H,'حركه المخزن الرئيسي اليوميه'!$I:$I)</f>
        <v>0.0</v>
      </c>
      <c r="N978" s="22">
        <f>+K978+L978-M978</f>
        <v>0.0</v>
      </c>
      <c r="O978" s="22">
        <f>+N978</f>
        <v>0.0</v>
      </c>
      <c r="P978" s="22">
        <f>+N978-O978</f>
        <v>0.0</v>
      </c>
      <c r="Q978" s="57"/>
      <c r="R978" s="58"/>
    </row>
    <row r="979" spans="8:8" ht="15.0" customHeight="1">
      <c r="B979" s="54">
        <v>1082.0</v>
      </c>
      <c r="C979" s="8" t="s">
        <v>8351</v>
      </c>
      <c r="D979" s="8" t="s">
        <v>1013</v>
      </c>
      <c r="E979" s="8" t="s">
        <v>2717</v>
      </c>
      <c r="F979" s="8" t="s">
        <v>1501</v>
      </c>
      <c r="G979" s="8" t="s">
        <v>1628</v>
      </c>
      <c r="H979" s="8" t="s">
        <v>2717</v>
      </c>
      <c r="I979" s="8" t="s">
        <v>818</v>
      </c>
      <c r="J979" s="78" t="s">
        <v>4894</v>
      </c>
      <c r="K979" s="22">
        <v>0.0</v>
      </c>
      <c r="L979" s="22">
        <f>+SUMIF('حركه المخزن الرئيسي اليوميه'!$F:$F,$H:$H,'حركه المخزن الرئيسي اليوميه'!$H:$H)</f>
        <v>0.0</v>
      </c>
      <c r="M979" s="22">
        <f>+SUMIF('حركه المخزن الرئيسي اليوميه'!$F:$F,$H:$H,'حركه المخزن الرئيسي اليوميه'!$I:$I)</f>
        <v>0.0</v>
      </c>
      <c r="N979" s="22">
        <f>+K979+L979-M979</f>
        <v>0.0</v>
      </c>
      <c r="O979" s="22">
        <f>+N979</f>
        <v>0.0</v>
      </c>
      <c r="P979" s="22">
        <f>+N979-O979</f>
        <v>0.0</v>
      </c>
      <c r="Q979" s="57"/>
      <c r="R979" s="58"/>
    </row>
    <row r="980" spans="8:8" ht="15.0" customHeight="1">
      <c r="B980" s="54">
        <v>1083.0</v>
      </c>
      <c r="C980" s="8" t="s">
        <v>8351</v>
      </c>
      <c r="D980" s="8" t="s">
        <v>1013</v>
      </c>
      <c r="E980" s="8" t="s">
        <v>3299</v>
      </c>
      <c r="F980" s="8" t="s">
        <v>1501</v>
      </c>
      <c r="G980" s="8" t="s">
        <v>1827</v>
      </c>
      <c r="H980" s="8" t="s">
        <v>3299</v>
      </c>
      <c r="I980" s="8" t="s">
        <v>8101</v>
      </c>
      <c r="J980" s="78" t="s">
        <v>4895</v>
      </c>
      <c r="K980" s="22">
        <v>161.0</v>
      </c>
      <c r="L980" s="22">
        <f>+SUMIF('حركه المخزن الرئيسي اليوميه'!$F:$F,$H:$H,'حركه المخزن الرئيسي اليوميه'!$H:$H)</f>
        <v>0.0</v>
      </c>
      <c r="M980" s="22">
        <f>+SUMIF('حركه المخزن الرئيسي اليوميه'!$F:$F,$H:$H,'حركه المخزن الرئيسي اليوميه'!$I:$I)</f>
        <v>0.0</v>
      </c>
      <c r="N980" s="22">
        <f>+K980+L980-M980</f>
        <v>161.0</v>
      </c>
      <c r="O980" s="22">
        <f>+N980</f>
        <v>161.0</v>
      </c>
      <c r="P980" s="22">
        <f>+N980-O980</f>
        <v>0.0</v>
      </c>
      <c r="Q980" s="57"/>
      <c r="R980" s="58"/>
    </row>
    <row r="981" spans="8:8" ht="15.0" customHeight="1">
      <c r="B981" s="54">
        <v>1084.0</v>
      </c>
      <c r="C981" s="8" t="s">
        <v>8351</v>
      </c>
      <c r="D981" s="8" t="s">
        <v>820</v>
      </c>
      <c r="E981" s="8" t="s">
        <v>2719</v>
      </c>
      <c r="F981" s="8" t="s">
        <v>68</v>
      </c>
      <c r="G981" s="8" t="s">
        <v>1673</v>
      </c>
      <c r="H981" s="8" t="s">
        <v>2719</v>
      </c>
      <c r="I981" s="8" t="s">
        <v>818</v>
      </c>
      <c r="J981" s="78" t="s">
        <v>4896</v>
      </c>
      <c r="K981" s="22">
        <v>0.0</v>
      </c>
      <c r="L981" s="22">
        <f>+SUMIF('حركه المخزن الرئيسي اليوميه'!$F:$F,$H:$H,'حركه المخزن الرئيسي اليوميه'!$H:$H)</f>
        <v>0.0</v>
      </c>
      <c r="M981" s="22">
        <f>+SUMIF('حركه المخزن الرئيسي اليوميه'!$F:$F,$H:$H,'حركه المخزن الرئيسي اليوميه'!$I:$I)</f>
        <v>0.0</v>
      </c>
      <c r="N981" s="22">
        <f>+K981+L981-M981</f>
        <v>0.0</v>
      </c>
      <c r="O981" s="22">
        <f>+N981</f>
        <v>0.0</v>
      </c>
      <c r="P981" s="22">
        <f>+N981-O981</f>
        <v>0.0</v>
      </c>
      <c r="Q981" s="57"/>
      <c r="R981" s="58"/>
    </row>
    <row r="982" spans="8:8" ht="15.0" customHeight="1">
      <c r="B982" s="54">
        <v>1085.0</v>
      </c>
      <c r="C982" s="8" t="s">
        <v>8351</v>
      </c>
      <c r="D982" s="8" t="s">
        <v>820</v>
      </c>
      <c r="E982" s="8" t="s">
        <v>2732</v>
      </c>
      <c r="F982" s="8" t="s">
        <v>68</v>
      </c>
      <c r="G982" s="8" t="s">
        <v>1628</v>
      </c>
      <c r="H982" s="8" t="s">
        <v>2732</v>
      </c>
      <c r="I982" s="8" t="s">
        <v>363</v>
      </c>
      <c r="J982" s="78" t="s">
        <v>4897</v>
      </c>
      <c r="K982" s="22">
        <v>18.0</v>
      </c>
      <c r="L982" s="22">
        <f>+SUMIF('حركه المخزن الرئيسي اليوميه'!$F:$F,$H:$H,'حركه المخزن الرئيسي اليوميه'!$H:$H)</f>
        <v>0.0</v>
      </c>
      <c r="M982" s="22">
        <f>+SUMIF('حركه المخزن الرئيسي اليوميه'!$F:$F,$H:$H,'حركه المخزن الرئيسي اليوميه'!$I:$I)</f>
        <v>0.0</v>
      </c>
      <c r="N982" s="22">
        <f>+K982+L982-M982</f>
        <v>18.0</v>
      </c>
      <c r="O982" s="22">
        <f>+N982</f>
        <v>18.0</v>
      </c>
      <c r="P982" s="22">
        <f>+N982-O982</f>
        <v>0.0</v>
      </c>
      <c r="Q982" s="57"/>
      <c r="R982" s="58"/>
    </row>
    <row r="983" spans="8:8" ht="15.0" customHeight="1">
      <c r="B983" s="54">
        <v>1086.0</v>
      </c>
      <c r="C983" s="8" t="s">
        <v>8351</v>
      </c>
      <c r="D983" s="8" t="s">
        <v>1013</v>
      </c>
      <c r="E983" s="8" t="s">
        <v>1374</v>
      </c>
      <c r="F983" s="8" t="s">
        <v>68</v>
      </c>
      <c r="G983" s="8" t="s">
        <v>2190</v>
      </c>
      <c r="H983" s="8" t="s">
        <v>1374</v>
      </c>
      <c r="I983" s="8" t="s">
        <v>818</v>
      </c>
      <c r="J983" s="78" t="s">
        <v>4898</v>
      </c>
      <c r="K983" s="22">
        <v>0.0</v>
      </c>
      <c r="L983" s="22">
        <f>+SUMIF('حركه المخزن الرئيسي اليوميه'!$F:$F,$H:$H,'حركه المخزن الرئيسي اليوميه'!$H:$H)</f>
        <v>0.0</v>
      </c>
      <c r="M983" s="22">
        <f>+SUMIF('حركه المخزن الرئيسي اليوميه'!$F:$F,$H:$H,'حركه المخزن الرئيسي اليوميه'!$I:$I)</f>
        <v>0.0</v>
      </c>
      <c r="N983" s="22">
        <f>+K983+L983-M983</f>
        <v>0.0</v>
      </c>
      <c r="O983" s="22">
        <f>+N983</f>
        <v>0.0</v>
      </c>
      <c r="P983" s="22">
        <f>+N983-O983</f>
        <v>0.0</v>
      </c>
      <c r="Q983" s="57"/>
      <c r="R983" s="58"/>
    </row>
    <row r="984" spans="8:8" ht="15.0" customHeight="1">
      <c r="B984" s="54">
        <v>1087.0</v>
      </c>
      <c r="C984" s="8" t="s">
        <v>8351</v>
      </c>
      <c r="D984" s="8" t="s">
        <v>820</v>
      </c>
      <c r="E984" s="8" t="s">
        <v>1215</v>
      </c>
      <c r="F984" s="8" t="s">
        <v>68</v>
      </c>
      <c r="G984" s="8"/>
      <c r="H984" s="8" t="s">
        <v>1215</v>
      </c>
      <c r="I984" s="8" t="s">
        <v>818</v>
      </c>
      <c r="J984" s="78" t="s">
        <v>4899</v>
      </c>
      <c r="K984" s="22">
        <v>0.0</v>
      </c>
      <c r="L984" s="22">
        <f>+SUMIF('حركه المخزن الرئيسي اليوميه'!$F:$F,$H:$H,'حركه المخزن الرئيسي اليوميه'!$H:$H)</f>
        <v>0.0</v>
      </c>
      <c r="M984" s="22">
        <f>+SUMIF('حركه المخزن الرئيسي اليوميه'!$F:$F,$H:$H,'حركه المخزن الرئيسي اليوميه'!$I:$I)</f>
        <v>0.0</v>
      </c>
      <c r="N984" s="22">
        <f>+K984+L984-M984</f>
        <v>0.0</v>
      </c>
      <c r="O984" s="22">
        <f>+N984</f>
        <v>0.0</v>
      </c>
      <c r="P984" s="22">
        <f>+N984-O984</f>
        <v>0.0</v>
      </c>
      <c r="Q984" s="57"/>
      <c r="R984" s="58"/>
    </row>
    <row r="985" spans="8:8" ht="15.0" customHeight="1">
      <c r="B985" s="54">
        <v>1088.0</v>
      </c>
      <c r="C985" s="8" t="s">
        <v>8351</v>
      </c>
      <c r="D985" s="8" t="s">
        <v>1013</v>
      </c>
      <c r="E985" s="8" t="s">
        <v>2571</v>
      </c>
      <c r="F985" s="8" t="s">
        <v>68</v>
      </c>
      <c r="G985" s="8" t="s">
        <v>57</v>
      </c>
      <c r="H985" s="8" t="s">
        <v>2571</v>
      </c>
      <c r="I985" s="8" t="s">
        <v>818</v>
      </c>
      <c r="J985" s="78" t="s">
        <v>4900</v>
      </c>
      <c r="K985" s="22">
        <v>0.0</v>
      </c>
      <c r="L985" s="22">
        <f>+SUMIF('حركه المخزن الرئيسي اليوميه'!$F:$F,$H:$H,'حركه المخزن الرئيسي اليوميه'!$H:$H)</f>
        <v>0.0</v>
      </c>
      <c r="M985" s="22">
        <f>+SUMIF('حركه المخزن الرئيسي اليوميه'!$F:$F,$H:$H,'حركه المخزن الرئيسي اليوميه'!$I:$I)</f>
        <v>0.0</v>
      </c>
      <c r="N985" s="22">
        <f>+K985+L985-M985</f>
        <v>0.0</v>
      </c>
      <c r="O985" s="22">
        <f>+N985</f>
        <v>0.0</v>
      </c>
      <c r="P985" s="22">
        <f>+N985-O985</f>
        <v>0.0</v>
      </c>
      <c r="Q985" s="57"/>
      <c r="R985" s="58"/>
    </row>
    <row r="986" spans="8:8" ht="15.0" customHeight="1">
      <c r="B986" s="54">
        <v>1089.0</v>
      </c>
      <c r="C986" s="8" t="s">
        <v>8351</v>
      </c>
      <c r="D986" s="8" t="s">
        <v>820</v>
      </c>
      <c r="E986" s="8" t="s">
        <v>854</v>
      </c>
      <c r="F986" s="8" t="s">
        <v>68</v>
      </c>
      <c r="G986" s="8" t="s">
        <v>1639</v>
      </c>
      <c r="H986" s="8" t="s">
        <v>2563</v>
      </c>
      <c r="I986" s="8" t="s">
        <v>818</v>
      </c>
      <c r="J986" s="78" t="s">
        <v>4901</v>
      </c>
      <c r="K986" s="22">
        <v>0.0</v>
      </c>
      <c r="L986" s="22">
        <f>+SUMIF('حركه المخزن الرئيسي اليوميه'!$F:$F,$H:$H,'حركه المخزن الرئيسي اليوميه'!$H:$H)</f>
        <v>0.0</v>
      </c>
      <c r="M986" s="22">
        <f>+SUMIF('حركه المخزن الرئيسي اليوميه'!$F:$F,$H:$H,'حركه المخزن الرئيسي اليوميه'!$I:$I)</f>
        <v>0.0</v>
      </c>
      <c r="N986" s="22">
        <f>+K986+L986-M986</f>
        <v>0.0</v>
      </c>
      <c r="O986" s="22">
        <f>+N986</f>
        <v>0.0</v>
      </c>
      <c r="P986" s="22">
        <f>+N986-O986</f>
        <v>0.0</v>
      </c>
      <c r="Q986" s="57"/>
      <c r="R986" s="58"/>
    </row>
    <row r="987" spans="8:8" ht="15.0" customHeight="1">
      <c r="B987" s="54">
        <v>1090.0</v>
      </c>
      <c r="C987" s="8" t="s">
        <v>8351</v>
      </c>
      <c r="D987" s="8" t="s">
        <v>820</v>
      </c>
      <c r="E987" s="8" t="s">
        <v>3185</v>
      </c>
      <c r="F987" s="8" t="s">
        <v>68</v>
      </c>
      <c r="G987" s="8" t="s">
        <v>1642</v>
      </c>
      <c r="H987" s="8" t="s">
        <v>3185</v>
      </c>
      <c r="I987" s="8" t="s">
        <v>363</v>
      </c>
      <c r="J987" s="78" t="s">
        <v>4902</v>
      </c>
      <c r="K987" s="22">
        <v>2.0</v>
      </c>
      <c r="L987" s="22">
        <f>+SUMIF('حركه المخزن الرئيسي اليوميه'!$F:$F,$H:$H,'حركه المخزن الرئيسي اليوميه'!$H:$H)</f>
        <v>0.0</v>
      </c>
      <c r="M987" s="22">
        <f>+SUMIF('حركه المخزن الرئيسي اليوميه'!$F:$F,$H:$H,'حركه المخزن الرئيسي اليوميه'!$I:$I)</f>
        <v>0.0</v>
      </c>
      <c r="N987" s="22">
        <f>+K987+L987-M987</f>
        <v>2.0</v>
      </c>
      <c r="O987" s="22">
        <f>+N987</f>
        <v>2.0</v>
      </c>
      <c r="P987" s="22">
        <f>+N987-O987</f>
        <v>0.0</v>
      </c>
      <c r="Q987" s="57"/>
      <c r="R987" s="58"/>
    </row>
    <row r="988" spans="8:8" ht="15.0" customHeight="1">
      <c r="B988" s="54">
        <v>1091.0</v>
      </c>
      <c r="C988" s="8" t="s">
        <v>8351</v>
      </c>
      <c r="D988" s="8" t="s">
        <v>820</v>
      </c>
      <c r="E988" s="8" t="s">
        <v>840</v>
      </c>
      <c r="F988" s="8" t="s">
        <v>68</v>
      </c>
      <c r="G988" s="8" t="s">
        <v>1633</v>
      </c>
      <c r="H988" s="8" t="s">
        <v>840</v>
      </c>
      <c r="I988" s="8" t="s">
        <v>818</v>
      </c>
      <c r="J988" s="78" t="s">
        <v>4903</v>
      </c>
      <c r="K988" s="22">
        <v>0.0</v>
      </c>
      <c r="L988" s="22">
        <f>+SUMIF('حركه المخزن الرئيسي اليوميه'!$F:$F,$H:$H,'حركه المخزن الرئيسي اليوميه'!$H:$H)</f>
        <v>0.0</v>
      </c>
      <c r="M988" s="22">
        <f>+SUMIF('حركه المخزن الرئيسي اليوميه'!$F:$F,$H:$H,'حركه المخزن الرئيسي اليوميه'!$I:$I)</f>
        <v>0.0</v>
      </c>
      <c r="N988" s="22">
        <f>+K988+L988-M988</f>
        <v>0.0</v>
      </c>
      <c r="O988" s="22">
        <f>+N988</f>
        <v>0.0</v>
      </c>
      <c r="P988" s="22">
        <f>+N988-O988</f>
        <v>0.0</v>
      </c>
      <c r="Q988" s="57"/>
      <c r="R988" s="58"/>
    </row>
    <row r="989" spans="8:8" ht="15.0" customHeight="1">
      <c r="B989" s="54">
        <v>1092.0</v>
      </c>
      <c r="C989" s="8" t="s">
        <v>8351</v>
      </c>
      <c r="D989" s="8" t="s">
        <v>1013</v>
      </c>
      <c r="E989" s="8" t="s">
        <v>3601</v>
      </c>
      <c r="F989" s="8" t="s">
        <v>68</v>
      </c>
      <c r="G989" s="8"/>
      <c r="H989" s="8" t="s">
        <v>3236</v>
      </c>
      <c r="I989" s="8" t="s">
        <v>818</v>
      </c>
      <c r="J989" s="78" t="s">
        <v>4904</v>
      </c>
      <c r="K989" s="22">
        <v>2.0</v>
      </c>
      <c r="L989" s="22">
        <f>+SUMIF('حركه المخزن الرئيسي اليوميه'!$F:$F,$H:$H,'حركه المخزن الرئيسي اليوميه'!$H:$H)</f>
        <v>0.0</v>
      </c>
      <c r="M989" s="22">
        <f>+SUMIF('حركه المخزن الرئيسي اليوميه'!$F:$F,$H:$H,'حركه المخزن الرئيسي اليوميه'!$I:$I)</f>
        <v>0.0</v>
      </c>
      <c r="N989" s="22">
        <f>+K989+L989-M989</f>
        <v>2.0</v>
      </c>
      <c r="O989" s="22">
        <f>+N989</f>
        <v>2.0</v>
      </c>
      <c r="P989" s="22">
        <f>+N989-O989</f>
        <v>0.0</v>
      </c>
      <c r="Q989" s="57"/>
      <c r="R989" s="58"/>
    </row>
    <row r="990" spans="8:8" ht="15.0" customHeight="1">
      <c r="B990" s="54">
        <v>1093.0</v>
      </c>
      <c r="C990" s="8" t="s">
        <v>8351</v>
      </c>
      <c r="D990" s="8" t="s">
        <v>1013</v>
      </c>
      <c r="E990" s="8" t="s">
        <v>2574</v>
      </c>
      <c r="F990" s="8" t="s">
        <v>68</v>
      </c>
      <c r="G990" s="8" t="s">
        <v>62</v>
      </c>
      <c r="H990" s="8" t="s">
        <v>2574</v>
      </c>
      <c r="I990" s="8" t="s">
        <v>8101</v>
      </c>
      <c r="J990" s="78" t="s">
        <v>4905</v>
      </c>
      <c r="K990" s="22">
        <v>8.0</v>
      </c>
      <c r="L990" s="22">
        <f>+SUMIF('حركه المخزن الرئيسي اليوميه'!$F:$F,$H:$H,'حركه المخزن الرئيسي اليوميه'!$H:$H)</f>
        <v>0.0</v>
      </c>
      <c r="M990" s="22">
        <f>+SUMIF('حركه المخزن الرئيسي اليوميه'!$F:$F,$H:$H,'حركه المخزن الرئيسي اليوميه'!$I:$I)</f>
        <v>0.0</v>
      </c>
      <c r="N990" s="22">
        <f>+K990+L990-M990</f>
        <v>8.0</v>
      </c>
      <c r="O990" s="22">
        <f>+N990</f>
        <v>8.0</v>
      </c>
      <c r="P990" s="22">
        <f>+N990-O990</f>
        <v>0.0</v>
      </c>
      <c r="Q990" s="57"/>
      <c r="R990" s="58"/>
    </row>
    <row r="991" spans="8:8" ht="15.0" customHeight="1">
      <c r="B991" s="54">
        <v>1094.0</v>
      </c>
      <c r="C991" s="8" t="s">
        <v>8351</v>
      </c>
      <c r="D991" s="8" t="s">
        <v>1013</v>
      </c>
      <c r="E991" s="8" t="s">
        <v>1967</v>
      </c>
      <c r="F991" s="8" t="s">
        <v>1501</v>
      </c>
      <c r="G991" s="8" t="s">
        <v>1968</v>
      </c>
      <c r="H991" s="8" t="s">
        <v>1967</v>
      </c>
      <c r="I991" s="8" t="s">
        <v>3209</v>
      </c>
      <c r="J991" s="78" t="s">
        <v>4906</v>
      </c>
      <c r="K991" s="22">
        <v>7.0</v>
      </c>
      <c r="L991" s="22">
        <f>+SUMIF('حركه المخزن الرئيسي اليوميه'!$F:$F,$H:$H,'حركه المخزن الرئيسي اليوميه'!$H:$H)</f>
        <v>0.0</v>
      </c>
      <c r="M991" s="22">
        <f>+SUMIF('حركه المخزن الرئيسي اليوميه'!$F:$F,$H:$H,'حركه المخزن الرئيسي اليوميه'!$I:$I)</f>
        <v>0.0</v>
      </c>
      <c r="N991" s="22">
        <f>+K991+L991-M991</f>
        <v>7.0</v>
      </c>
      <c r="O991" s="22">
        <f>+N991</f>
        <v>7.0</v>
      </c>
      <c r="P991" s="22">
        <f>+N991-O991</f>
        <v>0.0</v>
      </c>
      <c r="Q991" s="57"/>
      <c r="R991" s="58"/>
    </row>
    <row r="992" spans="8:8" ht="15.0" customHeight="1">
      <c r="B992" s="54">
        <v>1096.0</v>
      </c>
      <c r="C992" s="8" t="s">
        <v>8351</v>
      </c>
      <c r="D992" s="8" t="s">
        <v>820</v>
      </c>
      <c r="E992" s="8" t="s">
        <v>850</v>
      </c>
      <c r="F992" s="8" t="s">
        <v>68</v>
      </c>
      <c r="G992" s="8"/>
      <c r="H992" s="8" t="s">
        <v>850</v>
      </c>
      <c r="I992" s="8" t="s">
        <v>818</v>
      </c>
      <c r="J992" s="78" t="s">
        <v>4907</v>
      </c>
      <c r="K992" s="22">
        <v>0.0</v>
      </c>
      <c r="L992" s="22">
        <f>+SUMIF('حركه المخزن الرئيسي اليوميه'!$F:$F,$H:$H,'حركه المخزن الرئيسي اليوميه'!$H:$H)</f>
        <v>0.0</v>
      </c>
      <c r="M992" s="22">
        <f>+SUMIF('حركه المخزن الرئيسي اليوميه'!$F:$F,$H:$H,'حركه المخزن الرئيسي اليوميه'!$I:$I)</f>
        <v>0.0</v>
      </c>
      <c r="N992" s="22">
        <f>+K992+L992-M992</f>
        <v>0.0</v>
      </c>
      <c r="O992" s="22">
        <f>+N992</f>
        <v>0.0</v>
      </c>
      <c r="P992" s="22">
        <f>+N992-O992</f>
        <v>0.0</v>
      </c>
      <c r="Q992" s="57"/>
      <c r="R992" s="58"/>
    </row>
    <row r="993" spans="8:8" ht="15.0" customHeight="1">
      <c r="B993" s="54">
        <v>1097.0</v>
      </c>
      <c r="C993" s="8" t="s">
        <v>8351</v>
      </c>
      <c r="D993" s="8" t="s">
        <v>1013</v>
      </c>
      <c r="E993" s="8" t="s">
        <v>2565</v>
      </c>
      <c r="F993" s="8" t="s">
        <v>68</v>
      </c>
      <c r="G993" s="8"/>
      <c r="H993" s="8" t="s">
        <v>2565</v>
      </c>
      <c r="I993" s="8" t="s">
        <v>818</v>
      </c>
      <c r="J993" s="78" t="s">
        <v>4908</v>
      </c>
      <c r="K993" s="22">
        <v>0.0</v>
      </c>
      <c r="L993" s="22">
        <f>+SUMIF('حركه المخزن الرئيسي اليوميه'!$F:$F,$H:$H,'حركه المخزن الرئيسي اليوميه'!$H:$H)</f>
        <v>0.0</v>
      </c>
      <c r="M993" s="22">
        <f>+SUMIF('حركه المخزن الرئيسي اليوميه'!$F:$F,$H:$H,'حركه المخزن الرئيسي اليوميه'!$I:$I)</f>
        <v>0.0</v>
      </c>
      <c r="N993" s="22">
        <f>+K993+L993-M993</f>
        <v>0.0</v>
      </c>
      <c r="O993" s="22">
        <f>+N993</f>
        <v>0.0</v>
      </c>
      <c r="P993" s="22">
        <f>+N993-O993</f>
        <v>0.0</v>
      </c>
      <c r="Q993" s="57"/>
      <c r="R993" s="58"/>
    </row>
    <row r="994" spans="8:8" ht="15.0" customHeight="1">
      <c r="B994" s="54">
        <v>1099.0</v>
      </c>
      <c r="C994" s="8" t="s">
        <v>8351</v>
      </c>
      <c r="D994" s="8" t="s">
        <v>820</v>
      </c>
      <c r="E994" s="8" t="s">
        <v>2700</v>
      </c>
      <c r="F994" s="8" t="s">
        <v>68</v>
      </c>
      <c r="G994" s="8" t="s">
        <v>1664</v>
      </c>
      <c r="H994" s="8" t="s">
        <v>2700</v>
      </c>
      <c r="I994" s="8" t="s">
        <v>818</v>
      </c>
      <c r="J994" s="78" t="s">
        <v>4909</v>
      </c>
      <c r="K994" s="22">
        <v>0.0</v>
      </c>
      <c r="L994" s="22">
        <f>+SUMIF('حركه المخزن الرئيسي اليوميه'!$F:$F,$H:$H,'حركه المخزن الرئيسي اليوميه'!$H:$H)</f>
        <v>0.0</v>
      </c>
      <c r="M994" s="22">
        <f>+SUMIF('حركه المخزن الرئيسي اليوميه'!$F:$F,$H:$H,'حركه المخزن الرئيسي اليوميه'!$I:$I)</f>
        <v>0.0</v>
      </c>
      <c r="N994" s="22">
        <f>+K994+L994-M994</f>
        <v>0.0</v>
      </c>
      <c r="O994" s="22">
        <f>+N994</f>
        <v>0.0</v>
      </c>
      <c r="P994" s="22">
        <f>+N994-O994</f>
        <v>0.0</v>
      </c>
      <c r="Q994" s="57"/>
      <c r="R994" s="58"/>
    </row>
    <row r="995" spans="8:8" ht="15.0" customHeight="1">
      <c r="B995" s="54">
        <v>1100.0</v>
      </c>
      <c r="C995" s="8" t="s">
        <v>8351</v>
      </c>
      <c r="D995" s="8" t="s">
        <v>765</v>
      </c>
      <c r="E995" s="8" t="s">
        <v>2756</v>
      </c>
      <c r="F995" s="8" t="s">
        <v>1501</v>
      </c>
      <c r="G995" s="8"/>
      <c r="H995" s="8" t="s">
        <v>2756</v>
      </c>
      <c r="I995" s="8" t="s">
        <v>3605</v>
      </c>
      <c r="J995" s="78" t="s">
        <v>4910</v>
      </c>
      <c r="K995" s="22">
        <v>0.0</v>
      </c>
      <c r="L995" s="22">
        <f>+SUMIF('حركه المخزن الرئيسي اليوميه'!$F:$F,$H:$H,'حركه المخزن الرئيسي اليوميه'!$H:$H)</f>
        <v>0.0</v>
      </c>
      <c r="M995" s="22">
        <f>+SUMIF('حركه المخزن الرئيسي اليوميه'!$F:$F,$H:$H,'حركه المخزن الرئيسي اليوميه'!$I:$I)</f>
        <v>0.0</v>
      </c>
      <c r="N995" s="22">
        <f>+K995+L995-M995</f>
        <v>0.0</v>
      </c>
      <c r="O995" s="22">
        <f>+N995</f>
        <v>0.0</v>
      </c>
      <c r="P995" s="22">
        <f>+N995-O995</f>
        <v>0.0</v>
      </c>
      <c r="Q995" s="57"/>
      <c r="R995" s="58"/>
    </row>
    <row r="996" spans="8:8" ht="15.0" customHeight="1">
      <c r="B996" s="54">
        <v>1101.0</v>
      </c>
      <c r="C996" s="8" t="s">
        <v>8351</v>
      </c>
      <c r="D996" s="8" t="s">
        <v>820</v>
      </c>
      <c r="E996" s="8" t="s">
        <v>3150</v>
      </c>
      <c r="F996" s="8" t="s">
        <v>68</v>
      </c>
      <c r="G996" s="8" t="s">
        <v>1656</v>
      </c>
      <c r="H996" s="8" t="s">
        <v>3150</v>
      </c>
      <c r="I996" s="8" t="s">
        <v>818</v>
      </c>
      <c r="J996" s="78" t="s">
        <v>4911</v>
      </c>
      <c r="K996" s="22">
        <v>20.0</v>
      </c>
      <c r="L996" s="22">
        <f>+SUMIF('حركه المخزن الرئيسي اليوميه'!$F:$F,$H:$H,'حركه المخزن الرئيسي اليوميه'!$H:$H)</f>
        <v>0.0</v>
      </c>
      <c r="M996" s="22">
        <f>+SUMIF('حركه المخزن الرئيسي اليوميه'!$F:$F,$H:$H,'حركه المخزن الرئيسي اليوميه'!$I:$I)</f>
        <v>0.0</v>
      </c>
      <c r="N996" s="22">
        <f>+K996+L996-M996</f>
        <v>20.0</v>
      </c>
      <c r="O996" s="22">
        <f>+N996</f>
        <v>20.0</v>
      </c>
      <c r="P996" s="22">
        <f>+N996-O996</f>
        <v>0.0</v>
      </c>
      <c r="Q996" s="57"/>
      <c r="R996" s="58"/>
    </row>
    <row r="997" spans="8:8" ht="15.0" customHeight="1">
      <c r="B997" s="54">
        <v>1102.0</v>
      </c>
      <c r="C997" s="8" t="s">
        <v>8351</v>
      </c>
      <c r="D997" s="8" t="s">
        <v>765</v>
      </c>
      <c r="E997" s="8" t="s">
        <v>2826</v>
      </c>
      <c r="F997" s="8" t="s">
        <v>68</v>
      </c>
      <c r="G997" s="8"/>
      <c r="H997" s="8" t="s">
        <v>2826</v>
      </c>
      <c r="I997" s="8" t="s">
        <v>350</v>
      </c>
      <c r="J997" s="78" t="s">
        <v>4912</v>
      </c>
      <c r="K997" s="22">
        <v>692.0</v>
      </c>
      <c r="L997" s="22">
        <f>+SUMIF('حركه المخزن الرئيسي اليوميه'!$F:$F,$H:$H,'حركه المخزن الرئيسي اليوميه'!$H:$H)</f>
        <v>0.0</v>
      </c>
      <c r="M997" s="22">
        <f>+SUMIF('حركه المخزن الرئيسي اليوميه'!$F:$F,$H:$H,'حركه المخزن الرئيسي اليوميه'!$I:$I)</f>
        <v>65.0</v>
      </c>
      <c r="N997" s="22">
        <f>+K997+L997-M997</f>
        <v>627.0</v>
      </c>
      <c r="O997" s="22">
        <f>+N997</f>
        <v>627.0</v>
      </c>
      <c r="P997" s="22">
        <f>+N997-O997</f>
        <v>0.0</v>
      </c>
      <c r="Q997" s="57"/>
      <c r="R997" s="58"/>
    </row>
    <row r="998" spans="8:8" ht="15.0" customHeight="1">
      <c r="B998" s="54">
        <v>1103.0</v>
      </c>
      <c r="C998" s="8" t="s">
        <v>8351</v>
      </c>
      <c r="D998" s="8" t="s">
        <v>765</v>
      </c>
      <c r="E998" s="8" t="s">
        <v>2827</v>
      </c>
      <c r="F998" s="8" t="s">
        <v>68</v>
      </c>
      <c r="G998" s="8"/>
      <c r="H998" s="8" t="s">
        <v>2827</v>
      </c>
      <c r="I998" s="8" t="s">
        <v>818</v>
      </c>
      <c r="J998" s="78" t="s">
        <v>4913</v>
      </c>
      <c r="K998" s="22">
        <v>0.0</v>
      </c>
      <c r="L998" s="22">
        <f>+SUMIF('حركه المخزن الرئيسي اليوميه'!$F:$F,$H:$H,'حركه المخزن الرئيسي اليوميه'!$H:$H)</f>
        <v>0.0</v>
      </c>
      <c r="M998" s="22">
        <f>+SUMIF('حركه المخزن الرئيسي اليوميه'!$F:$F,$H:$H,'حركه المخزن الرئيسي اليوميه'!$I:$I)</f>
        <v>0.0</v>
      </c>
      <c r="N998" s="22">
        <f>+K998+L998-M998</f>
        <v>0.0</v>
      </c>
      <c r="O998" s="22">
        <f>+N998</f>
        <v>0.0</v>
      </c>
      <c r="P998" s="22">
        <f>+N998-O998</f>
        <v>0.0</v>
      </c>
      <c r="Q998" s="57"/>
      <c r="R998" s="58"/>
    </row>
    <row r="999" spans="8:8" ht="15.0" customHeight="1">
      <c r="B999" s="54">
        <v>1104.0</v>
      </c>
      <c r="C999" s="8" t="s">
        <v>8351</v>
      </c>
      <c r="D999" s="8" t="s">
        <v>820</v>
      </c>
      <c r="E999" s="8" t="s">
        <v>2716</v>
      </c>
      <c r="F999" s="8" t="s">
        <v>68</v>
      </c>
      <c r="G999" s="8" t="s">
        <v>2392</v>
      </c>
      <c r="H999" s="8" t="s">
        <v>2716</v>
      </c>
      <c r="I999" s="8" t="s">
        <v>818</v>
      </c>
      <c r="J999" s="78" t="s">
        <v>4914</v>
      </c>
      <c r="K999" s="22">
        <v>0.0</v>
      </c>
      <c r="L999" s="22">
        <f>+SUMIF('حركه المخزن الرئيسي اليوميه'!$F:$F,$H:$H,'حركه المخزن الرئيسي اليوميه'!$H:$H)</f>
        <v>0.0</v>
      </c>
      <c r="M999" s="22">
        <f>+SUMIF('حركه المخزن الرئيسي اليوميه'!$F:$F,$H:$H,'حركه المخزن الرئيسي اليوميه'!$I:$I)</f>
        <v>0.0</v>
      </c>
      <c r="N999" s="22">
        <f>+K999+L999-M999</f>
        <v>0.0</v>
      </c>
      <c r="O999" s="22">
        <f>+N999</f>
        <v>0.0</v>
      </c>
      <c r="P999" s="22">
        <f>+N999-O999</f>
        <v>0.0</v>
      </c>
      <c r="Q999" s="57"/>
      <c r="R999" s="58"/>
    </row>
    <row r="1000" spans="8:8" ht="15.0" customHeight="1">
      <c r="B1000" s="54">
        <v>1105.0</v>
      </c>
      <c r="C1000" s="8" t="s">
        <v>8351</v>
      </c>
      <c r="D1000" s="8" t="s">
        <v>2990</v>
      </c>
      <c r="E1000" s="8" t="s">
        <v>2991</v>
      </c>
      <c r="F1000" s="8" t="s">
        <v>125</v>
      </c>
      <c r="G1000" s="8"/>
      <c r="H1000" s="8" t="s">
        <v>2991</v>
      </c>
      <c r="I1000" s="8" t="s">
        <v>3900</v>
      </c>
      <c r="J1000" s="78" t="s">
        <v>4915</v>
      </c>
      <c r="K1000" s="22">
        <v>7.0</v>
      </c>
      <c r="L1000" s="22">
        <f>+SUMIF('حركه المخزن الرئيسي اليوميه'!$F:$F,$H:$H,'حركه المخزن الرئيسي اليوميه'!$H:$H)</f>
        <v>0.0</v>
      </c>
      <c r="M1000" s="22">
        <f>+SUMIF('حركه المخزن الرئيسي اليوميه'!$F:$F,$H:$H,'حركه المخزن الرئيسي اليوميه'!$I:$I)</f>
        <v>0.0</v>
      </c>
      <c r="N1000" s="22">
        <f>+K1000+L1000-M1000</f>
        <v>7.0</v>
      </c>
      <c r="O1000" s="22">
        <f>+N1000</f>
        <v>7.0</v>
      </c>
      <c r="P1000" s="22">
        <f>+N1000-O1000</f>
        <v>0.0</v>
      </c>
      <c r="Q1000" s="57"/>
      <c r="R1000" s="58"/>
    </row>
    <row r="1001" spans="8:8" ht="15.0" customHeight="1">
      <c r="B1001" s="54">
        <v>1106.0</v>
      </c>
      <c r="C1001" s="8" t="s">
        <v>8351</v>
      </c>
      <c r="D1001" s="8" t="s">
        <v>2990</v>
      </c>
      <c r="E1001" s="8" t="s">
        <v>2998</v>
      </c>
      <c r="F1001" s="8" t="s">
        <v>125</v>
      </c>
      <c r="G1001" s="8"/>
      <c r="H1001" s="8" t="s">
        <v>2999</v>
      </c>
      <c r="I1001" s="8" t="s">
        <v>8151</v>
      </c>
      <c r="J1001" s="78" t="s">
        <v>4916</v>
      </c>
      <c r="K1001" s="22">
        <v>14.0</v>
      </c>
      <c r="L1001" s="22">
        <f>+SUMIF('حركه المخزن الرئيسي اليوميه'!$F:$F,$H:$H,'حركه المخزن الرئيسي اليوميه'!$H:$H)</f>
        <v>0.0</v>
      </c>
      <c r="M1001" s="22">
        <f>+SUMIF('حركه المخزن الرئيسي اليوميه'!$F:$F,$H:$H,'حركه المخزن الرئيسي اليوميه'!$I:$I)</f>
        <v>0.0</v>
      </c>
      <c r="N1001" s="22">
        <f>+K1001+L1001-M1001</f>
        <v>14.0</v>
      </c>
      <c r="O1001" s="22">
        <f>+N1001</f>
        <v>14.0</v>
      </c>
      <c r="P1001" s="22">
        <f>+N1001-O1001</f>
        <v>0.0</v>
      </c>
      <c r="Q1001" s="57"/>
      <c r="R1001" s="58"/>
    </row>
    <row r="1002" spans="8:8" ht="15.0" customHeight="1">
      <c r="B1002" s="54">
        <v>1107.0</v>
      </c>
      <c r="C1002" s="8" t="s">
        <v>8351</v>
      </c>
      <c r="D1002" s="8" t="s">
        <v>820</v>
      </c>
      <c r="E1002" s="8" t="s">
        <v>3802</v>
      </c>
      <c r="F1002" s="8" t="s">
        <v>68</v>
      </c>
      <c r="G1002" s="8"/>
      <c r="H1002" s="8" t="s">
        <v>3802</v>
      </c>
      <c r="I1002" s="8" t="s">
        <v>818</v>
      </c>
      <c r="J1002" s="78" t="s">
        <v>4917</v>
      </c>
      <c r="K1002" s="22">
        <v>3.0</v>
      </c>
      <c r="L1002" s="22">
        <f>+SUMIF('حركه المخزن الرئيسي اليوميه'!$F:$F,$H:$H,'حركه المخزن الرئيسي اليوميه'!$H:$H)</f>
        <v>0.0</v>
      </c>
      <c r="M1002" s="22">
        <f>+SUMIF('حركه المخزن الرئيسي اليوميه'!$F:$F,$H:$H,'حركه المخزن الرئيسي اليوميه'!$I:$I)</f>
        <v>0.0</v>
      </c>
      <c r="N1002" s="22">
        <f>+K1002+L1002-M1002</f>
        <v>3.0</v>
      </c>
      <c r="O1002" s="22">
        <f>+N1002</f>
        <v>3.0</v>
      </c>
      <c r="P1002" s="22">
        <f>+N1002-O1002</f>
        <v>0.0</v>
      </c>
      <c r="Q1002" s="57"/>
      <c r="R1002" s="58"/>
    </row>
    <row r="1003" spans="8:8" ht="15.0" customHeight="1">
      <c r="B1003" s="54">
        <v>1108.0</v>
      </c>
      <c r="C1003" s="8" t="s">
        <v>8351</v>
      </c>
      <c r="D1003" s="8" t="s">
        <v>766</v>
      </c>
      <c r="E1003" s="8" t="s">
        <v>415</v>
      </c>
      <c r="F1003" s="8" t="s">
        <v>68</v>
      </c>
      <c r="G1003" s="8"/>
      <c r="H1003" s="8" t="s">
        <v>3238</v>
      </c>
      <c r="I1003" s="8" t="s">
        <v>818</v>
      </c>
      <c r="J1003" s="78" t="s">
        <v>4918</v>
      </c>
      <c r="K1003" s="22">
        <v>2.0</v>
      </c>
      <c r="L1003" s="22">
        <f>+SUMIF('حركه المخزن الرئيسي اليوميه'!$F:$F,$H:$H,'حركه المخزن الرئيسي اليوميه'!$H:$H)</f>
        <v>0.0</v>
      </c>
      <c r="M1003" s="22">
        <f>+SUMIF('حركه المخزن الرئيسي اليوميه'!$F:$F,$H:$H,'حركه المخزن الرئيسي اليوميه'!$I:$I)</f>
        <v>0.0</v>
      </c>
      <c r="N1003" s="22">
        <f>+K1003+L1003-M1003</f>
        <v>2.0</v>
      </c>
      <c r="O1003" s="22">
        <f>+N1003</f>
        <v>2.0</v>
      </c>
      <c r="P1003" s="22">
        <f>+N1003-O1003</f>
        <v>0.0</v>
      </c>
      <c r="Q1003" s="57"/>
      <c r="R1003" s="58"/>
    </row>
    <row r="1004" spans="8:8" ht="15.0" customHeight="1">
      <c r="B1004" s="54">
        <v>1109.0</v>
      </c>
      <c r="C1004" s="8" t="s">
        <v>8351</v>
      </c>
      <c r="D1004" s="8" t="s">
        <v>828</v>
      </c>
      <c r="E1004" s="8" t="s">
        <v>412</v>
      </c>
      <c r="F1004" s="8" t="s">
        <v>68</v>
      </c>
      <c r="G1004" s="8"/>
      <c r="H1004" s="8" t="s">
        <v>3241</v>
      </c>
      <c r="I1004" s="8" t="s">
        <v>818</v>
      </c>
      <c r="J1004" s="78" t="s">
        <v>4919</v>
      </c>
      <c r="K1004" s="22">
        <v>1.0</v>
      </c>
      <c r="L1004" s="22">
        <f>+SUMIF('حركه المخزن الرئيسي اليوميه'!$F:$F,$H:$H,'حركه المخزن الرئيسي اليوميه'!$H:$H)</f>
        <v>0.0</v>
      </c>
      <c r="M1004" s="22">
        <f>+SUMIF('حركه المخزن الرئيسي اليوميه'!$F:$F,$H:$H,'حركه المخزن الرئيسي اليوميه'!$I:$I)</f>
        <v>0.0</v>
      </c>
      <c r="N1004" s="22">
        <f>+K1004+L1004-M1004</f>
        <v>1.0</v>
      </c>
      <c r="O1004" s="22">
        <f>+N1004</f>
        <v>1.0</v>
      </c>
      <c r="P1004" s="22">
        <f>+N1004-O1004</f>
        <v>0.0</v>
      </c>
      <c r="Q1004" s="57"/>
      <c r="R1004" s="58"/>
    </row>
    <row r="1005" spans="8:8" ht="15.0" customHeight="1">
      <c r="B1005" s="54">
        <v>1110.0</v>
      </c>
      <c r="C1005" s="8" t="s">
        <v>8351</v>
      </c>
      <c r="D1005" s="8" t="s">
        <v>820</v>
      </c>
      <c r="E1005" s="8" t="s">
        <v>2692</v>
      </c>
      <c r="F1005" s="8" t="s">
        <v>68</v>
      </c>
      <c r="G1005" s="8"/>
      <c r="H1005" s="8" t="s">
        <v>3626</v>
      </c>
      <c r="I1005" s="8" t="s">
        <v>818</v>
      </c>
      <c r="J1005" s="78" t="s">
        <v>4920</v>
      </c>
      <c r="K1005" s="22">
        <v>3.0</v>
      </c>
      <c r="L1005" s="22">
        <f>+SUMIF('حركه المخزن الرئيسي اليوميه'!$F:$F,$H:$H,'حركه المخزن الرئيسي اليوميه'!$H:$H)</f>
        <v>0.0</v>
      </c>
      <c r="M1005" s="22">
        <f>+SUMIF('حركه المخزن الرئيسي اليوميه'!$F:$F,$H:$H,'حركه المخزن الرئيسي اليوميه'!$I:$I)</f>
        <v>0.0</v>
      </c>
      <c r="N1005" s="22">
        <f>+K1005+L1005-M1005</f>
        <v>3.0</v>
      </c>
      <c r="O1005" s="22">
        <f>+N1005</f>
        <v>3.0</v>
      </c>
      <c r="P1005" s="22">
        <f>+N1005-O1005</f>
        <v>0.0</v>
      </c>
      <c r="Q1005" s="57"/>
      <c r="R1005" s="58"/>
    </row>
    <row r="1006" spans="8:8" ht="15.0" customHeight="1">
      <c r="B1006" s="54">
        <v>1111.0</v>
      </c>
      <c r="C1006" s="8" t="s">
        <v>8351</v>
      </c>
      <c r="D1006" s="8" t="s">
        <v>1013</v>
      </c>
      <c r="E1006" s="8" t="s">
        <v>1966</v>
      </c>
      <c r="F1006" s="8" t="s">
        <v>1501</v>
      </c>
      <c r="G1006" s="8" t="s">
        <v>1968</v>
      </c>
      <c r="H1006" s="8" t="s">
        <v>1966</v>
      </c>
      <c r="I1006" s="8" t="s">
        <v>3209</v>
      </c>
      <c r="J1006" s="78" t="s">
        <v>4921</v>
      </c>
      <c r="K1006" s="22">
        <v>3.0</v>
      </c>
      <c r="L1006" s="22">
        <f>+SUMIF('حركه المخزن الرئيسي اليوميه'!$F:$F,$H:$H,'حركه المخزن الرئيسي اليوميه'!$H:$H)</f>
        <v>0.0</v>
      </c>
      <c r="M1006" s="22">
        <f>+SUMIF('حركه المخزن الرئيسي اليوميه'!$F:$F,$H:$H,'حركه المخزن الرئيسي اليوميه'!$I:$I)</f>
        <v>0.0</v>
      </c>
      <c r="N1006" s="22">
        <f>+K1006+L1006-M1006</f>
        <v>3.0</v>
      </c>
      <c r="O1006" s="22">
        <f>+N1006</f>
        <v>3.0</v>
      </c>
      <c r="P1006" s="22">
        <f>+N1006-O1006</f>
        <v>0.0</v>
      </c>
      <c r="Q1006" s="57"/>
      <c r="R1006" s="58"/>
    </row>
    <row r="1007" spans="8:8" ht="15.0" customHeight="1">
      <c r="B1007" s="54">
        <v>1112.0</v>
      </c>
      <c r="C1007" s="8" t="s">
        <v>8351</v>
      </c>
      <c r="D1007" s="8" t="s">
        <v>820</v>
      </c>
      <c r="E1007" s="8" t="s">
        <v>2733</v>
      </c>
      <c r="F1007" s="8" t="s">
        <v>68</v>
      </c>
      <c r="G1007" s="8"/>
      <c r="H1007" s="8" t="s">
        <v>2733</v>
      </c>
      <c r="I1007" s="8" t="s">
        <v>818</v>
      </c>
      <c r="J1007" s="78" t="s">
        <v>4922</v>
      </c>
      <c r="K1007" s="22">
        <v>0.0</v>
      </c>
      <c r="L1007" s="22">
        <f>+SUMIF('حركه المخزن الرئيسي اليوميه'!$F:$F,$H:$H,'حركه المخزن الرئيسي اليوميه'!$H:$H)</f>
        <v>0.0</v>
      </c>
      <c r="M1007" s="22">
        <f>+SUMIF('حركه المخزن الرئيسي اليوميه'!$F:$F,$H:$H,'حركه المخزن الرئيسي اليوميه'!$I:$I)</f>
        <v>0.0</v>
      </c>
      <c r="N1007" s="22">
        <f>+K1007+L1007-M1007</f>
        <v>0.0</v>
      </c>
      <c r="O1007" s="22">
        <f>+N1007</f>
        <v>0.0</v>
      </c>
      <c r="P1007" s="22">
        <f>+N1007-O1007</f>
        <v>0.0</v>
      </c>
      <c r="Q1007" s="57"/>
      <c r="R1007" s="58"/>
    </row>
    <row r="1008" spans="8:8" ht="15.0" customHeight="1">
      <c r="B1008" s="54">
        <v>1113.0</v>
      </c>
      <c r="C1008" s="8" t="s">
        <v>8351</v>
      </c>
      <c r="D1008" s="8" t="s">
        <v>1018</v>
      </c>
      <c r="E1008" s="8" t="s">
        <v>8116</v>
      </c>
      <c r="F1008" s="8" t="s">
        <v>68</v>
      </c>
      <c r="G1008" s="8"/>
      <c r="H1008" s="8" t="s">
        <v>8116</v>
      </c>
      <c r="I1008" s="8" t="s">
        <v>2815</v>
      </c>
      <c r="J1008" s="78" t="s">
        <v>4923</v>
      </c>
      <c r="K1008" s="22">
        <v>5.0</v>
      </c>
      <c r="L1008" s="22">
        <f>+SUMIF('حركه المخزن الرئيسي اليوميه'!$F:$F,$H:$H,'حركه المخزن الرئيسي اليوميه'!$H:$H)</f>
        <v>0.0</v>
      </c>
      <c r="M1008" s="22">
        <f>+SUMIF('حركه المخزن الرئيسي اليوميه'!$F:$F,$H:$H,'حركه المخزن الرئيسي اليوميه'!$I:$I)</f>
        <v>3.0</v>
      </c>
      <c r="N1008" s="22">
        <f>+K1008+L1008-M1008</f>
        <v>2.0</v>
      </c>
      <c r="O1008" s="22">
        <f>+N1008</f>
        <v>2.0</v>
      </c>
      <c r="P1008" s="22">
        <f>+N1008-O1008</f>
        <v>0.0</v>
      </c>
      <c r="Q1008" s="57"/>
      <c r="R1008" s="58"/>
    </row>
    <row r="1009" spans="8:8" ht="15.0" customHeight="1">
      <c r="B1009" s="54">
        <v>1114.0</v>
      </c>
      <c r="C1009" s="8" t="s">
        <v>8351</v>
      </c>
      <c r="D1009" s="8" t="s">
        <v>1018</v>
      </c>
      <c r="E1009" s="8" t="s">
        <v>2742</v>
      </c>
      <c r="F1009" s="8" t="s">
        <v>3836</v>
      </c>
      <c r="G1009" s="8"/>
      <c r="H1009" s="8" t="s">
        <v>3837</v>
      </c>
      <c r="I1009" s="8" t="s">
        <v>818</v>
      </c>
      <c r="J1009" s="78" t="s">
        <v>4924</v>
      </c>
      <c r="K1009" s="22">
        <v>0.0</v>
      </c>
      <c r="L1009" s="22">
        <f>+SUMIF('حركه المخزن الرئيسي اليوميه'!$F:$F,$H:$H,'حركه المخزن الرئيسي اليوميه'!$H:$H)</f>
        <v>0.0</v>
      </c>
      <c r="M1009" s="22">
        <f>+SUMIF('حركه المخزن الرئيسي اليوميه'!$F:$F,$H:$H,'حركه المخزن الرئيسي اليوميه'!$I:$I)</f>
        <v>0.0</v>
      </c>
      <c r="N1009" s="22">
        <f>+K1009+L1009-M1009</f>
        <v>0.0</v>
      </c>
      <c r="O1009" s="22">
        <f>+N1009</f>
        <v>0.0</v>
      </c>
      <c r="P1009" s="22">
        <f>+N1009-O1009</f>
        <v>0.0</v>
      </c>
      <c r="Q1009" s="57"/>
      <c r="R1009" s="58"/>
    </row>
    <row r="1010" spans="8:8" ht="15.0" customHeight="1">
      <c r="B1010" s="54">
        <v>1115.0</v>
      </c>
      <c r="C1010" s="8"/>
      <c r="D1010" s="8"/>
      <c r="E1010" s="8"/>
      <c r="F1010" s="8"/>
      <c r="G1010" s="8"/>
      <c r="H1010" s="8"/>
      <c r="I1010" s="8"/>
      <c r="J1010" s="78" t="s">
        <v>4925</v>
      </c>
      <c r="K1010" s="22">
        <v>0.0</v>
      </c>
      <c r="L1010" s="22">
        <f>+SUMIF('حركه المخزن الرئيسي اليوميه'!$F:$F,$H:$H,'حركه المخزن الرئيسي اليوميه'!$H:$H)</f>
        <v>0.0</v>
      </c>
      <c r="M1010" s="22">
        <f>+SUMIF('حركه المخزن الرئيسي اليوميه'!$F:$F,$H:$H,'حركه المخزن الرئيسي اليوميه'!$I:$I)</f>
        <v>0.0</v>
      </c>
      <c r="N1010" s="22">
        <f>+K1010+L1010-M1010</f>
        <v>0.0</v>
      </c>
      <c r="O1010" s="22">
        <f>+N1010</f>
        <v>0.0</v>
      </c>
      <c r="P1010" s="22">
        <f>+N1010-O1010</f>
        <v>0.0</v>
      </c>
      <c r="Q1010" s="57"/>
      <c r="R1010" s="58"/>
    </row>
    <row r="1011" spans="8:8" ht="15.0" customHeight="1">
      <c r="B1011" s="54">
        <v>1116.0</v>
      </c>
      <c r="C1011" s="8"/>
      <c r="D1011" s="8"/>
      <c r="E1011" s="8"/>
      <c r="F1011" s="8"/>
      <c r="G1011" s="8"/>
      <c r="H1011" s="8"/>
      <c r="I1011" s="8"/>
      <c r="J1011" s="78" t="s">
        <v>4926</v>
      </c>
      <c r="K1011" s="22">
        <v>0.0</v>
      </c>
      <c r="L1011" s="22">
        <f>+SUMIF('حركه المخزن الرئيسي اليوميه'!$F:$F,$H:$H,'حركه المخزن الرئيسي اليوميه'!$H:$H)</f>
        <v>0.0</v>
      </c>
      <c r="M1011" s="22">
        <f>+SUMIF('حركه المخزن الرئيسي اليوميه'!$F:$F,$H:$H,'حركه المخزن الرئيسي اليوميه'!$I:$I)</f>
        <v>0.0</v>
      </c>
      <c r="N1011" s="22">
        <f>+K1011+L1011-M1011</f>
        <v>0.0</v>
      </c>
      <c r="O1011" s="22">
        <f>+N1011</f>
        <v>0.0</v>
      </c>
      <c r="P1011" s="22">
        <f>+N1011-O1011</f>
        <v>0.0</v>
      </c>
      <c r="Q1011" s="57"/>
      <c r="R1011" s="58"/>
    </row>
    <row r="1012" spans="8:8" ht="15.0" customHeight="1">
      <c r="B1012" s="54">
        <v>1117.0</v>
      </c>
      <c r="C1012" s="8" t="s">
        <v>8351</v>
      </c>
      <c r="D1012" s="8" t="s">
        <v>765</v>
      </c>
      <c r="E1012" s="8" t="s">
        <v>2860</v>
      </c>
      <c r="F1012" s="8" t="s">
        <v>2861</v>
      </c>
      <c r="G1012" s="8"/>
      <c r="H1012" s="8" t="s">
        <v>2860</v>
      </c>
      <c r="I1012" s="8" t="s">
        <v>818</v>
      </c>
      <c r="J1012" s="78" t="s">
        <v>4927</v>
      </c>
      <c r="K1012" s="22">
        <v>2.0</v>
      </c>
      <c r="L1012" s="22">
        <f>+SUMIF('حركه المخزن الرئيسي اليوميه'!$F:$F,$H:$H,'حركه المخزن الرئيسي اليوميه'!$H:$H)</f>
        <v>0.0</v>
      </c>
      <c r="M1012" s="22">
        <f>+SUMIF('حركه المخزن الرئيسي اليوميه'!$F:$F,$H:$H,'حركه المخزن الرئيسي اليوميه'!$I:$I)</f>
        <v>0.0</v>
      </c>
      <c r="N1012" s="22">
        <f>+K1012+L1012-M1012</f>
        <v>2.0</v>
      </c>
      <c r="O1012" s="22">
        <f>+N1012</f>
        <v>2.0</v>
      </c>
      <c r="P1012" s="22">
        <f>+N1012-O1012</f>
        <v>0.0</v>
      </c>
      <c r="Q1012" s="57"/>
      <c r="R1012" s="58"/>
    </row>
    <row r="1013" spans="8:8" ht="15.0" customHeight="1">
      <c r="B1013" s="54">
        <v>1118.0</v>
      </c>
      <c r="C1013" s="8" t="s">
        <v>8351</v>
      </c>
      <c r="D1013" s="8" t="s">
        <v>765</v>
      </c>
      <c r="E1013" s="8" t="s">
        <v>2893</v>
      </c>
      <c r="F1013" s="8" t="s">
        <v>1501</v>
      </c>
      <c r="G1013" s="8"/>
      <c r="H1013" s="8" t="s">
        <v>2893</v>
      </c>
      <c r="I1013" s="8" t="s">
        <v>818</v>
      </c>
      <c r="J1013" s="78" t="s">
        <v>4928</v>
      </c>
      <c r="K1013" s="22">
        <v>0.0</v>
      </c>
      <c r="L1013" s="22">
        <f>+SUMIF('حركه المخزن الرئيسي اليوميه'!$F:$F,$H:$H,'حركه المخزن الرئيسي اليوميه'!$H:$H)</f>
        <v>0.0</v>
      </c>
      <c r="M1013" s="22">
        <f>+SUMIF('حركه المخزن الرئيسي اليوميه'!$F:$F,$H:$H,'حركه المخزن الرئيسي اليوميه'!$I:$I)</f>
        <v>0.0</v>
      </c>
      <c r="N1013" s="22">
        <f>+K1013+L1013-M1013</f>
        <v>0.0</v>
      </c>
      <c r="O1013" s="22">
        <f>+N1013</f>
        <v>0.0</v>
      </c>
      <c r="P1013" s="22">
        <f>+N1013-O1013</f>
        <v>0.0</v>
      </c>
      <c r="Q1013" s="57"/>
      <c r="R1013" s="58"/>
    </row>
    <row r="1014" spans="8:8" ht="15.0" customHeight="1">
      <c r="B1014" s="54">
        <v>1119.0</v>
      </c>
      <c r="C1014" s="8" t="s">
        <v>8351</v>
      </c>
      <c r="D1014" s="8" t="s">
        <v>1013</v>
      </c>
      <c r="E1014" s="8" t="s">
        <v>288</v>
      </c>
      <c r="F1014" s="8" t="s">
        <v>68</v>
      </c>
      <c r="G1014" s="8"/>
      <c r="H1014" s="8" t="s">
        <v>2940</v>
      </c>
      <c r="I1014" s="8" t="s">
        <v>818</v>
      </c>
      <c r="J1014" s="78" t="s">
        <v>4929</v>
      </c>
      <c r="K1014" s="22">
        <v>0.0</v>
      </c>
      <c r="L1014" s="22">
        <f>+SUMIF('حركه المخزن الرئيسي اليوميه'!$F:$F,$H:$H,'حركه المخزن الرئيسي اليوميه'!$H:$H)</f>
        <v>0.0</v>
      </c>
      <c r="M1014" s="22">
        <f>+SUMIF('حركه المخزن الرئيسي اليوميه'!$F:$F,$H:$H,'حركه المخزن الرئيسي اليوميه'!$I:$I)</f>
        <v>0.0</v>
      </c>
      <c r="N1014" s="22">
        <f>+K1014+L1014-M1014</f>
        <v>0.0</v>
      </c>
      <c r="O1014" s="22">
        <f>+N1014</f>
        <v>0.0</v>
      </c>
      <c r="P1014" s="22">
        <f>+N1014-O1014</f>
        <v>0.0</v>
      </c>
      <c r="Q1014" s="57"/>
      <c r="R1014" s="58"/>
    </row>
    <row r="1015" spans="8:8" ht="15.0" customHeight="1">
      <c r="B1015" s="54">
        <v>1120.0</v>
      </c>
      <c r="C1015" s="8" t="s">
        <v>8351</v>
      </c>
      <c r="D1015" s="8" t="s">
        <v>1013</v>
      </c>
      <c r="E1015" s="8" t="s">
        <v>1892</v>
      </c>
      <c r="F1015" s="8" t="s">
        <v>1501</v>
      </c>
      <c r="G1015" s="8" t="s">
        <v>2305</v>
      </c>
      <c r="H1015" s="8" t="s">
        <v>1892</v>
      </c>
      <c r="I1015" s="8" t="s">
        <v>818</v>
      </c>
      <c r="J1015" s="78" t="s">
        <v>4930</v>
      </c>
      <c r="K1015" s="22">
        <v>0.0</v>
      </c>
      <c r="L1015" s="22">
        <f>+SUMIF('حركه المخزن الرئيسي اليوميه'!$F:$F,$H:$H,'حركه المخزن الرئيسي اليوميه'!$H:$H)</f>
        <v>0.0</v>
      </c>
      <c r="M1015" s="22">
        <f>+SUMIF('حركه المخزن الرئيسي اليوميه'!$F:$F,$H:$H,'حركه المخزن الرئيسي اليوميه'!$I:$I)</f>
        <v>0.0</v>
      </c>
      <c r="N1015" s="22">
        <f>+K1015+L1015-M1015</f>
        <v>0.0</v>
      </c>
      <c r="O1015" s="22">
        <f>+N1015</f>
        <v>0.0</v>
      </c>
      <c r="P1015" s="22">
        <f>+N1015-O1015</f>
        <v>0.0</v>
      </c>
      <c r="Q1015" s="57"/>
      <c r="R1015" s="58"/>
    </row>
    <row r="1016" spans="8:8" ht="15.0" customHeight="1">
      <c r="B1016" s="54">
        <v>1121.0</v>
      </c>
      <c r="C1016" s="8" t="s">
        <v>8351</v>
      </c>
      <c r="D1016" s="8" t="s">
        <v>820</v>
      </c>
      <c r="E1016" s="8" t="s">
        <v>69</v>
      </c>
      <c r="F1016" s="8" t="s">
        <v>67</v>
      </c>
      <c r="G1016" s="8" t="s">
        <v>2257</v>
      </c>
      <c r="H1016" s="8" t="s">
        <v>1322</v>
      </c>
      <c r="I1016" s="8" t="s">
        <v>8149</v>
      </c>
      <c r="J1016" s="78" t="s">
        <v>4931</v>
      </c>
      <c r="K1016" s="22">
        <v>46.0</v>
      </c>
      <c r="L1016" s="22">
        <f>+SUMIF('حركه المخزن الرئيسي اليوميه'!$F:$F,$H:$H,'حركه المخزن الرئيسي اليوميه'!$H:$H)</f>
        <v>0.0</v>
      </c>
      <c r="M1016" s="22">
        <f>+SUMIF('حركه المخزن الرئيسي اليوميه'!$F:$F,$H:$H,'حركه المخزن الرئيسي اليوميه'!$I:$I)</f>
        <v>8.0</v>
      </c>
      <c r="N1016" s="22">
        <f>+K1016+L1016-M1016</f>
        <v>38.0</v>
      </c>
      <c r="O1016" s="22">
        <f>+N1016</f>
        <v>38.0</v>
      </c>
      <c r="P1016" s="22">
        <f>+N1016-O1016</f>
        <v>0.0</v>
      </c>
      <c r="Q1016" s="57"/>
      <c r="R1016" s="58"/>
    </row>
    <row r="1017" spans="8:8" ht="15.0" customHeight="1">
      <c r="B1017" s="54">
        <v>1122.0</v>
      </c>
      <c r="C1017" s="8" t="s">
        <v>8351</v>
      </c>
      <c r="D1017" s="8" t="s">
        <v>820</v>
      </c>
      <c r="E1017" s="8" t="s">
        <v>2731</v>
      </c>
      <c r="F1017" s="8" t="s">
        <v>876</v>
      </c>
      <c r="G1017" s="8"/>
      <c r="H1017" s="8" t="s">
        <v>2731</v>
      </c>
      <c r="I1017" s="8" t="s">
        <v>174</v>
      </c>
      <c r="J1017" s="78" t="s">
        <v>4932</v>
      </c>
      <c r="K1017" s="22">
        <v>4.0</v>
      </c>
      <c r="L1017" s="22">
        <f>+SUMIF('حركه المخزن الرئيسي اليوميه'!$F:$F,$H:$H,'حركه المخزن الرئيسي اليوميه'!$H:$H)</f>
        <v>0.0</v>
      </c>
      <c r="M1017" s="22">
        <f>+SUMIF('حركه المخزن الرئيسي اليوميه'!$F:$F,$H:$H,'حركه المخزن الرئيسي اليوميه'!$I:$I)</f>
        <v>0.0</v>
      </c>
      <c r="N1017" s="22">
        <f>+K1017+L1017-M1017</f>
        <v>4.0</v>
      </c>
      <c r="O1017" s="22">
        <f>+N1017</f>
        <v>4.0</v>
      </c>
      <c r="P1017" s="22">
        <f>+N1017-O1017</f>
        <v>0.0</v>
      </c>
      <c r="Q1017" s="57"/>
      <c r="R1017" s="58"/>
    </row>
    <row r="1018" spans="8:8" ht="15.0" customHeight="1">
      <c r="B1018" s="54">
        <v>1123.0</v>
      </c>
      <c r="C1018" s="8" t="s">
        <v>8351</v>
      </c>
      <c r="D1018" s="8" t="s">
        <v>820</v>
      </c>
      <c r="E1018" s="8" t="s">
        <v>996</v>
      </c>
      <c r="F1018" s="8" t="s">
        <v>68</v>
      </c>
      <c r="G1018" s="8" t="s">
        <v>2413</v>
      </c>
      <c r="H1018" s="8" t="s">
        <v>996</v>
      </c>
      <c r="I1018" s="8" t="s">
        <v>995</v>
      </c>
      <c r="J1018" s="78" t="s">
        <v>4933</v>
      </c>
      <c r="K1018" s="22">
        <v>0.0</v>
      </c>
      <c r="L1018" s="22">
        <f>+SUMIF('حركه المخزن الرئيسي اليوميه'!$F:$F,$H:$H,'حركه المخزن الرئيسي اليوميه'!$H:$H)</f>
        <v>0.0</v>
      </c>
      <c r="M1018" s="22">
        <f>+SUMIF('حركه المخزن الرئيسي اليوميه'!$F:$F,$H:$H,'حركه المخزن الرئيسي اليوميه'!$I:$I)</f>
        <v>0.0</v>
      </c>
      <c r="N1018" s="22">
        <f>+K1018+L1018-M1018</f>
        <v>0.0</v>
      </c>
      <c r="O1018" s="22">
        <f>+N1018</f>
        <v>0.0</v>
      </c>
      <c r="P1018" s="22">
        <f>+N1018-O1018</f>
        <v>0.0</v>
      </c>
      <c r="Q1018" s="57"/>
      <c r="R1018" s="58"/>
    </row>
    <row r="1019" spans="8:8" ht="15.0" customHeight="1">
      <c r="B1019" s="54">
        <v>1124.0</v>
      </c>
      <c r="C1019" s="8" t="s">
        <v>8351</v>
      </c>
      <c r="D1019" s="8" t="s">
        <v>1013</v>
      </c>
      <c r="E1019" s="8" t="s">
        <v>794</v>
      </c>
      <c r="F1019" s="8" t="s">
        <v>68</v>
      </c>
      <c r="G1019" s="8" t="s">
        <v>1963</v>
      </c>
      <c r="H1019" s="8" t="s">
        <v>2777</v>
      </c>
      <c r="I1019" s="8" t="s">
        <v>2803</v>
      </c>
      <c r="J1019" s="78" t="s">
        <v>4934</v>
      </c>
      <c r="K1019" s="22">
        <v>106.0</v>
      </c>
      <c r="L1019" s="22">
        <f>+SUMIF('حركه المخزن الرئيسي اليوميه'!$F:$F,$H:$H,'حركه المخزن الرئيسي اليوميه'!$H:$H)</f>
        <v>0.0</v>
      </c>
      <c r="M1019" s="22">
        <f>+SUMIF('حركه المخزن الرئيسي اليوميه'!$F:$F,$H:$H,'حركه المخزن الرئيسي اليوميه'!$I:$I)</f>
        <v>0.0</v>
      </c>
      <c r="N1019" s="22">
        <f>+K1019+L1019-M1019</f>
        <v>106.0</v>
      </c>
      <c r="O1019" s="22">
        <f>+N1019</f>
        <v>106.0</v>
      </c>
      <c r="P1019" s="22">
        <f>+N1019-O1019</f>
        <v>0.0</v>
      </c>
      <c r="Q1019" s="57"/>
      <c r="R1019" s="58"/>
    </row>
    <row r="1020" spans="8:8" ht="15.0" customHeight="1">
      <c r="B1020" s="54">
        <v>1125.0</v>
      </c>
      <c r="C1020" s="8" t="s">
        <v>8351</v>
      </c>
      <c r="D1020" s="8" t="s">
        <v>820</v>
      </c>
      <c r="E1020" s="8" t="s">
        <v>2585</v>
      </c>
      <c r="F1020" s="8" t="s">
        <v>68</v>
      </c>
      <c r="G1020" s="8" t="s">
        <v>1963</v>
      </c>
      <c r="H1020" s="8" t="s">
        <v>2584</v>
      </c>
      <c r="I1020" s="8" t="s">
        <v>2955</v>
      </c>
      <c r="J1020" s="78" t="s">
        <v>4935</v>
      </c>
      <c r="K1020" s="22">
        <v>81.0</v>
      </c>
      <c r="L1020" s="22">
        <f>+SUMIF('حركه المخزن الرئيسي اليوميه'!$F:$F,$H:$H,'حركه المخزن الرئيسي اليوميه'!$H:$H)</f>
        <v>0.0</v>
      </c>
      <c r="M1020" s="22">
        <f>+SUMIF('حركه المخزن الرئيسي اليوميه'!$F:$F,$H:$H,'حركه المخزن الرئيسي اليوميه'!$I:$I)</f>
        <v>0.0</v>
      </c>
      <c r="N1020" s="22">
        <f>+K1020+L1020-M1020</f>
        <v>81.0</v>
      </c>
      <c r="O1020" s="22">
        <f>+N1020</f>
        <v>81.0</v>
      </c>
      <c r="P1020" s="22">
        <f>+N1020-O1020</f>
        <v>0.0</v>
      </c>
      <c r="Q1020" s="57"/>
      <c r="R1020" s="58"/>
    </row>
    <row r="1021" spans="8:8" ht="15.0" customHeight="1">
      <c r="B1021" s="54">
        <v>1126.0</v>
      </c>
      <c r="C1021" s="8" t="s">
        <v>8351</v>
      </c>
      <c r="D1021" s="8" t="s">
        <v>1013</v>
      </c>
      <c r="E1021" s="8" t="s">
        <v>794</v>
      </c>
      <c r="F1021" s="8" t="s">
        <v>68</v>
      </c>
      <c r="G1021" s="8" t="s">
        <v>1963</v>
      </c>
      <c r="H1021" s="8" t="s">
        <v>2020</v>
      </c>
      <c r="I1021" s="8" t="s">
        <v>3006</v>
      </c>
      <c r="J1021" s="78" t="s">
        <v>4936</v>
      </c>
      <c r="K1021" s="22">
        <v>0.0</v>
      </c>
      <c r="L1021" s="22">
        <f>+SUMIF('حركه المخزن الرئيسي اليوميه'!$F:$F,$H:$H,'حركه المخزن الرئيسي اليوميه'!$H:$H)</f>
        <v>0.0</v>
      </c>
      <c r="M1021" s="22">
        <f>+SUMIF('حركه المخزن الرئيسي اليوميه'!$F:$F,$H:$H,'حركه المخزن الرئيسي اليوميه'!$I:$I)</f>
        <v>0.0</v>
      </c>
      <c r="N1021" s="22">
        <f>+K1021+L1021-M1021</f>
        <v>0.0</v>
      </c>
      <c r="O1021" s="22">
        <f>+N1021</f>
        <v>0.0</v>
      </c>
      <c r="P1021" s="22">
        <f>+N1021-O1021</f>
        <v>0.0</v>
      </c>
      <c r="Q1021" s="57"/>
      <c r="R1021" s="58"/>
    </row>
    <row r="1022" spans="8:8" ht="15.0" customHeight="1">
      <c r="B1022" s="54">
        <v>1127.0</v>
      </c>
      <c r="C1022" s="8" t="s">
        <v>8351</v>
      </c>
      <c r="D1022" s="8" t="s">
        <v>1013</v>
      </c>
      <c r="E1022" s="8" t="s">
        <v>794</v>
      </c>
      <c r="F1022" s="8" t="s">
        <v>68</v>
      </c>
      <c r="G1022" s="8"/>
      <c r="H1022" s="8" t="s">
        <v>3368</v>
      </c>
      <c r="I1022" s="8" t="s">
        <v>2956</v>
      </c>
      <c r="J1022" s="78" t="s">
        <v>4937</v>
      </c>
      <c r="K1022" s="22">
        <v>27.0</v>
      </c>
      <c r="L1022" s="22">
        <f>+SUMIF('حركه المخزن الرئيسي اليوميه'!$F:$F,$H:$H,'حركه المخزن الرئيسي اليوميه'!$H:$H)</f>
        <v>0.0</v>
      </c>
      <c r="M1022" s="22">
        <f>+SUMIF('حركه المخزن الرئيسي اليوميه'!$F:$F,$H:$H,'حركه المخزن الرئيسي اليوميه'!$I:$I)</f>
        <v>0.0</v>
      </c>
      <c r="N1022" s="22">
        <f>+K1022+L1022-M1022</f>
        <v>27.0</v>
      </c>
      <c r="O1022" s="22">
        <f>+N1022</f>
        <v>27.0</v>
      </c>
      <c r="P1022" s="22">
        <f>+N1022-O1022</f>
        <v>0.0</v>
      </c>
      <c r="Q1022" s="57"/>
      <c r="R1022" s="58"/>
    </row>
    <row r="1023" spans="8:8" ht="15.0" customHeight="1">
      <c r="B1023" s="54">
        <v>1128.0</v>
      </c>
      <c r="C1023" s="8" t="s">
        <v>8351</v>
      </c>
      <c r="D1023" s="8" t="s">
        <v>820</v>
      </c>
      <c r="E1023" s="8" t="s">
        <v>931</v>
      </c>
      <c r="F1023" s="8" t="s">
        <v>68</v>
      </c>
      <c r="G1023" s="8" t="s">
        <v>1963</v>
      </c>
      <c r="H1023" s="8" t="s">
        <v>931</v>
      </c>
      <c r="I1023" s="8" t="s">
        <v>2807</v>
      </c>
      <c r="J1023" s="78" t="s">
        <v>4938</v>
      </c>
      <c r="K1023" s="22">
        <v>0.0</v>
      </c>
      <c r="L1023" s="22">
        <f>+SUMIF('حركه المخزن الرئيسي اليوميه'!$F:$F,$H:$H,'حركه المخزن الرئيسي اليوميه'!$H:$H)</f>
        <v>0.0</v>
      </c>
      <c r="M1023" s="22">
        <f>+SUMIF('حركه المخزن الرئيسي اليوميه'!$F:$F,$H:$H,'حركه المخزن الرئيسي اليوميه'!$I:$I)</f>
        <v>0.0</v>
      </c>
      <c r="N1023" s="22">
        <f>+K1023+L1023-M1023</f>
        <v>0.0</v>
      </c>
      <c r="O1023" s="22">
        <f>+N1023</f>
        <v>0.0</v>
      </c>
      <c r="P1023" s="22">
        <f>+N1023-O1023</f>
        <v>0.0</v>
      </c>
      <c r="Q1023" s="57"/>
      <c r="R1023" s="58"/>
    </row>
    <row r="1024" spans="8:8" ht="15.0" customHeight="1">
      <c r="B1024" s="54">
        <v>1129.0</v>
      </c>
      <c r="C1024" s="8" t="s">
        <v>8351</v>
      </c>
      <c r="D1024" s="8" t="s">
        <v>1013</v>
      </c>
      <c r="E1024" s="8" t="s">
        <v>288</v>
      </c>
      <c r="F1024" s="8" t="s">
        <v>68</v>
      </c>
      <c r="G1024" s="8"/>
      <c r="H1024" s="8" t="s">
        <v>2735</v>
      </c>
      <c r="I1024" s="8" t="s">
        <v>1365</v>
      </c>
      <c r="J1024" s="78" t="s">
        <v>4939</v>
      </c>
      <c r="K1024" s="22">
        <v>21.0</v>
      </c>
      <c r="L1024" s="22">
        <f>+SUMIF('حركه المخزن الرئيسي اليوميه'!$F:$F,$H:$H,'حركه المخزن الرئيسي اليوميه'!$H:$H)</f>
        <v>0.0</v>
      </c>
      <c r="M1024" s="22">
        <f>+SUMIF('حركه المخزن الرئيسي اليوميه'!$F:$F,$H:$H,'حركه المخزن الرئيسي اليوميه'!$I:$I)</f>
        <v>0.0</v>
      </c>
      <c r="N1024" s="22">
        <f>+K1024+L1024-M1024</f>
        <v>21.0</v>
      </c>
      <c r="O1024" s="22">
        <f>+N1024</f>
        <v>21.0</v>
      </c>
      <c r="P1024" s="22">
        <f>+N1024-O1024</f>
        <v>0.0</v>
      </c>
      <c r="Q1024" s="57"/>
      <c r="R1024" s="58"/>
    </row>
    <row r="1025" spans="8:8" ht="15.0" customHeight="1">
      <c r="B1025" s="54">
        <v>1130.0</v>
      </c>
      <c r="C1025" s="8" t="s">
        <v>8351</v>
      </c>
      <c r="D1025" s="8" t="s">
        <v>1013</v>
      </c>
      <c r="E1025" s="8"/>
      <c r="F1025" s="8" t="s">
        <v>68</v>
      </c>
      <c r="G1025" s="8"/>
      <c r="H1025" s="8"/>
      <c r="I1025" s="8" t="s">
        <v>818</v>
      </c>
      <c r="J1025" s="78" t="s">
        <v>4940</v>
      </c>
      <c r="K1025" s="22">
        <v>0.0</v>
      </c>
      <c r="L1025" s="22">
        <f>+SUMIF('حركه المخزن الرئيسي اليوميه'!$F:$F,$H:$H,'حركه المخزن الرئيسي اليوميه'!$H:$H)</f>
        <v>0.0</v>
      </c>
      <c r="M1025" s="22">
        <f>+SUMIF('حركه المخزن الرئيسي اليوميه'!$F:$F,$H:$H,'حركه المخزن الرئيسي اليوميه'!$I:$I)</f>
        <v>0.0</v>
      </c>
      <c r="N1025" s="22">
        <f>+K1025+L1025-M1025</f>
        <v>0.0</v>
      </c>
      <c r="O1025" s="22">
        <f>+N1025</f>
        <v>0.0</v>
      </c>
      <c r="P1025" s="22">
        <f>+N1025-O1025</f>
        <v>0.0</v>
      </c>
      <c r="Q1025" s="57"/>
      <c r="R1025" s="58"/>
    </row>
    <row r="1026" spans="8:8" ht="15.0" customHeight="1">
      <c r="B1026" s="54">
        <v>1131.0</v>
      </c>
      <c r="C1026" s="8" t="s">
        <v>8351</v>
      </c>
      <c r="D1026" s="8" t="s">
        <v>820</v>
      </c>
      <c r="E1026" s="8" t="s">
        <v>1488</v>
      </c>
      <c r="F1026" s="8" t="s">
        <v>68</v>
      </c>
      <c r="G1026" s="8"/>
      <c r="H1026" s="8" t="s">
        <v>2633</v>
      </c>
      <c r="I1026" s="8"/>
      <c r="J1026" s="78" t="s">
        <v>4941</v>
      </c>
      <c r="K1026" s="22">
        <v>0.0</v>
      </c>
      <c r="L1026" s="22">
        <f>+SUMIF('حركه المخزن الرئيسي اليوميه'!$F:$F,$H:$H,'حركه المخزن الرئيسي اليوميه'!$H:$H)</f>
        <v>0.0</v>
      </c>
      <c r="M1026" s="22">
        <f>+SUMIF('حركه المخزن الرئيسي اليوميه'!$F:$F,$H:$H,'حركه المخزن الرئيسي اليوميه'!$I:$I)</f>
        <v>0.0</v>
      </c>
      <c r="N1026" s="22">
        <f>+K1026+L1026-M1026</f>
        <v>0.0</v>
      </c>
      <c r="O1026" s="22">
        <f>+N1026</f>
        <v>0.0</v>
      </c>
      <c r="P1026" s="22">
        <f>+N1026-O1026</f>
        <v>0.0</v>
      </c>
      <c r="Q1026" s="57"/>
      <c r="R1026" s="58"/>
    </row>
    <row r="1027" spans="8:8" ht="15.0" customHeight="1">
      <c r="B1027" s="54">
        <v>1132.0</v>
      </c>
      <c r="C1027" s="8" t="s">
        <v>8351</v>
      </c>
      <c r="D1027" s="8" t="s">
        <v>820</v>
      </c>
      <c r="E1027" s="8" t="s">
        <v>1488</v>
      </c>
      <c r="F1027" s="8" t="s">
        <v>68</v>
      </c>
      <c r="G1027" s="8"/>
      <c r="H1027" s="8" t="s">
        <v>2632</v>
      </c>
      <c r="I1027" s="86" t="s">
        <v>250</v>
      </c>
      <c r="J1027" s="78" t="s">
        <v>4942</v>
      </c>
      <c r="K1027" s="22">
        <v>5.0</v>
      </c>
      <c r="L1027" s="22">
        <f>+SUMIF('حركه المخزن الرئيسي اليوميه'!$F:$F,$H:$H,'حركه المخزن الرئيسي اليوميه'!$H:$H)</f>
        <v>0.0</v>
      </c>
      <c r="M1027" s="22">
        <f>+SUMIF('حركه المخزن الرئيسي اليوميه'!$F:$F,$H:$H,'حركه المخزن الرئيسي اليوميه'!$I:$I)</f>
        <v>0.0</v>
      </c>
      <c r="N1027" s="22">
        <f>+K1027+L1027-M1027</f>
        <v>5.0</v>
      </c>
      <c r="O1027" s="22">
        <f>+N1027</f>
        <v>5.0</v>
      </c>
      <c r="P1027" s="22">
        <f>+N1027-O1027</f>
        <v>0.0</v>
      </c>
      <c r="Q1027" s="57"/>
      <c r="R1027" s="58"/>
    </row>
    <row r="1028" spans="8:8" ht="15.0" customHeight="1">
      <c r="B1028" s="54">
        <v>1133.0</v>
      </c>
      <c r="C1028" s="8" t="s">
        <v>8351</v>
      </c>
      <c r="D1028" s="8" t="s">
        <v>1013</v>
      </c>
      <c r="E1028" s="8" t="s">
        <v>1052</v>
      </c>
      <c r="F1028" s="8" t="s">
        <v>1046</v>
      </c>
      <c r="G1028" s="8" t="s">
        <v>2423</v>
      </c>
      <c r="H1028" s="8" t="s">
        <v>1053</v>
      </c>
      <c r="I1028" s="8"/>
      <c r="J1028" s="78" t="s">
        <v>4943</v>
      </c>
      <c r="K1028" s="22">
        <v>0.0</v>
      </c>
      <c r="L1028" s="22">
        <f>+SUMIF('حركه المخزن الرئيسي اليوميه'!$F:$F,$H:$H,'حركه المخزن الرئيسي اليوميه'!$H:$H)</f>
        <v>0.0</v>
      </c>
      <c r="M1028" s="22">
        <f>+SUMIF('حركه المخزن الرئيسي اليوميه'!$F:$F,$H:$H,'حركه المخزن الرئيسي اليوميه'!$I:$I)</f>
        <v>0.0</v>
      </c>
      <c r="N1028" s="22">
        <f>+K1028+L1028-M1028</f>
        <v>0.0</v>
      </c>
      <c r="O1028" s="22">
        <f>+N1028</f>
        <v>0.0</v>
      </c>
      <c r="P1028" s="22">
        <f>+N1028-O1028</f>
        <v>0.0</v>
      </c>
      <c r="Q1028" s="57"/>
      <c r="R1028" s="58"/>
    </row>
    <row r="1029" spans="8:8" ht="15.0" customHeight="1">
      <c r="B1029" s="54">
        <v>1134.0</v>
      </c>
      <c r="C1029" s="8" t="s">
        <v>8351</v>
      </c>
      <c r="D1029" s="8" t="s">
        <v>820</v>
      </c>
      <c r="E1029" s="8" t="s">
        <v>1624</v>
      </c>
      <c r="F1029" s="8" t="s">
        <v>68</v>
      </c>
      <c r="G1029" s="8" t="s">
        <v>1798</v>
      </c>
      <c r="H1029" s="8" t="s">
        <v>1625</v>
      </c>
      <c r="I1029" s="8" t="s">
        <v>3264</v>
      </c>
      <c r="J1029" s="78" t="s">
        <v>4944</v>
      </c>
      <c r="K1029" s="22">
        <v>6.0</v>
      </c>
      <c r="L1029" s="22">
        <f>+SUMIF('حركه المخزن الرئيسي اليوميه'!$F:$F,$H:$H,'حركه المخزن الرئيسي اليوميه'!$H:$H)</f>
        <v>0.0</v>
      </c>
      <c r="M1029" s="22">
        <f>+SUMIF('حركه المخزن الرئيسي اليوميه'!$F:$F,$H:$H,'حركه المخزن الرئيسي اليوميه'!$I:$I)</f>
        <v>0.0</v>
      </c>
      <c r="N1029" s="22">
        <f>+K1029+L1029-M1029</f>
        <v>6.0</v>
      </c>
      <c r="O1029" s="22">
        <f>+N1029</f>
        <v>6.0</v>
      </c>
      <c r="P1029" s="22">
        <f>+N1029-O1029</f>
        <v>0.0</v>
      </c>
      <c r="Q1029" s="57"/>
      <c r="R1029" s="58"/>
    </row>
    <row r="1030" spans="8:8" ht="15.0" customHeight="1">
      <c r="B1030" s="54">
        <v>1135.0</v>
      </c>
      <c r="C1030" s="8" t="s">
        <v>8351</v>
      </c>
      <c r="D1030" s="8" t="s">
        <v>820</v>
      </c>
      <c r="E1030" s="8" t="s">
        <v>794</v>
      </c>
      <c r="F1030" s="8" t="s">
        <v>68</v>
      </c>
      <c r="G1030" s="8" t="s">
        <v>1963</v>
      </c>
      <c r="H1030" s="8" t="s">
        <v>1406</v>
      </c>
      <c r="I1030" s="8"/>
      <c r="J1030" s="78" t="s">
        <v>4945</v>
      </c>
      <c r="K1030" s="22">
        <v>0.0</v>
      </c>
      <c r="L1030" s="22">
        <f>+SUMIF('حركه المخزن الرئيسي اليوميه'!$F:$F,$H:$H,'حركه المخزن الرئيسي اليوميه'!$H:$H)</f>
        <v>0.0</v>
      </c>
      <c r="M1030" s="22">
        <f>+SUMIF('حركه المخزن الرئيسي اليوميه'!$F:$F,$H:$H,'حركه المخزن الرئيسي اليوميه'!$I:$I)</f>
        <v>0.0</v>
      </c>
      <c r="N1030" s="22">
        <f>+K1030+L1030-M1030</f>
        <v>0.0</v>
      </c>
      <c r="O1030" s="22">
        <f>+N1030</f>
        <v>0.0</v>
      </c>
      <c r="P1030" s="22">
        <f>+N1030-O1030</f>
        <v>0.0</v>
      </c>
      <c r="Q1030" s="57"/>
      <c r="R1030" s="58"/>
    </row>
    <row r="1031" spans="8:8" ht="15.0" customHeight="1">
      <c r="B1031" s="54">
        <v>1136.0</v>
      </c>
      <c r="C1031" s="8" t="s">
        <v>8351</v>
      </c>
      <c r="D1031" s="8" t="s">
        <v>1976</v>
      </c>
      <c r="E1031" s="8" t="s">
        <v>1975</v>
      </c>
      <c r="F1031" s="8"/>
      <c r="G1031" s="8" t="s">
        <v>1975</v>
      </c>
      <c r="H1031" s="8" t="s">
        <v>1978</v>
      </c>
      <c r="I1031" s="8"/>
      <c r="J1031" s="78" t="s">
        <v>4946</v>
      </c>
      <c r="K1031" s="22">
        <v>0.0</v>
      </c>
      <c r="L1031" s="22">
        <f>+SUMIF('حركه المخزن الرئيسي اليوميه'!$F:$F,$H:$H,'حركه المخزن الرئيسي اليوميه'!$H:$H)</f>
        <v>0.0</v>
      </c>
      <c r="M1031" s="22">
        <f>+SUMIF('حركه المخزن الرئيسي اليوميه'!$F:$F,$H:$H,'حركه المخزن الرئيسي اليوميه'!$I:$I)</f>
        <v>0.0</v>
      </c>
      <c r="N1031" s="22">
        <f>+K1031+L1031-M1031</f>
        <v>0.0</v>
      </c>
      <c r="O1031" s="22">
        <f>+N1031</f>
        <v>0.0</v>
      </c>
      <c r="P1031" s="22">
        <f>+N1031-O1031</f>
        <v>0.0</v>
      </c>
      <c r="Q1031" s="57"/>
      <c r="R1031" s="58"/>
    </row>
    <row r="1032" spans="8:8" ht="15.0" customHeight="1">
      <c r="B1032" s="54">
        <v>1137.0</v>
      </c>
      <c r="C1032" s="8" t="s">
        <v>8351</v>
      </c>
      <c r="D1032" s="8" t="s">
        <v>1976</v>
      </c>
      <c r="E1032" s="8" t="s">
        <v>1985</v>
      </c>
      <c r="F1032" s="8"/>
      <c r="G1032" s="8" t="s">
        <v>1985</v>
      </c>
      <c r="H1032" s="8" t="s">
        <v>1986</v>
      </c>
      <c r="I1032" s="8"/>
      <c r="J1032" s="78" t="s">
        <v>4947</v>
      </c>
      <c r="K1032" s="22">
        <v>0.0</v>
      </c>
      <c r="L1032" s="22">
        <f>+SUMIF('حركه المخزن الرئيسي اليوميه'!$F:$F,$H:$H,'حركه المخزن الرئيسي اليوميه'!$H:$H)</f>
        <v>0.0</v>
      </c>
      <c r="M1032" s="22">
        <f>+SUMIF('حركه المخزن الرئيسي اليوميه'!$F:$F,$H:$H,'حركه المخزن الرئيسي اليوميه'!$I:$I)</f>
        <v>0.0</v>
      </c>
      <c r="N1032" s="22">
        <f>+K1032+L1032-M1032</f>
        <v>0.0</v>
      </c>
      <c r="O1032" s="22">
        <f>+N1032</f>
        <v>0.0</v>
      </c>
      <c r="P1032" s="22">
        <f>+N1032-O1032</f>
        <v>0.0</v>
      </c>
      <c r="Q1032" s="57"/>
      <c r="R1032" s="58"/>
    </row>
    <row r="1033" spans="8:8" ht="15.0" customHeight="1">
      <c r="B1033" s="54">
        <v>1138.0</v>
      </c>
      <c r="C1033" s="8" t="s">
        <v>8351</v>
      </c>
      <c r="D1033" s="8" t="s">
        <v>1976</v>
      </c>
      <c r="E1033" s="8" t="s">
        <v>1985</v>
      </c>
      <c r="F1033" s="8"/>
      <c r="G1033" s="8" t="s">
        <v>1985</v>
      </c>
      <c r="H1033" s="8" t="s">
        <v>1987</v>
      </c>
      <c r="I1033" s="8"/>
      <c r="J1033" s="78" t="s">
        <v>4948</v>
      </c>
      <c r="K1033" s="22">
        <v>0.0</v>
      </c>
      <c r="L1033" s="22">
        <f>+SUMIF('حركه المخزن الرئيسي اليوميه'!$F:$F,$H:$H,'حركه المخزن الرئيسي اليوميه'!$H:$H)</f>
        <v>0.0</v>
      </c>
      <c r="M1033" s="22">
        <f>+SUMIF('حركه المخزن الرئيسي اليوميه'!$F:$F,$H:$H,'حركه المخزن الرئيسي اليوميه'!$I:$I)</f>
        <v>0.0</v>
      </c>
      <c r="N1033" s="22">
        <f>+K1033+L1033-M1033</f>
        <v>0.0</v>
      </c>
      <c r="O1033" s="22">
        <f>+N1033</f>
        <v>0.0</v>
      </c>
      <c r="P1033" s="22">
        <f>+N1033-O1033</f>
        <v>0.0</v>
      </c>
      <c r="Q1033" s="57"/>
      <c r="R1033" s="58"/>
    </row>
    <row r="1034" spans="8:8" ht="15.0" customHeight="1">
      <c r="B1034" s="54">
        <v>1139.0</v>
      </c>
      <c r="C1034" s="8" t="s">
        <v>8351</v>
      </c>
      <c r="D1034" s="8" t="s">
        <v>1976</v>
      </c>
      <c r="E1034" s="8" t="s">
        <v>1985</v>
      </c>
      <c r="F1034" s="8"/>
      <c r="G1034" s="8" t="s">
        <v>1985</v>
      </c>
      <c r="H1034" s="8" t="s">
        <v>1984</v>
      </c>
      <c r="I1034" s="8"/>
      <c r="J1034" s="78" t="s">
        <v>4949</v>
      </c>
      <c r="K1034" s="22">
        <v>0.0</v>
      </c>
      <c r="L1034" s="22">
        <f>+SUMIF('حركه المخزن الرئيسي اليوميه'!$F:$F,$H:$H,'حركه المخزن الرئيسي اليوميه'!$H:$H)</f>
        <v>0.0</v>
      </c>
      <c r="M1034" s="22">
        <f>+SUMIF('حركه المخزن الرئيسي اليوميه'!$F:$F,$H:$H,'حركه المخزن الرئيسي اليوميه'!$I:$I)</f>
        <v>0.0</v>
      </c>
      <c r="N1034" s="22">
        <f>+K1034+L1034-M1034</f>
        <v>0.0</v>
      </c>
      <c r="O1034" s="22">
        <f>+N1034</f>
        <v>0.0</v>
      </c>
      <c r="P1034" s="22">
        <f>+N1034-O1034</f>
        <v>0.0</v>
      </c>
      <c r="Q1034" s="57"/>
      <c r="R1034" s="58"/>
    </row>
    <row r="1035" spans="8:8" ht="15.0" customHeight="1">
      <c r="B1035" s="54">
        <v>1140.0</v>
      </c>
      <c r="C1035" s="8" t="s">
        <v>8351</v>
      </c>
      <c r="D1035" s="8" t="s">
        <v>820</v>
      </c>
      <c r="E1035" s="8" t="s">
        <v>976</v>
      </c>
      <c r="F1035" s="8" t="s">
        <v>68</v>
      </c>
      <c r="G1035" s="8" t="s">
        <v>1963</v>
      </c>
      <c r="H1035" s="8" t="s">
        <v>908</v>
      </c>
      <c r="I1035" s="8"/>
      <c r="J1035" s="78" t="s">
        <v>4950</v>
      </c>
      <c r="K1035" s="22">
        <v>0.0</v>
      </c>
      <c r="L1035" s="22">
        <f>+SUMIF('حركه المخزن الرئيسي اليوميه'!$F:$F,$H:$H,'حركه المخزن الرئيسي اليوميه'!$H:$H)</f>
        <v>0.0</v>
      </c>
      <c r="M1035" s="22">
        <f>+SUMIF('حركه المخزن الرئيسي اليوميه'!$F:$F,$H:$H,'حركه المخزن الرئيسي اليوميه'!$I:$I)</f>
        <v>0.0</v>
      </c>
      <c r="N1035" s="22">
        <f>+K1035+L1035-M1035</f>
        <v>0.0</v>
      </c>
      <c r="O1035" s="22">
        <f>+N1035</f>
        <v>0.0</v>
      </c>
      <c r="P1035" s="22">
        <f>+N1035-O1035</f>
        <v>0.0</v>
      </c>
      <c r="Q1035" s="57"/>
      <c r="R1035" s="58"/>
    </row>
    <row r="1036" spans="8:8" ht="15.0" customHeight="1">
      <c r="B1036" s="54">
        <v>1141.0</v>
      </c>
      <c r="C1036" s="8" t="s">
        <v>8351</v>
      </c>
      <c r="D1036" s="8" t="s">
        <v>820</v>
      </c>
      <c r="E1036" s="8" t="s">
        <v>979</v>
      </c>
      <c r="F1036" s="8" t="s">
        <v>68</v>
      </c>
      <c r="G1036" s="8" t="s">
        <v>1963</v>
      </c>
      <c r="H1036" s="8" t="s">
        <v>911</v>
      </c>
      <c r="I1036" s="8"/>
      <c r="J1036" s="78" t="s">
        <v>4951</v>
      </c>
      <c r="K1036" s="22">
        <v>0.0</v>
      </c>
      <c r="L1036" s="22">
        <f>+SUMIF('حركه المخزن الرئيسي اليوميه'!$F:$F,$H:$H,'حركه المخزن الرئيسي اليوميه'!$H:$H)</f>
        <v>0.0</v>
      </c>
      <c r="M1036" s="22">
        <f>+SUMIF('حركه المخزن الرئيسي اليوميه'!$F:$F,$H:$H,'حركه المخزن الرئيسي اليوميه'!$I:$I)</f>
        <v>0.0</v>
      </c>
      <c r="N1036" s="22">
        <f>+K1036+L1036-M1036</f>
        <v>0.0</v>
      </c>
      <c r="O1036" s="22">
        <f>+N1036</f>
        <v>0.0</v>
      </c>
      <c r="P1036" s="22">
        <f>+N1036-O1036</f>
        <v>0.0</v>
      </c>
      <c r="Q1036" s="57"/>
      <c r="R1036" s="58"/>
    </row>
    <row r="1037" spans="8:8" ht="15.0" customHeight="1">
      <c r="B1037" s="54">
        <v>1142.0</v>
      </c>
      <c r="C1037" s="8" t="s">
        <v>8351</v>
      </c>
      <c r="D1037" s="8" t="s">
        <v>820</v>
      </c>
      <c r="E1037" s="8" t="s">
        <v>988</v>
      </c>
      <c r="F1037" s="8" t="s">
        <v>68</v>
      </c>
      <c r="G1037" s="8" t="s">
        <v>1963</v>
      </c>
      <c r="H1037" s="8" t="s">
        <v>919</v>
      </c>
      <c r="I1037" s="8"/>
      <c r="J1037" s="78" t="s">
        <v>4952</v>
      </c>
      <c r="K1037" s="22">
        <v>0.0</v>
      </c>
      <c r="L1037" s="22">
        <f>+SUMIF('حركه المخزن الرئيسي اليوميه'!$F:$F,$H:$H,'حركه المخزن الرئيسي اليوميه'!$H:$H)</f>
        <v>0.0</v>
      </c>
      <c r="M1037" s="22">
        <f>+SUMIF('حركه المخزن الرئيسي اليوميه'!$F:$F,$H:$H,'حركه المخزن الرئيسي اليوميه'!$I:$I)</f>
        <v>0.0</v>
      </c>
      <c r="N1037" s="22">
        <f>+K1037+L1037-M1037</f>
        <v>0.0</v>
      </c>
      <c r="O1037" s="22">
        <f>+N1037</f>
        <v>0.0</v>
      </c>
      <c r="P1037" s="22">
        <f>+N1037-O1037</f>
        <v>0.0</v>
      </c>
      <c r="Q1037" s="57"/>
      <c r="R1037" s="58"/>
    </row>
    <row r="1038" spans="8:8" ht="15.0" customHeight="1">
      <c r="B1038" s="54">
        <v>1143.0</v>
      </c>
      <c r="C1038" s="8" t="s">
        <v>8351</v>
      </c>
      <c r="D1038" s="8" t="s">
        <v>1976</v>
      </c>
      <c r="E1038" s="8" t="s">
        <v>1983</v>
      </c>
      <c r="F1038" s="8"/>
      <c r="G1038" s="8" t="s">
        <v>1983</v>
      </c>
      <c r="H1038" s="8" t="s">
        <v>1982</v>
      </c>
      <c r="I1038" s="8"/>
      <c r="J1038" s="78" t="s">
        <v>4953</v>
      </c>
      <c r="K1038" s="22">
        <v>0.0</v>
      </c>
      <c r="L1038" s="22">
        <f>+SUMIF('حركه المخزن الرئيسي اليوميه'!$F:$F,$H:$H,'حركه المخزن الرئيسي اليوميه'!$H:$H)</f>
        <v>0.0</v>
      </c>
      <c r="M1038" s="22">
        <f>+SUMIF('حركه المخزن الرئيسي اليوميه'!$F:$F,$H:$H,'حركه المخزن الرئيسي اليوميه'!$I:$I)</f>
        <v>0.0</v>
      </c>
      <c r="N1038" s="22">
        <f>+K1038+L1038-M1038</f>
        <v>0.0</v>
      </c>
      <c r="O1038" s="22">
        <f>+N1038</f>
        <v>0.0</v>
      </c>
      <c r="P1038" s="22">
        <f>+N1038-O1038</f>
        <v>0.0</v>
      </c>
      <c r="Q1038" s="57"/>
      <c r="R1038" s="58"/>
    </row>
    <row r="1039" spans="8:8" ht="15.0" customHeight="1">
      <c r="B1039" s="54">
        <v>1144.0</v>
      </c>
      <c r="C1039" s="8" t="s">
        <v>8351</v>
      </c>
      <c r="D1039" s="8" t="s">
        <v>820</v>
      </c>
      <c r="E1039" s="8" t="s">
        <v>1411</v>
      </c>
      <c r="F1039" s="8" t="s">
        <v>68</v>
      </c>
      <c r="G1039" s="8" t="s">
        <v>2452</v>
      </c>
      <c r="H1039" s="8" t="s">
        <v>1411</v>
      </c>
      <c r="I1039" s="8"/>
      <c r="J1039" s="78" t="s">
        <v>4954</v>
      </c>
      <c r="K1039" s="22">
        <v>0.0</v>
      </c>
      <c r="L1039" s="22">
        <f>+SUMIF('حركه المخزن الرئيسي اليوميه'!$F:$F,$H:$H,'حركه المخزن الرئيسي اليوميه'!$H:$H)</f>
        <v>0.0</v>
      </c>
      <c r="M1039" s="22">
        <f>+SUMIF('حركه المخزن الرئيسي اليوميه'!$F:$F,$H:$H,'حركه المخزن الرئيسي اليوميه'!$I:$I)</f>
        <v>0.0</v>
      </c>
      <c r="N1039" s="22">
        <f>+K1039+L1039-M1039</f>
        <v>0.0</v>
      </c>
      <c r="O1039" s="22">
        <f>+N1039</f>
        <v>0.0</v>
      </c>
      <c r="P1039" s="22">
        <f>+N1039-O1039</f>
        <v>0.0</v>
      </c>
      <c r="Q1039" s="57"/>
      <c r="R1039" s="58"/>
    </row>
    <row r="1040" spans="8:8" ht="15.0" customHeight="1">
      <c r="B1040" s="54">
        <v>1145.0</v>
      </c>
      <c r="C1040" s="8" t="s">
        <v>8351</v>
      </c>
      <c r="D1040" s="8" t="s">
        <v>1976</v>
      </c>
      <c r="E1040" s="8" t="s">
        <v>1989</v>
      </c>
      <c r="F1040" s="8"/>
      <c r="G1040" s="8" t="s">
        <v>1989</v>
      </c>
      <c r="H1040" s="8" t="s">
        <v>1988</v>
      </c>
      <c r="I1040" s="8"/>
      <c r="J1040" s="78" t="s">
        <v>4955</v>
      </c>
      <c r="K1040" s="22">
        <v>0.0</v>
      </c>
      <c r="L1040" s="22">
        <f>+SUMIF('حركه المخزن الرئيسي اليوميه'!$F:$F,$H:$H,'حركه المخزن الرئيسي اليوميه'!$H:$H)</f>
        <v>0.0</v>
      </c>
      <c r="M1040" s="22">
        <f>+SUMIF('حركه المخزن الرئيسي اليوميه'!$F:$F,$H:$H,'حركه المخزن الرئيسي اليوميه'!$I:$I)</f>
        <v>0.0</v>
      </c>
      <c r="N1040" s="22">
        <f>+K1040+L1040-M1040</f>
        <v>0.0</v>
      </c>
      <c r="O1040" s="22">
        <f>+N1040</f>
        <v>0.0</v>
      </c>
      <c r="P1040" s="22">
        <f>+N1040-O1040</f>
        <v>0.0</v>
      </c>
      <c r="Q1040" s="57"/>
      <c r="R1040" s="58"/>
    </row>
    <row r="1041" spans="8:8" ht="15.0" customHeight="1">
      <c r="B1041" s="54">
        <v>1146.0</v>
      </c>
      <c r="C1041" s="8" t="s">
        <v>8351</v>
      </c>
      <c r="D1041" s="8" t="s">
        <v>820</v>
      </c>
      <c r="E1041" s="8" t="s">
        <v>661</v>
      </c>
      <c r="F1041" s="8" t="s">
        <v>68</v>
      </c>
      <c r="G1041" s="8" t="s">
        <v>1841</v>
      </c>
      <c r="H1041" s="8" t="s">
        <v>1295</v>
      </c>
      <c r="I1041" s="8"/>
      <c r="J1041" s="78" t="s">
        <v>4956</v>
      </c>
      <c r="K1041" s="22">
        <v>0.0</v>
      </c>
      <c r="L1041" s="22">
        <f>+SUMIF('حركه المخزن الرئيسي اليوميه'!$F:$F,$H:$H,'حركه المخزن الرئيسي اليوميه'!$H:$H)</f>
        <v>0.0</v>
      </c>
      <c r="M1041" s="22">
        <f>+SUMIF('حركه المخزن الرئيسي اليوميه'!$F:$F,$H:$H,'حركه المخزن الرئيسي اليوميه'!$I:$I)</f>
        <v>0.0</v>
      </c>
      <c r="N1041" s="22">
        <f>+K1041+L1041-M1041</f>
        <v>0.0</v>
      </c>
      <c r="O1041" s="22">
        <f>+N1041</f>
        <v>0.0</v>
      </c>
      <c r="P1041" s="22">
        <f>+N1041-O1041</f>
        <v>0.0</v>
      </c>
      <c r="Q1041" s="57"/>
      <c r="R1041" s="58"/>
    </row>
    <row r="1042" spans="8:8" ht="15.0" customHeight="1">
      <c r="B1042" s="54">
        <v>1147.0</v>
      </c>
      <c r="C1042" s="8" t="s">
        <v>8351</v>
      </c>
      <c r="D1042" s="8" t="s">
        <v>820</v>
      </c>
      <c r="E1042" s="8" t="s">
        <v>1289</v>
      </c>
      <c r="F1042" s="8" t="s">
        <v>68</v>
      </c>
      <c r="G1042" s="8" t="s">
        <v>2448</v>
      </c>
      <c r="H1042" s="8" t="s">
        <v>1288</v>
      </c>
      <c r="I1042" s="8"/>
      <c r="J1042" s="78" t="s">
        <v>4957</v>
      </c>
      <c r="K1042" s="22">
        <v>0.0</v>
      </c>
      <c r="L1042" s="22">
        <f>+SUMIF('حركه المخزن الرئيسي اليوميه'!$F:$F,$H:$H,'حركه المخزن الرئيسي اليوميه'!$H:$H)</f>
        <v>0.0</v>
      </c>
      <c r="M1042" s="22">
        <f>+SUMIF('حركه المخزن الرئيسي اليوميه'!$F:$F,$H:$H,'حركه المخزن الرئيسي اليوميه'!$I:$I)</f>
        <v>0.0</v>
      </c>
      <c r="N1042" s="22">
        <f>+K1042+L1042-M1042</f>
        <v>0.0</v>
      </c>
      <c r="O1042" s="22">
        <f>+N1042</f>
        <v>0.0</v>
      </c>
      <c r="P1042" s="22">
        <f>+N1042-O1042</f>
        <v>0.0</v>
      </c>
      <c r="Q1042" s="57"/>
      <c r="R1042" s="58"/>
    </row>
    <row r="1043" spans="8:8" ht="15.0" customHeight="1">
      <c r="B1043" s="54">
        <v>1148.0</v>
      </c>
      <c r="C1043" s="8" t="s">
        <v>8351</v>
      </c>
      <c r="D1043" s="8" t="s">
        <v>820</v>
      </c>
      <c r="E1043" s="8" t="s">
        <v>1291</v>
      </c>
      <c r="F1043" s="8" t="s">
        <v>68</v>
      </c>
      <c r="G1043" s="8" t="s">
        <v>2449</v>
      </c>
      <c r="H1043" s="8" t="s">
        <v>1292</v>
      </c>
      <c r="I1043" s="8"/>
      <c r="J1043" s="78" t="s">
        <v>4958</v>
      </c>
      <c r="K1043" s="22">
        <v>0.0</v>
      </c>
      <c r="L1043" s="22">
        <f>+SUMIF('حركه المخزن الرئيسي اليوميه'!$F:$F,$H:$H,'حركه المخزن الرئيسي اليوميه'!$H:$H)</f>
        <v>0.0</v>
      </c>
      <c r="M1043" s="22">
        <f>+SUMIF('حركه المخزن الرئيسي اليوميه'!$F:$F,$H:$H,'حركه المخزن الرئيسي اليوميه'!$I:$I)</f>
        <v>0.0</v>
      </c>
      <c r="N1043" s="22">
        <f>+K1043+L1043-M1043</f>
        <v>0.0</v>
      </c>
      <c r="O1043" s="22">
        <f>+N1043</f>
        <v>0.0</v>
      </c>
      <c r="P1043" s="22">
        <f>+N1043-O1043</f>
        <v>0.0</v>
      </c>
      <c r="Q1043" s="57"/>
      <c r="R1043" s="58"/>
    </row>
    <row r="1044" spans="8:8" ht="15.0" customHeight="1">
      <c r="B1044" s="54">
        <v>1149.0</v>
      </c>
      <c r="C1044" s="8" t="s">
        <v>8351</v>
      </c>
      <c r="D1044" s="8" t="s">
        <v>820</v>
      </c>
      <c r="E1044" s="8" t="s">
        <v>1291</v>
      </c>
      <c r="F1044" s="8" t="s">
        <v>68</v>
      </c>
      <c r="G1044" s="8" t="s">
        <v>2449</v>
      </c>
      <c r="H1044" s="8" t="s">
        <v>1290</v>
      </c>
      <c r="I1044" s="8"/>
      <c r="J1044" s="78" t="s">
        <v>4959</v>
      </c>
      <c r="K1044" s="22">
        <v>0.0</v>
      </c>
      <c r="L1044" s="22">
        <f>+SUMIF('حركه المخزن الرئيسي اليوميه'!$F:$F,$H:$H,'حركه المخزن الرئيسي اليوميه'!$H:$H)</f>
        <v>0.0</v>
      </c>
      <c r="M1044" s="22">
        <f>+SUMIF('حركه المخزن الرئيسي اليوميه'!$F:$F,$H:$H,'حركه المخزن الرئيسي اليوميه'!$I:$I)</f>
        <v>0.0</v>
      </c>
      <c r="N1044" s="22">
        <f>+K1044+L1044-M1044</f>
        <v>0.0</v>
      </c>
      <c r="O1044" s="22">
        <f>+N1044</f>
        <v>0.0</v>
      </c>
      <c r="P1044" s="22">
        <f>+N1044-O1044</f>
        <v>0.0</v>
      </c>
      <c r="Q1044" s="57"/>
      <c r="R1044" s="58"/>
    </row>
    <row r="1045" spans="8:8" ht="15.0" customHeight="1">
      <c r="B1045" s="54">
        <v>1150.0</v>
      </c>
      <c r="C1045" s="8" t="s">
        <v>8351</v>
      </c>
      <c r="D1045" s="8" t="s">
        <v>820</v>
      </c>
      <c r="E1045" s="8" t="s">
        <v>1294</v>
      </c>
      <c r="F1045" s="8" t="s">
        <v>68</v>
      </c>
      <c r="G1045" s="8" t="s">
        <v>1294</v>
      </c>
      <c r="H1045" s="8" t="s">
        <v>1293</v>
      </c>
      <c r="I1045" s="8"/>
      <c r="J1045" s="78" t="s">
        <v>4960</v>
      </c>
      <c r="K1045" s="22">
        <v>0.0</v>
      </c>
      <c r="L1045" s="22">
        <f>+SUMIF('حركه المخزن الرئيسي اليوميه'!$F:$F,$H:$H,'حركه المخزن الرئيسي اليوميه'!$H:$H)</f>
        <v>0.0</v>
      </c>
      <c r="M1045" s="22">
        <f>+SUMIF('حركه المخزن الرئيسي اليوميه'!$F:$F,$H:$H,'حركه المخزن الرئيسي اليوميه'!$I:$I)</f>
        <v>0.0</v>
      </c>
      <c r="N1045" s="22">
        <f>+K1045+L1045-M1045</f>
        <v>0.0</v>
      </c>
      <c r="O1045" s="22">
        <f>+N1045</f>
        <v>0.0</v>
      </c>
      <c r="P1045" s="22">
        <f>+N1045-O1045</f>
        <v>0.0</v>
      </c>
      <c r="Q1045" s="57"/>
      <c r="R1045" s="58"/>
    </row>
    <row r="1046" spans="8:8" ht="15.0" customHeight="1">
      <c r="B1046" s="54">
        <v>1151.0</v>
      </c>
      <c r="C1046" s="8" t="s">
        <v>8351</v>
      </c>
      <c r="D1046" s="8" t="s">
        <v>1976</v>
      </c>
      <c r="E1046" s="8" t="s">
        <v>1977</v>
      </c>
      <c r="F1046" s="8"/>
      <c r="G1046" s="8" t="s">
        <v>1977</v>
      </c>
      <c r="H1046" s="8" t="s">
        <v>1979</v>
      </c>
      <c r="I1046" s="8"/>
      <c r="J1046" s="78" t="s">
        <v>4961</v>
      </c>
      <c r="K1046" s="22">
        <v>0.0</v>
      </c>
      <c r="L1046" s="22">
        <f>+SUMIF('حركه المخزن الرئيسي اليوميه'!$F:$F,$H:$H,'حركه المخزن الرئيسي اليوميه'!$H:$H)</f>
        <v>0.0</v>
      </c>
      <c r="M1046" s="22">
        <f>+SUMIF('حركه المخزن الرئيسي اليوميه'!$F:$F,$H:$H,'حركه المخزن الرئيسي اليوميه'!$I:$I)</f>
        <v>0.0</v>
      </c>
      <c r="N1046" s="22">
        <f>+K1046+L1046-M1046</f>
        <v>0.0</v>
      </c>
      <c r="O1046" s="22">
        <f>+N1046</f>
        <v>0.0</v>
      </c>
      <c r="P1046" s="22">
        <f>+N1046-O1046</f>
        <v>0.0</v>
      </c>
      <c r="Q1046" s="57"/>
      <c r="R1046" s="58"/>
    </row>
    <row r="1047" spans="8:8" ht="15.0" customHeight="1">
      <c r="B1047" s="54">
        <v>1152.0</v>
      </c>
      <c r="C1047" s="8" t="s">
        <v>8351</v>
      </c>
      <c r="D1047" s="8" t="s">
        <v>1976</v>
      </c>
      <c r="E1047" s="8" t="s">
        <v>1981</v>
      </c>
      <c r="F1047" s="8"/>
      <c r="G1047" s="8" t="s">
        <v>1981</v>
      </c>
      <c r="H1047" s="8" t="s">
        <v>1980</v>
      </c>
      <c r="I1047" s="8"/>
      <c r="J1047" s="78" t="s">
        <v>4962</v>
      </c>
      <c r="K1047" s="22">
        <v>0.0</v>
      </c>
      <c r="L1047" s="22">
        <f>+SUMIF('حركه المخزن الرئيسي اليوميه'!$F:$F,$H:$H,'حركه المخزن الرئيسي اليوميه'!$H:$H)</f>
        <v>0.0</v>
      </c>
      <c r="M1047" s="22">
        <f>+SUMIF('حركه المخزن الرئيسي اليوميه'!$F:$F,$H:$H,'حركه المخزن الرئيسي اليوميه'!$I:$I)</f>
        <v>0.0</v>
      </c>
      <c r="N1047" s="22">
        <f>+K1047+L1047-M1047</f>
        <v>0.0</v>
      </c>
      <c r="O1047" s="22">
        <f>+N1047</f>
        <v>0.0</v>
      </c>
      <c r="P1047" s="22">
        <f>+N1047-O1047</f>
        <v>0.0</v>
      </c>
      <c r="Q1047" s="57"/>
      <c r="R1047" s="58"/>
    </row>
    <row r="1048" spans="8:8" ht="15.0" customHeight="1">
      <c r="B1048" s="54">
        <v>1153.0</v>
      </c>
      <c r="C1048" s="8" t="s">
        <v>8351</v>
      </c>
      <c r="D1048" s="8" t="s">
        <v>1013</v>
      </c>
      <c r="E1048" s="8" t="s">
        <v>1503</v>
      </c>
      <c r="F1048" s="8" t="s">
        <v>1501</v>
      </c>
      <c r="G1048" s="8"/>
      <c r="H1048" s="8" t="s">
        <v>1503</v>
      </c>
      <c r="I1048" s="8"/>
      <c r="J1048" s="78" t="s">
        <v>4963</v>
      </c>
      <c r="K1048" s="22">
        <v>0.0</v>
      </c>
      <c r="L1048" s="22">
        <f>+SUMIF('حركه المخزن الرئيسي اليوميه'!$F:$F,$H:$H,'حركه المخزن الرئيسي اليوميه'!$H:$H)</f>
        <v>0.0</v>
      </c>
      <c r="M1048" s="22">
        <f>+SUMIF('حركه المخزن الرئيسي اليوميه'!$F:$F,$H:$H,'حركه المخزن الرئيسي اليوميه'!$I:$I)</f>
        <v>0.0</v>
      </c>
      <c r="N1048" s="22">
        <f>+K1048+L1048-M1048</f>
        <v>0.0</v>
      </c>
      <c r="O1048" s="22">
        <f>+N1048</f>
        <v>0.0</v>
      </c>
      <c r="P1048" s="22">
        <f>+N1048-O1048</f>
        <v>0.0</v>
      </c>
      <c r="Q1048" s="57"/>
      <c r="R1048" s="58"/>
    </row>
    <row r="1049" spans="8:8" ht="15.0" customHeight="1">
      <c r="B1049" s="54">
        <v>1154.0</v>
      </c>
      <c r="C1049" s="8" t="s">
        <v>8351</v>
      </c>
      <c r="D1049" s="8" t="s">
        <v>1013</v>
      </c>
      <c r="E1049" s="8" t="s">
        <v>1557</v>
      </c>
      <c r="F1049" s="8" t="s">
        <v>1501</v>
      </c>
      <c r="G1049" s="8"/>
      <c r="H1049" s="8" t="s">
        <v>1557</v>
      </c>
      <c r="I1049" s="8"/>
      <c r="J1049" s="78" t="s">
        <v>4964</v>
      </c>
      <c r="K1049" s="22">
        <v>0.0</v>
      </c>
      <c r="L1049" s="22">
        <f>+SUMIF('حركه المخزن الرئيسي اليوميه'!$F:$F,$H:$H,'حركه المخزن الرئيسي اليوميه'!$H:$H)</f>
        <v>0.0</v>
      </c>
      <c r="M1049" s="22">
        <f>+SUMIF('حركه المخزن الرئيسي اليوميه'!$F:$F,$H:$H,'حركه المخزن الرئيسي اليوميه'!$I:$I)</f>
        <v>0.0</v>
      </c>
      <c r="N1049" s="22">
        <f>+K1049+L1049-M1049</f>
        <v>0.0</v>
      </c>
      <c r="O1049" s="22">
        <f>+N1049</f>
        <v>0.0</v>
      </c>
      <c r="P1049" s="22">
        <f>+N1049-O1049</f>
        <v>0.0</v>
      </c>
      <c r="Q1049" s="57"/>
      <c r="R1049" s="58"/>
    </row>
    <row r="1050" spans="8:8" ht="15.0" customHeight="1">
      <c r="B1050" s="54">
        <v>1155.0</v>
      </c>
      <c r="C1050" s="8" t="s">
        <v>8351</v>
      </c>
      <c r="D1050" s="8" t="s">
        <v>1013</v>
      </c>
      <c r="E1050" s="8" t="s">
        <v>1556</v>
      </c>
      <c r="F1050" s="8" t="s">
        <v>1501</v>
      </c>
      <c r="G1050" s="8"/>
      <c r="H1050" s="8" t="s">
        <v>1556</v>
      </c>
      <c r="I1050" s="8"/>
      <c r="J1050" s="78" t="s">
        <v>4965</v>
      </c>
      <c r="K1050" s="22">
        <v>0.0</v>
      </c>
      <c r="L1050" s="22">
        <f>+SUMIF('حركه المخزن الرئيسي اليوميه'!$F:$F,$H:$H,'حركه المخزن الرئيسي اليوميه'!$H:$H)</f>
        <v>0.0</v>
      </c>
      <c r="M1050" s="22">
        <f>+SUMIF('حركه المخزن الرئيسي اليوميه'!$F:$F,$H:$H,'حركه المخزن الرئيسي اليوميه'!$I:$I)</f>
        <v>0.0</v>
      </c>
      <c r="N1050" s="22">
        <f>+K1050+L1050-M1050</f>
        <v>0.0</v>
      </c>
      <c r="O1050" s="22">
        <f>+N1050</f>
        <v>0.0</v>
      </c>
      <c r="P1050" s="22">
        <f>+N1050-O1050</f>
        <v>0.0</v>
      </c>
      <c r="Q1050" s="57"/>
      <c r="R1050" s="58"/>
    </row>
    <row r="1051" spans="8:8" ht="15.0" customHeight="1">
      <c r="B1051" s="54">
        <v>1156.0</v>
      </c>
      <c r="C1051" s="8" t="s">
        <v>8351</v>
      </c>
      <c r="D1051" s="8" t="s">
        <v>1013</v>
      </c>
      <c r="E1051" s="8" t="s">
        <v>1877</v>
      </c>
      <c r="F1051" s="8" t="s">
        <v>1501</v>
      </c>
      <c r="G1051" s="8"/>
      <c r="H1051" s="8" t="s">
        <v>1877</v>
      </c>
      <c r="I1051" s="8"/>
      <c r="J1051" s="78" t="s">
        <v>4966</v>
      </c>
      <c r="K1051" s="22">
        <v>0.0</v>
      </c>
      <c r="L1051" s="22">
        <f>+SUMIF('حركه المخزن الرئيسي اليوميه'!$F:$F,$H:$H,'حركه المخزن الرئيسي اليوميه'!$H:$H)</f>
        <v>0.0</v>
      </c>
      <c r="M1051" s="22">
        <f>+SUMIF('حركه المخزن الرئيسي اليوميه'!$F:$F,$H:$H,'حركه المخزن الرئيسي اليوميه'!$I:$I)</f>
        <v>0.0</v>
      </c>
      <c r="N1051" s="22">
        <f>+K1051+L1051-M1051</f>
        <v>0.0</v>
      </c>
      <c r="O1051" s="22">
        <f>+N1051</f>
        <v>0.0</v>
      </c>
      <c r="P1051" s="22">
        <f>+N1051-O1051</f>
        <v>0.0</v>
      </c>
      <c r="Q1051" s="57"/>
      <c r="R1051" s="58"/>
    </row>
    <row r="1052" spans="8:8" ht="15.0" customHeight="1">
      <c r="B1052" s="54">
        <v>1157.0</v>
      </c>
      <c r="C1052" s="8" t="s">
        <v>8351</v>
      </c>
      <c r="D1052" s="8" t="s">
        <v>1013</v>
      </c>
      <c r="E1052" s="8" t="s">
        <v>1510</v>
      </c>
      <c r="F1052" s="8" t="s">
        <v>1501</v>
      </c>
      <c r="G1052" s="8"/>
      <c r="H1052" s="8" t="s">
        <v>1510</v>
      </c>
      <c r="I1052" s="8"/>
      <c r="J1052" s="78" t="s">
        <v>4967</v>
      </c>
      <c r="K1052" s="22">
        <v>0.0</v>
      </c>
      <c r="L1052" s="22">
        <f>+SUMIF('حركه المخزن الرئيسي اليوميه'!$F:$F,$H:$H,'حركه المخزن الرئيسي اليوميه'!$H:$H)</f>
        <v>0.0</v>
      </c>
      <c r="M1052" s="22">
        <f>+SUMIF('حركه المخزن الرئيسي اليوميه'!$F:$F,$H:$H,'حركه المخزن الرئيسي اليوميه'!$I:$I)</f>
        <v>0.0</v>
      </c>
      <c r="N1052" s="22">
        <f>+K1052+L1052-M1052</f>
        <v>0.0</v>
      </c>
      <c r="O1052" s="22">
        <f>+N1052</f>
        <v>0.0</v>
      </c>
      <c r="P1052" s="22">
        <f>+N1052-O1052</f>
        <v>0.0</v>
      </c>
      <c r="Q1052" s="57"/>
      <c r="R1052" s="58"/>
    </row>
    <row r="1053" spans="8:8" ht="15.0" customHeight="1">
      <c r="B1053" s="54">
        <v>1158.0</v>
      </c>
      <c r="C1053" s="8" t="s">
        <v>8351</v>
      </c>
      <c r="D1053" s="8" t="s">
        <v>1887</v>
      </c>
      <c r="E1053" s="8" t="s">
        <v>1886</v>
      </c>
      <c r="F1053" s="8" t="s">
        <v>1501</v>
      </c>
      <c r="G1053" s="8" t="s">
        <v>2484</v>
      </c>
      <c r="H1053" s="8" t="s">
        <v>1886</v>
      </c>
      <c r="I1053" s="8"/>
      <c r="J1053" s="78" t="s">
        <v>4968</v>
      </c>
      <c r="K1053" s="22">
        <v>0.0</v>
      </c>
      <c r="L1053" s="22">
        <f>+SUMIF('حركه المخزن الرئيسي اليوميه'!$F:$F,$H:$H,'حركه المخزن الرئيسي اليوميه'!$H:$H)</f>
        <v>0.0</v>
      </c>
      <c r="M1053" s="22">
        <f>+SUMIF('حركه المخزن الرئيسي اليوميه'!$F:$F,$H:$H,'حركه المخزن الرئيسي اليوميه'!$I:$I)</f>
        <v>0.0</v>
      </c>
      <c r="N1053" s="22">
        <f>+K1053+L1053-M1053</f>
        <v>0.0</v>
      </c>
      <c r="O1053" s="22">
        <f>+N1053</f>
        <v>0.0</v>
      </c>
      <c r="P1053" s="22">
        <f>+N1053-O1053</f>
        <v>0.0</v>
      </c>
      <c r="Q1053" s="57"/>
      <c r="R1053" s="58"/>
    </row>
    <row r="1054" spans="8:8" ht="15.0" customHeight="1">
      <c r="B1054" s="54">
        <v>1159.0</v>
      </c>
      <c r="C1054" s="8" t="s">
        <v>8351</v>
      </c>
      <c r="D1054" s="8" t="s">
        <v>820</v>
      </c>
      <c r="E1054" s="8" t="s">
        <v>1197</v>
      </c>
      <c r="F1054" s="8" t="s">
        <v>1193</v>
      </c>
      <c r="G1054" s="8"/>
      <c r="H1054" s="8" t="s">
        <v>1197</v>
      </c>
      <c r="I1054" s="8"/>
      <c r="J1054" s="78" t="s">
        <v>4969</v>
      </c>
      <c r="K1054" s="22">
        <v>0.0</v>
      </c>
      <c r="L1054" s="22">
        <f>+SUMIF('حركه المخزن الرئيسي اليوميه'!$F:$F,$H:$H,'حركه المخزن الرئيسي اليوميه'!$H:$H)</f>
        <v>0.0</v>
      </c>
      <c r="M1054" s="22">
        <f>+SUMIF('حركه المخزن الرئيسي اليوميه'!$F:$F,$H:$H,'حركه المخزن الرئيسي اليوميه'!$I:$I)</f>
        <v>0.0</v>
      </c>
      <c r="N1054" s="22">
        <f>+K1054+L1054-M1054</f>
        <v>0.0</v>
      </c>
      <c r="O1054" s="22">
        <f>+N1054</f>
        <v>0.0</v>
      </c>
      <c r="P1054" s="22">
        <f>+N1054-O1054</f>
        <v>0.0</v>
      </c>
      <c r="Q1054" s="57"/>
      <c r="R1054" s="58"/>
    </row>
    <row r="1055" spans="8:8" ht="15.0" customHeight="1">
      <c r="B1055" s="54">
        <v>1160.0</v>
      </c>
      <c r="C1055" s="8" t="s">
        <v>8351</v>
      </c>
      <c r="D1055" s="8" t="s">
        <v>820</v>
      </c>
      <c r="E1055" s="8" t="s">
        <v>1192</v>
      </c>
      <c r="F1055" s="8" t="s">
        <v>1193</v>
      </c>
      <c r="G1055" s="8"/>
      <c r="H1055" s="8" t="s">
        <v>1192</v>
      </c>
      <c r="I1055" s="8"/>
      <c r="J1055" s="78" t="s">
        <v>4970</v>
      </c>
      <c r="K1055" s="22">
        <v>0.0</v>
      </c>
      <c r="L1055" s="22">
        <f>+SUMIF('حركه المخزن الرئيسي اليوميه'!$F:$F,$H:$H,'حركه المخزن الرئيسي اليوميه'!$H:$H)</f>
        <v>0.0</v>
      </c>
      <c r="M1055" s="22">
        <f>+SUMIF('حركه المخزن الرئيسي اليوميه'!$F:$F,$H:$H,'حركه المخزن الرئيسي اليوميه'!$I:$I)</f>
        <v>0.0</v>
      </c>
      <c r="N1055" s="22">
        <f>+K1055+L1055-M1055</f>
        <v>0.0</v>
      </c>
      <c r="O1055" s="22">
        <f>+N1055</f>
        <v>0.0</v>
      </c>
      <c r="P1055" s="22">
        <f>+N1055-O1055</f>
        <v>0.0</v>
      </c>
      <c r="Q1055" s="57"/>
      <c r="R1055" s="58"/>
    </row>
    <row r="1056" spans="8:8" ht="15.0" customHeight="1">
      <c r="B1056" s="54">
        <v>1161.0</v>
      </c>
      <c r="C1056" s="8" t="s">
        <v>8351</v>
      </c>
      <c r="D1056" s="8" t="s">
        <v>820</v>
      </c>
      <c r="E1056" s="8" t="s">
        <v>1196</v>
      </c>
      <c r="F1056" s="8" t="s">
        <v>1193</v>
      </c>
      <c r="G1056" s="8"/>
      <c r="H1056" s="8" t="s">
        <v>1196</v>
      </c>
      <c r="I1056" s="8"/>
      <c r="J1056" s="78" t="s">
        <v>4971</v>
      </c>
      <c r="K1056" s="22">
        <v>0.0</v>
      </c>
      <c r="L1056" s="22">
        <f>+SUMIF('حركه المخزن الرئيسي اليوميه'!$F:$F,$H:$H,'حركه المخزن الرئيسي اليوميه'!$H:$H)</f>
        <v>0.0</v>
      </c>
      <c r="M1056" s="22">
        <f>+SUMIF('حركه المخزن الرئيسي اليوميه'!$F:$F,$H:$H,'حركه المخزن الرئيسي اليوميه'!$I:$I)</f>
        <v>0.0</v>
      </c>
      <c r="N1056" s="22">
        <f>+K1056+L1056-M1056</f>
        <v>0.0</v>
      </c>
      <c r="O1056" s="22">
        <f>+N1056</f>
        <v>0.0</v>
      </c>
      <c r="P1056" s="22">
        <f>+N1056-O1056</f>
        <v>0.0</v>
      </c>
      <c r="Q1056" s="57"/>
      <c r="R1056" s="58"/>
    </row>
    <row r="1057" spans="8:8" ht="15.0" customHeight="1">
      <c r="B1057" s="54">
        <v>1162.0</v>
      </c>
      <c r="C1057" s="8" t="s">
        <v>8351</v>
      </c>
      <c r="D1057" s="8" t="s">
        <v>820</v>
      </c>
      <c r="E1057" s="8" t="s">
        <v>1194</v>
      </c>
      <c r="F1057" s="8" t="s">
        <v>1193</v>
      </c>
      <c r="G1057" s="8"/>
      <c r="H1057" s="8" t="s">
        <v>1194</v>
      </c>
      <c r="I1057" s="8"/>
      <c r="J1057" s="78" t="s">
        <v>4972</v>
      </c>
      <c r="K1057" s="22">
        <v>0.0</v>
      </c>
      <c r="L1057" s="22">
        <f>+SUMIF('حركه المخزن الرئيسي اليوميه'!$F:$F,$H:$H,'حركه المخزن الرئيسي اليوميه'!$H:$H)</f>
        <v>0.0</v>
      </c>
      <c r="M1057" s="22">
        <f>+SUMIF('حركه المخزن الرئيسي اليوميه'!$F:$F,$H:$H,'حركه المخزن الرئيسي اليوميه'!$I:$I)</f>
        <v>0.0</v>
      </c>
      <c r="N1057" s="22">
        <f>+K1057+L1057-M1057</f>
        <v>0.0</v>
      </c>
      <c r="O1057" s="22">
        <f>+N1057</f>
        <v>0.0</v>
      </c>
      <c r="P1057" s="22">
        <f>+N1057-O1057</f>
        <v>0.0</v>
      </c>
      <c r="Q1057" s="57"/>
      <c r="R1057" s="58"/>
    </row>
    <row r="1058" spans="8:8" ht="15.0" customHeight="1">
      <c r="B1058" s="54">
        <v>1163.0</v>
      </c>
      <c r="C1058" s="8" t="s">
        <v>8351</v>
      </c>
      <c r="D1058" s="8" t="s">
        <v>820</v>
      </c>
      <c r="E1058" s="8" t="s">
        <v>1195</v>
      </c>
      <c r="F1058" s="8" t="s">
        <v>1193</v>
      </c>
      <c r="G1058" s="8"/>
      <c r="H1058" s="8" t="s">
        <v>1195</v>
      </c>
      <c r="I1058" s="8"/>
      <c r="J1058" s="78" t="s">
        <v>4973</v>
      </c>
      <c r="K1058" s="22">
        <v>0.0</v>
      </c>
      <c r="L1058" s="22">
        <f>+SUMIF('حركه المخزن الرئيسي اليوميه'!$F:$F,$H:$H,'حركه المخزن الرئيسي اليوميه'!$H:$H)</f>
        <v>0.0</v>
      </c>
      <c r="M1058" s="22">
        <f>+SUMIF('حركه المخزن الرئيسي اليوميه'!$F:$F,$H:$H,'حركه المخزن الرئيسي اليوميه'!$I:$I)</f>
        <v>0.0</v>
      </c>
      <c r="N1058" s="22">
        <f>+K1058+L1058-M1058</f>
        <v>0.0</v>
      </c>
      <c r="O1058" s="22">
        <f>+N1058</f>
        <v>0.0</v>
      </c>
      <c r="P1058" s="22">
        <f>+N1058-O1058</f>
        <v>0.0</v>
      </c>
      <c r="Q1058" s="57"/>
      <c r="R1058" s="58"/>
    </row>
    <row r="1059" spans="8:8" ht="15.0" customHeight="1">
      <c r="B1059" s="54">
        <v>1164.0</v>
      </c>
      <c r="C1059" s="8" t="s">
        <v>8351</v>
      </c>
      <c r="D1059" s="8" t="s">
        <v>1019</v>
      </c>
      <c r="E1059" s="8" t="s">
        <v>1497</v>
      </c>
      <c r="F1059" s="8" t="s">
        <v>1541</v>
      </c>
      <c r="G1059" s="8" t="s">
        <v>2466</v>
      </c>
      <c r="H1059" s="8" t="s">
        <v>1497</v>
      </c>
      <c r="I1059" s="8"/>
      <c r="J1059" s="78" t="s">
        <v>4974</v>
      </c>
      <c r="K1059" s="22">
        <v>0.0</v>
      </c>
      <c r="L1059" s="22">
        <f>+SUMIF('حركه المخزن الرئيسي اليوميه'!$F:$F,$H:$H,'حركه المخزن الرئيسي اليوميه'!$H:$H)</f>
        <v>0.0</v>
      </c>
      <c r="M1059" s="22">
        <f>+SUMIF('حركه المخزن الرئيسي اليوميه'!$F:$F,$H:$H,'حركه المخزن الرئيسي اليوميه'!$I:$I)</f>
        <v>0.0</v>
      </c>
      <c r="N1059" s="22">
        <f>+K1059+L1059-M1059</f>
        <v>0.0</v>
      </c>
      <c r="O1059" s="22">
        <f>+N1059</f>
        <v>0.0</v>
      </c>
      <c r="P1059" s="22">
        <f>+N1059-O1059</f>
        <v>0.0</v>
      </c>
      <c r="Q1059" s="57"/>
      <c r="R1059" s="58"/>
    </row>
    <row r="1060" spans="8:8" ht="15.0" customHeight="1">
      <c r="B1060" s="54">
        <v>1165.0</v>
      </c>
      <c r="C1060" s="8" t="s">
        <v>8351</v>
      </c>
      <c r="D1060" s="8" t="s">
        <v>820</v>
      </c>
      <c r="E1060" s="8" t="s">
        <v>1270</v>
      </c>
      <c r="F1060" s="8" t="s">
        <v>873</v>
      </c>
      <c r="G1060" s="8" t="s">
        <v>2149</v>
      </c>
      <c r="H1060" s="8" t="s">
        <v>1270</v>
      </c>
      <c r="I1060" s="8" t="s">
        <v>8153</v>
      </c>
      <c r="J1060" s="78" t="s">
        <v>4975</v>
      </c>
      <c r="K1060" s="22">
        <v>1.0</v>
      </c>
      <c r="L1060" s="22">
        <f>+SUMIF('حركه المخزن الرئيسي اليوميه'!$F:$F,$H:$H,'حركه المخزن الرئيسي اليوميه'!$H:$H)</f>
        <v>0.0</v>
      </c>
      <c r="M1060" s="22">
        <f>+SUMIF('حركه المخزن الرئيسي اليوميه'!$F:$F,$H:$H,'حركه المخزن الرئيسي اليوميه'!$I:$I)</f>
        <v>0.0</v>
      </c>
      <c r="N1060" s="22">
        <f>+K1060+L1060-M1060</f>
        <v>1.0</v>
      </c>
      <c r="O1060" s="22">
        <f>+N1060</f>
        <v>1.0</v>
      </c>
      <c r="P1060" s="22">
        <f>+N1060-O1060</f>
        <v>0.0</v>
      </c>
      <c r="Q1060" s="57"/>
      <c r="R1060" s="58"/>
    </row>
    <row r="1061" spans="8:8" ht="15.0" customHeight="1">
      <c r="B1061" s="54">
        <v>1166.0</v>
      </c>
      <c r="C1061" s="8" t="s">
        <v>8351</v>
      </c>
      <c r="D1061" s="8" t="s">
        <v>1013</v>
      </c>
      <c r="E1061" s="8" t="s">
        <v>1535</v>
      </c>
      <c r="F1061" s="8" t="s">
        <v>1501</v>
      </c>
      <c r="G1061" s="8"/>
      <c r="H1061" s="8" t="s">
        <v>1535</v>
      </c>
      <c r="I1061" s="8"/>
      <c r="J1061" s="78" t="s">
        <v>4976</v>
      </c>
      <c r="K1061" s="22">
        <v>0.0</v>
      </c>
      <c r="L1061" s="22">
        <f>+SUMIF('حركه المخزن الرئيسي اليوميه'!$F:$F,$H:$H,'حركه المخزن الرئيسي اليوميه'!$H:$H)</f>
        <v>0.0</v>
      </c>
      <c r="M1061" s="22">
        <f>+SUMIF('حركه المخزن الرئيسي اليوميه'!$F:$F,$H:$H,'حركه المخزن الرئيسي اليوميه'!$I:$I)</f>
        <v>0.0</v>
      </c>
      <c r="N1061" s="22">
        <f>+K1061+L1061-M1061</f>
        <v>0.0</v>
      </c>
      <c r="O1061" s="22">
        <f>+N1061</f>
        <v>0.0</v>
      </c>
      <c r="P1061" s="22">
        <f>+N1061-O1061</f>
        <v>0.0</v>
      </c>
      <c r="Q1061" s="57"/>
      <c r="R1061" s="58"/>
    </row>
    <row r="1062" spans="8:8" ht="15.0" customHeight="1">
      <c r="B1062" s="54">
        <v>1167.0</v>
      </c>
      <c r="C1062" s="8" t="s">
        <v>8351</v>
      </c>
      <c r="D1062" s="8" t="s">
        <v>820</v>
      </c>
      <c r="E1062" s="8" t="s">
        <v>1393</v>
      </c>
      <c r="F1062" s="8" t="s">
        <v>68</v>
      </c>
      <c r="G1062" s="8"/>
      <c r="H1062" s="8" t="s">
        <v>1393</v>
      </c>
      <c r="I1062" s="8"/>
      <c r="J1062" s="78" t="s">
        <v>4977</v>
      </c>
      <c r="K1062" s="22">
        <v>0.0</v>
      </c>
      <c r="L1062" s="22">
        <f>+SUMIF('حركه المخزن الرئيسي اليوميه'!$F:$F,$H:$H,'حركه المخزن الرئيسي اليوميه'!$H:$H)</f>
        <v>0.0</v>
      </c>
      <c r="M1062" s="22">
        <f>+SUMIF('حركه المخزن الرئيسي اليوميه'!$F:$F,$H:$H,'حركه المخزن الرئيسي اليوميه'!$I:$I)</f>
        <v>0.0</v>
      </c>
      <c r="N1062" s="22">
        <f>+K1062+L1062-M1062</f>
        <v>0.0</v>
      </c>
      <c r="O1062" s="22">
        <f>+N1062</f>
        <v>0.0</v>
      </c>
      <c r="P1062" s="22">
        <f>+N1062-O1062</f>
        <v>0.0</v>
      </c>
      <c r="Q1062" s="57"/>
      <c r="R1062" s="58"/>
    </row>
    <row r="1063" spans="8:8" ht="15.0" customHeight="1">
      <c r="B1063" s="54">
        <v>1168.0</v>
      </c>
      <c r="C1063" s="8" t="s">
        <v>8351</v>
      </c>
      <c r="D1063" s="8" t="s">
        <v>1013</v>
      </c>
      <c r="E1063" s="8" t="s">
        <v>1595</v>
      </c>
      <c r="F1063" s="8" t="s">
        <v>67</v>
      </c>
      <c r="G1063" s="8"/>
      <c r="H1063" s="8" t="s">
        <v>1595</v>
      </c>
      <c r="I1063" s="8"/>
      <c r="J1063" s="78" t="s">
        <v>4978</v>
      </c>
      <c r="K1063" s="22">
        <v>0.0</v>
      </c>
      <c r="L1063" s="22">
        <f>+SUMIF('حركه المخزن الرئيسي اليوميه'!$F:$F,$H:$H,'حركه المخزن الرئيسي اليوميه'!$H:$H)</f>
        <v>0.0</v>
      </c>
      <c r="M1063" s="22">
        <f>+SUMIF('حركه المخزن الرئيسي اليوميه'!$F:$F,$H:$H,'حركه المخزن الرئيسي اليوميه'!$I:$I)</f>
        <v>0.0</v>
      </c>
      <c r="N1063" s="22">
        <f>+K1063+L1063-M1063</f>
        <v>0.0</v>
      </c>
      <c r="O1063" s="22">
        <f>+N1063</f>
        <v>0.0</v>
      </c>
      <c r="P1063" s="22">
        <f>+N1063-O1063</f>
        <v>0.0</v>
      </c>
      <c r="Q1063" s="57"/>
      <c r="R1063" s="58"/>
    </row>
    <row r="1064" spans="8:8" ht="15.0" customHeight="1">
      <c r="B1064" s="54">
        <v>1169.0</v>
      </c>
      <c r="C1064" s="8" t="s">
        <v>8351</v>
      </c>
      <c r="D1064" s="8" t="s">
        <v>820</v>
      </c>
      <c r="E1064" s="8" t="s">
        <v>1116</v>
      </c>
      <c r="F1064" s="8" t="s">
        <v>68</v>
      </c>
      <c r="G1064" s="8"/>
      <c r="H1064" s="8" t="s">
        <v>1116</v>
      </c>
      <c r="I1064" s="8"/>
      <c r="J1064" s="78" t="s">
        <v>4979</v>
      </c>
      <c r="K1064" s="22">
        <v>0.0</v>
      </c>
      <c r="L1064" s="22">
        <f>+SUMIF('حركه المخزن الرئيسي اليوميه'!$F:$F,$H:$H,'حركه المخزن الرئيسي اليوميه'!$H:$H)</f>
        <v>0.0</v>
      </c>
      <c r="M1064" s="22">
        <f>+SUMIF('حركه المخزن الرئيسي اليوميه'!$F:$F,$H:$H,'حركه المخزن الرئيسي اليوميه'!$I:$I)</f>
        <v>0.0</v>
      </c>
      <c r="N1064" s="22">
        <f>+K1064+L1064-M1064</f>
        <v>0.0</v>
      </c>
      <c r="O1064" s="22">
        <f>+N1064</f>
        <v>0.0</v>
      </c>
      <c r="P1064" s="22">
        <f>+N1064-O1064</f>
        <v>0.0</v>
      </c>
      <c r="Q1064" s="57"/>
      <c r="R1064" s="58"/>
    </row>
    <row r="1065" spans="8:8" ht="15.0" customHeight="1">
      <c r="B1065" s="54">
        <v>1170.0</v>
      </c>
      <c r="C1065" s="8" t="s">
        <v>8351</v>
      </c>
      <c r="D1065" s="8" t="s">
        <v>1013</v>
      </c>
      <c r="E1065" s="8" t="s">
        <v>1491</v>
      </c>
      <c r="F1065" s="8" t="s">
        <v>68</v>
      </c>
      <c r="G1065" s="8"/>
      <c r="H1065" s="8" t="s">
        <v>1491</v>
      </c>
      <c r="I1065" s="8"/>
      <c r="J1065" s="78" t="s">
        <v>4980</v>
      </c>
      <c r="K1065" s="22">
        <v>0.0</v>
      </c>
      <c r="L1065" s="22">
        <f>+SUMIF('حركه المخزن الرئيسي اليوميه'!$F:$F,$H:$H,'حركه المخزن الرئيسي اليوميه'!$H:$H)</f>
        <v>0.0</v>
      </c>
      <c r="M1065" s="22">
        <f>+SUMIF('حركه المخزن الرئيسي اليوميه'!$F:$F,$H:$H,'حركه المخزن الرئيسي اليوميه'!$I:$I)</f>
        <v>0.0</v>
      </c>
      <c r="N1065" s="22">
        <f>+K1065+L1065-M1065</f>
        <v>0.0</v>
      </c>
      <c r="O1065" s="22">
        <f>+N1065</f>
        <v>0.0</v>
      </c>
      <c r="P1065" s="22">
        <f>+N1065-O1065</f>
        <v>0.0</v>
      </c>
      <c r="Q1065" s="57"/>
      <c r="R1065" s="58"/>
    </row>
    <row r="1066" spans="8:8" ht="15.0" customHeight="1">
      <c r="B1066" s="54">
        <v>1171.0</v>
      </c>
      <c r="C1066" s="8" t="s">
        <v>8351</v>
      </c>
      <c r="D1066" s="8" t="s">
        <v>1887</v>
      </c>
      <c r="E1066" s="8" t="s">
        <v>1885</v>
      </c>
      <c r="F1066" s="8" t="s">
        <v>1501</v>
      </c>
      <c r="G1066" s="8" t="s">
        <v>2486</v>
      </c>
      <c r="H1066" s="8" t="s">
        <v>1885</v>
      </c>
      <c r="I1066" s="8"/>
      <c r="J1066" s="78" t="s">
        <v>4981</v>
      </c>
      <c r="K1066" s="22">
        <v>0.0</v>
      </c>
      <c r="L1066" s="22">
        <f>+SUMIF('حركه المخزن الرئيسي اليوميه'!$F:$F,$H:$H,'حركه المخزن الرئيسي اليوميه'!$H:$H)</f>
        <v>0.0</v>
      </c>
      <c r="M1066" s="22">
        <f>+SUMIF('حركه المخزن الرئيسي اليوميه'!$F:$F,$H:$H,'حركه المخزن الرئيسي اليوميه'!$I:$I)</f>
        <v>0.0</v>
      </c>
      <c r="N1066" s="22">
        <f>+K1066+L1066-M1066</f>
        <v>0.0</v>
      </c>
      <c r="O1066" s="22">
        <f>+N1066</f>
        <v>0.0</v>
      </c>
      <c r="P1066" s="22">
        <f>+N1066-O1066</f>
        <v>0.0</v>
      </c>
      <c r="Q1066" s="57"/>
      <c r="R1066" s="58"/>
    </row>
    <row r="1067" spans="8:8" ht="15.0" customHeight="1">
      <c r="B1067" s="54">
        <v>1172.0</v>
      </c>
      <c r="C1067" s="8" t="s">
        <v>8351</v>
      </c>
      <c r="D1067" s="8" t="s">
        <v>828</v>
      </c>
      <c r="E1067" s="8" t="s">
        <v>1060</v>
      </c>
      <c r="F1067" s="8" t="s">
        <v>1059</v>
      </c>
      <c r="G1067" s="8" t="s">
        <v>2426</v>
      </c>
      <c r="H1067" s="8" t="s">
        <v>1060</v>
      </c>
      <c r="I1067" s="8"/>
      <c r="J1067" s="78" t="s">
        <v>4982</v>
      </c>
      <c r="K1067" s="22">
        <v>0.0</v>
      </c>
      <c r="L1067" s="22">
        <f>+SUMIF('حركه المخزن الرئيسي اليوميه'!$F:$F,$H:$H,'حركه المخزن الرئيسي اليوميه'!$H:$H)</f>
        <v>0.0</v>
      </c>
      <c r="M1067" s="22">
        <f>+SUMIF('حركه المخزن الرئيسي اليوميه'!$F:$F,$H:$H,'حركه المخزن الرئيسي اليوميه'!$I:$I)</f>
        <v>0.0</v>
      </c>
      <c r="N1067" s="22">
        <f>+K1067+L1067-M1067</f>
        <v>0.0</v>
      </c>
      <c r="O1067" s="22">
        <f>+N1067</f>
        <v>0.0</v>
      </c>
      <c r="P1067" s="22">
        <f>+N1067-O1067</f>
        <v>0.0</v>
      </c>
      <c r="Q1067" s="57"/>
      <c r="R1067" s="58"/>
    </row>
    <row r="1068" spans="8:8" ht="15.0" customHeight="1">
      <c r="B1068" s="54">
        <v>1173.0</v>
      </c>
      <c r="C1068" s="8" t="s">
        <v>8351</v>
      </c>
      <c r="D1068" s="8" t="s">
        <v>1013</v>
      </c>
      <c r="E1068" s="8" t="s">
        <v>2016</v>
      </c>
      <c r="F1068" s="8"/>
      <c r="G1068" s="8"/>
      <c r="H1068" s="8" t="s">
        <v>2016</v>
      </c>
      <c r="I1068" s="8" t="s">
        <v>183</v>
      </c>
      <c r="J1068" s="78" t="s">
        <v>4983</v>
      </c>
      <c r="K1068" s="22">
        <v>0.0</v>
      </c>
      <c r="L1068" s="22">
        <f>+SUMIF('حركه المخزن الرئيسي اليوميه'!$F:$F,$H:$H,'حركه المخزن الرئيسي اليوميه'!$H:$H)</f>
        <v>0.0</v>
      </c>
      <c r="M1068" s="22">
        <f>+SUMIF('حركه المخزن الرئيسي اليوميه'!$F:$F,$H:$H,'حركه المخزن الرئيسي اليوميه'!$I:$I)</f>
        <v>0.0</v>
      </c>
      <c r="N1068" s="22">
        <f>+K1068+L1068-M1068</f>
        <v>0.0</v>
      </c>
      <c r="O1068" s="22">
        <f>+N1068</f>
        <v>0.0</v>
      </c>
      <c r="P1068" s="22">
        <f>+N1068-O1068</f>
        <v>0.0</v>
      </c>
      <c r="Q1068" s="57"/>
      <c r="R1068" s="58"/>
    </row>
    <row r="1069" spans="8:8" ht="15.0" customHeight="1">
      <c r="B1069" s="54">
        <v>1174.0</v>
      </c>
      <c r="C1069" s="8" t="s">
        <v>8351</v>
      </c>
      <c r="D1069" s="8" t="s">
        <v>828</v>
      </c>
      <c r="E1069" s="8" t="s">
        <v>2656</v>
      </c>
      <c r="F1069" s="8" t="s">
        <v>68</v>
      </c>
      <c r="G1069" s="8" t="s">
        <v>2241</v>
      </c>
      <c r="H1069" s="8" t="s">
        <v>2656</v>
      </c>
      <c r="I1069" s="8"/>
      <c r="J1069" s="78" t="s">
        <v>4984</v>
      </c>
      <c r="K1069" s="22">
        <v>0.0</v>
      </c>
      <c r="L1069" s="22">
        <f>+SUMIF('حركه المخزن الرئيسي اليوميه'!$F:$F,$H:$H,'حركه المخزن الرئيسي اليوميه'!$H:$H)</f>
        <v>0.0</v>
      </c>
      <c r="M1069" s="22">
        <f>+SUMIF('حركه المخزن الرئيسي اليوميه'!$F:$F,$H:$H,'حركه المخزن الرئيسي اليوميه'!$I:$I)</f>
        <v>0.0</v>
      </c>
      <c r="N1069" s="22">
        <f>+K1069+L1069-M1069</f>
        <v>0.0</v>
      </c>
      <c r="O1069" s="22">
        <f>+N1069</f>
        <v>0.0</v>
      </c>
      <c r="P1069" s="22">
        <f>+N1069-O1069</f>
        <v>0.0</v>
      </c>
      <c r="Q1069" s="57"/>
      <c r="R1069" s="58"/>
    </row>
    <row r="1070" spans="8:8" ht="15.0" customHeight="1">
      <c r="B1070" s="54">
        <v>1175.0</v>
      </c>
      <c r="C1070" s="8" t="s">
        <v>8351</v>
      </c>
      <c r="D1070" s="8" t="s">
        <v>1013</v>
      </c>
      <c r="E1070" s="8" t="s">
        <v>2037</v>
      </c>
      <c r="F1070" s="8" t="s">
        <v>68</v>
      </c>
      <c r="G1070" s="8"/>
      <c r="H1070" s="8" t="s">
        <v>2037</v>
      </c>
      <c r="I1070" s="8"/>
      <c r="J1070" s="78" t="s">
        <v>4985</v>
      </c>
      <c r="K1070" s="22">
        <v>0.0</v>
      </c>
      <c r="L1070" s="22">
        <f>+SUMIF('حركه المخزن الرئيسي اليوميه'!$F:$F,$H:$H,'حركه المخزن الرئيسي اليوميه'!$H:$H)</f>
        <v>0.0</v>
      </c>
      <c r="M1070" s="22">
        <f>+SUMIF('حركه المخزن الرئيسي اليوميه'!$F:$F,$H:$H,'حركه المخزن الرئيسي اليوميه'!$I:$I)</f>
        <v>0.0</v>
      </c>
      <c r="N1070" s="22">
        <f>+K1070+L1070-M1070</f>
        <v>0.0</v>
      </c>
      <c r="O1070" s="22">
        <f>+N1070</f>
        <v>0.0</v>
      </c>
      <c r="P1070" s="22">
        <f>+N1070-O1070</f>
        <v>0.0</v>
      </c>
      <c r="Q1070" s="57"/>
      <c r="R1070" s="58"/>
    </row>
    <row r="1071" spans="8:8" ht="15.0" customHeight="1">
      <c r="B1071" s="54">
        <v>1176.0</v>
      </c>
      <c r="C1071" s="8" t="s">
        <v>8351</v>
      </c>
      <c r="D1071" s="8" t="s">
        <v>1444</v>
      </c>
      <c r="E1071" s="8" t="s">
        <v>1455</v>
      </c>
      <c r="F1071" s="8" t="s">
        <v>68</v>
      </c>
      <c r="G1071" s="8" t="s">
        <v>2278</v>
      </c>
      <c r="H1071" s="8" t="s">
        <v>1455</v>
      </c>
      <c r="I1071" s="8"/>
      <c r="J1071" s="78" t="s">
        <v>4986</v>
      </c>
      <c r="K1071" s="22">
        <v>0.0</v>
      </c>
      <c r="L1071" s="22">
        <f>+SUMIF('حركه المخزن الرئيسي اليوميه'!$F:$F,$H:$H,'حركه المخزن الرئيسي اليوميه'!$H:$H)</f>
        <v>0.0</v>
      </c>
      <c r="M1071" s="22">
        <f>+SUMIF('حركه المخزن الرئيسي اليوميه'!$F:$F,$H:$H,'حركه المخزن الرئيسي اليوميه'!$I:$I)</f>
        <v>0.0</v>
      </c>
      <c r="N1071" s="22">
        <f>+K1071+L1071-M1071</f>
        <v>0.0</v>
      </c>
      <c r="O1071" s="22">
        <f>+N1071</f>
        <v>0.0</v>
      </c>
      <c r="P1071" s="22">
        <f>+N1071-O1071</f>
        <v>0.0</v>
      </c>
      <c r="Q1071" s="57"/>
      <c r="R1071" s="58"/>
    </row>
    <row r="1072" spans="8:8" ht="15.0" customHeight="1">
      <c r="B1072" s="54">
        <v>1177.0</v>
      </c>
      <c r="C1072" s="8" t="s">
        <v>8351</v>
      </c>
      <c r="D1072" s="8" t="s">
        <v>820</v>
      </c>
      <c r="E1072" s="8" t="s">
        <v>3663</v>
      </c>
      <c r="F1072" s="8" t="s">
        <v>68</v>
      </c>
      <c r="G1072" s="8"/>
      <c r="H1072" s="8" t="s">
        <v>3663</v>
      </c>
      <c r="I1072" s="8" t="s">
        <v>818</v>
      </c>
      <c r="J1072" s="78" t="s">
        <v>4987</v>
      </c>
      <c r="K1072" s="22">
        <v>2.0</v>
      </c>
      <c r="L1072" s="22">
        <f>+SUMIF('حركه المخزن الرئيسي اليوميه'!$F:$F,$H:$H,'حركه المخزن الرئيسي اليوميه'!$H:$H)</f>
        <v>0.0</v>
      </c>
      <c r="M1072" s="22">
        <f>+SUMIF('حركه المخزن الرئيسي اليوميه'!$F:$F,$H:$H,'حركه المخزن الرئيسي اليوميه'!$I:$I)</f>
        <v>0.0</v>
      </c>
      <c r="N1072" s="22">
        <f>+K1072+L1072-M1072</f>
        <v>2.0</v>
      </c>
      <c r="O1072" s="22">
        <f>+N1072</f>
        <v>2.0</v>
      </c>
      <c r="P1072" s="22">
        <f>+N1072-O1072</f>
        <v>0.0</v>
      </c>
      <c r="Q1072" s="57"/>
      <c r="R1072" s="58"/>
    </row>
    <row r="1073" spans="8:8" ht="15.0" customHeight="1">
      <c r="B1073" s="54">
        <v>1178.0</v>
      </c>
      <c r="C1073" s="8" t="s">
        <v>8351</v>
      </c>
      <c r="D1073" s="8" t="s">
        <v>1019</v>
      </c>
      <c r="E1073" s="8" t="s">
        <v>1549</v>
      </c>
      <c r="F1073" s="8" t="s">
        <v>1027</v>
      </c>
      <c r="G1073" s="8"/>
      <c r="H1073" s="8" t="s">
        <v>1549</v>
      </c>
      <c r="I1073" s="8"/>
      <c r="J1073" s="78" t="s">
        <v>4988</v>
      </c>
      <c r="K1073" s="22">
        <v>0.0</v>
      </c>
      <c r="L1073" s="22">
        <f>+SUMIF('حركه المخزن الرئيسي اليوميه'!$F:$F,$H:$H,'حركه المخزن الرئيسي اليوميه'!$H:$H)</f>
        <v>0.0</v>
      </c>
      <c r="M1073" s="22">
        <f>+SUMIF('حركه المخزن الرئيسي اليوميه'!$F:$F,$H:$H,'حركه المخزن الرئيسي اليوميه'!$I:$I)</f>
        <v>0.0</v>
      </c>
      <c r="N1073" s="22">
        <f>+K1073+L1073-M1073</f>
        <v>0.0</v>
      </c>
      <c r="O1073" s="22">
        <f>+N1073</f>
        <v>0.0</v>
      </c>
      <c r="P1073" s="22">
        <f>+N1073-O1073</f>
        <v>0.0</v>
      </c>
      <c r="Q1073" s="57"/>
      <c r="R1073" s="58"/>
    </row>
    <row r="1074" spans="8:8" ht="15.0" customHeight="1">
      <c r="B1074" s="54">
        <v>1179.0</v>
      </c>
      <c r="C1074" s="8" t="s">
        <v>8351</v>
      </c>
      <c r="D1074" s="8" t="s">
        <v>1013</v>
      </c>
      <c r="E1074" s="8" t="s">
        <v>1869</v>
      </c>
      <c r="F1074" s="8" t="s">
        <v>1501</v>
      </c>
      <c r="G1074" s="8"/>
      <c r="H1074" s="8" t="s">
        <v>1869</v>
      </c>
      <c r="I1074" s="8"/>
      <c r="J1074" s="78" t="s">
        <v>4989</v>
      </c>
      <c r="K1074" s="22">
        <v>0.0</v>
      </c>
      <c r="L1074" s="22">
        <f>+SUMIF('حركه المخزن الرئيسي اليوميه'!$F:$F,$H:$H,'حركه المخزن الرئيسي اليوميه'!$H:$H)</f>
        <v>0.0</v>
      </c>
      <c r="M1074" s="22">
        <f>+SUMIF('حركه المخزن الرئيسي اليوميه'!$F:$F,$H:$H,'حركه المخزن الرئيسي اليوميه'!$I:$I)</f>
        <v>0.0</v>
      </c>
      <c r="N1074" s="22">
        <f>+K1074+L1074-M1074</f>
        <v>0.0</v>
      </c>
      <c r="O1074" s="22">
        <f>+N1074</f>
        <v>0.0</v>
      </c>
      <c r="P1074" s="22">
        <f>+N1074-O1074</f>
        <v>0.0</v>
      </c>
      <c r="Q1074" s="57"/>
      <c r="R1074" s="58"/>
    </row>
    <row r="1075" spans="8:8" ht="15.0" customHeight="1">
      <c r="B1075" s="54">
        <v>1180.0</v>
      </c>
      <c r="C1075" s="8" t="s">
        <v>8351</v>
      </c>
      <c r="D1075" s="8" t="s">
        <v>1460</v>
      </c>
      <c r="E1075" s="8" t="s">
        <v>1463</v>
      </c>
      <c r="F1075" s="8" t="s">
        <v>68</v>
      </c>
      <c r="G1075" s="8" t="s">
        <v>2461</v>
      </c>
      <c r="H1075" s="8" t="s">
        <v>1463</v>
      </c>
      <c r="I1075" s="8"/>
      <c r="J1075" s="78" t="s">
        <v>4990</v>
      </c>
      <c r="K1075" s="22">
        <v>0.0</v>
      </c>
      <c r="L1075" s="22">
        <f>+SUMIF('حركه المخزن الرئيسي اليوميه'!$F:$F,$H:$H,'حركه المخزن الرئيسي اليوميه'!$H:$H)</f>
        <v>0.0</v>
      </c>
      <c r="M1075" s="22">
        <f>+SUMIF('حركه المخزن الرئيسي اليوميه'!$F:$F,$H:$H,'حركه المخزن الرئيسي اليوميه'!$I:$I)</f>
        <v>0.0</v>
      </c>
      <c r="N1075" s="22">
        <f>+K1075+L1075-M1075</f>
        <v>0.0</v>
      </c>
      <c r="O1075" s="22">
        <f>+N1075</f>
        <v>0.0</v>
      </c>
      <c r="P1075" s="22">
        <f>+N1075-O1075</f>
        <v>0.0</v>
      </c>
      <c r="Q1075" s="57"/>
      <c r="R1075" s="58"/>
    </row>
    <row r="1076" spans="8:8" ht="15.0" customHeight="1">
      <c r="B1076" s="54">
        <v>1181.0</v>
      </c>
      <c r="C1076" s="8" t="s">
        <v>8351</v>
      </c>
      <c r="D1076" s="8" t="s">
        <v>1013</v>
      </c>
      <c r="E1076" s="8" t="s">
        <v>1588</v>
      </c>
      <c r="F1076" s="8" t="s">
        <v>1501</v>
      </c>
      <c r="G1076" s="8" t="s">
        <v>2477</v>
      </c>
      <c r="H1076" s="8" t="s">
        <v>1588</v>
      </c>
      <c r="I1076" s="8"/>
      <c r="J1076" s="78" t="s">
        <v>4991</v>
      </c>
      <c r="K1076" s="22">
        <v>0.0</v>
      </c>
      <c r="L1076" s="22">
        <f>+SUMIF('حركه المخزن الرئيسي اليوميه'!$F:$F,$H:$H,'حركه المخزن الرئيسي اليوميه'!$H:$H)</f>
        <v>0.0</v>
      </c>
      <c r="M1076" s="22">
        <f>+SUMIF('حركه المخزن الرئيسي اليوميه'!$F:$F,$H:$H,'حركه المخزن الرئيسي اليوميه'!$I:$I)</f>
        <v>0.0</v>
      </c>
      <c r="N1076" s="22">
        <f>+K1076+L1076-M1076</f>
        <v>0.0</v>
      </c>
      <c r="O1076" s="22">
        <f>+N1076</f>
        <v>0.0</v>
      </c>
      <c r="P1076" s="22">
        <f>+N1076-O1076</f>
        <v>0.0</v>
      </c>
      <c r="Q1076" s="57"/>
      <c r="R1076" s="58"/>
    </row>
    <row r="1077" spans="8:8" ht="15.0" customHeight="1">
      <c r="B1077" s="54">
        <v>1182.0</v>
      </c>
      <c r="C1077" s="8" t="s">
        <v>8351</v>
      </c>
      <c r="D1077" s="8" t="s">
        <v>1019</v>
      </c>
      <c r="E1077" s="8" t="s">
        <v>1498</v>
      </c>
      <c r="F1077" s="8" t="s">
        <v>1501</v>
      </c>
      <c r="G1077" s="8" t="s">
        <v>2468</v>
      </c>
      <c r="H1077" s="8" t="s">
        <v>1498</v>
      </c>
      <c r="I1077" s="8"/>
      <c r="J1077" s="78" t="s">
        <v>4992</v>
      </c>
      <c r="K1077" s="22">
        <v>0.0</v>
      </c>
      <c r="L1077" s="22">
        <f>+SUMIF('حركه المخزن الرئيسي اليوميه'!$F:$F,$H:$H,'حركه المخزن الرئيسي اليوميه'!$H:$H)</f>
        <v>0.0</v>
      </c>
      <c r="M1077" s="22">
        <f>+SUMIF('حركه المخزن الرئيسي اليوميه'!$F:$F,$H:$H,'حركه المخزن الرئيسي اليوميه'!$I:$I)</f>
        <v>0.0</v>
      </c>
      <c r="N1077" s="22">
        <f>+K1077+L1077-M1077</f>
        <v>0.0</v>
      </c>
      <c r="O1077" s="22">
        <f>+N1077</f>
        <v>0.0</v>
      </c>
      <c r="P1077" s="22">
        <f>+N1077-O1077</f>
        <v>0.0</v>
      </c>
      <c r="Q1077" s="57"/>
      <c r="R1077" s="58"/>
    </row>
    <row r="1078" spans="8:8" ht="15.0" customHeight="1">
      <c r="B1078" s="54">
        <v>1183.0</v>
      </c>
      <c r="C1078" s="8" t="s">
        <v>8351</v>
      </c>
      <c r="D1078" s="8" t="s">
        <v>820</v>
      </c>
      <c r="E1078" s="8" t="s">
        <v>1073</v>
      </c>
      <c r="F1078" s="8" t="s">
        <v>68</v>
      </c>
      <c r="G1078" s="8"/>
      <c r="H1078" s="8" t="s">
        <v>1074</v>
      </c>
      <c r="I1078" s="8"/>
      <c r="J1078" s="78" t="s">
        <v>4993</v>
      </c>
      <c r="K1078" s="22">
        <v>0.0</v>
      </c>
      <c r="L1078" s="22">
        <f>+SUMIF('حركه المخزن الرئيسي اليوميه'!$F:$F,$H:$H,'حركه المخزن الرئيسي اليوميه'!$H:$H)</f>
        <v>0.0</v>
      </c>
      <c r="M1078" s="22">
        <f>+SUMIF('حركه المخزن الرئيسي اليوميه'!$F:$F,$H:$H,'حركه المخزن الرئيسي اليوميه'!$I:$I)</f>
        <v>0.0</v>
      </c>
      <c r="N1078" s="22">
        <f>+K1078+L1078-M1078</f>
        <v>0.0</v>
      </c>
      <c r="O1078" s="22">
        <f>+N1078</f>
        <v>0.0</v>
      </c>
      <c r="P1078" s="22">
        <f>+N1078-O1078</f>
        <v>0.0</v>
      </c>
      <c r="Q1078" s="57"/>
      <c r="R1078" s="58"/>
    </row>
    <row r="1079" spans="8:8" ht="15.0" customHeight="1">
      <c r="B1079" s="54">
        <v>1184.0</v>
      </c>
      <c r="C1079" s="8" t="s">
        <v>8351</v>
      </c>
      <c r="D1079" s="8" t="s">
        <v>1013</v>
      </c>
      <c r="E1079" s="8" t="s">
        <v>1559</v>
      </c>
      <c r="F1079" s="8" t="s">
        <v>1501</v>
      </c>
      <c r="G1079" s="8"/>
      <c r="H1079" s="8" t="s">
        <v>1559</v>
      </c>
      <c r="I1079" s="8"/>
      <c r="J1079" s="78" t="s">
        <v>4994</v>
      </c>
      <c r="K1079" s="22">
        <v>0.0</v>
      </c>
      <c r="L1079" s="22">
        <f>+SUMIF('حركه المخزن الرئيسي اليوميه'!$F:$F,$H:$H,'حركه المخزن الرئيسي اليوميه'!$H:$H)</f>
        <v>0.0</v>
      </c>
      <c r="M1079" s="22">
        <f>+SUMIF('حركه المخزن الرئيسي اليوميه'!$F:$F,$H:$H,'حركه المخزن الرئيسي اليوميه'!$I:$I)</f>
        <v>0.0</v>
      </c>
      <c r="N1079" s="22">
        <f>+K1079+L1079-M1079</f>
        <v>0.0</v>
      </c>
      <c r="O1079" s="22">
        <f>+N1079</f>
        <v>0.0</v>
      </c>
      <c r="P1079" s="22">
        <f>+N1079-O1079</f>
        <v>0.0</v>
      </c>
      <c r="Q1079" s="57"/>
      <c r="R1079" s="58"/>
    </row>
    <row r="1080" spans="8:8" ht="15.0" customHeight="1">
      <c r="B1080" s="54">
        <v>1185.0</v>
      </c>
      <c r="C1080" s="8" t="s">
        <v>8351</v>
      </c>
      <c r="D1080" s="8" t="s">
        <v>1018</v>
      </c>
      <c r="E1080" s="8" t="s">
        <v>869</v>
      </c>
      <c r="F1080" s="8" t="s">
        <v>1046</v>
      </c>
      <c r="G1080" s="8" t="s">
        <v>2425</v>
      </c>
      <c r="H1080" s="8" t="s">
        <v>1057</v>
      </c>
      <c r="I1080" s="8" t="s">
        <v>222</v>
      </c>
      <c r="J1080" s="78" t="s">
        <v>4995</v>
      </c>
      <c r="K1080" s="22">
        <v>0.0</v>
      </c>
      <c r="L1080" s="22">
        <f>+SUMIF('حركه المخزن الرئيسي اليوميه'!$F:$F,$H:$H,'حركه المخزن الرئيسي اليوميه'!$H:$H)</f>
        <v>10.0</v>
      </c>
      <c r="M1080" s="22">
        <f>+SUMIF('حركه المخزن الرئيسي اليوميه'!$F:$F,$H:$H,'حركه المخزن الرئيسي اليوميه'!$I:$I)</f>
        <v>0.0</v>
      </c>
      <c r="N1080" s="22">
        <f>+K1080+L1080-M1080</f>
        <v>10.0</v>
      </c>
      <c r="O1080" s="22">
        <f>+N1080</f>
        <v>10.0</v>
      </c>
      <c r="P1080" s="22">
        <f>+N1080-O1080</f>
        <v>0.0</v>
      </c>
      <c r="Q1080" s="57"/>
      <c r="R1080" s="58"/>
    </row>
    <row r="1081" spans="8:8" ht="15.0" customHeight="1">
      <c r="B1081" s="54">
        <v>1186.0</v>
      </c>
      <c r="C1081" s="8" t="s">
        <v>8351</v>
      </c>
      <c r="D1081" s="8" t="s">
        <v>820</v>
      </c>
      <c r="E1081" s="8" t="s">
        <v>3138</v>
      </c>
      <c r="F1081" s="8" t="s">
        <v>68</v>
      </c>
      <c r="G1081" s="8" t="s">
        <v>2456</v>
      </c>
      <c r="H1081" s="8" t="s">
        <v>3138</v>
      </c>
      <c r="I1081" s="8" t="s">
        <v>3196</v>
      </c>
      <c r="J1081" s="78" t="s">
        <v>4996</v>
      </c>
      <c r="K1081" s="22">
        <v>3.0</v>
      </c>
      <c r="L1081" s="22">
        <f>+SUMIF('حركه المخزن الرئيسي اليوميه'!$F:$F,$H:$H,'حركه المخزن الرئيسي اليوميه'!$H:$H)</f>
        <v>0.0</v>
      </c>
      <c r="M1081" s="22">
        <f>+SUMIF('حركه المخزن الرئيسي اليوميه'!$F:$F,$H:$H,'حركه المخزن الرئيسي اليوميه'!$I:$I)</f>
        <v>0.0</v>
      </c>
      <c r="N1081" s="22">
        <f>+K1081+L1081-M1081</f>
        <v>3.0</v>
      </c>
      <c r="O1081" s="22">
        <f>+N1081</f>
        <v>3.0</v>
      </c>
      <c r="P1081" s="22">
        <f>+N1081-O1081</f>
        <v>0.0</v>
      </c>
      <c r="Q1081" s="57"/>
      <c r="R1081" s="58"/>
    </row>
    <row r="1082" spans="8:8" ht="15.0" customHeight="1">
      <c r="B1082" s="54">
        <v>1187.0</v>
      </c>
      <c r="C1082" s="8" t="s">
        <v>8351</v>
      </c>
      <c r="D1082" s="8" t="s">
        <v>820</v>
      </c>
      <c r="E1082" s="8" t="s">
        <v>1401</v>
      </c>
      <c r="F1082" s="8" t="s">
        <v>68</v>
      </c>
      <c r="G1082" s="8" t="s">
        <v>2051</v>
      </c>
      <c r="H1082" s="8" t="s">
        <v>1401</v>
      </c>
      <c r="I1082" s="8"/>
      <c r="J1082" s="78" t="s">
        <v>4997</v>
      </c>
      <c r="K1082" s="22">
        <v>0.0</v>
      </c>
      <c r="L1082" s="22">
        <f>+SUMIF('حركه المخزن الرئيسي اليوميه'!$F:$F,$H:$H,'حركه المخزن الرئيسي اليوميه'!$H:$H)</f>
        <v>0.0</v>
      </c>
      <c r="M1082" s="22">
        <f>+SUMIF('حركه المخزن الرئيسي اليوميه'!$F:$F,$H:$H,'حركه المخزن الرئيسي اليوميه'!$I:$I)</f>
        <v>0.0</v>
      </c>
      <c r="N1082" s="22">
        <f>+K1082+L1082-M1082</f>
        <v>0.0</v>
      </c>
      <c r="O1082" s="22">
        <f>+N1082</f>
        <v>0.0</v>
      </c>
      <c r="P1082" s="22">
        <f>+N1082-O1082</f>
        <v>0.0</v>
      </c>
      <c r="Q1082" s="57"/>
      <c r="R1082" s="58"/>
    </row>
    <row r="1083" spans="8:8" ht="15.0" customHeight="1">
      <c r="B1083" s="54">
        <v>1188.0</v>
      </c>
      <c r="C1083" s="8" t="s">
        <v>8351</v>
      </c>
      <c r="D1083" s="8" t="s">
        <v>820</v>
      </c>
      <c r="E1083" s="8" t="s">
        <v>1421</v>
      </c>
      <c r="F1083" s="8" t="s">
        <v>68</v>
      </c>
      <c r="G1083" s="8"/>
      <c r="H1083" s="8" t="s">
        <v>1421</v>
      </c>
      <c r="I1083" s="8"/>
      <c r="J1083" s="78" t="s">
        <v>4998</v>
      </c>
      <c r="K1083" s="22">
        <v>0.0</v>
      </c>
      <c r="L1083" s="22">
        <f>+SUMIF('حركه المخزن الرئيسي اليوميه'!$F:$F,$H:$H,'حركه المخزن الرئيسي اليوميه'!$H:$H)</f>
        <v>0.0</v>
      </c>
      <c r="M1083" s="22">
        <f>+SUMIF('حركه المخزن الرئيسي اليوميه'!$F:$F,$H:$H,'حركه المخزن الرئيسي اليوميه'!$I:$I)</f>
        <v>0.0</v>
      </c>
      <c r="N1083" s="22">
        <f>+K1083+L1083-M1083</f>
        <v>0.0</v>
      </c>
      <c r="O1083" s="22">
        <f>+N1083</f>
        <v>0.0</v>
      </c>
      <c r="P1083" s="22">
        <f>+N1083-O1083</f>
        <v>0.0</v>
      </c>
      <c r="Q1083" s="57"/>
      <c r="R1083" s="58"/>
    </row>
    <row r="1084" spans="8:8" ht="15.0" customHeight="1">
      <c r="B1084" s="54">
        <v>1189.0</v>
      </c>
      <c r="C1084" s="8" t="s">
        <v>8351</v>
      </c>
      <c r="D1084" s="8" t="s">
        <v>1460</v>
      </c>
      <c r="E1084" s="8" t="s">
        <v>1459</v>
      </c>
      <c r="F1084" s="8" t="s">
        <v>68</v>
      </c>
      <c r="G1084" s="8" t="s">
        <v>1846</v>
      </c>
      <c r="H1084" s="8" t="s">
        <v>1459</v>
      </c>
      <c r="I1084" s="8"/>
      <c r="J1084" s="78" t="s">
        <v>4999</v>
      </c>
      <c r="K1084" s="22">
        <v>0.0</v>
      </c>
      <c r="L1084" s="22">
        <f>+SUMIF('حركه المخزن الرئيسي اليوميه'!$F:$F,$H:$H,'حركه المخزن الرئيسي اليوميه'!$H:$H)</f>
        <v>0.0</v>
      </c>
      <c r="M1084" s="22">
        <f>+SUMIF('حركه المخزن الرئيسي اليوميه'!$F:$F,$H:$H,'حركه المخزن الرئيسي اليوميه'!$I:$I)</f>
        <v>0.0</v>
      </c>
      <c r="N1084" s="22">
        <f>+K1084+L1084-M1084</f>
        <v>0.0</v>
      </c>
      <c r="O1084" s="22">
        <f>+N1084</f>
        <v>0.0</v>
      </c>
      <c r="P1084" s="22">
        <f>+N1084-O1084</f>
        <v>0.0</v>
      </c>
      <c r="Q1084" s="57"/>
      <c r="R1084" s="58"/>
    </row>
    <row r="1085" spans="8:8" ht="15.0" customHeight="1">
      <c r="B1085" s="54">
        <v>1190.0</v>
      </c>
      <c r="C1085" s="8" t="s">
        <v>8351</v>
      </c>
      <c r="D1085" s="8" t="s">
        <v>1460</v>
      </c>
      <c r="E1085" s="8" t="s">
        <v>1470</v>
      </c>
      <c r="F1085" s="8" t="s">
        <v>68</v>
      </c>
      <c r="G1085" s="8"/>
      <c r="H1085" s="8" t="s">
        <v>1470</v>
      </c>
      <c r="I1085" s="8"/>
      <c r="J1085" s="78" t="s">
        <v>5000</v>
      </c>
      <c r="K1085" s="22">
        <v>0.0</v>
      </c>
      <c r="L1085" s="22">
        <f>+SUMIF('حركه المخزن الرئيسي اليوميه'!$F:$F,$H:$H,'حركه المخزن الرئيسي اليوميه'!$H:$H)</f>
        <v>0.0</v>
      </c>
      <c r="M1085" s="22">
        <f>+SUMIF('حركه المخزن الرئيسي اليوميه'!$F:$F,$H:$H,'حركه المخزن الرئيسي اليوميه'!$I:$I)</f>
        <v>0.0</v>
      </c>
      <c r="N1085" s="22">
        <f>+K1085+L1085-M1085</f>
        <v>0.0</v>
      </c>
      <c r="O1085" s="22">
        <f>+N1085</f>
        <v>0.0</v>
      </c>
      <c r="P1085" s="22">
        <f>+N1085-O1085</f>
        <v>0.0</v>
      </c>
      <c r="Q1085" s="57"/>
      <c r="R1085" s="58"/>
    </row>
    <row r="1086" spans="8:8" ht="15.0" customHeight="1">
      <c r="B1086" s="54">
        <v>1191.0</v>
      </c>
      <c r="C1086" s="8" t="s">
        <v>8351</v>
      </c>
      <c r="D1086" s="8" t="s">
        <v>1013</v>
      </c>
      <c r="E1086" s="8" t="s">
        <v>2044</v>
      </c>
      <c r="F1086" s="8" t="s">
        <v>68</v>
      </c>
      <c r="G1086" s="8"/>
      <c r="H1086" s="8" t="s">
        <v>2044</v>
      </c>
      <c r="I1086" s="8"/>
      <c r="J1086" s="78" t="s">
        <v>5001</v>
      </c>
      <c r="K1086" s="22">
        <v>0.0</v>
      </c>
      <c r="L1086" s="22">
        <f>+SUMIF('حركه المخزن الرئيسي اليوميه'!$F:$F,$H:$H,'حركه المخزن الرئيسي اليوميه'!$H:$H)</f>
        <v>0.0</v>
      </c>
      <c r="M1086" s="22">
        <f>+SUMIF('حركه المخزن الرئيسي اليوميه'!$F:$F,$H:$H,'حركه المخزن الرئيسي اليوميه'!$I:$I)</f>
        <v>0.0</v>
      </c>
      <c r="N1086" s="22">
        <f>+K1086+L1086-M1086</f>
        <v>0.0</v>
      </c>
      <c r="O1086" s="22">
        <f>+N1086</f>
        <v>0.0</v>
      </c>
      <c r="P1086" s="22">
        <f>+N1086-O1086</f>
        <v>0.0</v>
      </c>
      <c r="Q1086" s="57"/>
      <c r="R1086" s="58"/>
    </row>
    <row r="1087" spans="8:8" ht="15.0" customHeight="1">
      <c r="B1087" s="54">
        <v>1192.0</v>
      </c>
      <c r="C1087" s="8" t="s">
        <v>8351</v>
      </c>
      <c r="D1087" s="8" t="s">
        <v>1018</v>
      </c>
      <c r="E1087" s="8" t="s">
        <v>2031</v>
      </c>
      <c r="F1087" s="8" t="s">
        <v>2032</v>
      </c>
      <c r="G1087" s="8"/>
      <c r="H1087" s="8" t="s">
        <v>2031</v>
      </c>
      <c r="I1087" s="8"/>
      <c r="J1087" s="78" t="s">
        <v>5002</v>
      </c>
      <c r="K1087" s="22">
        <v>0.0</v>
      </c>
      <c r="L1087" s="22">
        <f>+SUMIF('حركه المخزن الرئيسي اليوميه'!$F:$F,$H:$H,'حركه المخزن الرئيسي اليوميه'!$H:$H)</f>
        <v>0.0</v>
      </c>
      <c r="M1087" s="22">
        <f>+SUMIF('حركه المخزن الرئيسي اليوميه'!$F:$F,$H:$H,'حركه المخزن الرئيسي اليوميه'!$I:$I)</f>
        <v>0.0</v>
      </c>
      <c r="N1087" s="22">
        <f>+K1087+L1087-M1087</f>
        <v>0.0</v>
      </c>
      <c r="O1087" s="22">
        <f>+N1087</f>
        <v>0.0</v>
      </c>
      <c r="P1087" s="22">
        <f>+N1087-O1087</f>
        <v>0.0</v>
      </c>
      <c r="Q1087" s="57"/>
      <c r="R1087" s="58"/>
    </row>
    <row r="1088" spans="8:8" ht="15.0" customHeight="1">
      <c r="B1088" s="54">
        <v>1193.0</v>
      </c>
      <c r="C1088" s="8" t="s">
        <v>8351</v>
      </c>
      <c r="D1088" s="8" t="s">
        <v>820</v>
      </c>
      <c r="E1088" s="8" t="s">
        <v>1420</v>
      </c>
      <c r="F1088" s="8" t="s">
        <v>1128</v>
      </c>
      <c r="G1088" s="8" t="s">
        <v>2270</v>
      </c>
      <c r="H1088" s="8" t="s">
        <v>1420</v>
      </c>
      <c r="I1088" s="8"/>
      <c r="J1088" s="78" t="s">
        <v>5003</v>
      </c>
      <c r="K1088" s="22">
        <v>0.0</v>
      </c>
      <c r="L1088" s="22">
        <f>+SUMIF('حركه المخزن الرئيسي اليوميه'!$F:$F,$H:$H,'حركه المخزن الرئيسي اليوميه'!$H:$H)</f>
        <v>0.0</v>
      </c>
      <c r="M1088" s="22">
        <f>+SUMIF('حركه المخزن الرئيسي اليوميه'!$F:$F,$H:$H,'حركه المخزن الرئيسي اليوميه'!$I:$I)</f>
        <v>0.0</v>
      </c>
      <c r="N1088" s="22">
        <f>+K1088+L1088-M1088</f>
        <v>0.0</v>
      </c>
      <c r="O1088" s="22">
        <f>+N1088</f>
        <v>0.0</v>
      </c>
      <c r="P1088" s="22">
        <f>+N1088-O1088</f>
        <v>0.0</v>
      </c>
      <c r="Q1088" s="57"/>
      <c r="R1088" s="58"/>
    </row>
    <row r="1089" spans="8:8" ht="15.0" customHeight="1">
      <c r="B1089" s="54">
        <v>1194.0</v>
      </c>
      <c r="C1089" s="8" t="s">
        <v>8351</v>
      </c>
      <c r="D1089" s="8" t="s">
        <v>1013</v>
      </c>
      <c r="E1089" s="8" t="s">
        <v>1537</v>
      </c>
      <c r="F1089" s="8" t="s">
        <v>1501</v>
      </c>
      <c r="G1089" s="8"/>
      <c r="H1089" s="8" t="s">
        <v>1537</v>
      </c>
      <c r="I1089" s="8"/>
      <c r="J1089" s="78" t="s">
        <v>5004</v>
      </c>
      <c r="K1089" s="22">
        <v>0.0</v>
      </c>
      <c r="L1089" s="22">
        <f>+SUMIF('حركه المخزن الرئيسي اليوميه'!$F:$F,$H:$H,'حركه المخزن الرئيسي اليوميه'!$H:$H)</f>
        <v>0.0</v>
      </c>
      <c r="M1089" s="22">
        <f>+SUMIF('حركه المخزن الرئيسي اليوميه'!$F:$F,$H:$H,'حركه المخزن الرئيسي اليوميه'!$I:$I)</f>
        <v>0.0</v>
      </c>
      <c r="N1089" s="22">
        <f>+K1089+L1089-M1089</f>
        <v>0.0</v>
      </c>
      <c r="O1089" s="22">
        <f>+N1089</f>
        <v>0.0</v>
      </c>
      <c r="P1089" s="22">
        <f>+N1089-O1089</f>
        <v>0.0</v>
      </c>
      <c r="Q1089" s="57"/>
      <c r="R1089" s="58"/>
    </row>
    <row r="1090" spans="8:8" ht="15.0" customHeight="1">
      <c r="B1090" s="54">
        <v>1195.0</v>
      </c>
      <c r="C1090" s="8" t="s">
        <v>8351</v>
      </c>
      <c r="D1090" s="8" t="s">
        <v>1460</v>
      </c>
      <c r="E1090" s="8" t="s">
        <v>1464</v>
      </c>
      <c r="F1090" s="8" t="s">
        <v>68</v>
      </c>
      <c r="G1090" s="8"/>
      <c r="H1090" s="8" t="s">
        <v>1464</v>
      </c>
      <c r="I1090" s="8"/>
      <c r="J1090" s="78" t="s">
        <v>5005</v>
      </c>
      <c r="K1090" s="22">
        <v>0.0</v>
      </c>
      <c r="L1090" s="22">
        <f>+SUMIF('حركه المخزن الرئيسي اليوميه'!$F:$F,$H:$H,'حركه المخزن الرئيسي اليوميه'!$H:$H)</f>
        <v>0.0</v>
      </c>
      <c r="M1090" s="22">
        <f>+SUMIF('حركه المخزن الرئيسي اليوميه'!$F:$F,$H:$H,'حركه المخزن الرئيسي اليوميه'!$I:$I)</f>
        <v>0.0</v>
      </c>
      <c r="N1090" s="22">
        <f>+K1090+L1090-M1090</f>
        <v>0.0</v>
      </c>
      <c r="O1090" s="22">
        <f>+N1090</f>
        <v>0.0</v>
      </c>
      <c r="P1090" s="22">
        <f>+N1090-O1090</f>
        <v>0.0</v>
      </c>
      <c r="Q1090" s="57"/>
      <c r="R1090" s="58"/>
    </row>
    <row r="1091" spans="8:8" ht="15.0" customHeight="1">
      <c r="B1091" s="54">
        <v>1196.0</v>
      </c>
      <c r="C1091" s="8" t="s">
        <v>8351</v>
      </c>
      <c r="D1091" s="8" t="s">
        <v>1460</v>
      </c>
      <c r="E1091" s="8" t="s">
        <v>1465</v>
      </c>
      <c r="F1091" s="8" t="s">
        <v>68</v>
      </c>
      <c r="G1091" s="8"/>
      <c r="H1091" s="8" t="s">
        <v>1465</v>
      </c>
      <c r="I1091" s="8"/>
      <c r="J1091" s="78" t="s">
        <v>5006</v>
      </c>
      <c r="K1091" s="22">
        <v>0.0</v>
      </c>
      <c r="L1091" s="22">
        <f>+SUMIF('حركه المخزن الرئيسي اليوميه'!$F:$F,$H:$H,'حركه المخزن الرئيسي اليوميه'!$H:$H)</f>
        <v>0.0</v>
      </c>
      <c r="M1091" s="22">
        <f>+SUMIF('حركه المخزن الرئيسي اليوميه'!$F:$F,$H:$H,'حركه المخزن الرئيسي اليوميه'!$I:$I)</f>
        <v>0.0</v>
      </c>
      <c r="N1091" s="22">
        <f>+K1091+L1091-M1091</f>
        <v>0.0</v>
      </c>
      <c r="O1091" s="22">
        <f>+N1091</f>
        <v>0.0</v>
      </c>
      <c r="P1091" s="22">
        <f>+N1091-O1091</f>
        <v>0.0</v>
      </c>
      <c r="Q1091" s="57"/>
      <c r="R1091" s="58"/>
    </row>
    <row r="1092" spans="8:8" ht="15.0" customHeight="1">
      <c r="B1092" s="54">
        <v>1197.0</v>
      </c>
      <c r="C1092" s="8" t="s">
        <v>8351</v>
      </c>
      <c r="D1092" s="8" t="s">
        <v>1013</v>
      </c>
      <c r="E1092" s="8" t="s">
        <v>1590</v>
      </c>
      <c r="F1092" s="8" t="s">
        <v>1501</v>
      </c>
      <c r="G1092" s="8"/>
      <c r="H1092" s="8" t="s">
        <v>1590</v>
      </c>
      <c r="I1092" s="8"/>
      <c r="J1092" s="78" t="s">
        <v>5007</v>
      </c>
      <c r="K1092" s="22">
        <v>0.0</v>
      </c>
      <c r="L1092" s="22">
        <f>+SUMIF('حركه المخزن الرئيسي اليوميه'!$F:$F,$H:$H,'حركه المخزن الرئيسي اليوميه'!$H:$H)</f>
        <v>0.0</v>
      </c>
      <c r="M1092" s="22">
        <f>+SUMIF('حركه المخزن الرئيسي اليوميه'!$F:$F,$H:$H,'حركه المخزن الرئيسي اليوميه'!$I:$I)</f>
        <v>0.0</v>
      </c>
      <c r="N1092" s="22">
        <f>+K1092+L1092-M1092</f>
        <v>0.0</v>
      </c>
      <c r="O1092" s="22">
        <f>+N1092</f>
        <v>0.0</v>
      </c>
      <c r="P1092" s="22">
        <f>+N1092-O1092</f>
        <v>0.0</v>
      </c>
      <c r="Q1092" s="57"/>
      <c r="R1092" s="58"/>
    </row>
    <row r="1093" spans="8:8" ht="15.0" customHeight="1">
      <c r="B1093" s="54">
        <v>1198.0</v>
      </c>
      <c r="C1093" s="8" t="s">
        <v>8351</v>
      </c>
      <c r="D1093" s="8" t="s">
        <v>1405</v>
      </c>
      <c r="E1093" s="8" t="s">
        <v>3890</v>
      </c>
      <c r="F1093" s="8" t="s">
        <v>1046</v>
      </c>
      <c r="G1093" s="8"/>
      <c r="H1093" s="8" t="s">
        <v>3890</v>
      </c>
      <c r="I1093" s="8" t="s">
        <v>3605</v>
      </c>
      <c r="J1093" s="78" t="s">
        <v>5008</v>
      </c>
      <c r="K1093" s="22">
        <v>0.0</v>
      </c>
      <c r="L1093" s="22">
        <f>+SUMIF('حركه المخزن الرئيسي اليوميه'!$F:$F,$H:$H,'حركه المخزن الرئيسي اليوميه'!$H:$H)</f>
        <v>0.0</v>
      </c>
      <c r="M1093" s="22">
        <f>+SUMIF('حركه المخزن الرئيسي اليوميه'!$F:$F,$H:$H,'حركه المخزن الرئيسي اليوميه'!$I:$I)</f>
        <v>0.0</v>
      </c>
      <c r="N1093" s="22">
        <f>+K1093+L1093-M1093</f>
        <v>0.0</v>
      </c>
      <c r="O1093" s="22">
        <f>+N1093</f>
        <v>0.0</v>
      </c>
      <c r="P1093" s="22">
        <f>+N1093-O1093</f>
        <v>0.0</v>
      </c>
      <c r="Q1093" s="57"/>
      <c r="R1093" s="58"/>
    </row>
    <row r="1094" spans="8:8" ht="15.0" customHeight="1">
      <c r="B1094" s="54">
        <v>1199.0</v>
      </c>
      <c r="C1094" s="8" t="s">
        <v>8351</v>
      </c>
      <c r="D1094" s="8" t="s">
        <v>1405</v>
      </c>
      <c r="E1094" s="8" t="s">
        <v>3889</v>
      </c>
      <c r="F1094" s="8" t="s">
        <v>1046</v>
      </c>
      <c r="G1094" s="8" t="s">
        <v>2467</v>
      </c>
      <c r="H1094" s="8" t="s">
        <v>3889</v>
      </c>
      <c r="I1094" s="8" t="s">
        <v>3605</v>
      </c>
      <c r="J1094" s="78" t="s">
        <v>5009</v>
      </c>
      <c r="K1094" s="22">
        <v>0.0</v>
      </c>
      <c r="L1094" s="22">
        <f>+SUMIF('حركه المخزن الرئيسي اليوميه'!$F:$F,$H:$H,'حركه المخزن الرئيسي اليوميه'!$H:$H)</f>
        <v>0.0</v>
      </c>
      <c r="M1094" s="22">
        <f>+SUMIF('حركه المخزن الرئيسي اليوميه'!$F:$F,$H:$H,'حركه المخزن الرئيسي اليوميه'!$I:$I)</f>
        <v>0.0</v>
      </c>
      <c r="N1094" s="22">
        <f>+K1094+L1094-M1094</f>
        <v>0.0</v>
      </c>
      <c r="O1094" s="22">
        <f>+N1094</f>
        <v>0.0</v>
      </c>
      <c r="P1094" s="22">
        <f>+N1094-O1094</f>
        <v>0.0</v>
      </c>
      <c r="Q1094" s="57"/>
      <c r="R1094" s="58"/>
    </row>
    <row r="1095" spans="8:8" ht="15.0" customHeight="1">
      <c r="B1095" s="54">
        <v>1200.0</v>
      </c>
      <c r="C1095" s="8" t="s">
        <v>8351</v>
      </c>
      <c r="D1095" s="8" t="s">
        <v>1013</v>
      </c>
      <c r="E1095" s="8" t="s">
        <v>1482</v>
      </c>
      <c r="F1095" s="8"/>
      <c r="G1095" s="8"/>
      <c r="H1095" s="8" t="s">
        <v>1482</v>
      </c>
      <c r="I1095" s="8"/>
      <c r="J1095" s="78" t="s">
        <v>5010</v>
      </c>
      <c r="K1095" s="22">
        <v>0.0</v>
      </c>
      <c r="L1095" s="22">
        <f>+SUMIF('حركه المخزن الرئيسي اليوميه'!$F:$F,$H:$H,'حركه المخزن الرئيسي اليوميه'!$H:$H)</f>
        <v>0.0</v>
      </c>
      <c r="M1095" s="22">
        <f>+SUMIF('حركه المخزن الرئيسي اليوميه'!$F:$F,$H:$H,'حركه المخزن الرئيسي اليوميه'!$I:$I)</f>
        <v>0.0</v>
      </c>
      <c r="N1095" s="22">
        <f>+K1095+L1095-M1095</f>
        <v>0.0</v>
      </c>
      <c r="O1095" s="22">
        <f>+N1095</f>
        <v>0.0</v>
      </c>
      <c r="P1095" s="22">
        <f>+N1095-O1095</f>
        <v>0.0</v>
      </c>
      <c r="Q1095" s="57"/>
      <c r="R1095" s="58"/>
    </row>
    <row r="1096" spans="8:8" ht="15.0" customHeight="1">
      <c r="B1096" s="54">
        <v>1201.0</v>
      </c>
      <c r="C1096" s="8" t="s">
        <v>8351</v>
      </c>
      <c r="D1096" s="8" t="s">
        <v>1013</v>
      </c>
      <c r="E1096" s="8" t="s">
        <v>1572</v>
      </c>
      <c r="F1096" s="8" t="s">
        <v>1573</v>
      </c>
      <c r="G1096" s="8" t="s">
        <v>2293</v>
      </c>
      <c r="H1096" s="8" t="s">
        <v>1572</v>
      </c>
      <c r="I1096" s="8"/>
      <c r="J1096" s="78" t="s">
        <v>5011</v>
      </c>
      <c r="K1096" s="22">
        <v>0.0</v>
      </c>
      <c r="L1096" s="22">
        <f>+SUMIF('حركه المخزن الرئيسي اليوميه'!$F:$F,$H:$H,'حركه المخزن الرئيسي اليوميه'!$H:$H)</f>
        <v>0.0</v>
      </c>
      <c r="M1096" s="22">
        <f>+SUMIF('حركه المخزن الرئيسي اليوميه'!$F:$F,$H:$H,'حركه المخزن الرئيسي اليوميه'!$I:$I)</f>
        <v>0.0</v>
      </c>
      <c r="N1096" s="22">
        <f>+K1096+L1096-M1096</f>
        <v>0.0</v>
      </c>
      <c r="O1096" s="22">
        <f>+N1096</f>
        <v>0.0</v>
      </c>
      <c r="P1096" s="22">
        <f>+N1096-O1096</f>
        <v>0.0</v>
      </c>
      <c r="Q1096" s="57"/>
      <c r="R1096" s="58"/>
    </row>
    <row r="1097" spans="8:8" ht="15.0" customHeight="1">
      <c r="B1097" s="54">
        <v>1202.0</v>
      </c>
      <c r="C1097" s="8" t="s">
        <v>8351</v>
      </c>
      <c r="D1097" s="8" t="s">
        <v>820</v>
      </c>
      <c r="E1097" s="8" t="s">
        <v>3731</v>
      </c>
      <c r="F1097" s="8" t="s">
        <v>68</v>
      </c>
      <c r="G1097" s="8" t="s">
        <v>2202</v>
      </c>
      <c r="H1097" s="8" t="s">
        <v>3731</v>
      </c>
      <c r="I1097" s="8" t="s">
        <v>164</v>
      </c>
      <c r="J1097" s="78" t="s">
        <v>5012</v>
      </c>
      <c r="K1097" s="22">
        <v>2.0</v>
      </c>
      <c r="L1097" s="22">
        <f>+SUMIF('حركه المخزن الرئيسي اليوميه'!$F:$F,$H:$H,'حركه المخزن الرئيسي اليوميه'!$H:$H)</f>
        <v>0.0</v>
      </c>
      <c r="M1097" s="22">
        <f>+SUMIF('حركه المخزن الرئيسي اليوميه'!$F:$F,$H:$H,'حركه المخزن الرئيسي اليوميه'!$I:$I)</f>
        <v>0.0</v>
      </c>
      <c r="N1097" s="22">
        <f>+K1097+L1097-M1097</f>
        <v>2.0</v>
      </c>
      <c r="O1097" s="22">
        <f>+N1097</f>
        <v>2.0</v>
      </c>
      <c r="P1097" s="22">
        <f>+N1097-O1097</f>
        <v>0.0</v>
      </c>
      <c r="Q1097" s="57"/>
      <c r="R1097" s="58"/>
    </row>
    <row r="1098" spans="8:8" ht="15.0" customHeight="1">
      <c r="B1098" s="54">
        <v>1203.0</v>
      </c>
      <c r="C1098" s="8" t="s">
        <v>8351</v>
      </c>
      <c r="D1098" s="8" t="s">
        <v>1013</v>
      </c>
      <c r="E1098" s="8" t="s">
        <v>2514</v>
      </c>
      <c r="F1098" s="8" t="s">
        <v>68</v>
      </c>
      <c r="G1098" s="8"/>
      <c r="H1098" s="8" t="s">
        <v>2514</v>
      </c>
      <c r="I1098" s="8" t="s">
        <v>2951</v>
      </c>
      <c r="J1098" s="78" t="s">
        <v>5013</v>
      </c>
      <c r="K1098" s="22">
        <v>3.0</v>
      </c>
      <c r="L1098" s="22">
        <f>+SUMIF('حركه المخزن الرئيسي اليوميه'!$F:$F,$H:$H,'حركه المخزن الرئيسي اليوميه'!$H:$H)</f>
        <v>0.0</v>
      </c>
      <c r="M1098" s="22">
        <f>+SUMIF('حركه المخزن الرئيسي اليوميه'!$F:$F,$H:$H,'حركه المخزن الرئيسي اليوميه'!$I:$I)</f>
        <v>0.0</v>
      </c>
      <c r="N1098" s="22">
        <f>+K1098+L1098-M1098</f>
        <v>3.0</v>
      </c>
      <c r="O1098" s="22">
        <f>+N1098</f>
        <v>3.0</v>
      </c>
      <c r="P1098" s="22">
        <f>+N1098-O1098</f>
        <v>0.0</v>
      </c>
      <c r="Q1098" s="57"/>
      <c r="R1098" s="58"/>
    </row>
    <row r="1099" spans="8:8" ht="15.0" customHeight="1">
      <c r="B1099" s="54">
        <v>1204.0</v>
      </c>
      <c r="C1099" s="8" t="s">
        <v>8351</v>
      </c>
      <c r="D1099" s="8" t="s">
        <v>820</v>
      </c>
      <c r="E1099" s="8" t="s">
        <v>1138</v>
      </c>
      <c r="F1099" s="8" t="s">
        <v>1139</v>
      </c>
      <c r="G1099" s="8" t="s">
        <v>2204</v>
      </c>
      <c r="H1099" s="8" t="s">
        <v>1138</v>
      </c>
      <c r="I1099" s="8"/>
      <c r="J1099" s="78" t="s">
        <v>5014</v>
      </c>
      <c r="K1099" s="22">
        <v>0.0</v>
      </c>
      <c r="L1099" s="22">
        <f>+SUMIF('حركه المخزن الرئيسي اليوميه'!$F:$F,$H:$H,'حركه المخزن الرئيسي اليوميه'!$H:$H)</f>
        <v>0.0</v>
      </c>
      <c r="M1099" s="22">
        <f>+SUMIF('حركه المخزن الرئيسي اليوميه'!$F:$F,$H:$H,'حركه المخزن الرئيسي اليوميه'!$I:$I)</f>
        <v>0.0</v>
      </c>
      <c r="N1099" s="22">
        <f>+K1099+L1099-M1099</f>
        <v>0.0</v>
      </c>
      <c r="O1099" s="22">
        <f>+N1099</f>
        <v>0.0</v>
      </c>
      <c r="P1099" s="22">
        <f>+N1099-O1099</f>
        <v>0.0</v>
      </c>
      <c r="Q1099" s="57"/>
      <c r="R1099" s="58"/>
    </row>
    <row r="1100" spans="8:8" ht="15.0" customHeight="1">
      <c r="B1100" s="54">
        <v>1205.0</v>
      </c>
      <c r="C1100" s="8" t="s">
        <v>8351</v>
      </c>
      <c r="D1100" s="8" t="s">
        <v>820</v>
      </c>
      <c r="E1100" s="8" t="s">
        <v>1269</v>
      </c>
      <c r="F1100" s="8" t="s">
        <v>1139</v>
      </c>
      <c r="G1100" s="8"/>
      <c r="H1100" s="8" t="s">
        <v>1269</v>
      </c>
      <c r="I1100" s="8"/>
      <c r="J1100" s="78" t="s">
        <v>5015</v>
      </c>
      <c r="K1100" s="22">
        <v>0.0</v>
      </c>
      <c r="L1100" s="22">
        <f>+SUMIF('حركه المخزن الرئيسي اليوميه'!$F:$F,$H:$H,'حركه المخزن الرئيسي اليوميه'!$H:$H)</f>
        <v>0.0</v>
      </c>
      <c r="M1100" s="22">
        <f>+SUMIF('حركه المخزن الرئيسي اليوميه'!$F:$F,$H:$H,'حركه المخزن الرئيسي اليوميه'!$I:$I)</f>
        <v>0.0</v>
      </c>
      <c r="N1100" s="22">
        <f>+K1100+L1100-M1100</f>
        <v>0.0</v>
      </c>
      <c r="O1100" s="22">
        <f>+N1100</f>
        <v>0.0</v>
      </c>
      <c r="P1100" s="22">
        <f>+N1100-O1100</f>
        <v>0.0</v>
      </c>
      <c r="Q1100" s="57"/>
      <c r="R1100" s="58"/>
    </row>
    <row r="1101" spans="8:8" ht="15.0" customHeight="1">
      <c r="B1101" s="54">
        <v>1206.0</v>
      </c>
      <c r="C1101" s="8" t="s">
        <v>8351</v>
      </c>
      <c r="D1101" s="8" t="s">
        <v>820</v>
      </c>
      <c r="E1101" s="8" t="s">
        <v>1400</v>
      </c>
      <c r="F1101" s="8" t="s">
        <v>68</v>
      </c>
      <c r="G1101" s="8"/>
      <c r="H1101" s="8" t="s">
        <v>1400</v>
      </c>
      <c r="I1101" s="8"/>
      <c r="J1101" s="78" t="s">
        <v>5016</v>
      </c>
      <c r="K1101" s="22">
        <v>0.0</v>
      </c>
      <c r="L1101" s="22">
        <f>+SUMIF('حركه المخزن الرئيسي اليوميه'!$F:$F,$H:$H,'حركه المخزن الرئيسي اليوميه'!$H:$H)</f>
        <v>0.0</v>
      </c>
      <c r="M1101" s="22">
        <f>+SUMIF('حركه المخزن الرئيسي اليوميه'!$F:$F,$H:$H,'حركه المخزن الرئيسي اليوميه'!$I:$I)</f>
        <v>0.0</v>
      </c>
      <c r="N1101" s="22">
        <f>+K1101+L1101-M1101</f>
        <v>0.0</v>
      </c>
      <c r="O1101" s="22">
        <f>+N1101</f>
        <v>0.0</v>
      </c>
      <c r="P1101" s="22">
        <f>+N1101-O1101</f>
        <v>0.0</v>
      </c>
      <c r="Q1101" s="57"/>
      <c r="R1101" s="58"/>
    </row>
    <row r="1102" spans="8:8" ht="15.0" customHeight="1">
      <c r="B1102" s="54">
        <v>1207.0</v>
      </c>
      <c r="C1102" s="8" t="s">
        <v>8351</v>
      </c>
      <c r="D1102" s="8" t="s">
        <v>1460</v>
      </c>
      <c r="E1102" s="8" t="s">
        <v>1461</v>
      </c>
      <c r="F1102" s="8" t="s">
        <v>68</v>
      </c>
      <c r="G1102" s="8" t="s">
        <v>2459</v>
      </c>
      <c r="H1102" s="8" t="s">
        <v>1461</v>
      </c>
      <c r="I1102" s="8"/>
      <c r="J1102" s="78" t="s">
        <v>5017</v>
      </c>
      <c r="K1102" s="22">
        <v>0.0</v>
      </c>
      <c r="L1102" s="22">
        <f>+SUMIF('حركه المخزن الرئيسي اليوميه'!$F:$F,$H:$H,'حركه المخزن الرئيسي اليوميه'!$H:$H)</f>
        <v>0.0</v>
      </c>
      <c r="M1102" s="22">
        <f>+SUMIF('حركه المخزن الرئيسي اليوميه'!$F:$F,$H:$H,'حركه المخزن الرئيسي اليوميه'!$I:$I)</f>
        <v>0.0</v>
      </c>
      <c r="N1102" s="22">
        <f>+K1102+L1102-M1102</f>
        <v>0.0</v>
      </c>
      <c r="O1102" s="22">
        <f>+N1102</f>
        <v>0.0</v>
      </c>
      <c r="P1102" s="22">
        <f>+N1102-O1102</f>
        <v>0.0</v>
      </c>
      <c r="Q1102" s="57"/>
      <c r="R1102" s="58"/>
    </row>
    <row r="1103" spans="8:8" ht="15.0" customHeight="1">
      <c r="B1103" s="54">
        <v>1208.0</v>
      </c>
      <c r="C1103" s="8" t="s">
        <v>8351</v>
      </c>
      <c r="D1103" s="8" t="s">
        <v>1018</v>
      </c>
      <c r="E1103" s="8" t="s">
        <v>1409</v>
      </c>
      <c r="F1103" s="8" t="s">
        <v>68</v>
      </c>
      <c r="G1103" s="8" t="s">
        <v>2263</v>
      </c>
      <c r="H1103" s="8" t="s">
        <v>1409</v>
      </c>
      <c r="I1103" s="8" t="s">
        <v>224</v>
      </c>
      <c r="J1103" s="78" t="s">
        <v>5018</v>
      </c>
      <c r="K1103" s="22">
        <v>1.0</v>
      </c>
      <c r="L1103" s="22">
        <f>+SUMIF('حركه المخزن الرئيسي اليوميه'!$F:$F,$H:$H,'حركه المخزن الرئيسي اليوميه'!$H:$H)</f>
        <v>0.0</v>
      </c>
      <c r="M1103" s="22">
        <f>+SUMIF('حركه المخزن الرئيسي اليوميه'!$F:$F,$H:$H,'حركه المخزن الرئيسي اليوميه'!$I:$I)</f>
        <v>0.0</v>
      </c>
      <c r="N1103" s="22">
        <f>+K1103+L1103-M1103</f>
        <v>1.0</v>
      </c>
      <c r="O1103" s="22">
        <f>+N1103</f>
        <v>1.0</v>
      </c>
      <c r="P1103" s="22">
        <f>+N1103-O1103</f>
        <v>0.0</v>
      </c>
      <c r="Q1103" s="57"/>
      <c r="R1103" s="58"/>
    </row>
    <row r="1104" spans="8:8" ht="15.0" customHeight="1">
      <c r="B1104" s="54">
        <v>1210.0</v>
      </c>
      <c r="C1104" s="8" t="s">
        <v>8351</v>
      </c>
      <c r="D1104" s="8" t="s">
        <v>1019</v>
      </c>
      <c r="E1104" s="8" t="s">
        <v>1551</v>
      </c>
      <c r="F1104" s="8" t="s">
        <v>1501</v>
      </c>
      <c r="G1104" s="8" t="s">
        <v>2475</v>
      </c>
      <c r="H1104" s="8" t="s">
        <v>1551</v>
      </c>
      <c r="I1104" s="8"/>
      <c r="J1104" s="78" t="s">
        <v>5019</v>
      </c>
      <c r="K1104" s="22">
        <v>0.0</v>
      </c>
      <c r="L1104" s="22">
        <f>+SUMIF('حركه المخزن الرئيسي اليوميه'!$F:$F,$H:$H,'حركه المخزن الرئيسي اليوميه'!$H:$H)</f>
        <v>0.0</v>
      </c>
      <c r="M1104" s="22">
        <f>+SUMIF('حركه المخزن الرئيسي اليوميه'!$F:$F,$H:$H,'حركه المخزن الرئيسي اليوميه'!$I:$I)</f>
        <v>0.0</v>
      </c>
      <c r="N1104" s="22">
        <f>+K1104+L1104-M1104</f>
        <v>0.0</v>
      </c>
      <c r="O1104" s="22">
        <f>+N1104</f>
        <v>0.0</v>
      </c>
      <c r="P1104" s="22">
        <f>+N1104-O1104</f>
        <v>0.0</v>
      </c>
      <c r="Q1104" s="57"/>
      <c r="R1104" s="58"/>
    </row>
    <row r="1105" spans="8:8" ht="15.0" customHeight="1">
      <c r="B1105" s="54">
        <v>1211.0</v>
      </c>
      <c r="C1105" s="8" t="s">
        <v>8351</v>
      </c>
      <c r="D1105" s="8" t="s">
        <v>1444</v>
      </c>
      <c r="E1105" s="8" t="s">
        <v>1458</v>
      </c>
      <c r="F1105" s="8" t="s">
        <v>68</v>
      </c>
      <c r="G1105" s="8" t="s">
        <v>2458</v>
      </c>
      <c r="H1105" s="8" t="s">
        <v>1458</v>
      </c>
      <c r="I1105" s="8"/>
      <c r="J1105" s="78" t="s">
        <v>5020</v>
      </c>
      <c r="K1105" s="22">
        <v>0.0</v>
      </c>
      <c r="L1105" s="22">
        <f>+SUMIF('حركه المخزن الرئيسي اليوميه'!$F:$F,$H:$H,'حركه المخزن الرئيسي اليوميه'!$H:$H)</f>
        <v>0.0</v>
      </c>
      <c r="M1105" s="22">
        <f>+SUMIF('حركه المخزن الرئيسي اليوميه'!$F:$F,$H:$H,'حركه المخزن الرئيسي اليوميه'!$I:$I)</f>
        <v>0.0</v>
      </c>
      <c r="N1105" s="22">
        <f>+K1105+L1105-M1105</f>
        <v>0.0</v>
      </c>
      <c r="O1105" s="22">
        <f>+N1105</f>
        <v>0.0</v>
      </c>
      <c r="P1105" s="22">
        <f>+N1105-O1105</f>
        <v>0.0</v>
      </c>
      <c r="Q1105" s="57"/>
      <c r="R1105" s="58"/>
    </row>
    <row r="1106" spans="8:8" ht="15.0" customHeight="1">
      <c r="B1106" s="54">
        <v>1212.0</v>
      </c>
      <c r="C1106" s="8" t="s">
        <v>8351</v>
      </c>
      <c r="D1106" s="8" t="s">
        <v>820</v>
      </c>
      <c r="E1106" s="8" t="s">
        <v>1181</v>
      </c>
      <c r="F1106" s="8" t="s">
        <v>1183</v>
      </c>
      <c r="G1106" s="8"/>
      <c r="H1106" s="8" t="s">
        <v>1180</v>
      </c>
      <c r="I1106" s="8"/>
      <c r="J1106" s="78" t="s">
        <v>5021</v>
      </c>
      <c r="K1106" s="22">
        <v>0.0</v>
      </c>
      <c r="L1106" s="22">
        <f>+SUMIF('حركه المخزن الرئيسي اليوميه'!$F:$F,$H:$H,'حركه المخزن الرئيسي اليوميه'!$H:$H)</f>
        <v>0.0</v>
      </c>
      <c r="M1106" s="22">
        <f>+SUMIF('حركه المخزن الرئيسي اليوميه'!$F:$F,$H:$H,'حركه المخزن الرئيسي اليوميه'!$I:$I)</f>
        <v>0.0</v>
      </c>
      <c r="N1106" s="22">
        <f>+K1106+L1106-M1106</f>
        <v>0.0</v>
      </c>
      <c r="O1106" s="22">
        <f>+N1106</f>
        <v>0.0</v>
      </c>
      <c r="P1106" s="22">
        <f>+N1106-O1106</f>
        <v>0.0</v>
      </c>
      <c r="Q1106" s="57"/>
      <c r="R1106" s="58"/>
    </row>
    <row r="1107" spans="8:8" ht="15.0" customHeight="1">
      <c r="B1107" s="54">
        <v>1213.0</v>
      </c>
      <c r="C1107" s="8" t="s">
        <v>8351</v>
      </c>
      <c r="D1107" s="8" t="s">
        <v>820</v>
      </c>
      <c r="E1107" s="8" t="s">
        <v>1412</v>
      </c>
      <c r="F1107" s="8" t="s">
        <v>68</v>
      </c>
      <c r="G1107" s="8"/>
      <c r="H1107" s="8" t="s">
        <v>1412</v>
      </c>
      <c r="I1107" s="8"/>
      <c r="J1107" s="78" t="s">
        <v>5022</v>
      </c>
      <c r="K1107" s="22">
        <v>0.0</v>
      </c>
      <c r="L1107" s="22">
        <f>+SUMIF('حركه المخزن الرئيسي اليوميه'!$F:$F,$H:$H,'حركه المخزن الرئيسي اليوميه'!$H:$H)</f>
        <v>0.0</v>
      </c>
      <c r="M1107" s="22">
        <f>+SUMIF('حركه المخزن الرئيسي اليوميه'!$F:$F,$H:$H,'حركه المخزن الرئيسي اليوميه'!$I:$I)</f>
        <v>0.0</v>
      </c>
      <c r="N1107" s="22">
        <f>+K1107+L1107-M1107</f>
        <v>0.0</v>
      </c>
      <c r="O1107" s="22">
        <f>+N1107</f>
        <v>0.0</v>
      </c>
      <c r="P1107" s="22">
        <f>+N1107-O1107</f>
        <v>0.0</v>
      </c>
      <c r="Q1107" s="57"/>
      <c r="R1107" s="58"/>
    </row>
    <row r="1108" spans="8:8" ht="15.0" customHeight="1">
      <c r="B1108" s="54">
        <v>1214.0</v>
      </c>
      <c r="C1108" s="8" t="s">
        <v>8351</v>
      </c>
      <c r="D1108" s="8" t="s">
        <v>1013</v>
      </c>
      <c r="E1108" s="8" t="s">
        <v>2503</v>
      </c>
      <c r="F1108" s="8" t="s">
        <v>68</v>
      </c>
      <c r="G1108" s="8"/>
      <c r="H1108" s="8" t="s">
        <v>2503</v>
      </c>
      <c r="I1108" s="8"/>
      <c r="J1108" s="78" t="s">
        <v>5023</v>
      </c>
      <c r="K1108" s="22">
        <v>0.0</v>
      </c>
      <c r="L1108" s="22">
        <f>+SUMIF('حركه المخزن الرئيسي اليوميه'!$F:$F,$H:$H,'حركه المخزن الرئيسي اليوميه'!$H:$H)</f>
        <v>0.0</v>
      </c>
      <c r="M1108" s="22">
        <f>+SUMIF('حركه المخزن الرئيسي اليوميه'!$F:$F,$H:$H,'حركه المخزن الرئيسي اليوميه'!$I:$I)</f>
        <v>0.0</v>
      </c>
      <c r="N1108" s="22">
        <f>+K1108+L1108-M1108</f>
        <v>0.0</v>
      </c>
      <c r="O1108" s="22">
        <f>+N1108</f>
        <v>0.0</v>
      </c>
      <c r="P1108" s="22">
        <f>+N1108-O1108</f>
        <v>0.0</v>
      </c>
      <c r="Q1108" s="57"/>
      <c r="R1108" s="58"/>
    </row>
    <row r="1109" spans="8:8" ht="15.0" customHeight="1">
      <c r="B1109" s="54">
        <v>1215.0</v>
      </c>
      <c r="C1109" s="8" t="s">
        <v>8351</v>
      </c>
      <c r="D1109" s="8" t="s">
        <v>1013</v>
      </c>
      <c r="E1109" s="8" t="s">
        <v>2502</v>
      </c>
      <c r="F1109" s="8" t="s">
        <v>68</v>
      </c>
      <c r="G1109" s="8"/>
      <c r="H1109" s="8" t="s">
        <v>2502</v>
      </c>
      <c r="I1109" s="8"/>
      <c r="J1109" s="78" t="s">
        <v>5024</v>
      </c>
      <c r="K1109" s="22">
        <v>0.0</v>
      </c>
      <c r="L1109" s="22">
        <f>+SUMIF('حركه المخزن الرئيسي اليوميه'!$F:$F,$H:$H,'حركه المخزن الرئيسي اليوميه'!$H:$H)</f>
        <v>0.0</v>
      </c>
      <c r="M1109" s="22">
        <f>+SUMIF('حركه المخزن الرئيسي اليوميه'!$F:$F,$H:$H,'حركه المخزن الرئيسي اليوميه'!$I:$I)</f>
        <v>0.0</v>
      </c>
      <c r="N1109" s="22">
        <f>+K1109+L1109-M1109</f>
        <v>0.0</v>
      </c>
      <c r="O1109" s="22">
        <f>+N1109</f>
        <v>0.0</v>
      </c>
      <c r="P1109" s="22">
        <f>+N1109-O1109</f>
        <v>0.0</v>
      </c>
      <c r="Q1109" s="57"/>
      <c r="R1109" s="58"/>
    </row>
    <row r="1110" spans="8:8" ht="15.0" customHeight="1">
      <c r="B1110" s="54">
        <v>1216.0</v>
      </c>
      <c r="C1110" s="8" t="s">
        <v>8351</v>
      </c>
      <c r="D1110" s="8" t="s">
        <v>1013</v>
      </c>
      <c r="E1110" s="8" t="s">
        <v>1517</v>
      </c>
      <c r="F1110" s="8" t="s">
        <v>1501</v>
      </c>
      <c r="G1110" s="8"/>
      <c r="H1110" s="8" t="s">
        <v>1517</v>
      </c>
      <c r="I1110" s="8" t="s">
        <v>3605</v>
      </c>
      <c r="J1110" s="78" t="s">
        <v>5025</v>
      </c>
      <c r="K1110" s="22">
        <v>2.0</v>
      </c>
      <c r="L1110" s="22">
        <f>+SUMIF('حركه المخزن الرئيسي اليوميه'!$F:$F,$H:$H,'حركه المخزن الرئيسي اليوميه'!$H:$H)</f>
        <v>0.0</v>
      </c>
      <c r="M1110" s="22">
        <f>+SUMIF('حركه المخزن الرئيسي اليوميه'!$F:$F,$H:$H,'حركه المخزن الرئيسي اليوميه'!$I:$I)</f>
        <v>0.0</v>
      </c>
      <c r="N1110" s="22">
        <f>+K1110+L1110-M1110</f>
        <v>2.0</v>
      </c>
      <c r="O1110" s="22">
        <f>+N1110</f>
        <v>2.0</v>
      </c>
      <c r="P1110" s="22">
        <f>+N1110-O1110</f>
        <v>0.0</v>
      </c>
      <c r="Q1110" s="57"/>
      <c r="R1110" s="58"/>
    </row>
    <row r="1111" spans="8:8" ht="15.0" customHeight="1">
      <c r="B1111" s="54">
        <v>1217.0</v>
      </c>
      <c r="C1111" s="8" t="s">
        <v>8351</v>
      </c>
      <c r="D1111" s="8" t="s">
        <v>1013</v>
      </c>
      <c r="E1111" s="8" t="s">
        <v>1528</v>
      </c>
      <c r="F1111" s="8" t="s">
        <v>125</v>
      </c>
      <c r="G1111" s="8"/>
      <c r="H1111" s="8" t="s">
        <v>1528</v>
      </c>
      <c r="I1111" s="8"/>
      <c r="J1111" s="78" t="s">
        <v>5026</v>
      </c>
      <c r="K1111" s="22">
        <v>0.0</v>
      </c>
      <c r="L1111" s="22">
        <f>+SUMIF('حركه المخزن الرئيسي اليوميه'!$F:$F,$H:$H,'حركه المخزن الرئيسي اليوميه'!$H:$H)</f>
        <v>0.0</v>
      </c>
      <c r="M1111" s="22">
        <f>+SUMIF('حركه المخزن الرئيسي اليوميه'!$F:$F,$H:$H,'حركه المخزن الرئيسي اليوميه'!$I:$I)</f>
        <v>0.0</v>
      </c>
      <c r="N1111" s="22">
        <f>+K1111+L1111-M1111</f>
        <v>0.0</v>
      </c>
      <c r="O1111" s="22">
        <f>+N1111</f>
        <v>0.0</v>
      </c>
      <c r="P1111" s="22">
        <f>+N1111-O1111</f>
        <v>0.0</v>
      </c>
      <c r="Q1111" s="57"/>
      <c r="R1111" s="58"/>
    </row>
    <row r="1112" spans="8:8" ht="15.0" customHeight="1">
      <c r="B1112" s="54">
        <v>1218.0</v>
      </c>
      <c r="C1112" s="8" t="s">
        <v>8351</v>
      </c>
      <c r="D1112" s="8" t="s">
        <v>820</v>
      </c>
      <c r="E1112" s="8" t="s">
        <v>1450</v>
      </c>
      <c r="F1112" s="8" t="s">
        <v>68</v>
      </c>
      <c r="G1112" s="8"/>
      <c r="H1112" s="8" t="s">
        <v>1450</v>
      </c>
      <c r="I1112" s="8" t="s">
        <v>818</v>
      </c>
      <c r="J1112" s="78" t="s">
        <v>5027</v>
      </c>
      <c r="K1112" s="22">
        <v>0.0</v>
      </c>
      <c r="L1112" s="22">
        <f>+SUMIF('حركه المخزن الرئيسي اليوميه'!$F:$F,$H:$H,'حركه المخزن الرئيسي اليوميه'!$H:$H)</f>
        <v>0.0</v>
      </c>
      <c r="M1112" s="22">
        <f>+SUMIF('حركه المخزن الرئيسي اليوميه'!$F:$F,$H:$H,'حركه المخزن الرئيسي اليوميه'!$I:$I)</f>
        <v>0.0</v>
      </c>
      <c r="N1112" s="22">
        <f>+K1112+L1112-M1112</f>
        <v>0.0</v>
      </c>
      <c r="O1112" s="22">
        <f>+N1112</f>
        <v>0.0</v>
      </c>
      <c r="P1112" s="22">
        <f>+N1112-O1112</f>
        <v>0.0</v>
      </c>
      <c r="Q1112" s="57"/>
      <c r="R1112" s="58"/>
    </row>
    <row r="1113" spans="8:8" ht="15.0" customHeight="1">
      <c r="B1113" s="54">
        <v>1219.0</v>
      </c>
      <c r="C1113" s="8" t="s">
        <v>8351</v>
      </c>
      <c r="D1113" s="8" t="s">
        <v>820</v>
      </c>
      <c r="E1113" s="8" t="s">
        <v>1425</v>
      </c>
      <c r="F1113" s="8" t="s">
        <v>68</v>
      </c>
      <c r="G1113" s="8"/>
      <c r="H1113" s="8" t="s">
        <v>1425</v>
      </c>
      <c r="I1113" s="8"/>
      <c r="J1113" s="78" t="s">
        <v>5028</v>
      </c>
      <c r="K1113" s="22">
        <v>0.0</v>
      </c>
      <c r="L1113" s="22">
        <f>+SUMIF('حركه المخزن الرئيسي اليوميه'!$F:$F,$H:$H,'حركه المخزن الرئيسي اليوميه'!$H:$H)</f>
        <v>0.0</v>
      </c>
      <c r="M1113" s="22">
        <f>+SUMIF('حركه المخزن الرئيسي اليوميه'!$F:$F,$H:$H,'حركه المخزن الرئيسي اليوميه'!$I:$I)</f>
        <v>0.0</v>
      </c>
      <c r="N1113" s="22">
        <f>+K1113+L1113-M1113</f>
        <v>0.0</v>
      </c>
      <c r="O1113" s="22">
        <f>+N1113</f>
        <v>0.0</v>
      </c>
      <c r="P1113" s="22">
        <f>+N1113-O1113</f>
        <v>0.0</v>
      </c>
      <c r="Q1113" s="57"/>
      <c r="R1113" s="58"/>
    </row>
    <row r="1114" spans="8:8" ht="15.0" customHeight="1">
      <c r="B1114" s="54">
        <v>1220.0</v>
      </c>
      <c r="C1114" s="8" t="s">
        <v>8351</v>
      </c>
      <c r="D1114" s="8" t="s">
        <v>820</v>
      </c>
      <c r="E1114" s="8" t="s">
        <v>1399</v>
      </c>
      <c r="F1114" s="8" t="s">
        <v>68</v>
      </c>
      <c r="G1114" s="8"/>
      <c r="H1114" s="8" t="s">
        <v>1399</v>
      </c>
      <c r="I1114" s="8"/>
      <c r="J1114" s="78" t="s">
        <v>5029</v>
      </c>
      <c r="K1114" s="22">
        <v>0.0</v>
      </c>
      <c r="L1114" s="22">
        <f>+SUMIF('حركه المخزن الرئيسي اليوميه'!$F:$F,$H:$H,'حركه المخزن الرئيسي اليوميه'!$H:$H)</f>
        <v>0.0</v>
      </c>
      <c r="M1114" s="22">
        <f>+SUMIF('حركه المخزن الرئيسي اليوميه'!$F:$F,$H:$H,'حركه المخزن الرئيسي اليوميه'!$I:$I)</f>
        <v>0.0</v>
      </c>
      <c r="N1114" s="22">
        <f>+K1114+L1114-M1114</f>
        <v>0.0</v>
      </c>
      <c r="O1114" s="22">
        <f>+N1114</f>
        <v>0.0</v>
      </c>
      <c r="P1114" s="22">
        <f>+N1114-O1114</f>
        <v>0.0</v>
      </c>
      <c r="Q1114" s="57"/>
      <c r="R1114" s="58"/>
    </row>
    <row r="1115" spans="8:8" ht="15.0" customHeight="1">
      <c r="B1115" s="54">
        <v>1221.0</v>
      </c>
      <c r="C1115" s="8" t="s">
        <v>8351</v>
      </c>
      <c r="D1115" s="8" t="s">
        <v>1460</v>
      </c>
      <c r="E1115" s="8" t="s">
        <v>1471</v>
      </c>
      <c r="F1115" s="8" t="s">
        <v>68</v>
      </c>
      <c r="G1115" s="8"/>
      <c r="H1115" s="8" t="s">
        <v>1471</v>
      </c>
      <c r="I1115" s="8"/>
      <c r="J1115" s="78" t="s">
        <v>5030</v>
      </c>
      <c r="K1115" s="22">
        <v>0.0</v>
      </c>
      <c r="L1115" s="22">
        <f>+SUMIF('حركه المخزن الرئيسي اليوميه'!$F:$F,$H:$H,'حركه المخزن الرئيسي اليوميه'!$H:$H)</f>
        <v>0.0</v>
      </c>
      <c r="M1115" s="22">
        <f>+SUMIF('حركه المخزن الرئيسي اليوميه'!$F:$F,$H:$H,'حركه المخزن الرئيسي اليوميه'!$I:$I)</f>
        <v>0.0</v>
      </c>
      <c r="N1115" s="22">
        <f>+K1115+L1115-M1115</f>
        <v>0.0</v>
      </c>
      <c r="O1115" s="22">
        <f>+N1115</f>
        <v>0.0</v>
      </c>
      <c r="P1115" s="22">
        <f>+N1115-O1115</f>
        <v>0.0</v>
      </c>
      <c r="Q1115" s="57"/>
      <c r="R1115" s="58"/>
    </row>
    <row r="1116" spans="8:8" ht="15.0" customHeight="1">
      <c r="B1116" s="54">
        <v>1222.0</v>
      </c>
      <c r="C1116" s="8" t="s">
        <v>8351</v>
      </c>
      <c r="D1116" s="8" t="s">
        <v>1013</v>
      </c>
      <c r="E1116" s="8" t="s">
        <v>1615</v>
      </c>
      <c r="F1116" s="8" t="s">
        <v>1501</v>
      </c>
      <c r="G1116" s="8" t="s">
        <v>1963</v>
      </c>
      <c r="H1116" s="8" t="s">
        <v>1615</v>
      </c>
      <c r="I1116" s="8" t="s">
        <v>814</v>
      </c>
      <c r="J1116" s="78" t="s">
        <v>5031</v>
      </c>
      <c r="K1116" s="22">
        <v>0.0</v>
      </c>
      <c r="L1116" s="22">
        <f>+SUMIF('حركه المخزن الرئيسي اليوميه'!$F:$F,$H:$H,'حركه المخزن الرئيسي اليوميه'!$H:$H)</f>
        <v>0.0</v>
      </c>
      <c r="M1116" s="22">
        <f>+SUMIF('حركه المخزن الرئيسي اليوميه'!$F:$F,$H:$H,'حركه المخزن الرئيسي اليوميه'!$I:$I)</f>
        <v>0.0</v>
      </c>
      <c r="N1116" s="22">
        <f>+K1116+L1116-M1116</f>
        <v>0.0</v>
      </c>
      <c r="O1116" s="22">
        <f>+N1116</f>
        <v>0.0</v>
      </c>
      <c r="P1116" s="22">
        <f>+N1116-O1116</f>
        <v>0.0</v>
      </c>
      <c r="Q1116" s="57"/>
      <c r="R1116" s="58"/>
    </row>
    <row r="1117" spans="8:8" ht="15.0" customHeight="1">
      <c r="B1117" s="54">
        <v>1223.0</v>
      </c>
      <c r="C1117" s="8" t="s">
        <v>8351</v>
      </c>
      <c r="D1117" s="8" t="s">
        <v>1013</v>
      </c>
      <c r="E1117" s="8" t="s">
        <v>1616</v>
      </c>
      <c r="F1117" s="8" t="s">
        <v>1501</v>
      </c>
      <c r="G1117" s="8" t="s">
        <v>1963</v>
      </c>
      <c r="H1117" s="8" t="s">
        <v>1616</v>
      </c>
      <c r="I1117" s="8" t="s">
        <v>814</v>
      </c>
      <c r="J1117" s="78" t="s">
        <v>5032</v>
      </c>
      <c r="K1117" s="22">
        <v>0.0</v>
      </c>
      <c r="L1117" s="22">
        <f>+SUMIF('حركه المخزن الرئيسي اليوميه'!$F:$F,$H:$H,'حركه المخزن الرئيسي اليوميه'!$H:$H)</f>
        <v>0.0</v>
      </c>
      <c r="M1117" s="22">
        <f>+SUMIF('حركه المخزن الرئيسي اليوميه'!$F:$F,$H:$H,'حركه المخزن الرئيسي اليوميه'!$I:$I)</f>
        <v>0.0</v>
      </c>
      <c r="N1117" s="22">
        <f>+K1117+L1117-M1117</f>
        <v>0.0</v>
      </c>
      <c r="O1117" s="22">
        <f>+N1117</f>
        <v>0.0</v>
      </c>
      <c r="P1117" s="22">
        <f>+N1117-O1117</f>
        <v>0.0</v>
      </c>
      <c r="Q1117" s="57"/>
      <c r="R1117" s="58"/>
    </row>
    <row r="1118" spans="8:8" ht="15.0" customHeight="1">
      <c r="B1118" s="54">
        <v>1224.0</v>
      </c>
      <c r="C1118" s="8" t="s">
        <v>8351</v>
      </c>
      <c r="D1118" s="8" t="s">
        <v>1013</v>
      </c>
      <c r="E1118" s="8" t="s">
        <v>1614</v>
      </c>
      <c r="F1118" s="8" t="s">
        <v>1501</v>
      </c>
      <c r="G1118" s="8" t="s">
        <v>1963</v>
      </c>
      <c r="H1118" s="8" t="s">
        <v>1614</v>
      </c>
      <c r="I1118" s="8" t="s">
        <v>814</v>
      </c>
      <c r="J1118" s="78" t="s">
        <v>5033</v>
      </c>
      <c r="K1118" s="22">
        <v>0.0</v>
      </c>
      <c r="L1118" s="22">
        <f>+SUMIF('حركه المخزن الرئيسي اليوميه'!$F:$F,$H:$H,'حركه المخزن الرئيسي اليوميه'!$H:$H)</f>
        <v>0.0</v>
      </c>
      <c r="M1118" s="22">
        <f>+SUMIF('حركه المخزن الرئيسي اليوميه'!$F:$F,$H:$H,'حركه المخزن الرئيسي اليوميه'!$I:$I)</f>
        <v>0.0</v>
      </c>
      <c r="N1118" s="22">
        <f>+K1118+L1118-M1118</f>
        <v>0.0</v>
      </c>
      <c r="O1118" s="22">
        <f>+N1118</f>
        <v>0.0</v>
      </c>
      <c r="P1118" s="22">
        <f>+N1118-O1118</f>
        <v>0.0</v>
      </c>
      <c r="Q1118" s="57"/>
      <c r="R1118" s="58"/>
    </row>
    <row r="1119" spans="8:8" ht="15.0" customHeight="1">
      <c r="B1119" s="54">
        <v>1225.0</v>
      </c>
      <c r="C1119" s="8" t="s">
        <v>8351</v>
      </c>
      <c r="D1119" s="8" t="s">
        <v>1013</v>
      </c>
      <c r="E1119" s="8" t="s">
        <v>3688</v>
      </c>
      <c r="F1119" s="8" t="s">
        <v>1573</v>
      </c>
      <c r="G1119" s="8" t="s">
        <v>1931</v>
      </c>
      <c r="H1119" s="8" t="s">
        <v>3688</v>
      </c>
      <c r="I1119" s="8" t="s">
        <v>814</v>
      </c>
      <c r="J1119" s="78" t="s">
        <v>5034</v>
      </c>
      <c r="K1119" s="22">
        <v>0.0</v>
      </c>
      <c r="L1119" s="22">
        <f>+SUMIF('حركه المخزن الرئيسي اليوميه'!$F:$F,$H:$H,'حركه المخزن الرئيسي اليوميه'!$H:$H)</f>
        <v>0.0</v>
      </c>
      <c r="M1119" s="22">
        <f>+SUMIF('حركه المخزن الرئيسي اليوميه'!$F:$F,$H:$H,'حركه المخزن الرئيسي اليوميه'!$I:$I)</f>
        <v>0.0</v>
      </c>
      <c r="N1119" s="22">
        <f>+K1119+L1119-M1119</f>
        <v>0.0</v>
      </c>
      <c r="O1119" s="22">
        <f>+N1119</f>
        <v>0.0</v>
      </c>
      <c r="P1119" s="22">
        <f>+N1119-O1119</f>
        <v>0.0</v>
      </c>
      <c r="Q1119" s="57"/>
      <c r="R1119" s="58"/>
    </row>
    <row r="1120" spans="8:8" ht="15.0" customHeight="1">
      <c r="B1120" s="54">
        <v>1226.0</v>
      </c>
      <c r="C1120" s="8" t="s">
        <v>8351</v>
      </c>
      <c r="D1120" s="8" t="s">
        <v>1013</v>
      </c>
      <c r="E1120" s="8" t="s">
        <v>1610</v>
      </c>
      <c r="F1120" s="8" t="s">
        <v>1501</v>
      </c>
      <c r="G1120" s="8"/>
      <c r="H1120" s="8" t="s">
        <v>1610</v>
      </c>
      <c r="I1120" s="8"/>
      <c r="J1120" s="78" t="s">
        <v>5035</v>
      </c>
      <c r="K1120" s="22">
        <v>0.0</v>
      </c>
      <c r="L1120" s="22">
        <f>+SUMIF('حركه المخزن الرئيسي اليوميه'!$F:$F,$H:$H,'حركه المخزن الرئيسي اليوميه'!$H:$H)</f>
        <v>0.0</v>
      </c>
      <c r="M1120" s="22">
        <f>+SUMIF('حركه المخزن الرئيسي اليوميه'!$F:$F,$H:$H,'حركه المخزن الرئيسي اليوميه'!$I:$I)</f>
        <v>0.0</v>
      </c>
      <c r="N1120" s="22">
        <f>+K1120+L1120-M1120</f>
        <v>0.0</v>
      </c>
      <c r="O1120" s="22">
        <f>+N1120</f>
        <v>0.0</v>
      </c>
      <c r="P1120" s="22">
        <f>+N1120-O1120</f>
        <v>0.0</v>
      </c>
      <c r="Q1120" s="57"/>
      <c r="R1120" s="58"/>
    </row>
    <row r="1121" spans="8:8" ht="15.0" customHeight="1">
      <c r="B1121" s="54">
        <v>1227.0</v>
      </c>
      <c r="C1121" s="8" t="s">
        <v>8351</v>
      </c>
      <c r="D1121" s="8" t="s">
        <v>1013</v>
      </c>
      <c r="E1121" s="8" t="s">
        <v>1589</v>
      </c>
      <c r="F1121" s="8" t="s">
        <v>389</v>
      </c>
      <c r="G1121" s="8" t="s">
        <v>2478</v>
      </c>
      <c r="H1121" s="8" t="s">
        <v>1589</v>
      </c>
      <c r="I1121" s="8"/>
      <c r="J1121" s="78" t="s">
        <v>5036</v>
      </c>
      <c r="K1121" s="22">
        <v>0.0</v>
      </c>
      <c r="L1121" s="22">
        <f>+SUMIF('حركه المخزن الرئيسي اليوميه'!$F:$F,$H:$H,'حركه المخزن الرئيسي اليوميه'!$H:$H)</f>
        <v>0.0</v>
      </c>
      <c r="M1121" s="22">
        <f>+SUMIF('حركه المخزن الرئيسي اليوميه'!$F:$F,$H:$H,'حركه المخزن الرئيسي اليوميه'!$I:$I)</f>
        <v>0.0</v>
      </c>
      <c r="N1121" s="22">
        <f>+K1121+L1121-M1121</f>
        <v>0.0</v>
      </c>
      <c r="O1121" s="22">
        <f>+N1121</f>
        <v>0.0</v>
      </c>
      <c r="P1121" s="22">
        <f>+N1121-O1121</f>
        <v>0.0</v>
      </c>
      <c r="Q1121" s="57"/>
      <c r="R1121" s="58"/>
    </row>
    <row r="1122" spans="8:8" ht="15.0" customHeight="1">
      <c r="B1122" s="54">
        <v>1228.0</v>
      </c>
      <c r="C1122" s="8" t="s">
        <v>8351</v>
      </c>
      <c r="D1122" s="8" t="s">
        <v>820</v>
      </c>
      <c r="E1122" s="8" t="s">
        <v>947</v>
      </c>
      <c r="F1122" s="8" t="s">
        <v>68</v>
      </c>
      <c r="G1122" s="8" t="s">
        <v>1963</v>
      </c>
      <c r="H1122" s="8" t="s">
        <v>947</v>
      </c>
      <c r="I1122" s="8"/>
      <c r="J1122" s="78" t="s">
        <v>5037</v>
      </c>
      <c r="K1122" s="22">
        <v>0.0</v>
      </c>
      <c r="L1122" s="22">
        <f>+SUMIF('حركه المخزن الرئيسي اليوميه'!$F:$F,$H:$H,'حركه المخزن الرئيسي اليوميه'!$H:$H)</f>
        <v>0.0</v>
      </c>
      <c r="M1122" s="22">
        <f>+SUMIF('حركه المخزن الرئيسي اليوميه'!$F:$F,$H:$H,'حركه المخزن الرئيسي اليوميه'!$I:$I)</f>
        <v>0.0</v>
      </c>
      <c r="N1122" s="22">
        <f>+K1122+L1122-M1122</f>
        <v>0.0</v>
      </c>
      <c r="O1122" s="22">
        <f>+N1122</f>
        <v>0.0</v>
      </c>
      <c r="P1122" s="22">
        <f>+N1122-O1122</f>
        <v>0.0</v>
      </c>
      <c r="Q1122" s="57"/>
      <c r="R1122" s="58"/>
    </row>
    <row r="1123" spans="8:8" ht="15.0" customHeight="1">
      <c r="B1123" s="54">
        <v>1229.0</v>
      </c>
      <c r="C1123" s="8" t="s">
        <v>8351</v>
      </c>
      <c r="D1123" s="8" t="s">
        <v>820</v>
      </c>
      <c r="E1123" s="8" t="s">
        <v>945</v>
      </c>
      <c r="F1123" s="8" t="s">
        <v>68</v>
      </c>
      <c r="G1123" s="8" t="s">
        <v>1963</v>
      </c>
      <c r="H1123" s="8" t="s">
        <v>945</v>
      </c>
      <c r="I1123" s="8"/>
      <c r="J1123" s="78" t="s">
        <v>5038</v>
      </c>
      <c r="K1123" s="22">
        <v>0.0</v>
      </c>
      <c r="L1123" s="22">
        <f>+SUMIF('حركه المخزن الرئيسي اليوميه'!$F:$F,$H:$H,'حركه المخزن الرئيسي اليوميه'!$H:$H)</f>
        <v>0.0</v>
      </c>
      <c r="M1123" s="22">
        <f>+SUMIF('حركه المخزن الرئيسي اليوميه'!$F:$F,$H:$H,'حركه المخزن الرئيسي اليوميه'!$I:$I)</f>
        <v>0.0</v>
      </c>
      <c r="N1123" s="22">
        <f>+K1123+L1123-M1123</f>
        <v>0.0</v>
      </c>
      <c r="O1123" s="22">
        <f>+N1123</f>
        <v>0.0</v>
      </c>
      <c r="P1123" s="22">
        <f>+N1123-O1123</f>
        <v>0.0</v>
      </c>
      <c r="Q1123" s="57"/>
      <c r="R1123" s="58"/>
    </row>
    <row r="1124" spans="8:8" ht="15.0" customHeight="1">
      <c r="B1124" s="54">
        <v>1230.0</v>
      </c>
      <c r="C1124" s="8" t="s">
        <v>8351</v>
      </c>
      <c r="D1124" s="8" t="s">
        <v>1013</v>
      </c>
      <c r="E1124" s="8" t="s">
        <v>1565</v>
      </c>
      <c r="F1124" s="8" t="s">
        <v>3430</v>
      </c>
      <c r="G1124" s="8"/>
      <c r="H1124" s="8" t="s">
        <v>1565</v>
      </c>
      <c r="I1124" s="8" t="s">
        <v>767</v>
      </c>
      <c r="J1124" s="78" t="s">
        <v>5039</v>
      </c>
      <c r="K1124" s="22">
        <v>1.0</v>
      </c>
      <c r="L1124" s="22">
        <f>+SUMIF('حركه المخزن الرئيسي اليوميه'!$F:$F,$H:$H,'حركه المخزن الرئيسي اليوميه'!$H:$H)</f>
        <v>0.0</v>
      </c>
      <c r="M1124" s="22">
        <f>+SUMIF('حركه المخزن الرئيسي اليوميه'!$F:$F,$H:$H,'حركه المخزن الرئيسي اليوميه'!$I:$I)</f>
        <v>0.0</v>
      </c>
      <c r="N1124" s="22">
        <f>+K1124+L1124-M1124</f>
        <v>1.0</v>
      </c>
      <c r="O1124" s="22">
        <f>+N1124</f>
        <v>1.0</v>
      </c>
      <c r="P1124" s="22">
        <f>+N1124-O1124</f>
        <v>0.0</v>
      </c>
      <c r="Q1124" s="57"/>
      <c r="R1124" s="58"/>
    </row>
    <row r="1125" spans="8:8" ht="15.0" customHeight="1">
      <c r="B1125" s="54">
        <v>1231.0</v>
      </c>
      <c r="C1125" s="8" t="s">
        <v>8351</v>
      </c>
      <c r="D1125" s="8" t="s">
        <v>1013</v>
      </c>
      <c r="E1125" s="8" t="s">
        <v>1487</v>
      </c>
      <c r="F1125" s="8" t="s">
        <v>68</v>
      </c>
      <c r="G1125" s="8" t="s">
        <v>112</v>
      </c>
      <c r="H1125" s="8" t="s">
        <v>1487</v>
      </c>
      <c r="I1125" s="8"/>
      <c r="J1125" s="78" t="s">
        <v>5040</v>
      </c>
      <c r="K1125" s="22">
        <v>0.0</v>
      </c>
      <c r="L1125" s="22">
        <f>+SUMIF('حركه المخزن الرئيسي اليوميه'!$F:$F,$H:$H,'حركه المخزن الرئيسي اليوميه'!$H:$H)</f>
        <v>0.0</v>
      </c>
      <c r="M1125" s="22">
        <f>+SUMIF('حركه المخزن الرئيسي اليوميه'!$F:$F,$H:$H,'حركه المخزن الرئيسي اليوميه'!$I:$I)</f>
        <v>0.0</v>
      </c>
      <c r="N1125" s="22">
        <f>+K1125+L1125-M1125</f>
        <v>0.0</v>
      </c>
      <c r="O1125" s="22">
        <f>+N1125</f>
        <v>0.0</v>
      </c>
      <c r="P1125" s="22">
        <f>+N1125-O1125</f>
        <v>0.0</v>
      </c>
      <c r="Q1125" s="57"/>
      <c r="R1125" s="58"/>
    </row>
    <row r="1126" spans="8:8" ht="15.0" customHeight="1">
      <c r="B1126" s="54">
        <v>1232.0</v>
      </c>
      <c r="C1126" s="8" t="s">
        <v>8351</v>
      </c>
      <c r="D1126" s="8" t="s">
        <v>1216</v>
      </c>
      <c r="E1126" s="8" t="s">
        <v>1479</v>
      </c>
      <c r="F1126" s="8" t="s">
        <v>68</v>
      </c>
      <c r="G1126" s="8" t="s">
        <v>2463</v>
      </c>
      <c r="H1126" s="8" t="s">
        <v>1479</v>
      </c>
      <c r="I1126" s="8"/>
      <c r="J1126" s="78" t="s">
        <v>5041</v>
      </c>
      <c r="K1126" s="22">
        <v>0.0</v>
      </c>
      <c r="L1126" s="22">
        <f>+SUMIF('حركه المخزن الرئيسي اليوميه'!$F:$F,$H:$H,'حركه المخزن الرئيسي اليوميه'!$H:$H)</f>
        <v>0.0</v>
      </c>
      <c r="M1126" s="22">
        <f>+SUMIF('حركه المخزن الرئيسي اليوميه'!$F:$F,$H:$H,'حركه المخزن الرئيسي اليوميه'!$I:$I)</f>
        <v>0.0</v>
      </c>
      <c r="N1126" s="22">
        <f>+K1126+L1126-M1126</f>
        <v>0.0</v>
      </c>
      <c r="O1126" s="22">
        <f>+N1126</f>
        <v>0.0</v>
      </c>
      <c r="P1126" s="22">
        <f>+N1126-O1126</f>
        <v>0.0</v>
      </c>
      <c r="Q1126" s="57"/>
      <c r="R1126" s="58"/>
    </row>
    <row r="1127" spans="8:8" ht="15.0" customHeight="1">
      <c r="B1127" s="54">
        <v>1233.0</v>
      </c>
      <c r="C1127" s="8" t="s">
        <v>8351</v>
      </c>
      <c r="D1127" s="8" t="s">
        <v>1480</v>
      </c>
      <c r="E1127" s="8" t="s">
        <v>1481</v>
      </c>
      <c r="F1127" s="8" t="s">
        <v>68</v>
      </c>
      <c r="G1127" s="8" t="s">
        <v>1843</v>
      </c>
      <c r="H1127" s="8" t="s">
        <v>1481</v>
      </c>
      <c r="I1127" s="8"/>
      <c r="J1127" s="78" t="s">
        <v>5042</v>
      </c>
      <c r="K1127" s="22">
        <v>0.0</v>
      </c>
      <c r="L1127" s="22">
        <f>+SUMIF('حركه المخزن الرئيسي اليوميه'!$F:$F,$H:$H,'حركه المخزن الرئيسي اليوميه'!$H:$H)</f>
        <v>0.0</v>
      </c>
      <c r="M1127" s="22">
        <f>+SUMIF('حركه المخزن الرئيسي اليوميه'!$F:$F,$H:$H,'حركه المخزن الرئيسي اليوميه'!$I:$I)</f>
        <v>0.0</v>
      </c>
      <c r="N1127" s="22">
        <f>+K1127+L1127-M1127</f>
        <v>0.0</v>
      </c>
      <c r="O1127" s="22">
        <f>+N1127</f>
        <v>0.0</v>
      </c>
      <c r="P1127" s="22">
        <f>+N1127-O1127</f>
        <v>0.0</v>
      </c>
      <c r="Q1127" s="57"/>
      <c r="R1127" s="58"/>
    </row>
    <row r="1128" spans="8:8" ht="15.0" customHeight="1">
      <c r="B1128" s="54">
        <v>1234.0</v>
      </c>
      <c r="C1128" s="8" t="s">
        <v>8351</v>
      </c>
      <c r="D1128" s="8" t="s">
        <v>1013</v>
      </c>
      <c r="E1128" s="8" t="s">
        <v>1500</v>
      </c>
      <c r="F1128" s="8" t="s">
        <v>1501</v>
      </c>
      <c r="G1128" s="8"/>
      <c r="H1128" s="8" t="s">
        <v>1500</v>
      </c>
      <c r="I1128" s="8"/>
      <c r="J1128" s="78" t="s">
        <v>5043</v>
      </c>
      <c r="K1128" s="22">
        <v>0.0</v>
      </c>
      <c r="L1128" s="22">
        <f>+SUMIF('حركه المخزن الرئيسي اليوميه'!$F:$F,$H:$H,'حركه المخزن الرئيسي اليوميه'!$H:$H)</f>
        <v>0.0</v>
      </c>
      <c r="M1128" s="22">
        <f>+SUMIF('حركه المخزن الرئيسي اليوميه'!$F:$F,$H:$H,'حركه المخزن الرئيسي اليوميه'!$I:$I)</f>
        <v>0.0</v>
      </c>
      <c r="N1128" s="22">
        <f>+K1128+L1128-M1128</f>
        <v>0.0</v>
      </c>
      <c r="O1128" s="22">
        <f>+N1128</f>
        <v>0.0</v>
      </c>
      <c r="P1128" s="22">
        <f>+N1128-O1128</f>
        <v>0.0</v>
      </c>
      <c r="Q1128" s="57"/>
      <c r="R1128" s="58"/>
    </row>
    <row r="1129" spans="8:8" ht="15.0" customHeight="1">
      <c r="B1129" s="54">
        <v>1235.0</v>
      </c>
      <c r="C1129" s="8" t="s">
        <v>8351</v>
      </c>
      <c r="D1129" s="8" t="s">
        <v>1460</v>
      </c>
      <c r="E1129" s="8" t="s">
        <v>1466</v>
      </c>
      <c r="F1129" s="8" t="s">
        <v>68</v>
      </c>
      <c r="G1129" s="8"/>
      <c r="H1129" s="8" t="s">
        <v>1466</v>
      </c>
      <c r="I1129" s="8"/>
      <c r="J1129" s="78" t="s">
        <v>5044</v>
      </c>
      <c r="K1129" s="22">
        <v>0.0</v>
      </c>
      <c r="L1129" s="22">
        <f>+SUMIF('حركه المخزن الرئيسي اليوميه'!$F:$F,$H:$H,'حركه المخزن الرئيسي اليوميه'!$H:$H)</f>
        <v>0.0</v>
      </c>
      <c r="M1129" s="22">
        <f>+SUMIF('حركه المخزن الرئيسي اليوميه'!$F:$F,$H:$H,'حركه المخزن الرئيسي اليوميه'!$I:$I)</f>
        <v>0.0</v>
      </c>
      <c r="N1129" s="22">
        <f>+K1129+L1129-M1129</f>
        <v>0.0</v>
      </c>
      <c r="O1129" s="22">
        <f>+N1129</f>
        <v>0.0</v>
      </c>
      <c r="P1129" s="22">
        <f>+N1129-O1129</f>
        <v>0.0</v>
      </c>
      <c r="Q1129" s="57"/>
      <c r="R1129" s="58"/>
    </row>
    <row r="1130" spans="8:8" ht="15.0" customHeight="1">
      <c r="B1130" s="54">
        <v>1236.0</v>
      </c>
      <c r="C1130" s="8" t="s">
        <v>8351</v>
      </c>
      <c r="D1130" s="8" t="s">
        <v>1460</v>
      </c>
      <c r="E1130" s="8" t="s">
        <v>1467</v>
      </c>
      <c r="F1130" s="8" t="s">
        <v>68</v>
      </c>
      <c r="G1130" s="8"/>
      <c r="H1130" s="8" t="s">
        <v>1467</v>
      </c>
      <c r="I1130" s="8"/>
      <c r="J1130" s="78" t="s">
        <v>5045</v>
      </c>
      <c r="K1130" s="22">
        <v>0.0</v>
      </c>
      <c r="L1130" s="22">
        <f>+SUMIF('حركه المخزن الرئيسي اليوميه'!$F:$F,$H:$H,'حركه المخزن الرئيسي اليوميه'!$H:$H)</f>
        <v>0.0</v>
      </c>
      <c r="M1130" s="22">
        <f>+SUMIF('حركه المخزن الرئيسي اليوميه'!$F:$F,$H:$H,'حركه المخزن الرئيسي اليوميه'!$I:$I)</f>
        <v>0.0</v>
      </c>
      <c r="N1130" s="22">
        <f>+K1130+L1130-M1130</f>
        <v>0.0</v>
      </c>
      <c r="O1130" s="22">
        <f>+N1130</f>
        <v>0.0</v>
      </c>
      <c r="P1130" s="22">
        <f>+N1130-O1130</f>
        <v>0.0</v>
      </c>
      <c r="Q1130" s="57"/>
      <c r="R1130" s="58"/>
    </row>
    <row r="1131" spans="8:8" ht="15.0" customHeight="1">
      <c r="B1131" s="54">
        <v>1237.0</v>
      </c>
      <c r="C1131" s="8" t="s">
        <v>8351</v>
      </c>
      <c r="D1131" s="8" t="s">
        <v>1013</v>
      </c>
      <c r="E1131" s="8" t="s">
        <v>1552</v>
      </c>
      <c r="F1131" s="8" t="s">
        <v>1501</v>
      </c>
      <c r="G1131" s="8"/>
      <c r="H1131" s="8" t="s">
        <v>1552</v>
      </c>
      <c r="I1131" s="8"/>
      <c r="J1131" s="78" t="s">
        <v>5046</v>
      </c>
      <c r="K1131" s="22">
        <v>0.0</v>
      </c>
      <c r="L1131" s="22">
        <f>+SUMIF('حركه المخزن الرئيسي اليوميه'!$F:$F,$H:$H,'حركه المخزن الرئيسي اليوميه'!$H:$H)</f>
        <v>0.0</v>
      </c>
      <c r="M1131" s="22">
        <f>+SUMIF('حركه المخزن الرئيسي اليوميه'!$F:$F,$H:$H,'حركه المخزن الرئيسي اليوميه'!$I:$I)</f>
        <v>0.0</v>
      </c>
      <c r="N1131" s="22">
        <f>+K1131+L1131-M1131</f>
        <v>0.0</v>
      </c>
      <c r="O1131" s="22">
        <f>+N1131</f>
        <v>0.0</v>
      </c>
      <c r="P1131" s="22">
        <f>+N1131-O1131</f>
        <v>0.0</v>
      </c>
      <c r="Q1131" s="57"/>
      <c r="R1131" s="58"/>
    </row>
    <row r="1132" spans="8:8" ht="15.0" customHeight="1">
      <c r="B1132" s="54">
        <v>1238.0</v>
      </c>
      <c r="C1132" s="8" t="s">
        <v>8351</v>
      </c>
      <c r="D1132" s="8" t="s">
        <v>1013</v>
      </c>
      <c r="E1132" s="8" t="s">
        <v>1511</v>
      </c>
      <c r="F1132" s="8" t="s">
        <v>1501</v>
      </c>
      <c r="G1132" s="8"/>
      <c r="H1132" s="8" t="s">
        <v>1511</v>
      </c>
      <c r="I1132" s="8"/>
      <c r="J1132" s="78" t="s">
        <v>5047</v>
      </c>
      <c r="K1132" s="22">
        <v>0.0</v>
      </c>
      <c r="L1132" s="22">
        <f>+SUMIF('حركه المخزن الرئيسي اليوميه'!$F:$F,$H:$H,'حركه المخزن الرئيسي اليوميه'!$H:$H)</f>
        <v>0.0</v>
      </c>
      <c r="M1132" s="22">
        <f>+SUMIF('حركه المخزن الرئيسي اليوميه'!$F:$F,$H:$H,'حركه المخزن الرئيسي اليوميه'!$I:$I)</f>
        <v>0.0</v>
      </c>
      <c r="N1132" s="22">
        <f>+K1132+L1132-M1132</f>
        <v>0.0</v>
      </c>
      <c r="O1132" s="22">
        <f>+N1132</f>
        <v>0.0</v>
      </c>
      <c r="P1132" s="22">
        <f>+N1132-O1132</f>
        <v>0.0</v>
      </c>
      <c r="Q1132" s="57"/>
      <c r="R1132" s="58"/>
    </row>
    <row r="1133" spans="8:8" ht="15.0" customHeight="1">
      <c r="B1133" s="54">
        <v>1239.0</v>
      </c>
      <c r="C1133" s="8" t="s">
        <v>8351</v>
      </c>
      <c r="D1133" s="8" t="s">
        <v>828</v>
      </c>
      <c r="E1133" s="8" t="s">
        <v>3642</v>
      </c>
      <c r="F1133" s="8" t="s">
        <v>1501</v>
      </c>
      <c r="G1133" s="8"/>
      <c r="H1133" s="8" t="s">
        <v>3642</v>
      </c>
      <c r="I1133" s="8" t="s">
        <v>818</v>
      </c>
      <c r="J1133" s="78" t="s">
        <v>5048</v>
      </c>
      <c r="K1133" s="22">
        <v>1.0</v>
      </c>
      <c r="L1133" s="22">
        <f>+SUMIF('حركه المخزن الرئيسي اليوميه'!$F:$F,$H:$H,'حركه المخزن الرئيسي اليوميه'!$H:$H)</f>
        <v>0.0</v>
      </c>
      <c r="M1133" s="22">
        <f>+SUMIF('حركه المخزن الرئيسي اليوميه'!$F:$F,$H:$H,'حركه المخزن الرئيسي اليوميه'!$I:$I)</f>
        <v>0.0</v>
      </c>
      <c r="N1133" s="22">
        <f>+K1133+L1133-M1133</f>
        <v>1.0</v>
      </c>
      <c r="O1133" s="22">
        <f>+N1133</f>
        <v>1.0</v>
      </c>
      <c r="P1133" s="22">
        <f>+N1133-O1133</f>
        <v>0.0</v>
      </c>
      <c r="Q1133" s="57"/>
      <c r="R1133" s="58"/>
    </row>
    <row r="1134" spans="8:8" ht="15.0" customHeight="1">
      <c r="B1134" s="54">
        <v>1240.0</v>
      </c>
      <c r="C1134" s="8" t="s">
        <v>8351</v>
      </c>
      <c r="D1134" s="8" t="s">
        <v>820</v>
      </c>
      <c r="E1134" s="8" t="s">
        <v>1200</v>
      </c>
      <c r="F1134" s="8" t="s">
        <v>1198</v>
      </c>
      <c r="G1134" s="8"/>
      <c r="H1134" s="8" t="s">
        <v>1200</v>
      </c>
      <c r="I1134" s="8"/>
      <c r="J1134" s="78" t="s">
        <v>5049</v>
      </c>
      <c r="K1134" s="22">
        <v>0.0</v>
      </c>
      <c r="L1134" s="22">
        <f>+SUMIF('حركه المخزن الرئيسي اليوميه'!$F:$F,$H:$H,'حركه المخزن الرئيسي اليوميه'!$H:$H)</f>
        <v>0.0</v>
      </c>
      <c r="M1134" s="22">
        <f>+SUMIF('حركه المخزن الرئيسي اليوميه'!$F:$F,$H:$H,'حركه المخزن الرئيسي اليوميه'!$I:$I)</f>
        <v>0.0</v>
      </c>
      <c r="N1134" s="22">
        <f>+K1134+L1134-M1134</f>
        <v>0.0</v>
      </c>
      <c r="O1134" s="22">
        <f>+N1134</f>
        <v>0.0</v>
      </c>
      <c r="P1134" s="22">
        <f>+N1134-O1134</f>
        <v>0.0</v>
      </c>
      <c r="Q1134" s="57"/>
      <c r="R1134" s="58"/>
    </row>
    <row r="1135" spans="8:8" ht="15.0" customHeight="1">
      <c r="B1135" s="54">
        <v>1241.0</v>
      </c>
      <c r="C1135" s="8" t="s">
        <v>8351</v>
      </c>
      <c r="D1135" s="8" t="s">
        <v>1013</v>
      </c>
      <c r="E1135" s="8" t="s">
        <v>1593</v>
      </c>
      <c r="F1135" s="8" t="s">
        <v>1501</v>
      </c>
      <c r="G1135" s="8"/>
      <c r="H1135" s="8" t="s">
        <v>1593</v>
      </c>
      <c r="I1135" s="8"/>
      <c r="J1135" s="78" t="s">
        <v>5050</v>
      </c>
      <c r="K1135" s="22">
        <v>0.0</v>
      </c>
      <c r="L1135" s="22">
        <f>+SUMIF('حركه المخزن الرئيسي اليوميه'!$F:$F,$H:$H,'حركه المخزن الرئيسي اليوميه'!$H:$H)</f>
        <v>0.0</v>
      </c>
      <c r="M1135" s="22">
        <f>+SUMIF('حركه المخزن الرئيسي اليوميه'!$F:$F,$H:$H,'حركه المخزن الرئيسي اليوميه'!$I:$I)</f>
        <v>0.0</v>
      </c>
      <c r="N1135" s="22">
        <f>+K1135+L1135-M1135</f>
        <v>0.0</v>
      </c>
      <c r="O1135" s="22">
        <f>+N1135</f>
        <v>0.0</v>
      </c>
      <c r="P1135" s="22">
        <f>+N1135-O1135</f>
        <v>0.0</v>
      </c>
      <c r="Q1135" s="57"/>
      <c r="R1135" s="58"/>
    </row>
    <row r="1136" spans="8:8" ht="15.0" customHeight="1">
      <c r="B1136" s="54">
        <v>1242.0</v>
      </c>
      <c r="C1136" s="8"/>
      <c r="D1136" s="8"/>
      <c r="E1136" s="8"/>
      <c r="F1136" s="8"/>
      <c r="G1136" s="8"/>
      <c r="H1136" s="8"/>
      <c r="I1136" s="8"/>
      <c r="J1136" s="78" t="s">
        <v>5051</v>
      </c>
      <c r="K1136" s="22">
        <v>0.0</v>
      </c>
      <c r="L1136" s="22">
        <f>+SUMIF('حركه المخزن الرئيسي اليوميه'!$F:$F,$H:$H,'حركه المخزن الرئيسي اليوميه'!$H:$H)</f>
        <v>0.0</v>
      </c>
      <c r="M1136" s="22">
        <f>+SUMIF('حركه المخزن الرئيسي اليوميه'!$F:$F,$H:$H,'حركه المخزن الرئيسي اليوميه'!$I:$I)</f>
        <v>0.0</v>
      </c>
      <c r="N1136" s="22">
        <f>+K1136+L1136-M1136</f>
        <v>0.0</v>
      </c>
      <c r="O1136" s="22">
        <f>+N1136</f>
        <v>0.0</v>
      </c>
      <c r="P1136" s="22">
        <f>+N1136-O1136</f>
        <v>0.0</v>
      </c>
      <c r="Q1136" s="57"/>
      <c r="R1136" s="58"/>
    </row>
    <row r="1137" spans="8:8" ht="15.0" customHeight="1">
      <c r="B1137" s="54">
        <v>1243.0</v>
      </c>
      <c r="C1137" s="8" t="s">
        <v>8351</v>
      </c>
      <c r="D1137" s="8" t="s">
        <v>1026</v>
      </c>
      <c r="E1137" s="8" t="s">
        <v>1226</v>
      </c>
      <c r="F1137" s="8" t="s">
        <v>873</v>
      </c>
      <c r="G1137" s="8" t="s">
        <v>2149</v>
      </c>
      <c r="H1137" s="8" t="s">
        <v>1226</v>
      </c>
      <c r="I1137" s="8"/>
      <c r="J1137" s="78" t="s">
        <v>5052</v>
      </c>
      <c r="K1137" s="22">
        <v>0.0</v>
      </c>
      <c r="L1137" s="22">
        <f>+SUMIF('حركه المخزن الرئيسي اليوميه'!$F:$F,$H:$H,'حركه المخزن الرئيسي اليوميه'!$H:$H)</f>
        <v>0.0</v>
      </c>
      <c r="M1137" s="22">
        <f>+SUMIF('حركه المخزن الرئيسي اليوميه'!$F:$F,$H:$H,'حركه المخزن الرئيسي اليوميه'!$I:$I)</f>
        <v>0.0</v>
      </c>
      <c r="N1137" s="22">
        <f>+K1137+L1137-M1137</f>
        <v>0.0</v>
      </c>
      <c r="O1137" s="22">
        <f>+N1137</f>
        <v>0.0</v>
      </c>
      <c r="P1137" s="22">
        <f>+N1137-O1137</f>
        <v>0.0</v>
      </c>
      <c r="Q1137" s="57"/>
      <c r="R1137" s="58"/>
    </row>
    <row r="1138" spans="8:8" ht="15.0" customHeight="1">
      <c r="B1138" s="54">
        <v>1244.0</v>
      </c>
      <c r="C1138" s="8" t="s">
        <v>8351</v>
      </c>
      <c r="D1138" s="8" t="s">
        <v>1013</v>
      </c>
      <c r="E1138" s="8" t="s">
        <v>1529</v>
      </c>
      <c r="F1138" s="8" t="s">
        <v>1501</v>
      </c>
      <c r="G1138" s="8"/>
      <c r="H1138" s="8" t="s">
        <v>1529</v>
      </c>
      <c r="I1138" s="8"/>
      <c r="J1138" s="78" t="s">
        <v>5053</v>
      </c>
      <c r="K1138" s="22">
        <v>0.0</v>
      </c>
      <c r="L1138" s="22">
        <f>+SUMIF('حركه المخزن الرئيسي اليوميه'!$F:$F,$H:$H,'حركه المخزن الرئيسي اليوميه'!$H:$H)</f>
        <v>0.0</v>
      </c>
      <c r="M1138" s="22">
        <f>+SUMIF('حركه المخزن الرئيسي اليوميه'!$F:$F,$H:$H,'حركه المخزن الرئيسي اليوميه'!$I:$I)</f>
        <v>0.0</v>
      </c>
      <c r="N1138" s="22">
        <f>+K1138+L1138-M1138</f>
        <v>0.0</v>
      </c>
      <c r="O1138" s="22">
        <f>+N1138</f>
        <v>0.0</v>
      </c>
      <c r="P1138" s="22">
        <f>+N1138-O1138</f>
        <v>0.0</v>
      </c>
      <c r="Q1138" s="57"/>
      <c r="R1138" s="58"/>
    </row>
    <row r="1139" spans="8:8" ht="15.0" customHeight="1">
      <c r="B1139" s="54">
        <v>1245.0</v>
      </c>
      <c r="C1139" s="8" t="s">
        <v>8351</v>
      </c>
      <c r="D1139" s="8" t="s">
        <v>1013</v>
      </c>
      <c r="E1139" s="8" t="s">
        <v>1566</v>
      </c>
      <c r="F1139" s="8" t="s">
        <v>1044</v>
      </c>
      <c r="G1139" s="8"/>
      <c r="H1139" s="8" t="s">
        <v>2010</v>
      </c>
      <c r="I1139" s="8"/>
      <c r="J1139" s="78" t="s">
        <v>5054</v>
      </c>
      <c r="K1139" s="22">
        <v>0.0</v>
      </c>
      <c r="L1139" s="22">
        <f>+SUMIF('حركه المخزن الرئيسي اليوميه'!$F:$F,$H:$H,'حركه المخزن الرئيسي اليوميه'!$H:$H)</f>
        <v>0.0</v>
      </c>
      <c r="M1139" s="22">
        <f>+SUMIF('حركه المخزن الرئيسي اليوميه'!$F:$F,$H:$H,'حركه المخزن الرئيسي اليوميه'!$I:$I)</f>
        <v>0.0</v>
      </c>
      <c r="N1139" s="22">
        <f>+K1139+L1139-M1139</f>
        <v>0.0</v>
      </c>
      <c r="O1139" s="22">
        <f>+N1139</f>
        <v>0.0</v>
      </c>
      <c r="P1139" s="22">
        <f>+N1139-O1139</f>
        <v>0.0</v>
      </c>
      <c r="Q1139" s="57"/>
      <c r="R1139" s="58"/>
    </row>
    <row r="1140" spans="8:8" ht="15.0" customHeight="1">
      <c r="B1140" s="54">
        <v>1246.0</v>
      </c>
      <c r="C1140" s="8"/>
      <c r="D1140" s="8"/>
      <c r="E1140" s="8"/>
      <c r="F1140" s="8"/>
      <c r="G1140" s="8"/>
      <c r="H1140" s="8"/>
      <c r="I1140" s="8"/>
      <c r="J1140" s="78" t="s">
        <v>5055</v>
      </c>
      <c r="K1140" s="22">
        <v>0.0</v>
      </c>
      <c r="L1140" s="22">
        <f>+SUMIF('حركه المخزن الرئيسي اليوميه'!$F:$F,$H:$H,'حركه المخزن الرئيسي اليوميه'!$H:$H)</f>
        <v>0.0</v>
      </c>
      <c r="M1140" s="22">
        <f>+SUMIF('حركه المخزن الرئيسي اليوميه'!$F:$F,$H:$H,'حركه المخزن الرئيسي اليوميه'!$I:$I)</f>
        <v>0.0</v>
      </c>
      <c r="N1140" s="22">
        <f>+K1140+L1140-M1140</f>
        <v>0.0</v>
      </c>
      <c r="O1140" s="22">
        <f>+N1140</f>
        <v>0.0</v>
      </c>
      <c r="P1140" s="22">
        <f>+N1140-O1140</f>
        <v>0.0</v>
      </c>
      <c r="Q1140" s="57"/>
      <c r="R1140" s="58"/>
    </row>
    <row r="1141" spans="8:8" ht="15.0" customHeight="1">
      <c r="B1141" s="54">
        <v>1247.0</v>
      </c>
      <c r="C1141" s="8" t="s">
        <v>8351</v>
      </c>
      <c r="D1141" s="8" t="s">
        <v>1013</v>
      </c>
      <c r="E1141" s="8" t="s">
        <v>1518</v>
      </c>
      <c r="F1141" s="8" t="s">
        <v>1501</v>
      </c>
      <c r="G1141" s="8"/>
      <c r="H1141" s="8" t="s">
        <v>1518</v>
      </c>
      <c r="I1141" s="8"/>
      <c r="J1141" s="78" t="s">
        <v>5056</v>
      </c>
      <c r="K1141" s="22">
        <v>0.0</v>
      </c>
      <c r="L1141" s="22">
        <f>+SUMIF('حركه المخزن الرئيسي اليوميه'!$F:$F,$H:$H,'حركه المخزن الرئيسي اليوميه'!$H:$H)</f>
        <v>0.0</v>
      </c>
      <c r="M1141" s="22">
        <f>+SUMIF('حركه المخزن الرئيسي اليوميه'!$F:$F,$H:$H,'حركه المخزن الرئيسي اليوميه'!$I:$I)</f>
        <v>0.0</v>
      </c>
      <c r="N1141" s="22">
        <f>+K1141+L1141-M1141</f>
        <v>0.0</v>
      </c>
      <c r="O1141" s="22">
        <f>+N1141</f>
        <v>0.0</v>
      </c>
      <c r="P1141" s="22">
        <f>+N1141-O1141</f>
        <v>0.0</v>
      </c>
      <c r="Q1141" s="57"/>
      <c r="R1141" s="58"/>
    </row>
    <row r="1142" spans="8:8" ht="15.0" customHeight="1">
      <c r="B1142" s="54">
        <v>1248.0</v>
      </c>
      <c r="C1142" s="8" t="s">
        <v>8351</v>
      </c>
      <c r="D1142" s="8" t="s">
        <v>1013</v>
      </c>
      <c r="E1142" s="8" t="s">
        <v>1587</v>
      </c>
      <c r="F1142" s="8" t="s">
        <v>1501</v>
      </c>
      <c r="G1142" s="8"/>
      <c r="H1142" s="8" t="s">
        <v>1587</v>
      </c>
      <c r="I1142" s="8"/>
      <c r="J1142" s="78" t="s">
        <v>5057</v>
      </c>
      <c r="K1142" s="22">
        <v>0.0</v>
      </c>
      <c r="L1142" s="22">
        <f>+SUMIF('حركه المخزن الرئيسي اليوميه'!$F:$F,$H:$H,'حركه المخزن الرئيسي اليوميه'!$H:$H)</f>
        <v>0.0</v>
      </c>
      <c r="M1142" s="22">
        <f>+SUMIF('حركه المخزن الرئيسي اليوميه'!$F:$F,$H:$H,'حركه المخزن الرئيسي اليوميه'!$I:$I)</f>
        <v>0.0</v>
      </c>
      <c r="N1142" s="22">
        <f>+K1142+L1142-M1142</f>
        <v>0.0</v>
      </c>
      <c r="O1142" s="22">
        <f>+N1142</f>
        <v>0.0</v>
      </c>
      <c r="P1142" s="22">
        <f>+N1142-O1142</f>
        <v>0.0</v>
      </c>
      <c r="Q1142" s="57"/>
      <c r="R1142" s="58"/>
    </row>
    <row r="1143" spans="8:8" ht="15.0" customHeight="1">
      <c r="B1143" s="54">
        <v>1249.0</v>
      </c>
      <c r="C1143" s="8" t="s">
        <v>8351</v>
      </c>
      <c r="D1143" s="8" t="s">
        <v>1013</v>
      </c>
      <c r="E1143" s="8" t="s">
        <v>1571</v>
      </c>
      <c r="F1143" s="8" t="s">
        <v>1501</v>
      </c>
      <c r="G1143" s="8"/>
      <c r="H1143" s="8" t="s">
        <v>1571</v>
      </c>
      <c r="I1143" s="8"/>
      <c r="J1143" s="78" t="s">
        <v>5058</v>
      </c>
      <c r="K1143" s="22">
        <v>0.0</v>
      </c>
      <c r="L1143" s="22">
        <f>+SUMIF('حركه المخزن الرئيسي اليوميه'!$F:$F,$H:$H,'حركه المخزن الرئيسي اليوميه'!$H:$H)</f>
        <v>0.0</v>
      </c>
      <c r="M1143" s="22">
        <f>+SUMIF('حركه المخزن الرئيسي اليوميه'!$F:$F,$H:$H,'حركه المخزن الرئيسي اليوميه'!$I:$I)</f>
        <v>0.0</v>
      </c>
      <c r="N1143" s="22">
        <f>+K1143+L1143-M1143</f>
        <v>0.0</v>
      </c>
      <c r="O1143" s="22">
        <f>+N1143</f>
        <v>0.0</v>
      </c>
      <c r="P1143" s="22">
        <f>+N1143-O1143</f>
        <v>0.0</v>
      </c>
      <c r="Q1143" s="57"/>
      <c r="R1143" s="58"/>
    </row>
    <row r="1144" spans="8:8" ht="15.0" customHeight="1">
      <c r="B1144" s="54">
        <v>1250.0</v>
      </c>
      <c r="C1144" s="8" t="s">
        <v>8351</v>
      </c>
      <c r="D1144" s="8" t="s">
        <v>1019</v>
      </c>
      <c r="E1144" s="8" t="s">
        <v>1499</v>
      </c>
      <c r="F1144" s="8" t="s">
        <v>1541</v>
      </c>
      <c r="G1144" s="8" t="s">
        <v>2469</v>
      </c>
      <c r="H1144" s="8" t="s">
        <v>1499</v>
      </c>
      <c r="I1144" s="8"/>
      <c r="J1144" s="78" t="s">
        <v>5059</v>
      </c>
      <c r="K1144" s="22">
        <v>0.0</v>
      </c>
      <c r="L1144" s="22">
        <f>+SUMIF('حركه المخزن الرئيسي اليوميه'!$F:$F,$H:$H,'حركه المخزن الرئيسي اليوميه'!$H:$H)</f>
        <v>0.0</v>
      </c>
      <c r="M1144" s="22">
        <f>+SUMIF('حركه المخزن الرئيسي اليوميه'!$F:$F,$H:$H,'حركه المخزن الرئيسي اليوميه'!$I:$I)</f>
        <v>0.0</v>
      </c>
      <c r="N1144" s="22">
        <f>+K1144+L1144-M1144</f>
        <v>0.0</v>
      </c>
      <c r="O1144" s="22">
        <f>+N1144</f>
        <v>0.0</v>
      </c>
      <c r="P1144" s="22">
        <f>+N1144-O1144</f>
        <v>0.0</v>
      </c>
      <c r="Q1144" s="57"/>
      <c r="R1144" s="58"/>
    </row>
    <row r="1145" spans="8:8" ht="15.0" customHeight="1">
      <c r="B1145" s="54">
        <v>1251.0</v>
      </c>
      <c r="C1145" s="8" t="s">
        <v>8351</v>
      </c>
      <c r="D1145" s="8" t="s">
        <v>1013</v>
      </c>
      <c r="E1145" s="8" t="s">
        <v>1584</v>
      </c>
      <c r="F1145" s="8" t="s">
        <v>1501</v>
      </c>
      <c r="G1145" s="8" t="s">
        <v>2294</v>
      </c>
      <c r="H1145" s="8" t="s">
        <v>1584</v>
      </c>
      <c r="I1145" s="8"/>
      <c r="J1145" s="78" t="s">
        <v>5060</v>
      </c>
      <c r="K1145" s="22">
        <v>0.0</v>
      </c>
      <c r="L1145" s="22">
        <f>+SUMIF('حركه المخزن الرئيسي اليوميه'!$F:$F,$H:$H,'حركه المخزن الرئيسي اليوميه'!$H:$H)</f>
        <v>0.0</v>
      </c>
      <c r="M1145" s="22">
        <f>+SUMIF('حركه المخزن الرئيسي اليوميه'!$F:$F,$H:$H,'حركه المخزن الرئيسي اليوميه'!$I:$I)</f>
        <v>0.0</v>
      </c>
      <c r="N1145" s="22">
        <f>+K1145+L1145-M1145</f>
        <v>0.0</v>
      </c>
      <c r="O1145" s="22">
        <f>+N1145</f>
        <v>0.0</v>
      </c>
      <c r="P1145" s="22">
        <f>+N1145-O1145</f>
        <v>0.0</v>
      </c>
      <c r="Q1145" s="57"/>
      <c r="R1145" s="58"/>
    </row>
    <row r="1146" spans="8:8" ht="15.0" customHeight="1">
      <c r="B1146" s="54">
        <v>1252.0</v>
      </c>
      <c r="C1146" s="8" t="s">
        <v>8351</v>
      </c>
      <c r="D1146" s="8" t="s">
        <v>1013</v>
      </c>
      <c r="E1146" s="8" t="s">
        <v>3860</v>
      </c>
      <c r="F1146" s="8" t="s">
        <v>68</v>
      </c>
      <c r="G1146" s="8"/>
      <c r="H1146" s="8" t="s">
        <v>3860</v>
      </c>
      <c r="I1146" s="8"/>
      <c r="J1146" s="78" t="s">
        <v>5061</v>
      </c>
      <c r="K1146" s="22">
        <v>0.0</v>
      </c>
      <c r="L1146" s="22">
        <f>+SUMIF('حركه المخزن الرئيسي اليوميه'!$F:$F,$H:$H,'حركه المخزن الرئيسي اليوميه'!$H:$H)</f>
        <v>0.0</v>
      </c>
      <c r="M1146" s="22">
        <f>+SUMIF('حركه المخزن الرئيسي اليوميه'!$F:$F,$H:$H,'حركه المخزن الرئيسي اليوميه'!$I:$I)</f>
        <v>0.0</v>
      </c>
      <c r="N1146" s="22">
        <f>+K1146+L1146-M1146</f>
        <v>0.0</v>
      </c>
      <c r="O1146" s="22">
        <f>+N1146</f>
        <v>0.0</v>
      </c>
      <c r="P1146" s="22">
        <f>+N1146-O1146</f>
        <v>0.0</v>
      </c>
      <c r="Q1146" s="57"/>
      <c r="R1146" s="58"/>
    </row>
    <row r="1147" spans="8:8" ht="15.0" customHeight="1">
      <c r="B1147" s="54">
        <v>1253.0</v>
      </c>
      <c r="C1147" s="8" t="s">
        <v>8351</v>
      </c>
      <c r="D1147" s="8" t="s">
        <v>820</v>
      </c>
      <c r="E1147" s="8" t="s">
        <v>1151</v>
      </c>
      <c r="F1147" s="8" t="s">
        <v>92</v>
      </c>
      <c r="G1147" s="8" t="s">
        <v>2212</v>
      </c>
      <c r="H1147" s="8" t="s">
        <v>1151</v>
      </c>
      <c r="I1147" s="8"/>
      <c r="J1147" s="78" t="s">
        <v>5062</v>
      </c>
      <c r="K1147" s="22">
        <v>0.0</v>
      </c>
      <c r="L1147" s="22">
        <f>+SUMIF('حركه المخزن الرئيسي اليوميه'!$F:$F,$H:$H,'حركه المخزن الرئيسي اليوميه'!$H:$H)</f>
        <v>0.0</v>
      </c>
      <c r="M1147" s="22">
        <f>+SUMIF('حركه المخزن الرئيسي اليوميه'!$F:$F,$H:$H,'حركه المخزن الرئيسي اليوميه'!$I:$I)</f>
        <v>0.0</v>
      </c>
      <c r="N1147" s="22">
        <f>+K1147+L1147-M1147</f>
        <v>0.0</v>
      </c>
      <c r="O1147" s="22">
        <f>+N1147</f>
        <v>0.0</v>
      </c>
      <c r="P1147" s="22">
        <f>+N1147-O1147</f>
        <v>0.0</v>
      </c>
      <c r="Q1147" s="57"/>
      <c r="R1147" s="58"/>
    </row>
    <row r="1148" spans="8:8" ht="15.0" customHeight="1">
      <c r="B1148" s="54">
        <v>1254.0</v>
      </c>
      <c r="C1148" s="8"/>
      <c r="D1148" s="8"/>
      <c r="E1148" s="8"/>
      <c r="F1148" s="8"/>
      <c r="G1148" s="8"/>
      <c r="H1148" s="8"/>
      <c r="I1148" s="8"/>
      <c r="J1148" s="78" t="s">
        <v>5063</v>
      </c>
      <c r="K1148" s="22">
        <v>0.0</v>
      </c>
      <c r="L1148" s="22">
        <f>+SUMIF('حركه المخزن الرئيسي اليوميه'!$F:$F,$H:$H,'حركه المخزن الرئيسي اليوميه'!$H:$H)</f>
        <v>0.0</v>
      </c>
      <c r="M1148" s="22">
        <f>+SUMIF('حركه المخزن الرئيسي اليوميه'!$F:$F,$H:$H,'حركه المخزن الرئيسي اليوميه'!$I:$I)</f>
        <v>0.0</v>
      </c>
      <c r="N1148" s="22">
        <f>+K1148+L1148-M1148</f>
        <v>0.0</v>
      </c>
      <c r="O1148" s="22">
        <f>+N1148</f>
        <v>0.0</v>
      </c>
      <c r="P1148" s="22">
        <f>+N1148-O1148</f>
        <v>0.0</v>
      </c>
      <c r="Q1148" s="57"/>
      <c r="R1148" s="58"/>
    </row>
    <row r="1149" spans="8:8" ht="15.0" customHeight="1">
      <c r="B1149" s="54">
        <v>1255.0</v>
      </c>
      <c r="C1149" s="8" t="s">
        <v>8351</v>
      </c>
      <c r="D1149" s="8" t="s">
        <v>1016</v>
      </c>
      <c r="E1149" s="8" t="s">
        <v>2009</v>
      </c>
      <c r="F1149" s="8"/>
      <c r="G1149" s="8" t="s">
        <v>2008</v>
      </c>
      <c r="H1149" s="8" t="s">
        <v>2009</v>
      </c>
      <c r="I1149" s="8"/>
      <c r="J1149" s="78" t="s">
        <v>5064</v>
      </c>
      <c r="K1149" s="22">
        <v>0.0</v>
      </c>
      <c r="L1149" s="22">
        <f>+SUMIF('حركه المخزن الرئيسي اليوميه'!$F:$F,$H:$H,'حركه المخزن الرئيسي اليوميه'!$H:$H)</f>
        <v>0.0</v>
      </c>
      <c r="M1149" s="22">
        <f>+SUMIF('حركه المخزن الرئيسي اليوميه'!$F:$F,$H:$H,'حركه المخزن الرئيسي اليوميه'!$I:$I)</f>
        <v>0.0</v>
      </c>
      <c r="N1149" s="22">
        <f>+K1149+L1149-M1149</f>
        <v>0.0</v>
      </c>
      <c r="O1149" s="22">
        <f>+N1149</f>
        <v>0.0</v>
      </c>
      <c r="P1149" s="22">
        <f>+N1149-O1149</f>
        <v>0.0</v>
      </c>
      <c r="Q1149" s="57"/>
      <c r="R1149" s="58"/>
    </row>
    <row r="1150" spans="8:8" ht="15.0" customHeight="1">
      <c r="B1150" s="54">
        <v>1256.0</v>
      </c>
      <c r="C1150" s="8" t="s">
        <v>8351</v>
      </c>
      <c r="D1150" s="8" t="s">
        <v>1013</v>
      </c>
      <c r="E1150" s="8" t="s">
        <v>1609</v>
      </c>
      <c r="F1150" s="8" t="s">
        <v>1501</v>
      </c>
      <c r="G1150" s="8"/>
      <c r="H1150" s="8" t="s">
        <v>1609</v>
      </c>
      <c r="I1150" s="8"/>
      <c r="J1150" s="78" t="s">
        <v>5065</v>
      </c>
      <c r="K1150" s="22">
        <v>0.0</v>
      </c>
      <c r="L1150" s="22">
        <f>+SUMIF('حركه المخزن الرئيسي اليوميه'!$F:$F,$H:$H,'حركه المخزن الرئيسي اليوميه'!$H:$H)</f>
        <v>0.0</v>
      </c>
      <c r="M1150" s="22">
        <f>+SUMIF('حركه المخزن الرئيسي اليوميه'!$F:$F,$H:$H,'حركه المخزن الرئيسي اليوميه'!$I:$I)</f>
        <v>0.0</v>
      </c>
      <c r="N1150" s="22">
        <f>+K1150+L1150-M1150</f>
        <v>0.0</v>
      </c>
      <c r="O1150" s="22">
        <f>+N1150</f>
        <v>0.0</v>
      </c>
      <c r="P1150" s="22">
        <f>+N1150-O1150</f>
        <v>0.0</v>
      </c>
      <c r="Q1150" s="57"/>
      <c r="R1150" s="58"/>
    </row>
    <row r="1151" spans="8:8" ht="15.0" customHeight="1">
      <c r="B1151" s="54">
        <v>1257.0</v>
      </c>
      <c r="C1151" s="8" t="s">
        <v>8351</v>
      </c>
      <c r="D1151" s="8" t="s">
        <v>1013</v>
      </c>
      <c r="E1151" s="8" t="s">
        <v>2017</v>
      </c>
      <c r="F1151" s="8"/>
      <c r="G1151" s="8"/>
      <c r="H1151" s="8" t="s">
        <v>2017</v>
      </c>
      <c r="I1151" s="8"/>
      <c r="J1151" s="78" t="s">
        <v>5066</v>
      </c>
      <c r="K1151" s="22">
        <v>0.0</v>
      </c>
      <c r="L1151" s="22">
        <f>+SUMIF('حركه المخزن الرئيسي اليوميه'!$F:$F,$H:$H,'حركه المخزن الرئيسي اليوميه'!$H:$H)</f>
        <v>0.0</v>
      </c>
      <c r="M1151" s="22">
        <f>+SUMIF('حركه المخزن الرئيسي اليوميه'!$F:$F,$H:$H,'حركه المخزن الرئيسي اليوميه'!$I:$I)</f>
        <v>0.0</v>
      </c>
      <c r="N1151" s="22">
        <f>+K1151+L1151-M1151</f>
        <v>0.0</v>
      </c>
      <c r="O1151" s="22">
        <f>+N1151</f>
        <v>0.0</v>
      </c>
      <c r="P1151" s="22">
        <f>+N1151-O1151</f>
        <v>0.0</v>
      </c>
      <c r="Q1151" s="57"/>
      <c r="R1151" s="58"/>
    </row>
    <row r="1152" spans="8:8" ht="15.0" customHeight="1">
      <c r="B1152" s="54">
        <v>1258.0</v>
      </c>
      <c r="C1152" s="8" t="s">
        <v>8351</v>
      </c>
      <c r="D1152" s="8" t="s">
        <v>820</v>
      </c>
      <c r="E1152" s="8" t="s">
        <v>1137</v>
      </c>
      <c r="F1152" s="8" t="s">
        <v>68</v>
      </c>
      <c r="G1152" s="8" t="s">
        <v>2203</v>
      </c>
      <c r="H1152" s="8" t="s">
        <v>1137</v>
      </c>
      <c r="I1152" s="8"/>
      <c r="J1152" s="78" t="s">
        <v>5067</v>
      </c>
      <c r="K1152" s="22">
        <v>0.0</v>
      </c>
      <c r="L1152" s="22">
        <f>+SUMIF('حركه المخزن الرئيسي اليوميه'!$F:$F,$H:$H,'حركه المخزن الرئيسي اليوميه'!$H:$H)</f>
        <v>0.0</v>
      </c>
      <c r="M1152" s="22">
        <f>+SUMIF('حركه المخزن الرئيسي اليوميه'!$F:$F,$H:$H,'حركه المخزن الرئيسي اليوميه'!$I:$I)</f>
        <v>0.0</v>
      </c>
      <c r="N1152" s="22">
        <f>+K1152+L1152-M1152</f>
        <v>0.0</v>
      </c>
      <c r="O1152" s="22">
        <f>+N1152</f>
        <v>0.0</v>
      </c>
      <c r="P1152" s="22">
        <f>+N1152-O1152</f>
        <v>0.0</v>
      </c>
      <c r="Q1152" s="57"/>
      <c r="R1152" s="58"/>
    </row>
    <row r="1153" spans="8:8" ht="15.0" customHeight="1">
      <c r="B1153" s="54">
        <v>1259.0</v>
      </c>
      <c r="C1153" s="8" t="s">
        <v>8351</v>
      </c>
      <c r="D1153" s="8" t="s">
        <v>820</v>
      </c>
      <c r="E1153" s="8" t="s">
        <v>1324</v>
      </c>
      <c r="F1153" s="8" t="s">
        <v>68</v>
      </c>
      <c r="G1153" s="8"/>
      <c r="H1153" s="8" t="s">
        <v>1324</v>
      </c>
      <c r="I1153" s="8"/>
      <c r="J1153" s="78" t="s">
        <v>5068</v>
      </c>
      <c r="K1153" s="22">
        <v>0.0</v>
      </c>
      <c r="L1153" s="22">
        <f>+SUMIF('حركه المخزن الرئيسي اليوميه'!$F:$F,$H:$H,'حركه المخزن الرئيسي اليوميه'!$H:$H)</f>
        <v>0.0</v>
      </c>
      <c r="M1153" s="22">
        <f>+SUMIF('حركه المخزن الرئيسي اليوميه'!$F:$F,$H:$H,'حركه المخزن الرئيسي اليوميه'!$I:$I)</f>
        <v>0.0</v>
      </c>
      <c r="N1153" s="22">
        <f>+K1153+L1153-M1153</f>
        <v>0.0</v>
      </c>
      <c r="O1153" s="22">
        <f>+N1153</f>
        <v>0.0</v>
      </c>
      <c r="P1153" s="22">
        <f>+N1153-O1153</f>
        <v>0.0</v>
      </c>
      <c r="Q1153" s="57"/>
      <c r="R1153" s="58"/>
    </row>
    <row r="1154" spans="8:8" ht="15.0" customHeight="1">
      <c r="B1154" s="54">
        <v>1260.0</v>
      </c>
      <c r="C1154" s="8" t="s">
        <v>8351</v>
      </c>
      <c r="D1154" s="8" t="s">
        <v>820</v>
      </c>
      <c r="E1154" s="8" t="s">
        <v>3137</v>
      </c>
      <c r="F1154" s="8" t="s">
        <v>68</v>
      </c>
      <c r="G1154" s="8"/>
      <c r="H1154" s="8" t="s">
        <v>3137</v>
      </c>
      <c r="I1154" s="8" t="s">
        <v>3196</v>
      </c>
      <c r="J1154" s="78" t="s">
        <v>5069</v>
      </c>
      <c r="K1154" s="22">
        <v>1.0</v>
      </c>
      <c r="L1154" s="22">
        <f>+SUMIF('حركه المخزن الرئيسي اليوميه'!$F:$F,$H:$H,'حركه المخزن الرئيسي اليوميه'!$H:$H)</f>
        <v>0.0</v>
      </c>
      <c r="M1154" s="22">
        <f>+SUMIF('حركه المخزن الرئيسي اليوميه'!$F:$F,$H:$H,'حركه المخزن الرئيسي اليوميه'!$I:$I)</f>
        <v>0.0</v>
      </c>
      <c r="N1154" s="22">
        <f>+K1154+L1154-M1154</f>
        <v>1.0</v>
      </c>
      <c r="O1154" s="22">
        <f>+N1154</f>
        <v>1.0</v>
      </c>
      <c r="P1154" s="22">
        <f>+N1154-O1154</f>
        <v>0.0</v>
      </c>
      <c r="Q1154" s="57"/>
      <c r="R1154" s="58"/>
    </row>
    <row r="1155" spans="8:8" ht="15.0" customHeight="1">
      <c r="B1155" s="54">
        <v>1261.0</v>
      </c>
      <c r="C1155" s="8" t="s">
        <v>8351</v>
      </c>
      <c r="D1155" s="8" t="s">
        <v>1013</v>
      </c>
      <c r="E1155" s="8" t="s">
        <v>2499</v>
      </c>
      <c r="F1155" s="8" t="s">
        <v>68</v>
      </c>
      <c r="G1155" s="8"/>
      <c r="H1155" s="8" t="s">
        <v>3671</v>
      </c>
      <c r="I1155" s="8" t="s">
        <v>117</v>
      </c>
      <c r="J1155" s="78" t="s">
        <v>5070</v>
      </c>
      <c r="K1155" s="22">
        <v>0.0</v>
      </c>
      <c r="L1155" s="22">
        <f>+SUMIF('حركه المخزن الرئيسي اليوميه'!$F:$F,$H:$H,'حركه المخزن الرئيسي اليوميه'!$H:$H)</f>
        <v>0.0</v>
      </c>
      <c r="M1155" s="22">
        <f>+SUMIF('حركه المخزن الرئيسي اليوميه'!$F:$F,$H:$H,'حركه المخزن الرئيسي اليوميه'!$I:$I)</f>
        <v>0.0</v>
      </c>
      <c r="N1155" s="22">
        <f>+K1155+L1155-M1155</f>
        <v>0.0</v>
      </c>
      <c r="O1155" s="22">
        <f>+N1155</f>
        <v>0.0</v>
      </c>
      <c r="P1155" s="22">
        <f>+N1155-O1155</f>
        <v>0.0</v>
      </c>
      <c r="Q1155" s="57"/>
      <c r="R1155" s="58"/>
    </row>
    <row r="1156" spans="8:8" ht="15.0" customHeight="1">
      <c r="B1156" s="54">
        <v>1262.0</v>
      </c>
      <c r="C1156" s="8" t="s">
        <v>8351</v>
      </c>
      <c r="D1156" s="8" t="s">
        <v>820</v>
      </c>
      <c r="E1156" s="8" t="s">
        <v>1136</v>
      </c>
      <c r="F1156" s="8" t="s">
        <v>68</v>
      </c>
      <c r="G1156" s="8"/>
      <c r="H1156" s="8" t="s">
        <v>1136</v>
      </c>
      <c r="I1156" s="8"/>
      <c r="J1156" s="78" t="s">
        <v>5071</v>
      </c>
      <c r="K1156" s="22">
        <v>0.0</v>
      </c>
      <c r="L1156" s="22">
        <f>+SUMIF('حركه المخزن الرئيسي اليوميه'!$F:$F,$H:$H,'حركه المخزن الرئيسي اليوميه'!$H:$H)</f>
        <v>0.0</v>
      </c>
      <c r="M1156" s="22">
        <f>+SUMIF('حركه المخزن الرئيسي اليوميه'!$F:$F,$H:$H,'حركه المخزن الرئيسي اليوميه'!$I:$I)</f>
        <v>0.0</v>
      </c>
      <c r="N1156" s="22">
        <f>+K1156+L1156-M1156</f>
        <v>0.0</v>
      </c>
      <c r="O1156" s="22">
        <f>+N1156</f>
        <v>0.0</v>
      </c>
      <c r="P1156" s="22">
        <f>+N1156-O1156</f>
        <v>0.0</v>
      </c>
      <c r="Q1156" s="57"/>
      <c r="R1156" s="58"/>
    </row>
    <row r="1157" spans="8:8" ht="15.0" customHeight="1">
      <c r="B1157" s="54">
        <v>1263.0</v>
      </c>
      <c r="C1157" s="8" t="s">
        <v>8351</v>
      </c>
      <c r="D1157" s="8" t="s">
        <v>820</v>
      </c>
      <c r="E1157" s="8" t="s">
        <v>1201</v>
      </c>
      <c r="F1157" s="8" t="s">
        <v>1199</v>
      </c>
      <c r="G1157" s="8"/>
      <c r="H1157" s="8" t="s">
        <v>1201</v>
      </c>
      <c r="I1157" s="8"/>
      <c r="J1157" s="78" t="s">
        <v>5072</v>
      </c>
      <c r="K1157" s="22">
        <v>0.0</v>
      </c>
      <c r="L1157" s="22">
        <f>+SUMIF('حركه المخزن الرئيسي اليوميه'!$F:$F,$H:$H,'حركه المخزن الرئيسي اليوميه'!$H:$H)</f>
        <v>0.0</v>
      </c>
      <c r="M1157" s="22">
        <f>+SUMIF('حركه المخزن الرئيسي اليوميه'!$F:$F,$H:$H,'حركه المخزن الرئيسي اليوميه'!$I:$I)</f>
        <v>0.0</v>
      </c>
      <c r="N1157" s="22">
        <f>+K1157+L1157-M1157</f>
        <v>0.0</v>
      </c>
      <c r="O1157" s="22">
        <f>+N1157</f>
        <v>0.0</v>
      </c>
      <c r="P1157" s="22">
        <f>+N1157-O1157</f>
        <v>0.0</v>
      </c>
      <c r="Q1157" s="57"/>
      <c r="R1157" s="58"/>
    </row>
    <row r="1158" spans="8:8" ht="15.0" customHeight="1">
      <c r="B1158" s="54">
        <v>1264.0</v>
      </c>
      <c r="C1158" s="8" t="s">
        <v>8351</v>
      </c>
      <c r="D1158" s="8" t="s">
        <v>1013</v>
      </c>
      <c r="E1158" s="8" t="s">
        <v>1598</v>
      </c>
      <c r="F1158" s="8" t="s">
        <v>1501</v>
      </c>
      <c r="G1158" s="8"/>
      <c r="H1158" s="8" t="s">
        <v>1598</v>
      </c>
      <c r="I1158" s="8"/>
      <c r="J1158" s="78" t="s">
        <v>5073</v>
      </c>
      <c r="K1158" s="22">
        <v>0.0</v>
      </c>
      <c r="L1158" s="22">
        <f>+SUMIF('حركه المخزن الرئيسي اليوميه'!$F:$F,$H:$H,'حركه المخزن الرئيسي اليوميه'!$H:$H)</f>
        <v>0.0</v>
      </c>
      <c r="M1158" s="22">
        <f>+SUMIF('حركه المخزن الرئيسي اليوميه'!$F:$F,$H:$H,'حركه المخزن الرئيسي اليوميه'!$I:$I)</f>
        <v>0.0</v>
      </c>
      <c r="N1158" s="22">
        <f>+K1158+L1158-M1158</f>
        <v>0.0</v>
      </c>
      <c r="O1158" s="22">
        <f>+N1158</f>
        <v>0.0</v>
      </c>
      <c r="P1158" s="22">
        <f>+N1158-O1158</f>
        <v>0.0</v>
      </c>
      <c r="Q1158" s="57"/>
      <c r="R1158" s="58"/>
    </row>
    <row r="1159" spans="8:8" ht="15.0" customHeight="1">
      <c r="B1159" s="54">
        <v>1265.0</v>
      </c>
      <c r="C1159" s="8" t="s">
        <v>8351</v>
      </c>
      <c r="D1159" s="8" t="s">
        <v>713</v>
      </c>
      <c r="E1159" s="8" t="s">
        <v>803</v>
      </c>
      <c r="F1159" s="8" t="s">
        <v>68</v>
      </c>
      <c r="G1159" s="8" t="s">
        <v>1773</v>
      </c>
      <c r="H1159" s="8" t="s">
        <v>751</v>
      </c>
      <c r="I1159" s="8"/>
      <c r="J1159" s="78" t="s">
        <v>5074</v>
      </c>
      <c r="K1159" s="22">
        <v>0.0</v>
      </c>
      <c r="L1159" s="22">
        <f>+SUMIF('حركه المخزن الرئيسي اليوميه'!$F:$F,$H:$H,'حركه المخزن الرئيسي اليوميه'!$H:$H)</f>
        <v>0.0</v>
      </c>
      <c r="M1159" s="22">
        <f>+SUMIF('حركه المخزن الرئيسي اليوميه'!$F:$F,$H:$H,'حركه المخزن الرئيسي اليوميه'!$I:$I)</f>
        <v>0.0</v>
      </c>
      <c r="N1159" s="22">
        <f>+K1159+L1159-M1159</f>
        <v>0.0</v>
      </c>
      <c r="O1159" s="22">
        <f>+N1159</f>
        <v>0.0</v>
      </c>
      <c r="P1159" s="22">
        <f>+N1159-O1159</f>
        <v>0.0</v>
      </c>
      <c r="Q1159" s="57"/>
      <c r="R1159" s="58"/>
    </row>
    <row r="1160" spans="8:8" ht="15.0" customHeight="1">
      <c r="B1160" s="54">
        <v>1266.0</v>
      </c>
      <c r="C1160" s="8" t="s">
        <v>8351</v>
      </c>
      <c r="D1160" s="8" t="s">
        <v>713</v>
      </c>
      <c r="E1160" s="8" t="s">
        <v>803</v>
      </c>
      <c r="F1160" s="8" t="s">
        <v>68</v>
      </c>
      <c r="G1160" s="8" t="s">
        <v>1773</v>
      </c>
      <c r="H1160" s="8" t="s">
        <v>748</v>
      </c>
      <c r="I1160" s="8"/>
      <c r="J1160" s="78" t="s">
        <v>5075</v>
      </c>
      <c r="K1160" s="22">
        <v>0.0</v>
      </c>
      <c r="L1160" s="22">
        <f>+SUMIF('حركه المخزن الرئيسي اليوميه'!$F:$F,$H:$H,'حركه المخزن الرئيسي اليوميه'!$H:$H)</f>
        <v>0.0</v>
      </c>
      <c r="M1160" s="22">
        <f>+SUMIF('حركه المخزن الرئيسي اليوميه'!$F:$F,$H:$H,'حركه المخزن الرئيسي اليوميه'!$I:$I)</f>
        <v>0.0</v>
      </c>
      <c r="N1160" s="22">
        <f>+K1160+L1160-M1160</f>
        <v>0.0</v>
      </c>
      <c r="O1160" s="22">
        <f>+N1160</f>
        <v>0.0</v>
      </c>
      <c r="P1160" s="22">
        <f>+N1160-O1160</f>
        <v>0.0</v>
      </c>
      <c r="Q1160" s="57"/>
      <c r="R1160" s="58"/>
    </row>
    <row r="1161" spans="8:8" ht="15.0" customHeight="1">
      <c r="B1161" s="54">
        <v>1267.0</v>
      </c>
      <c r="C1161" s="8" t="s">
        <v>8351</v>
      </c>
      <c r="D1161" s="8" t="s">
        <v>713</v>
      </c>
      <c r="E1161" s="8" t="s">
        <v>803</v>
      </c>
      <c r="F1161" s="8" t="s">
        <v>68</v>
      </c>
      <c r="G1161" s="8" t="s">
        <v>1773</v>
      </c>
      <c r="H1161" s="8" t="s">
        <v>753</v>
      </c>
      <c r="I1161" s="8"/>
      <c r="J1161" s="78" t="s">
        <v>5076</v>
      </c>
      <c r="K1161" s="22">
        <v>0.0</v>
      </c>
      <c r="L1161" s="22">
        <f>+SUMIF('حركه المخزن الرئيسي اليوميه'!$F:$F,$H:$H,'حركه المخزن الرئيسي اليوميه'!$H:$H)</f>
        <v>0.0</v>
      </c>
      <c r="M1161" s="22">
        <f>+SUMIF('حركه المخزن الرئيسي اليوميه'!$F:$F,$H:$H,'حركه المخزن الرئيسي اليوميه'!$I:$I)</f>
        <v>0.0</v>
      </c>
      <c r="N1161" s="22">
        <f>+K1161+L1161-M1161</f>
        <v>0.0</v>
      </c>
      <c r="O1161" s="22">
        <f>+N1161</f>
        <v>0.0</v>
      </c>
      <c r="P1161" s="22">
        <f>+N1161-O1161</f>
        <v>0.0</v>
      </c>
      <c r="Q1161" s="57"/>
      <c r="R1161" s="58"/>
    </row>
    <row r="1162" spans="8:8" ht="15.0" customHeight="1">
      <c r="B1162" s="54">
        <v>1268.0</v>
      </c>
      <c r="C1162" s="8" t="s">
        <v>8351</v>
      </c>
      <c r="D1162" s="8" t="s">
        <v>820</v>
      </c>
      <c r="E1162" s="8" t="s">
        <v>1453</v>
      </c>
      <c r="F1162" s="8" t="s">
        <v>68</v>
      </c>
      <c r="G1162" s="8"/>
      <c r="H1162" s="8" t="s">
        <v>1454</v>
      </c>
      <c r="I1162" s="8" t="s">
        <v>326</v>
      </c>
      <c r="J1162" s="78" t="s">
        <v>5077</v>
      </c>
      <c r="K1162" s="22">
        <v>1.0</v>
      </c>
      <c r="L1162" s="22">
        <f>+SUMIF('حركه المخزن الرئيسي اليوميه'!$F:$F,$H:$H,'حركه المخزن الرئيسي اليوميه'!$H:$H)</f>
        <v>0.0</v>
      </c>
      <c r="M1162" s="22">
        <f>+SUMIF('حركه المخزن الرئيسي اليوميه'!$F:$F,$H:$H,'حركه المخزن الرئيسي اليوميه'!$I:$I)</f>
        <v>0.0</v>
      </c>
      <c r="N1162" s="22">
        <f>+K1162+L1162-M1162</f>
        <v>1.0</v>
      </c>
      <c r="O1162" s="22">
        <f>+N1162</f>
        <v>1.0</v>
      </c>
      <c r="P1162" s="22">
        <f>+N1162-O1162</f>
        <v>0.0</v>
      </c>
      <c r="Q1162" s="57"/>
      <c r="R1162" s="58"/>
    </row>
    <row r="1163" spans="8:8" ht="15.0" customHeight="1">
      <c r="B1163" s="54">
        <v>1269.0</v>
      </c>
      <c r="C1163" s="8" t="s">
        <v>8351</v>
      </c>
      <c r="D1163" s="8" t="s">
        <v>713</v>
      </c>
      <c r="E1163" s="8" t="s">
        <v>796</v>
      </c>
      <c r="F1163" s="8" t="s">
        <v>68</v>
      </c>
      <c r="G1163" s="8" t="s">
        <v>1768</v>
      </c>
      <c r="H1163" s="8" t="s">
        <v>752</v>
      </c>
      <c r="I1163" s="8"/>
      <c r="J1163" s="78" t="s">
        <v>5078</v>
      </c>
      <c r="K1163" s="22">
        <v>0.0</v>
      </c>
      <c r="L1163" s="22">
        <f>+SUMIF('حركه المخزن الرئيسي اليوميه'!$F:$F,$H:$H,'حركه المخزن الرئيسي اليوميه'!$H:$H)</f>
        <v>0.0</v>
      </c>
      <c r="M1163" s="22">
        <f>+SUMIF('حركه المخزن الرئيسي اليوميه'!$F:$F,$H:$H,'حركه المخزن الرئيسي اليوميه'!$I:$I)</f>
        <v>0.0</v>
      </c>
      <c r="N1163" s="22">
        <f>+K1163+L1163-M1163</f>
        <v>0.0</v>
      </c>
      <c r="O1163" s="22">
        <f>+N1163</f>
        <v>0.0</v>
      </c>
      <c r="P1163" s="22">
        <f>+N1163-O1163</f>
        <v>0.0</v>
      </c>
      <c r="Q1163" s="57"/>
      <c r="R1163" s="58"/>
    </row>
    <row r="1164" spans="8:8" ht="15.0" customHeight="1">
      <c r="B1164" s="54">
        <v>1270.0</v>
      </c>
      <c r="C1164" s="8" t="s">
        <v>8351</v>
      </c>
      <c r="D1164" s="8" t="s">
        <v>713</v>
      </c>
      <c r="E1164" s="8" t="s">
        <v>796</v>
      </c>
      <c r="F1164" s="8" t="s">
        <v>68</v>
      </c>
      <c r="G1164" s="8" t="s">
        <v>1768</v>
      </c>
      <c r="H1164" s="8" t="s">
        <v>807</v>
      </c>
      <c r="I1164" s="8"/>
      <c r="J1164" s="78" t="s">
        <v>5079</v>
      </c>
      <c r="K1164" s="22">
        <v>0.0</v>
      </c>
      <c r="L1164" s="22">
        <f>+SUMIF('حركه المخزن الرئيسي اليوميه'!$F:$F,$H:$H,'حركه المخزن الرئيسي اليوميه'!$H:$H)</f>
        <v>0.0</v>
      </c>
      <c r="M1164" s="22">
        <f>+SUMIF('حركه المخزن الرئيسي اليوميه'!$F:$F,$H:$H,'حركه المخزن الرئيسي اليوميه'!$I:$I)</f>
        <v>0.0</v>
      </c>
      <c r="N1164" s="22">
        <f>+K1164+L1164-M1164</f>
        <v>0.0</v>
      </c>
      <c r="O1164" s="22">
        <f>+N1164</f>
        <v>0.0</v>
      </c>
      <c r="P1164" s="22">
        <f>+N1164-O1164</f>
        <v>0.0</v>
      </c>
      <c r="Q1164" s="57"/>
      <c r="R1164" s="58"/>
    </row>
    <row r="1165" spans="8:8" ht="15.0" customHeight="1">
      <c r="B1165" s="54">
        <v>1271.0</v>
      </c>
      <c r="C1165" s="8" t="s">
        <v>8351</v>
      </c>
      <c r="D1165" s="8" t="s">
        <v>713</v>
      </c>
      <c r="E1165" s="8" t="s">
        <v>805</v>
      </c>
      <c r="F1165" s="8" t="s">
        <v>68</v>
      </c>
      <c r="G1165" s="8" t="s">
        <v>1768</v>
      </c>
      <c r="H1165" s="8" t="s">
        <v>750</v>
      </c>
      <c r="I1165" s="8"/>
      <c r="J1165" s="78" t="s">
        <v>5080</v>
      </c>
      <c r="K1165" s="22">
        <v>0.0</v>
      </c>
      <c r="L1165" s="22">
        <f>+SUMIF('حركه المخزن الرئيسي اليوميه'!$F:$F,$H:$H,'حركه المخزن الرئيسي اليوميه'!$H:$H)</f>
        <v>0.0</v>
      </c>
      <c r="M1165" s="22">
        <f>+SUMIF('حركه المخزن الرئيسي اليوميه'!$F:$F,$H:$H,'حركه المخزن الرئيسي اليوميه'!$I:$I)</f>
        <v>0.0</v>
      </c>
      <c r="N1165" s="22">
        <f>+K1165+L1165-M1165</f>
        <v>0.0</v>
      </c>
      <c r="O1165" s="22">
        <f>+N1165</f>
        <v>0.0</v>
      </c>
      <c r="P1165" s="22">
        <f>+N1165-O1165</f>
        <v>0.0</v>
      </c>
      <c r="Q1165" s="57"/>
      <c r="R1165" s="58"/>
    </row>
    <row r="1166" spans="8:8" ht="15.0" customHeight="1">
      <c r="B1166" s="54">
        <v>1272.0</v>
      </c>
      <c r="C1166" s="8" t="s">
        <v>8351</v>
      </c>
      <c r="D1166" s="8" t="s">
        <v>713</v>
      </c>
      <c r="E1166" s="8" t="s">
        <v>799</v>
      </c>
      <c r="F1166" s="8" t="s">
        <v>68</v>
      </c>
      <c r="G1166" s="8" t="s">
        <v>1770</v>
      </c>
      <c r="H1166" s="8" t="s">
        <v>737</v>
      </c>
      <c r="I1166" s="8"/>
      <c r="J1166" s="78" t="s">
        <v>5081</v>
      </c>
      <c r="K1166" s="22">
        <v>0.0</v>
      </c>
      <c r="L1166" s="22">
        <f>+SUMIF('حركه المخزن الرئيسي اليوميه'!$F:$F,$H:$H,'حركه المخزن الرئيسي اليوميه'!$H:$H)</f>
        <v>0.0</v>
      </c>
      <c r="M1166" s="22">
        <f>+SUMIF('حركه المخزن الرئيسي اليوميه'!$F:$F,$H:$H,'حركه المخزن الرئيسي اليوميه'!$I:$I)</f>
        <v>0.0</v>
      </c>
      <c r="N1166" s="22">
        <f>+K1166+L1166-M1166</f>
        <v>0.0</v>
      </c>
      <c r="O1166" s="22">
        <f>+N1166</f>
        <v>0.0</v>
      </c>
      <c r="P1166" s="22">
        <f>+N1166-O1166</f>
        <v>0.0</v>
      </c>
      <c r="Q1166" s="57"/>
      <c r="R1166" s="58"/>
    </row>
    <row r="1167" spans="8:8" ht="15.0" customHeight="1">
      <c r="B1167" s="54">
        <v>1273.0</v>
      </c>
      <c r="C1167" s="8" t="s">
        <v>8351</v>
      </c>
      <c r="D1167" s="8" t="s">
        <v>1013</v>
      </c>
      <c r="E1167" s="8" t="s">
        <v>1894</v>
      </c>
      <c r="F1167" s="8" t="s">
        <v>1501</v>
      </c>
      <c r="G1167" s="8" t="s">
        <v>2306</v>
      </c>
      <c r="H1167" s="8" t="s">
        <v>1894</v>
      </c>
      <c r="I1167" s="8"/>
      <c r="J1167" s="78" t="s">
        <v>5082</v>
      </c>
      <c r="K1167" s="22">
        <v>0.0</v>
      </c>
      <c r="L1167" s="22">
        <f>+SUMIF('حركه المخزن الرئيسي اليوميه'!$F:$F,$H:$H,'حركه المخزن الرئيسي اليوميه'!$H:$H)</f>
        <v>0.0</v>
      </c>
      <c r="M1167" s="22">
        <f>+SUMIF('حركه المخزن الرئيسي اليوميه'!$F:$F,$H:$H,'حركه المخزن الرئيسي اليوميه'!$I:$I)</f>
        <v>0.0</v>
      </c>
      <c r="N1167" s="22">
        <f>+K1167+L1167-M1167</f>
        <v>0.0</v>
      </c>
      <c r="O1167" s="22">
        <f>+N1167</f>
        <v>0.0</v>
      </c>
      <c r="P1167" s="22">
        <f>+N1167-O1167</f>
        <v>0.0</v>
      </c>
      <c r="Q1167" s="57"/>
      <c r="R1167" s="58"/>
    </row>
    <row r="1168" spans="8:8" ht="15.0" customHeight="1">
      <c r="B1168" s="54">
        <v>1274.0</v>
      </c>
      <c r="C1168" s="8" t="s">
        <v>8351</v>
      </c>
      <c r="D1168" s="8" t="s">
        <v>1013</v>
      </c>
      <c r="E1168" s="8" t="s">
        <v>1519</v>
      </c>
      <c r="F1168" s="8" t="s">
        <v>1501</v>
      </c>
      <c r="G1168" s="8"/>
      <c r="H1168" s="8" t="s">
        <v>1519</v>
      </c>
      <c r="I1168" s="8"/>
      <c r="J1168" s="78" t="s">
        <v>5083</v>
      </c>
      <c r="K1168" s="22">
        <v>0.0</v>
      </c>
      <c r="L1168" s="22">
        <f>+SUMIF('حركه المخزن الرئيسي اليوميه'!$F:$F,$H:$H,'حركه المخزن الرئيسي اليوميه'!$H:$H)</f>
        <v>0.0</v>
      </c>
      <c r="M1168" s="22">
        <f>+SUMIF('حركه المخزن الرئيسي اليوميه'!$F:$F,$H:$H,'حركه المخزن الرئيسي اليوميه'!$I:$I)</f>
        <v>0.0</v>
      </c>
      <c r="N1168" s="22">
        <f>+K1168+L1168-M1168</f>
        <v>0.0</v>
      </c>
      <c r="O1168" s="22">
        <f>+N1168</f>
        <v>0.0</v>
      </c>
      <c r="P1168" s="22">
        <f>+N1168-O1168</f>
        <v>0.0</v>
      </c>
      <c r="Q1168" s="57"/>
      <c r="R1168" s="58"/>
    </row>
    <row r="1169" spans="8:8" ht="15.0" customHeight="1">
      <c r="B1169" s="54">
        <v>1275.0</v>
      </c>
      <c r="C1169" s="8" t="s">
        <v>8351</v>
      </c>
      <c r="D1169" s="8" t="s">
        <v>1013</v>
      </c>
      <c r="E1169" s="8" t="s">
        <v>1530</v>
      </c>
      <c r="F1169" s="8" t="s">
        <v>1501</v>
      </c>
      <c r="G1169" s="8"/>
      <c r="H1169" s="8" t="s">
        <v>1530</v>
      </c>
      <c r="I1169" s="8"/>
      <c r="J1169" s="78" t="s">
        <v>5084</v>
      </c>
      <c r="K1169" s="22">
        <v>0.0</v>
      </c>
      <c r="L1169" s="22">
        <f>+SUMIF('حركه المخزن الرئيسي اليوميه'!$F:$F,$H:$H,'حركه المخزن الرئيسي اليوميه'!$H:$H)</f>
        <v>0.0</v>
      </c>
      <c r="M1169" s="22">
        <f>+SUMIF('حركه المخزن الرئيسي اليوميه'!$F:$F,$H:$H,'حركه المخزن الرئيسي اليوميه'!$I:$I)</f>
        <v>0.0</v>
      </c>
      <c r="N1169" s="22">
        <f>+K1169+L1169-M1169</f>
        <v>0.0</v>
      </c>
      <c r="O1169" s="22">
        <f>+N1169</f>
        <v>0.0</v>
      </c>
      <c r="P1169" s="22">
        <f>+N1169-O1169</f>
        <v>0.0</v>
      </c>
      <c r="Q1169" s="57"/>
      <c r="R1169" s="58"/>
    </row>
    <row r="1170" spans="8:8" ht="15.0" customHeight="1">
      <c r="B1170" s="54">
        <v>1276.0</v>
      </c>
      <c r="C1170" s="8" t="s">
        <v>8351</v>
      </c>
      <c r="D1170" s="8" t="s">
        <v>1019</v>
      </c>
      <c r="E1170" s="8" t="s">
        <v>1548</v>
      </c>
      <c r="F1170" s="8" t="s">
        <v>1501</v>
      </c>
      <c r="G1170" s="8" t="s">
        <v>2473</v>
      </c>
      <c r="H1170" s="8" t="s">
        <v>1548</v>
      </c>
      <c r="I1170" s="8"/>
      <c r="J1170" s="78" t="s">
        <v>5085</v>
      </c>
      <c r="K1170" s="22">
        <v>0.0</v>
      </c>
      <c r="L1170" s="22">
        <f>+SUMIF('حركه المخزن الرئيسي اليوميه'!$F:$F,$H:$H,'حركه المخزن الرئيسي اليوميه'!$H:$H)</f>
        <v>0.0</v>
      </c>
      <c r="M1170" s="22">
        <f>+SUMIF('حركه المخزن الرئيسي اليوميه'!$F:$F,$H:$H,'حركه المخزن الرئيسي اليوميه'!$I:$I)</f>
        <v>0.0</v>
      </c>
      <c r="N1170" s="22">
        <f>+K1170+L1170-M1170</f>
        <v>0.0</v>
      </c>
      <c r="O1170" s="22">
        <f>+N1170</f>
        <v>0.0</v>
      </c>
      <c r="P1170" s="22">
        <f>+N1170-O1170</f>
        <v>0.0</v>
      </c>
      <c r="Q1170" s="57"/>
      <c r="R1170" s="58"/>
    </row>
    <row r="1171" spans="8:8" ht="15.0" customHeight="1">
      <c r="B1171" s="54">
        <v>1277.0</v>
      </c>
      <c r="C1171" s="8" t="s">
        <v>8351</v>
      </c>
      <c r="D1171" s="8" t="s">
        <v>1460</v>
      </c>
      <c r="E1171" s="8" t="s">
        <v>1468</v>
      </c>
      <c r="F1171" s="8" t="s">
        <v>68</v>
      </c>
      <c r="G1171" s="8"/>
      <c r="H1171" s="8" t="s">
        <v>1468</v>
      </c>
      <c r="I1171" s="8"/>
      <c r="J1171" s="78" t="s">
        <v>5086</v>
      </c>
      <c r="K1171" s="22">
        <v>0.0</v>
      </c>
      <c r="L1171" s="22">
        <f>+SUMIF('حركه المخزن الرئيسي اليوميه'!$F:$F,$H:$H,'حركه المخزن الرئيسي اليوميه'!$H:$H)</f>
        <v>0.0</v>
      </c>
      <c r="M1171" s="22">
        <f>+SUMIF('حركه المخزن الرئيسي اليوميه'!$F:$F,$H:$H,'حركه المخزن الرئيسي اليوميه'!$I:$I)</f>
        <v>0.0</v>
      </c>
      <c r="N1171" s="22">
        <f>+K1171+L1171-M1171</f>
        <v>0.0</v>
      </c>
      <c r="O1171" s="22">
        <f>+N1171</f>
        <v>0.0</v>
      </c>
      <c r="P1171" s="22">
        <f>+N1171-O1171</f>
        <v>0.0</v>
      </c>
      <c r="Q1171" s="57"/>
      <c r="R1171" s="58"/>
    </row>
    <row r="1172" spans="8:8" ht="15.0" customHeight="1">
      <c r="B1172" s="54">
        <v>1278.0</v>
      </c>
      <c r="C1172" s="8" t="s">
        <v>8351</v>
      </c>
      <c r="D1172" s="8" t="s">
        <v>1019</v>
      </c>
      <c r="E1172" s="8" t="s">
        <v>1550</v>
      </c>
      <c r="F1172" s="8" t="s">
        <v>1501</v>
      </c>
      <c r="G1172" s="8" t="s">
        <v>2474</v>
      </c>
      <c r="H1172" s="8" t="s">
        <v>1550</v>
      </c>
      <c r="I1172" s="8"/>
      <c r="J1172" s="78" t="s">
        <v>5087</v>
      </c>
      <c r="K1172" s="22">
        <v>0.0</v>
      </c>
      <c r="L1172" s="22">
        <f>+SUMIF('حركه المخزن الرئيسي اليوميه'!$F:$F,$H:$H,'حركه المخزن الرئيسي اليوميه'!$H:$H)</f>
        <v>0.0</v>
      </c>
      <c r="M1172" s="22">
        <f>+SUMIF('حركه المخزن الرئيسي اليوميه'!$F:$F,$H:$H,'حركه المخزن الرئيسي اليوميه'!$I:$I)</f>
        <v>0.0</v>
      </c>
      <c r="N1172" s="22">
        <f>+K1172+L1172-M1172</f>
        <v>0.0</v>
      </c>
      <c r="O1172" s="22">
        <f>+N1172</f>
        <v>0.0</v>
      </c>
      <c r="P1172" s="22">
        <f>+N1172-O1172</f>
        <v>0.0</v>
      </c>
      <c r="Q1172" s="57"/>
      <c r="R1172" s="58"/>
    </row>
    <row r="1173" spans="8:8" ht="15.0" customHeight="1">
      <c r="B1173" s="54">
        <v>1279.0</v>
      </c>
      <c r="C1173" s="8" t="s">
        <v>8351</v>
      </c>
      <c r="D1173" s="8" t="s">
        <v>820</v>
      </c>
      <c r="E1173" s="8" t="s">
        <v>3139</v>
      </c>
      <c r="F1173" s="8" t="s">
        <v>68</v>
      </c>
      <c r="G1173" s="8" t="s">
        <v>2451</v>
      </c>
      <c r="H1173" s="8" t="s">
        <v>3139</v>
      </c>
      <c r="I1173" s="8" t="s">
        <v>3196</v>
      </c>
      <c r="J1173" s="78" t="s">
        <v>5088</v>
      </c>
      <c r="K1173" s="22">
        <v>4.0</v>
      </c>
      <c r="L1173" s="22">
        <f>+SUMIF('حركه المخزن الرئيسي اليوميه'!$F:$F,$H:$H,'حركه المخزن الرئيسي اليوميه'!$H:$H)</f>
        <v>0.0</v>
      </c>
      <c r="M1173" s="22">
        <f>+SUMIF('حركه المخزن الرئيسي اليوميه'!$F:$F,$H:$H,'حركه المخزن الرئيسي اليوميه'!$I:$I)</f>
        <v>0.0</v>
      </c>
      <c r="N1173" s="22">
        <f>+K1173+L1173-M1173</f>
        <v>4.0</v>
      </c>
      <c r="O1173" s="22">
        <f>+N1173</f>
        <v>4.0</v>
      </c>
      <c r="P1173" s="22">
        <f>+N1173-O1173</f>
        <v>0.0</v>
      </c>
      <c r="Q1173" s="57"/>
      <c r="R1173" s="58"/>
    </row>
    <row r="1174" spans="8:8" ht="15.0" customHeight="1">
      <c r="B1174" s="54">
        <v>1280.0</v>
      </c>
      <c r="C1174" s="8" t="s">
        <v>8351</v>
      </c>
      <c r="D1174" s="8" t="s">
        <v>820</v>
      </c>
      <c r="E1174" s="8" t="s">
        <v>2002</v>
      </c>
      <c r="F1174" s="8" t="s">
        <v>68</v>
      </c>
      <c r="G1174" s="8" t="s">
        <v>2003</v>
      </c>
      <c r="H1174" s="8" t="s">
        <v>2002</v>
      </c>
      <c r="I1174" s="8"/>
      <c r="J1174" s="78" t="s">
        <v>5089</v>
      </c>
      <c r="K1174" s="22">
        <v>0.0</v>
      </c>
      <c r="L1174" s="22">
        <f>+SUMIF('حركه المخزن الرئيسي اليوميه'!$F:$F,$H:$H,'حركه المخزن الرئيسي اليوميه'!$H:$H)</f>
        <v>0.0</v>
      </c>
      <c r="M1174" s="22">
        <f>+SUMIF('حركه المخزن الرئيسي اليوميه'!$F:$F,$H:$H,'حركه المخزن الرئيسي اليوميه'!$I:$I)</f>
        <v>0.0</v>
      </c>
      <c r="N1174" s="22">
        <f>+K1174+L1174-M1174</f>
        <v>0.0</v>
      </c>
      <c r="O1174" s="22">
        <f>+N1174</f>
        <v>0.0</v>
      </c>
      <c r="P1174" s="22">
        <f>+N1174-O1174</f>
        <v>0.0</v>
      </c>
      <c r="Q1174" s="57"/>
      <c r="R1174" s="58"/>
    </row>
    <row r="1175" spans="8:8" ht="15.0" customHeight="1">
      <c r="B1175" s="54">
        <v>1281.0</v>
      </c>
      <c r="C1175" s="8" t="s">
        <v>8351</v>
      </c>
      <c r="D1175" s="8" t="s">
        <v>820</v>
      </c>
      <c r="E1175" s="8" t="s">
        <v>1150</v>
      </c>
      <c r="F1175" s="8" t="s">
        <v>873</v>
      </c>
      <c r="G1175" s="8" t="s">
        <v>2211</v>
      </c>
      <c r="H1175" s="8" t="s">
        <v>1150</v>
      </c>
      <c r="I1175" s="8"/>
      <c r="J1175" s="78" t="s">
        <v>5090</v>
      </c>
      <c r="K1175" s="22">
        <v>0.0</v>
      </c>
      <c r="L1175" s="22">
        <f>+SUMIF('حركه المخزن الرئيسي اليوميه'!$F:$F,$H:$H,'حركه المخزن الرئيسي اليوميه'!$H:$H)</f>
        <v>0.0</v>
      </c>
      <c r="M1175" s="22">
        <f>+SUMIF('حركه المخزن الرئيسي اليوميه'!$F:$F,$H:$H,'حركه المخزن الرئيسي اليوميه'!$I:$I)</f>
        <v>0.0</v>
      </c>
      <c r="N1175" s="22">
        <f>+K1175+L1175-M1175</f>
        <v>0.0</v>
      </c>
      <c r="O1175" s="22">
        <f>+N1175</f>
        <v>0.0</v>
      </c>
      <c r="P1175" s="22">
        <f>+N1175-O1175</f>
        <v>0.0</v>
      </c>
      <c r="Q1175" s="57"/>
      <c r="R1175" s="58"/>
    </row>
    <row r="1176" spans="8:8" ht="15.0" customHeight="1">
      <c r="B1176" s="54">
        <v>1282.0</v>
      </c>
      <c r="C1176" s="8" t="s">
        <v>8351</v>
      </c>
      <c r="D1176" s="8" t="s">
        <v>1013</v>
      </c>
      <c r="E1176" s="8" t="s">
        <v>1592</v>
      </c>
      <c r="F1176" s="8" t="s">
        <v>1501</v>
      </c>
      <c r="G1176" s="8"/>
      <c r="H1176" s="8" t="s">
        <v>1592</v>
      </c>
      <c r="I1176" s="8"/>
      <c r="J1176" s="78" t="s">
        <v>5091</v>
      </c>
      <c r="K1176" s="22">
        <v>0.0</v>
      </c>
      <c r="L1176" s="22">
        <f>+SUMIF('حركه المخزن الرئيسي اليوميه'!$F:$F,$H:$H,'حركه المخزن الرئيسي اليوميه'!$H:$H)</f>
        <v>0.0</v>
      </c>
      <c r="M1176" s="22">
        <f>+SUMIF('حركه المخزن الرئيسي اليوميه'!$F:$F,$H:$H,'حركه المخزن الرئيسي اليوميه'!$I:$I)</f>
        <v>0.0</v>
      </c>
      <c r="N1176" s="22">
        <f>+K1176+L1176-M1176</f>
        <v>0.0</v>
      </c>
      <c r="O1176" s="22">
        <f>+N1176</f>
        <v>0.0</v>
      </c>
      <c r="P1176" s="22">
        <f>+N1176-O1176</f>
        <v>0.0</v>
      </c>
      <c r="Q1176" s="57"/>
      <c r="R1176" s="58"/>
    </row>
    <row r="1177" spans="8:8" ht="15.0" customHeight="1">
      <c r="B1177" s="54">
        <v>1283.0</v>
      </c>
      <c r="C1177" s="8" t="s">
        <v>8351</v>
      </c>
      <c r="D1177" s="8" t="s">
        <v>1444</v>
      </c>
      <c r="E1177" s="8" t="s">
        <v>3888</v>
      </c>
      <c r="F1177" s="8" t="s">
        <v>68</v>
      </c>
      <c r="G1177" s="8" t="s">
        <v>2277</v>
      </c>
      <c r="H1177" s="8" t="s">
        <v>3888</v>
      </c>
      <c r="I1177" s="8" t="s">
        <v>174</v>
      </c>
      <c r="J1177" s="78" t="s">
        <v>5092</v>
      </c>
      <c r="K1177" s="22">
        <v>3.0</v>
      </c>
      <c r="L1177" s="22">
        <f>+SUMIF('حركه المخزن الرئيسي اليوميه'!$F:$F,$H:$H,'حركه المخزن الرئيسي اليوميه'!$H:$H)</f>
        <v>0.0</v>
      </c>
      <c r="M1177" s="22">
        <f>+SUMIF('حركه المخزن الرئيسي اليوميه'!$F:$F,$H:$H,'حركه المخزن الرئيسي اليوميه'!$I:$I)</f>
        <v>0.0</v>
      </c>
      <c r="N1177" s="22">
        <f>+K1177+L1177-M1177</f>
        <v>3.0</v>
      </c>
      <c r="O1177" s="22">
        <f>+N1177</f>
        <v>3.0</v>
      </c>
      <c r="P1177" s="22">
        <f>+N1177-O1177</f>
        <v>0.0</v>
      </c>
      <c r="Q1177" s="57"/>
      <c r="R1177" s="58"/>
    </row>
    <row r="1178" spans="8:8" ht="15.0" customHeight="1">
      <c r="B1178" s="54">
        <v>1284.0</v>
      </c>
      <c r="C1178" s="8" t="s">
        <v>8351</v>
      </c>
      <c r="D1178" s="8" t="s">
        <v>1444</v>
      </c>
      <c r="E1178" s="8" t="s">
        <v>1456</v>
      </c>
      <c r="F1178" s="8" t="s">
        <v>125</v>
      </c>
      <c r="G1178" s="8" t="s">
        <v>2279</v>
      </c>
      <c r="H1178" s="8" t="s">
        <v>1456</v>
      </c>
      <c r="I1178" s="8"/>
      <c r="J1178" s="78" t="s">
        <v>5093</v>
      </c>
      <c r="K1178" s="22">
        <v>0.0</v>
      </c>
      <c r="L1178" s="22">
        <f>+SUMIF('حركه المخزن الرئيسي اليوميه'!$F:$F,$H:$H,'حركه المخزن الرئيسي اليوميه'!$H:$H)</f>
        <v>0.0</v>
      </c>
      <c r="M1178" s="22">
        <f>+SUMIF('حركه المخزن الرئيسي اليوميه'!$F:$F,$H:$H,'حركه المخزن الرئيسي اليوميه'!$I:$I)</f>
        <v>0.0</v>
      </c>
      <c r="N1178" s="22">
        <f>+K1178+L1178-M1178</f>
        <v>0.0</v>
      </c>
      <c r="O1178" s="22">
        <f>+N1178</f>
        <v>0.0</v>
      </c>
      <c r="P1178" s="22">
        <f>+N1178-O1178</f>
        <v>0.0</v>
      </c>
      <c r="Q1178" s="57"/>
      <c r="R1178" s="58"/>
    </row>
    <row r="1179" spans="8:8" ht="15.0" customHeight="1">
      <c r="B1179" s="54">
        <v>1285.0</v>
      </c>
      <c r="C1179" s="8" t="s">
        <v>8351</v>
      </c>
      <c r="D1179" s="8" t="s">
        <v>1460</v>
      </c>
      <c r="E1179" s="8" t="s">
        <v>1462</v>
      </c>
      <c r="F1179" s="8" t="s">
        <v>68</v>
      </c>
      <c r="G1179" s="8" t="s">
        <v>2460</v>
      </c>
      <c r="H1179" s="8" t="s">
        <v>1462</v>
      </c>
      <c r="I1179" s="8"/>
      <c r="J1179" s="78" t="s">
        <v>5094</v>
      </c>
      <c r="K1179" s="22">
        <v>0.0</v>
      </c>
      <c r="L1179" s="22">
        <f>+SUMIF('حركه المخزن الرئيسي اليوميه'!$F:$F,$H:$H,'حركه المخزن الرئيسي اليوميه'!$H:$H)</f>
        <v>0.0</v>
      </c>
      <c r="M1179" s="22">
        <f>+SUMIF('حركه المخزن الرئيسي اليوميه'!$F:$F,$H:$H,'حركه المخزن الرئيسي اليوميه'!$I:$I)</f>
        <v>0.0</v>
      </c>
      <c r="N1179" s="22">
        <f>+K1179+L1179-M1179</f>
        <v>0.0</v>
      </c>
      <c r="O1179" s="22">
        <f>+N1179</f>
        <v>0.0</v>
      </c>
      <c r="P1179" s="22">
        <f>+N1179-O1179</f>
        <v>0.0</v>
      </c>
      <c r="Q1179" s="57"/>
      <c r="R1179" s="58"/>
    </row>
    <row r="1180" spans="8:8" ht="15.0" customHeight="1">
      <c r="B1180" s="54">
        <v>1286.0</v>
      </c>
      <c r="C1180" s="8" t="s">
        <v>8351</v>
      </c>
      <c r="D1180" s="8" t="s">
        <v>1019</v>
      </c>
      <c r="E1180" s="8" t="s">
        <v>1496</v>
      </c>
      <c r="F1180" s="8" t="s">
        <v>68</v>
      </c>
      <c r="G1180" s="8" t="s">
        <v>2465</v>
      </c>
      <c r="H1180" s="8" t="s">
        <v>1496</v>
      </c>
      <c r="I1180" s="8"/>
      <c r="J1180" s="78" t="s">
        <v>5095</v>
      </c>
      <c r="K1180" s="22">
        <v>0.0</v>
      </c>
      <c r="L1180" s="22">
        <f>+SUMIF('حركه المخزن الرئيسي اليوميه'!$F:$F,$H:$H,'حركه المخزن الرئيسي اليوميه'!$H:$H)</f>
        <v>0.0</v>
      </c>
      <c r="M1180" s="22">
        <f>+SUMIF('حركه المخزن الرئيسي اليوميه'!$F:$F,$H:$H,'حركه المخزن الرئيسي اليوميه'!$I:$I)</f>
        <v>0.0</v>
      </c>
      <c r="N1180" s="22">
        <f>+K1180+L1180-M1180</f>
        <v>0.0</v>
      </c>
      <c r="O1180" s="22">
        <f>+N1180</f>
        <v>0.0</v>
      </c>
      <c r="P1180" s="22">
        <f>+N1180-O1180</f>
        <v>0.0</v>
      </c>
      <c r="Q1180" s="57"/>
      <c r="R1180" s="58"/>
    </row>
    <row r="1181" spans="8:8" ht="15.0" customHeight="1">
      <c r="B1181" s="54">
        <v>1287.0</v>
      </c>
      <c r="C1181" s="8" t="s">
        <v>8351</v>
      </c>
      <c r="D1181" s="8" t="s">
        <v>1013</v>
      </c>
      <c r="E1181" s="8" t="s">
        <v>2033</v>
      </c>
      <c r="F1181" s="8" t="s">
        <v>1044</v>
      </c>
      <c r="G1181" s="8"/>
      <c r="H1181" s="8" t="s">
        <v>2033</v>
      </c>
      <c r="I1181" s="8"/>
      <c r="J1181" s="78" t="s">
        <v>5096</v>
      </c>
      <c r="K1181" s="22">
        <v>0.0</v>
      </c>
      <c r="L1181" s="22">
        <f>+SUMIF('حركه المخزن الرئيسي اليوميه'!$F:$F,$H:$H,'حركه المخزن الرئيسي اليوميه'!$H:$H)</f>
        <v>0.0</v>
      </c>
      <c r="M1181" s="22">
        <f>+SUMIF('حركه المخزن الرئيسي اليوميه'!$F:$F,$H:$H,'حركه المخزن الرئيسي اليوميه'!$I:$I)</f>
        <v>0.0</v>
      </c>
      <c r="N1181" s="22">
        <f>+K1181+L1181-M1181</f>
        <v>0.0</v>
      </c>
      <c r="O1181" s="22">
        <f>+N1181</f>
        <v>0.0</v>
      </c>
      <c r="P1181" s="22">
        <f>+N1181-O1181</f>
        <v>0.0</v>
      </c>
      <c r="Q1181" s="57"/>
      <c r="R1181" s="58"/>
    </row>
    <row r="1182" spans="8:8" ht="15.0" customHeight="1">
      <c r="B1182" s="54">
        <v>1288.0</v>
      </c>
      <c r="C1182" s="8" t="s">
        <v>8351</v>
      </c>
      <c r="D1182" s="8" t="s">
        <v>1013</v>
      </c>
      <c r="E1182" s="8" t="s">
        <v>1596</v>
      </c>
      <c r="F1182" s="8" t="s">
        <v>1501</v>
      </c>
      <c r="G1182" s="8"/>
      <c r="H1182" s="8" t="s">
        <v>1596</v>
      </c>
      <c r="I1182" s="8"/>
      <c r="J1182" s="78" t="s">
        <v>5097</v>
      </c>
      <c r="K1182" s="22">
        <v>0.0</v>
      </c>
      <c r="L1182" s="22">
        <f>+SUMIF('حركه المخزن الرئيسي اليوميه'!$F:$F,$H:$H,'حركه المخزن الرئيسي اليوميه'!$H:$H)</f>
        <v>0.0</v>
      </c>
      <c r="M1182" s="22">
        <f>+SUMIF('حركه المخزن الرئيسي اليوميه'!$F:$F,$H:$H,'حركه المخزن الرئيسي اليوميه'!$I:$I)</f>
        <v>0.0</v>
      </c>
      <c r="N1182" s="22">
        <f>+K1182+L1182-M1182</f>
        <v>0.0</v>
      </c>
      <c r="O1182" s="22">
        <f>+N1182</f>
        <v>0.0</v>
      </c>
      <c r="P1182" s="22">
        <f>+N1182-O1182</f>
        <v>0.0</v>
      </c>
      <c r="Q1182" s="57"/>
      <c r="R1182" s="58"/>
    </row>
    <row r="1183" spans="8:8" ht="15.0" customHeight="1">
      <c r="B1183" s="54">
        <v>1292.0</v>
      </c>
      <c r="C1183" s="8" t="s">
        <v>8351</v>
      </c>
      <c r="D1183" s="8" t="s">
        <v>1013</v>
      </c>
      <c r="E1183" s="8" t="s">
        <v>1536</v>
      </c>
      <c r="F1183" s="8" t="s">
        <v>1501</v>
      </c>
      <c r="G1183" s="8" t="s">
        <v>2472</v>
      </c>
      <c r="H1183" s="8" t="s">
        <v>1536</v>
      </c>
      <c r="I1183" s="8"/>
      <c r="J1183" s="78" t="s">
        <v>5098</v>
      </c>
      <c r="K1183" s="22">
        <v>0.0</v>
      </c>
      <c r="L1183" s="22">
        <f>+SUMIF('حركه المخزن الرئيسي اليوميه'!$F:$F,$H:$H,'حركه المخزن الرئيسي اليوميه'!$H:$H)</f>
        <v>0.0</v>
      </c>
      <c r="M1183" s="22">
        <f>+SUMIF('حركه المخزن الرئيسي اليوميه'!$F:$F,$H:$H,'حركه المخزن الرئيسي اليوميه'!$I:$I)</f>
        <v>0.0</v>
      </c>
      <c r="N1183" s="22">
        <f>+K1183+L1183-M1183</f>
        <v>0.0</v>
      </c>
      <c r="O1183" s="22">
        <f>+N1183</f>
        <v>0.0</v>
      </c>
      <c r="P1183" s="22">
        <f>+N1183-O1183</f>
        <v>0.0</v>
      </c>
      <c r="Q1183" s="57"/>
      <c r="R1183" s="58"/>
    </row>
    <row r="1184" spans="8:8" ht="15.0" customHeight="1">
      <c r="B1184" s="54">
        <v>1293.0</v>
      </c>
      <c r="C1184" s="8" t="s">
        <v>8351</v>
      </c>
      <c r="D1184" s="8" t="s">
        <v>1013</v>
      </c>
      <c r="E1184" s="8" t="s">
        <v>1591</v>
      </c>
      <c r="F1184" s="8" t="s">
        <v>1501</v>
      </c>
      <c r="G1184" s="8"/>
      <c r="H1184" s="8" t="s">
        <v>1591</v>
      </c>
      <c r="I1184" s="8"/>
      <c r="J1184" s="78" t="s">
        <v>5099</v>
      </c>
      <c r="K1184" s="22">
        <v>0.0</v>
      </c>
      <c r="L1184" s="22">
        <f>+SUMIF('حركه المخزن الرئيسي اليوميه'!$F:$F,$H:$H,'حركه المخزن الرئيسي اليوميه'!$H:$H)</f>
        <v>0.0</v>
      </c>
      <c r="M1184" s="22">
        <f>+SUMIF('حركه المخزن الرئيسي اليوميه'!$F:$F,$H:$H,'حركه المخزن الرئيسي اليوميه'!$I:$I)</f>
        <v>0.0</v>
      </c>
      <c r="N1184" s="22">
        <f>+K1184+L1184-M1184</f>
        <v>0.0</v>
      </c>
      <c r="O1184" s="22">
        <f>+N1184</f>
        <v>0.0</v>
      </c>
      <c r="P1184" s="22">
        <f>+N1184-O1184</f>
        <v>0.0</v>
      </c>
      <c r="Q1184" s="57"/>
      <c r="R1184" s="58"/>
    </row>
    <row r="1185" spans="8:8" ht="15.0" customHeight="1">
      <c r="B1185" s="54">
        <v>1294.0</v>
      </c>
      <c r="C1185" s="8" t="s">
        <v>8351</v>
      </c>
      <c r="D1185" s="8" t="s">
        <v>820</v>
      </c>
      <c r="E1185" s="8" t="s">
        <v>1397</v>
      </c>
      <c r="F1185" s="8" t="s">
        <v>68</v>
      </c>
      <c r="G1185" s="8"/>
      <c r="H1185" s="8" t="s">
        <v>1397</v>
      </c>
      <c r="I1185" s="8"/>
      <c r="J1185" s="78" t="s">
        <v>5100</v>
      </c>
      <c r="K1185" s="22">
        <v>0.0</v>
      </c>
      <c r="L1185" s="22">
        <f>+SUMIF('حركه المخزن الرئيسي اليوميه'!$F:$F,$H:$H,'حركه المخزن الرئيسي اليوميه'!$H:$H)</f>
        <v>0.0</v>
      </c>
      <c r="M1185" s="22">
        <f>+SUMIF('حركه المخزن الرئيسي اليوميه'!$F:$F,$H:$H,'حركه المخزن الرئيسي اليوميه'!$I:$I)</f>
        <v>0.0</v>
      </c>
      <c r="N1185" s="22">
        <f>+K1185+L1185-M1185</f>
        <v>0.0</v>
      </c>
      <c r="O1185" s="22">
        <f>+N1185</f>
        <v>0.0</v>
      </c>
      <c r="P1185" s="22">
        <f>+N1185-O1185</f>
        <v>0.0</v>
      </c>
      <c r="Q1185" s="57"/>
      <c r="R1185" s="58"/>
    </row>
    <row r="1186" spans="8:8" ht="15.0" customHeight="1">
      <c r="B1186" s="54">
        <v>1295.0</v>
      </c>
      <c r="C1186" s="8" t="s">
        <v>8351</v>
      </c>
      <c r="D1186" s="8" t="s">
        <v>1013</v>
      </c>
      <c r="E1186" s="8" t="s">
        <v>1561</v>
      </c>
      <c r="F1186" s="8" t="s">
        <v>1501</v>
      </c>
      <c r="G1186" s="8"/>
      <c r="H1186" s="8" t="s">
        <v>1561</v>
      </c>
      <c r="I1186" s="8"/>
      <c r="J1186" s="78" t="s">
        <v>5101</v>
      </c>
      <c r="K1186" s="22">
        <v>0.0</v>
      </c>
      <c r="L1186" s="22">
        <f>+SUMIF('حركه المخزن الرئيسي اليوميه'!$F:$F,$H:$H,'حركه المخزن الرئيسي اليوميه'!$H:$H)</f>
        <v>0.0</v>
      </c>
      <c r="M1186" s="22">
        <f>+SUMIF('حركه المخزن الرئيسي اليوميه'!$F:$F,$H:$H,'حركه المخزن الرئيسي اليوميه'!$I:$I)</f>
        <v>0.0</v>
      </c>
      <c r="N1186" s="22">
        <f>+K1186+L1186-M1186</f>
        <v>0.0</v>
      </c>
      <c r="O1186" s="22">
        <f>+N1186</f>
        <v>0.0</v>
      </c>
      <c r="P1186" s="22">
        <f>+N1186-O1186</f>
        <v>0.0</v>
      </c>
      <c r="Q1186" s="57"/>
      <c r="R1186" s="58"/>
    </row>
    <row r="1187" spans="8:8" ht="15.0" customHeight="1">
      <c r="B1187" s="54">
        <v>1296.0</v>
      </c>
      <c r="C1187" s="8" t="s">
        <v>8351</v>
      </c>
      <c r="D1187" s="8" t="s">
        <v>1013</v>
      </c>
      <c r="E1187" s="8" t="s">
        <v>2495</v>
      </c>
      <c r="F1187" s="8" t="s">
        <v>68</v>
      </c>
      <c r="G1187" s="8"/>
      <c r="H1187" s="8" t="s">
        <v>2495</v>
      </c>
      <c r="I1187" s="8"/>
      <c r="J1187" s="78" t="s">
        <v>5102</v>
      </c>
      <c r="K1187" s="22">
        <v>0.0</v>
      </c>
      <c r="L1187" s="22">
        <f>+SUMIF('حركه المخزن الرئيسي اليوميه'!$F:$F,$H:$H,'حركه المخزن الرئيسي اليوميه'!$H:$H)</f>
        <v>0.0</v>
      </c>
      <c r="M1187" s="22">
        <f>+SUMIF('حركه المخزن الرئيسي اليوميه'!$F:$F,$H:$H,'حركه المخزن الرئيسي اليوميه'!$I:$I)</f>
        <v>0.0</v>
      </c>
      <c r="N1187" s="22">
        <f>+K1187+L1187-M1187</f>
        <v>0.0</v>
      </c>
      <c r="O1187" s="22">
        <f>+N1187</f>
        <v>0.0</v>
      </c>
      <c r="P1187" s="22">
        <f>+N1187-O1187</f>
        <v>0.0</v>
      </c>
      <c r="Q1187" s="57"/>
      <c r="R1187" s="58"/>
    </row>
    <row r="1188" spans="8:8" ht="15.0" customHeight="1">
      <c r="B1188" s="54">
        <v>1297.0</v>
      </c>
      <c r="C1188" s="8" t="s">
        <v>8351</v>
      </c>
      <c r="D1188" s="8" t="s">
        <v>1013</v>
      </c>
      <c r="E1188" s="8" t="s">
        <v>2494</v>
      </c>
      <c r="F1188" s="8" t="s">
        <v>68</v>
      </c>
      <c r="G1188" s="8"/>
      <c r="H1188" s="8" t="s">
        <v>2494</v>
      </c>
      <c r="I1188" s="8"/>
      <c r="J1188" s="78" t="s">
        <v>5103</v>
      </c>
      <c r="K1188" s="22">
        <v>0.0</v>
      </c>
      <c r="L1188" s="22">
        <f>+SUMIF('حركه المخزن الرئيسي اليوميه'!$F:$F,$H:$H,'حركه المخزن الرئيسي اليوميه'!$H:$H)</f>
        <v>0.0</v>
      </c>
      <c r="M1188" s="22">
        <f>+SUMIF('حركه المخزن الرئيسي اليوميه'!$F:$F,$H:$H,'حركه المخزن الرئيسي اليوميه'!$I:$I)</f>
        <v>0.0</v>
      </c>
      <c r="N1188" s="22">
        <f>+K1188+L1188-M1188</f>
        <v>0.0</v>
      </c>
      <c r="O1188" s="22">
        <f>+N1188</f>
        <v>0.0</v>
      </c>
      <c r="P1188" s="22">
        <f>+N1188-O1188</f>
        <v>0.0</v>
      </c>
      <c r="Q1188" s="57"/>
      <c r="R1188" s="58"/>
    </row>
    <row r="1189" spans="8:8" ht="15.0" customHeight="1">
      <c r="B1189" s="54">
        <v>1298.0</v>
      </c>
      <c r="C1189" s="8" t="s">
        <v>8351</v>
      </c>
      <c r="D1189" s="8" t="s">
        <v>1013</v>
      </c>
      <c r="E1189" s="8" t="s">
        <v>2493</v>
      </c>
      <c r="F1189" s="8" t="s">
        <v>68</v>
      </c>
      <c r="G1189" s="8"/>
      <c r="H1189" s="8" t="s">
        <v>2493</v>
      </c>
      <c r="I1189" s="8" t="s">
        <v>3605</v>
      </c>
      <c r="J1189" s="78" t="s">
        <v>5104</v>
      </c>
      <c r="K1189" s="22">
        <v>0.0</v>
      </c>
      <c r="L1189" s="22">
        <f>+SUMIF('حركه المخزن الرئيسي اليوميه'!$F:$F,$H:$H,'حركه المخزن الرئيسي اليوميه'!$H:$H)</f>
        <v>0.0</v>
      </c>
      <c r="M1189" s="22">
        <f>+SUMIF('حركه المخزن الرئيسي اليوميه'!$F:$F,$H:$H,'حركه المخزن الرئيسي اليوميه'!$I:$I)</f>
        <v>0.0</v>
      </c>
      <c r="N1189" s="22">
        <f>+K1189+L1189-M1189</f>
        <v>0.0</v>
      </c>
      <c r="O1189" s="22">
        <f>+N1189</f>
        <v>0.0</v>
      </c>
      <c r="P1189" s="22">
        <f>+N1189-O1189</f>
        <v>0.0</v>
      </c>
      <c r="Q1189" s="57"/>
      <c r="R1189" s="58"/>
    </row>
    <row r="1190" spans="8:8" ht="15.0" customHeight="1">
      <c r="B1190" s="54">
        <v>1299.0</v>
      </c>
      <c r="C1190" s="8" t="s">
        <v>8351</v>
      </c>
      <c r="D1190" s="8" t="s">
        <v>1013</v>
      </c>
      <c r="E1190" s="8" t="s">
        <v>3274</v>
      </c>
      <c r="F1190" s="8" t="s">
        <v>68</v>
      </c>
      <c r="G1190" s="8"/>
      <c r="H1190" s="8" t="s">
        <v>3274</v>
      </c>
      <c r="I1190" s="8" t="s">
        <v>3605</v>
      </c>
      <c r="J1190" s="78" t="s">
        <v>5105</v>
      </c>
      <c r="K1190" s="22">
        <v>0.0</v>
      </c>
      <c r="L1190" s="22">
        <f>+SUMIF('حركه المخزن الرئيسي اليوميه'!$F:$F,$H:$H,'حركه المخزن الرئيسي اليوميه'!$H:$H)</f>
        <v>0.0</v>
      </c>
      <c r="M1190" s="22">
        <f>+SUMIF('حركه المخزن الرئيسي اليوميه'!$F:$F,$H:$H,'حركه المخزن الرئيسي اليوميه'!$I:$I)</f>
        <v>0.0</v>
      </c>
      <c r="N1190" s="22">
        <f>+K1190+L1190-M1190</f>
        <v>0.0</v>
      </c>
      <c r="O1190" s="22">
        <f>+N1190</f>
        <v>0.0</v>
      </c>
      <c r="P1190" s="22">
        <f>+N1190-O1190</f>
        <v>0.0</v>
      </c>
      <c r="Q1190" s="57"/>
      <c r="R1190" s="58"/>
    </row>
    <row r="1191" spans="8:8" ht="15.0" customHeight="1">
      <c r="B1191" s="54">
        <v>1300.0</v>
      </c>
      <c r="C1191" s="8" t="s">
        <v>8351</v>
      </c>
      <c r="D1191" s="8" t="s">
        <v>1013</v>
      </c>
      <c r="E1191" s="8" t="s">
        <v>1553</v>
      </c>
      <c r="F1191" s="8" t="s">
        <v>1501</v>
      </c>
      <c r="G1191" s="8"/>
      <c r="H1191" s="8" t="s">
        <v>1553</v>
      </c>
      <c r="I1191" s="8"/>
      <c r="J1191" s="78" t="s">
        <v>5106</v>
      </c>
      <c r="K1191" s="22">
        <v>0.0</v>
      </c>
      <c r="L1191" s="22">
        <f>+SUMIF('حركه المخزن الرئيسي اليوميه'!$F:$F,$H:$H,'حركه المخزن الرئيسي اليوميه'!$H:$H)</f>
        <v>0.0</v>
      </c>
      <c r="M1191" s="22">
        <f>+SUMIF('حركه المخزن الرئيسي اليوميه'!$F:$F,$H:$H,'حركه المخزن الرئيسي اليوميه'!$I:$I)</f>
        <v>0.0</v>
      </c>
      <c r="N1191" s="22">
        <f>+K1191+L1191-M1191</f>
        <v>0.0</v>
      </c>
      <c r="O1191" s="22">
        <f>+N1191</f>
        <v>0.0</v>
      </c>
      <c r="P1191" s="22">
        <f>+N1191-O1191</f>
        <v>0.0</v>
      </c>
      <c r="Q1191" s="57"/>
      <c r="R1191" s="58"/>
    </row>
    <row r="1192" spans="8:8" ht="15.0" customHeight="1">
      <c r="B1192" s="54">
        <v>1301.0</v>
      </c>
      <c r="C1192" s="8" t="s">
        <v>8351</v>
      </c>
      <c r="D1192" s="8" t="s">
        <v>1013</v>
      </c>
      <c r="E1192" s="8" t="s">
        <v>2496</v>
      </c>
      <c r="F1192" s="8" t="s">
        <v>68</v>
      </c>
      <c r="G1192" s="8"/>
      <c r="H1192" s="8" t="s">
        <v>2496</v>
      </c>
      <c r="I1192" s="8"/>
      <c r="J1192" s="78" t="s">
        <v>5107</v>
      </c>
      <c r="K1192" s="22">
        <v>0.0</v>
      </c>
      <c r="L1192" s="22">
        <f>+SUMIF('حركه المخزن الرئيسي اليوميه'!$F:$F,$H:$H,'حركه المخزن الرئيسي اليوميه'!$H:$H)</f>
        <v>0.0</v>
      </c>
      <c r="M1192" s="22">
        <f>+SUMIF('حركه المخزن الرئيسي اليوميه'!$F:$F,$H:$H,'حركه المخزن الرئيسي اليوميه'!$I:$I)</f>
        <v>0.0</v>
      </c>
      <c r="N1192" s="22">
        <f>+K1192+L1192-M1192</f>
        <v>0.0</v>
      </c>
      <c r="O1192" s="22">
        <f>+N1192</f>
        <v>0.0</v>
      </c>
      <c r="P1192" s="22">
        <f>+N1192-O1192</f>
        <v>0.0</v>
      </c>
      <c r="Q1192" s="57"/>
      <c r="R1192" s="58"/>
    </row>
    <row r="1193" spans="8:8" ht="15.0" customHeight="1">
      <c r="B1193" s="54">
        <v>1302.0</v>
      </c>
      <c r="C1193" s="8" t="s">
        <v>8351</v>
      </c>
      <c r="D1193" s="8" t="s">
        <v>1013</v>
      </c>
      <c r="E1193" s="8" t="s">
        <v>8190</v>
      </c>
      <c r="F1193" s="8" t="s">
        <v>68</v>
      </c>
      <c r="G1193" s="8"/>
      <c r="H1193" s="8" t="s">
        <v>8190</v>
      </c>
      <c r="I1193" s="8" t="s">
        <v>3605</v>
      </c>
      <c r="J1193" s="78" t="s">
        <v>5108</v>
      </c>
      <c r="K1193" s="22">
        <v>1.0</v>
      </c>
      <c r="L1193" s="22">
        <f>+SUMIF('حركه المخزن الرئيسي اليوميه'!$F:$F,$H:$H,'حركه المخزن الرئيسي اليوميه'!$H:$H)</f>
        <v>0.0</v>
      </c>
      <c r="M1193" s="22">
        <f>+SUMIF('حركه المخزن الرئيسي اليوميه'!$F:$F,$H:$H,'حركه المخزن الرئيسي اليوميه'!$I:$I)</f>
        <v>0.0</v>
      </c>
      <c r="N1193" s="22">
        <f>+K1193+L1193-M1193</f>
        <v>1.0</v>
      </c>
      <c r="O1193" s="22">
        <f>+N1193</f>
        <v>1.0</v>
      </c>
      <c r="P1193" s="22">
        <f>+N1193-O1193</f>
        <v>0.0</v>
      </c>
      <c r="Q1193" s="57"/>
      <c r="R1193" s="58"/>
    </row>
    <row r="1194" spans="8:8" ht="15.0" customHeight="1">
      <c r="B1194" s="54">
        <v>1303.0</v>
      </c>
      <c r="C1194" s="8" t="s">
        <v>8351</v>
      </c>
      <c r="D1194" s="8" t="s">
        <v>1013</v>
      </c>
      <c r="E1194" s="8" t="s">
        <v>2497</v>
      </c>
      <c r="F1194" s="8" t="s">
        <v>68</v>
      </c>
      <c r="G1194" s="8"/>
      <c r="H1194" s="8" t="s">
        <v>2497</v>
      </c>
      <c r="I1194" s="8" t="s">
        <v>3605</v>
      </c>
      <c r="J1194" s="78" t="s">
        <v>5109</v>
      </c>
      <c r="K1194" s="22">
        <v>1.0</v>
      </c>
      <c r="L1194" s="22">
        <f>+SUMIF('حركه المخزن الرئيسي اليوميه'!$F:$F,$H:$H,'حركه المخزن الرئيسي اليوميه'!$H:$H)</f>
        <v>0.0</v>
      </c>
      <c r="M1194" s="22">
        <f>+SUMIF('حركه المخزن الرئيسي اليوميه'!$F:$F,$H:$H,'حركه المخزن الرئيسي اليوميه'!$I:$I)</f>
        <v>0.0</v>
      </c>
      <c r="N1194" s="22">
        <f>+K1194+L1194-M1194</f>
        <v>1.0</v>
      </c>
      <c r="O1194" s="22">
        <f>+N1194</f>
        <v>1.0</v>
      </c>
      <c r="P1194" s="22">
        <f>+N1194-O1194</f>
        <v>0.0</v>
      </c>
      <c r="Q1194" s="57"/>
      <c r="R1194" s="58"/>
    </row>
    <row r="1195" spans="8:8" ht="15.0" customHeight="1">
      <c r="B1195" s="54">
        <v>1304.0</v>
      </c>
      <c r="C1195" s="8" t="s">
        <v>8351</v>
      </c>
      <c r="D1195" s="8" t="s">
        <v>820</v>
      </c>
      <c r="E1195" s="8" t="s">
        <v>1416</v>
      </c>
      <c r="F1195" s="8" t="s">
        <v>68</v>
      </c>
      <c r="G1195" s="8" t="s">
        <v>2266</v>
      </c>
      <c r="H1195" s="8" t="s">
        <v>1416</v>
      </c>
      <c r="I1195" s="8"/>
      <c r="J1195" s="78" t="s">
        <v>5110</v>
      </c>
      <c r="K1195" s="22">
        <v>0.0</v>
      </c>
      <c r="L1195" s="22">
        <f>+SUMIF('حركه المخزن الرئيسي اليوميه'!$F:$F,$H:$H,'حركه المخزن الرئيسي اليوميه'!$H:$H)</f>
        <v>0.0</v>
      </c>
      <c r="M1195" s="22">
        <f>+SUMIF('حركه المخزن الرئيسي اليوميه'!$F:$F,$H:$H,'حركه المخزن الرئيسي اليوميه'!$I:$I)</f>
        <v>0.0</v>
      </c>
      <c r="N1195" s="22">
        <f>+K1195+L1195-M1195</f>
        <v>0.0</v>
      </c>
      <c r="O1195" s="22">
        <f>+N1195</f>
        <v>0.0</v>
      </c>
      <c r="P1195" s="22">
        <f>+N1195-O1195</f>
        <v>0.0</v>
      </c>
      <c r="Q1195" s="57"/>
      <c r="R1195" s="58"/>
    </row>
    <row r="1196" spans="8:8" ht="15.0" customHeight="1">
      <c r="B1196" s="54">
        <v>1305.0</v>
      </c>
      <c r="C1196" s="8" t="s">
        <v>8351</v>
      </c>
      <c r="D1196" s="8" t="s">
        <v>1013</v>
      </c>
      <c r="E1196" s="8" t="s">
        <v>2500</v>
      </c>
      <c r="F1196" s="8" t="s">
        <v>68</v>
      </c>
      <c r="G1196" s="8"/>
      <c r="H1196" s="8" t="s">
        <v>2500</v>
      </c>
      <c r="I1196" s="8"/>
      <c r="J1196" s="78" t="s">
        <v>5111</v>
      </c>
      <c r="K1196" s="22">
        <v>0.0</v>
      </c>
      <c r="L1196" s="22">
        <f>+SUMIF('حركه المخزن الرئيسي اليوميه'!$F:$F,$H:$H,'حركه المخزن الرئيسي اليوميه'!$H:$H)</f>
        <v>0.0</v>
      </c>
      <c r="M1196" s="22">
        <f>+SUMIF('حركه المخزن الرئيسي اليوميه'!$F:$F,$H:$H,'حركه المخزن الرئيسي اليوميه'!$I:$I)</f>
        <v>0.0</v>
      </c>
      <c r="N1196" s="22">
        <f>+K1196+L1196-M1196</f>
        <v>0.0</v>
      </c>
      <c r="O1196" s="22">
        <f>+N1196</f>
        <v>0.0</v>
      </c>
      <c r="P1196" s="22">
        <f>+N1196-O1196</f>
        <v>0.0</v>
      </c>
      <c r="Q1196" s="57"/>
      <c r="R1196" s="58"/>
    </row>
    <row r="1197" spans="8:8" ht="15.0" customHeight="1">
      <c r="B1197" s="54">
        <v>1306.0</v>
      </c>
      <c r="C1197" s="8" t="s">
        <v>8351</v>
      </c>
      <c r="D1197" s="8" t="s">
        <v>1013</v>
      </c>
      <c r="E1197" s="8" t="s">
        <v>2498</v>
      </c>
      <c r="F1197" s="8" t="s">
        <v>68</v>
      </c>
      <c r="G1197" s="8"/>
      <c r="H1197" s="8" t="s">
        <v>2498</v>
      </c>
      <c r="I1197" s="8"/>
      <c r="J1197" s="78" t="s">
        <v>5112</v>
      </c>
      <c r="K1197" s="22">
        <v>0.0</v>
      </c>
      <c r="L1197" s="22">
        <f>+SUMIF('حركه المخزن الرئيسي اليوميه'!$F:$F,$H:$H,'حركه المخزن الرئيسي اليوميه'!$H:$H)</f>
        <v>0.0</v>
      </c>
      <c r="M1197" s="22">
        <f>+SUMIF('حركه المخزن الرئيسي اليوميه'!$F:$F,$H:$H,'حركه المخزن الرئيسي اليوميه'!$I:$I)</f>
        <v>0.0</v>
      </c>
      <c r="N1197" s="22">
        <f>+K1197+L1197-M1197</f>
        <v>0.0</v>
      </c>
      <c r="O1197" s="22">
        <f>+N1197</f>
        <v>0.0</v>
      </c>
      <c r="P1197" s="22">
        <f>+N1197-O1197</f>
        <v>0.0</v>
      </c>
      <c r="Q1197" s="57"/>
      <c r="R1197" s="58"/>
    </row>
    <row r="1198" spans="8:8" ht="15.0" customHeight="1">
      <c r="B1198" s="54">
        <v>1307.0</v>
      </c>
      <c r="C1198" s="8" t="s">
        <v>8351</v>
      </c>
      <c r="D1198" s="8" t="s">
        <v>1887</v>
      </c>
      <c r="E1198" s="8" t="s">
        <v>1884</v>
      </c>
      <c r="F1198" s="8" t="s">
        <v>1501</v>
      </c>
      <c r="G1198" s="8" t="s">
        <v>2485</v>
      </c>
      <c r="H1198" s="8" t="s">
        <v>2018</v>
      </c>
      <c r="I1198" s="8"/>
      <c r="J1198" s="78" t="s">
        <v>5113</v>
      </c>
      <c r="K1198" s="22">
        <v>0.0</v>
      </c>
      <c r="L1198" s="22">
        <f>+SUMIF('حركه المخزن الرئيسي اليوميه'!$F:$F,$H:$H,'حركه المخزن الرئيسي اليوميه'!$H:$H)</f>
        <v>0.0</v>
      </c>
      <c r="M1198" s="22">
        <f>+SUMIF('حركه المخزن الرئيسي اليوميه'!$F:$F,$H:$H,'حركه المخزن الرئيسي اليوميه'!$I:$I)</f>
        <v>0.0</v>
      </c>
      <c r="N1198" s="22">
        <f>+K1198+L1198-M1198</f>
        <v>0.0</v>
      </c>
      <c r="O1198" s="22">
        <f>+N1198</f>
        <v>0.0</v>
      </c>
      <c r="P1198" s="22">
        <f>+N1198-O1198</f>
        <v>0.0</v>
      </c>
      <c r="Q1198" s="57"/>
      <c r="R1198" s="58"/>
    </row>
    <row r="1199" spans="8:8" ht="15.0" customHeight="1">
      <c r="B1199" s="54">
        <v>1308.0</v>
      </c>
      <c r="C1199" s="8" t="s">
        <v>8351</v>
      </c>
      <c r="D1199" s="8" t="s">
        <v>1013</v>
      </c>
      <c r="E1199" s="8" t="s">
        <v>3868</v>
      </c>
      <c r="F1199" s="8" t="s">
        <v>1046</v>
      </c>
      <c r="G1199" s="8"/>
      <c r="H1199" s="8" t="s">
        <v>3868</v>
      </c>
      <c r="I1199" s="8" t="s">
        <v>335</v>
      </c>
      <c r="J1199" s="78" t="s">
        <v>5114</v>
      </c>
      <c r="K1199" s="22">
        <v>0.0</v>
      </c>
      <c r="L1199" s="22">
        <f>+SUMIF('حركه المخزن الرئيسي اليوميه'!$F:$F,$H:$H,'حركه المخزن الرئيسي اليوميه'!$H:$H)</f>
        <v>0.0</v>
      </c>
      <c r="M1199" s="22">
        <f>+SUMIF('حركه المخزن الرئيسي اليوميه'!$F:$F,$H:$H,'حركه المخزن الرئيسي اليوميه'!$I:$I)</f>
        <v>0.0</v>
      </c>
      <c r="N1199" s="22">
        <f>+K1199+L1199-M1199</f>
        <v>0.0</v>
      </c>
      <c r="O1199" s="22">
        <f>+N1199</f>
        <v>0.0</v>
      </c>
      <c r="P1199" s="22">
        <f>+N1199-O1199</f>
        <v>0.0</v>
      </c>
      <c r="Q1199" s="57"/>
      <c r="R1199" s="58"/>
    </row>
    <row r="1200" spans="8:8" ht="15.0" customHeight="1">
      <c r="B1200" s="54">
        <v>1309.0</v>
      </c>
      <c r="C1200" s="8" t="s">
        <v>8351</v>
      </c>
      <c r="D1200" s="8" t="s">
        <v>1013</v>
      </c>
      <c r="E1200" s="8" t="s">
        <v>1597</v>
      </c>
      <c r="F1200" s="8" t="s">
        <v>1501</v>
      </c>
      <c r="G1200" s="8"/>
      <c r="H1200" s="8" t="s">
        <v>1597</v>
      </c>
      <c r="I1200" s="8"/>
      <c r="J1200" s="78" t="s">
        <v>5115</v>
      </c>
      <c r="K1200" s="22">
        <v>0.0</v>
      </c>
      <c r="L1200" s="22">
        <f>+SUMIF('حركه المخزن الرئيسي اليوميه'!$F:$F,$H:$H,'حركه المخزن الرئيسي اليوميه'!$H:$H)</f>
        <v>0.0</v>
      </c>
      <c r="M1200" s="22">
        <f>+SUMIF('حركه المخزن الرئيسي اليوميه'!$F:$F,$H:$H,'حركه المخزن الرئيسي اليوميه'!$I:$I)</f>
        <v>0.0</v>
      </c>
      <c r="N1200" s="22">
        <f>+K1200+L1200-M1200</f>
        <v>0.0</v>
      </c>
      <c r="O1200" s="22">
        <f>+N1200</f>
        <v>0.0</v>
      </c>
      <c r="P1200" s="22">
        <f>+N1200-O1200</f>
        <v>0.0</v>
      </c>
      <c r="Q1200" s="57"/>
      <c r="R1200" s="58"/>
    </row>
    <row r="1201" spans="8:8" ht="15.0" customHeight="1">
      <c r="B1201" s="54">
        <v>1311.0</v>
      </c>
      <c r="C1201" s="8" t="s">
        <v>8351</v>
      </c>
      <c r="D1201" s="8" t="s">
        <v>568</v>
      </c>
      <c r="E1201" s="8" t="s">
        <v>2589</v>
      </c>
      <c r="F1201" s="8" t="s">
        <v>68</v>
      </c>
      <c r="G1201" s="8" t="s">
        <v>1910</v>
      </c>
      <c r="H1201" s="8" t="s">
        <v>2589</v>
      </c>
      <c r="I1201" s="8" t="s">
        <v>294</v>
      </c>
      <c r="J1201" s="78" t="s">
        <v>5116</v>
      </c>
      <c r="K1201" s="22">
        <v>1.0</v>
      </c>
      <c r="L1201" s="22">
        <f>+SUMIF('حركه المخزن الرئيسي اليوميه'!$F:$F,$H:$H,'حركه المخزن الرئيسي اليوميه'!$H:$H)</f>
        <v>0.0</v>
      </c>
      <c r="M1201" s="22">
        <f>+SUMIF('حركه المخزن الرئيسي اليوميه'!$F:$F,$H:$H,'حركه المخزن الرئيسي اليوميه'!$I:$I)</f>
        <v>0.0</v>
      </c>
      <c r="N1201" s="22">
        <f>+K1201+L1201-M1201</f>
        <v>1.0</v>
      </c>
      <c r="O1201" s="22">
        <f>+N1201</f>
        <v>1.0</v>
      </c>
      <c r="P1201" s="22">
        <f>+N1201-O1201</f>
        <v>0.0</v>
      </c>
      <c r="Q1201" s="57"/>
      <c r="R1201" s="58"/>
    </row>
    <row r="1202" spans="8:8" ht="15.0" customHeight="1">
      <c r="B1202" s="54">
        <v>1312.0</v>
      </c>
      <c r="C1202" s="8" t="s">
        <v>8351</v>
      </c>
      <c r="D1202" s="8" t="s">
        <v>820</v>
      </c>
      <c r="E1202" s="8" t="s">
        <v>1140</v>
      </c>
      <c r="F1202" s="8" t="s">
        <v>68</v>
      </c>
      <c r="G1202" s="8" t="s">
        <v>2205</v>
      </c>
      <c r="H1202" s="8" t="s">
        <v>1140</v>
      </c>
      <c r="I1202" s="8" t="s">
        <v>294</v>
      </c>
      <c r="J1202" s="78" t="s">
        <v>5117</v>
      </c>
      <c r="K1202" s="22">
        <v>1.0</v>
      </c>
      <c r="L1202" s="22">
        <f>+SUMIF('حركه المخزن الرئيسي اليوميه'!$F:$F,$H:$H,'حركه المخزن الرئيسي اليوميه'!$H:$H)</f>
        <v>0.0</v>
      </c>
      <c r="M1202" s="22">
        <f>+SUMIF('حركه المخزن الرئيسي اليوميه'!$F:$F,$H:$H,'حركه المخزن الرئيسي اليوميه'!$I:$I)</f>
        <v>1.0</v>
      </c>
      <c r="N1202" s="22">
        <f>+K1202+L1202-M1202</f>
        <v>0.0</v>
      </c>
      <c r="O1202" s="22">
        <f>+N1202</f>
        <v>0.0</v>
      </c>
      <c r="P1202" s="22">
        <f>+N1202-O1202</f>
        <v>0.0</v>
      </c>
      <c r="Q1202" s="57"/>
      <c r="R1202" s="58"/>
    </row>
    <row r="1203" spans="8:8" ht="15.0" customHeight="1">
      <c r="B1203" s="54">
        <v>1313.0</v>
      </c>
      <c r="C1203" s="8" t="s">
        <v>8351</v>
      </c>
      <c r="D1203" s="8" t="s">
        <v>820</v>
      </c>
      <c r="E1203" s="8" t="s">
        <v>1267</v>
      </c>
      <c r="F1203" s="8" t="s">
        <v>68</v>
      </c>
      <c r="G1203" s="8" t="s">
        <v>2443</v>
      </c>
      <c r="H1203" s="8" t="s">
        <v>1267</v>
      </c>
      <c r="I1203" s="8" t="s">
        <v>8105</v>
      </c>
      <c r="J1203" s="78" t="s">
        <v>5118</v>
      </c>
      <c r="K1203" s="22">
        <v>0.0</v>
      </c>
      <c r="L1203" s="22">
        <f>+SUMIF('حركه المخزن الرئيسي اليوميه'!$F:$F,$H:$H,'حركه المخزن الرئيسي اليوميه'!$H:$H)</f>
        <v>0.0</v>
      </c>
      <c r="M1203" s="22">
        <f>+SUMIF('حركه المخزن الرئيسي اليوميه'!$F:$F,$H:$H,'حركه المخزن الرئيسي اليوميه'!$I:$I)</f>
        <v>0.0</v>
      </c>
      <c r="N1203" s="22">
        <f>+K1203+L1203-M1203</f>
        <v>0.0</v>
      </c>
      <c r="O1203" s="22">
        <f>+N1203</f>
        <v>0.0</v>
      </c>
      <c r="P1203" s="22">
        <f>+N1203-O1203</f>
        <v>0.0</v>
      </c>
      <c r="Q1203" s="57"/>
      <c r="R1203" s="58"/>
    </row>
    <row r="1204" spans="8:8" ht="15.0" customHeight="1">
      <c r="B1204" s="54">
        <v>1314.0</v>
      </c>
      <c r="C1204" s="8" t="s">
        <v>8351</v>
      </c>
      <c r="D1204" s="8" t="s">
        <v>1013</v>
      </c>
      <c r="E1204" s="8" t="s">
        <v>1564</v>
      </c>
      <c r="F1204" s="8" t="s">
        <v>1501</v>
      </c>
      <c r="G1204" s="8" t="s">
        <v>2419</v>
      </c>
      <c r="H1204" s="8" t="s">
        <v>1564</v>
      </c>
      <c r="I1204" s="8"/>
      <c r="J1204" s="78" t="s">
        <v>5119</v>
      </c>
      <c r="K1204" s="22">
        <v>0.0</v>
      </c>
      <c r="L1204" s="22">
        <f>+SUMIF('حركه المخزن الرئيسي اليوميه'!$F:$F,$H:$H,'حركه المخزن الرئيسي اليوميه'!$H:$H)</f>
        <v>0.0</v>
      </c>
      <c r="M1204" s="22">
        <f>+SUMIF('حركه المخزن الرئيسي اليوميه'!$F:$F,$H:$H,'حركه المخزن الرئيسي اليوميه'!$I:$I)</f>
        <v>0.0</v>
      </c>
      <c r="N1204" s="22">
        <f>+K1204+L1204-M1204</f>
        <v>0.0</v>
      </c>
      <c r="O1204" s="22">
        <f>+N1204</f>
        <v>0.0</v>
      </c>
      <c r="P1204" s="22">
        <f>+N1204-O1204</f>
        <v>0.0</v>
      </c>
      <c r="Q1204" s="57"/>
      <c r="R1204" s="58"/>
    </row>
    <row r="1205" spans="8:8" ht="15.0" customHeight="1">
      <c r="B1205" s="54">
        <v>1315.0</v>
      </c>
      <c r="C1205" s="8" t="s">
        <v>8351</v>
      </c>
      <c r="D1205" s="8" t="s">
        <v>820</v>
      </c>
      <c r="E1205" s="8" t="s">
        <v>1072</v>
      </c>
      <c r="F1205" s="8" t="s">
        <v>68</v>
      </c>
      <c r="G1205" s="8" t="s">
        <v>2295</v>
      </c>
      <c r="H1205" s="8" t="s">
        <v>1072</v>
      </c>
      <c r="I1205" s="8"/>
      <c r="J1205" s="78" t="s">
        <v>5120</v>
      </c>
      <c r="K1205" s="22">
        <v>0.0</v>
      </c>
      <c r="L1205" s="22">
        <f>+SUMIF('حركه المخزن الرئيسي اليوميه'!$F:$F,$H:$H,'حركه المخزن الرئيسي اليوميه'!$H:$H)</f>
        <v>0.0</v>
      </c>
      <c r="M1205" s="22">
        <f>+SUMIF('حركه المخزن الرئيسي اليوميه'!$F:$F,$H:$H,'حركه المخزن الرئيسي اليوميه'!$I:$I)</f>
        <v>0.0</v>
      </c>
      <c r="N1205" s="22">
        <f>+K1205+L1205-M1205</f>
        <v>0.0</v>
      </c>
      <c r="O1205" s="22">
        <f>+N1205</f>
        <v>0.0</v>
      </c>
      <c r="P1205" s="22">
        <f>+N1205-O1205</f>
        <v>0.0</v>
      </c>
      <c r="Q1205" s="57"/>
      <c r="R1205" s="58"/>
    </row>
    <row r="1206" spans="8:8" ht="15.0" customHeight="1">
      <c r="B1206" s="54">
        <v>1316.0</v>
      </c>
      <c r="C1206" s="8" t="s">
        <v>8351</v>
      </c>
      <c r="D1206" s="8" t="s">
        <v>828</v>
      </c>
      <c r="E1206" s="8" t="s">
        <v>2588</v>
      </c>
      <c r="F1206" s="8" t="s">
        <v>68</v>
      </c>
      <c r="G1206" s="8"/>
      <c r="H1206" s="8" t="s">
        <v>3239</v>
      </c>
      <c r="I1206" s="8" t="s">
        <v>818</v>
      </c>
      <c r="J1206" s="78" t="s">
        <v>5121</v>
      </c>
      <c r="K1206" s="22">
        <v>3.0</v>
      </c>
      <c r="L1206" s="22">
        <f>+SUMIF('حركه المخزن الرئيسي اليوميه'!$F:$F,$H:$H,'حركه المخزن الرئيسي اليوميه'!$H:$H)</f>
        <v>0.0</v>
      </c>
      <c r="M1206" s="22">
        <f>+SUMIF('حركه المخزن الرئيسي اليوميه'!$F:$F,$H:$H,'حركه المخزن الرئيسي اليوميه'!$I:$I)</f>
        <v>0.0</v>
      </c>
      <c r="N1206" s="22">
        <f>+K1206+L1206-M1206</f>
        <v>3.0</v>
      </c>
      <c r="O1206" s="22">
        <f>+N1206</f>
        <v>3.0</v>
      </c>
      <c r="P1206" s="22">
        <f>+N1206-O1206</f>
        <v>0.0</v>
      </c>
      <c r="Q1206" s="57"/>
      <c r="R1206" s="58"/>
    </row>
    <row r="1207" spans="8:8" ht="15.0" customHeight="1">
      <c r="B1207" s="54">
        <v>1317.0</v>
      </c>
      <c r="C1207" s="8" t="s">
        <v>8351</v>
      </c>
      <c r="D1207" s="8" t="s">
        <v>1013</v>
      </c>
      <c r="E1207" s="8" t="s">
        <v>1608</v>
      </c>
      <c r="F1207" s="8" t="s">
        <v>1501</v>
      </c>
      <c r="G1207" s="8"/>
      <c r="H1207" s="8" t="s">
        <v>1608</v>
      </c>
      <c r="I1207" s="8"/>
      <c r="J1207" s="78" t="s">
        <v>5122</v>
      </c>
      <c r="K1207" s="22">
        <v>0.0</v>
      </c>
      <c r="L1207" s="22">
        <f>+SUMIF('حركه المخزن الرئيسي اليوميه'!$F:$F,$H:$H,'حركه المخزن الرئيسي اليوميه'!$H:$H)</f>
        <v>0.0</v>
      </c>
      <c r="M1207" s="22">
        <f>+SUMIF('حركه المخزن الرئيسي اليوميه'!$F:$F,$H:$H,'حركه المخزن الرئيسي اليوميه'!$I:$I)</f>
        <v>0.0</v>
      </c>
      <c r="N1207" s="22">
        <f>+K1207+L1207-M1207</f>
        <v>0.0</v>
      </c>
      <c r="O1207" s="22">
        <f>+N1207</f>
        <v>0.0</v>
      </c>
      <c r="P1207" s="22">
        <f>+N1207-O1207</f>
        <v>0.0</v>
      </c>
      <c r="Q1207" s="57"/>
      <c r="R1207" s="58"/>
    </row>
    <row r="1208" spans="8:8" ht="15.0" customHeight="1">
      <c r="B1208" s="54">
        <v>1318.0</v>
      </c>
      <c r="C1208" s="8" t="s">
        <v>8351</v>
      </c>
      <c r="D1208" s="8" t="s">
        <v>1013</v>
      </c>
      <c r="E1208" s="8" t="s">
        <v>2501</v>
      </c>
      <c r="F1208" s="8" t="s">
        <v>68</v>
      </c>
      <c r="G1208" s="8"/>
      <c r="H1208" s="8" t="s">
        <v>2501</v>
      </c>
      <c r="I1208" s="8"/>
      <c r="J1208" s="78" t="s">
        <v>5123</v>
      </c>
      <c r="K1208" s="22">
        <v>0.0</v>
      </c>
      <c r="L1208" s="22">
        <f>+SUMIF('حركه المخزن الرئيسي اليوميه'!$F:$F,$H:$H,'حركه المخزن الرئيسي اليوميه'!$H:$H)</f>
        <v>0.0</v>
      </c>
      <c r="M1208" s="22">
        <f>+SUMIF('حركه المخزن الرئيسي اليوميه'!$F:$F,$H:$H,'حركه المخزن الرئيسي اليوميه'!$I:$I)</f>
        <v>0.0</v>
      </c>
      <c r="N1208" s="22">
        <f>+K1208+L1208-M1208</f>
        <v>0.0</v>
      </c>
      <c r="O1208" s="22">
        <f>+N1208</f>
        <v>0.0</v>
      </c>
      <c r="P1208" s="22">
        <f>+N1208-O1208</f>
        <v>0.0</v>
      </c>
      <c r="Q1208" s="57"/>
      <c r="R1208" s="58"/>
    </row>
    <row r="1209" spans="8:8" ht="15.0" customHeight="1">
      <c r="B1209" s="54">
        <v>1320.0</v>
      </c>
      <c r="C1209" s="8" t="s">
        <v>8351</v>
      </c>
      <c r="D1209" s="8" t="s">
        <v>1013</v>
      </c>
      <c r="E1209" s="8" t="s">
        <v>1492</v>
      </c>
      <c r="F1209" s="8" t="s">
        <v>68</v>
      </c>
      <c r="G1209" s="8"/>
      <c r="H1209" s="8" t="s">
        <v>1492</v>
      </c>
      <c r="I1209" s="8" t="s">
        <v>326</v>
      </c>
      <c r="J1209" s="78" t="s">
        <v>5124</v>
      </c>
      <c r="K1209" s="22">
        <v>3.0</v>
      </c>
      <c r="L1209" s="22">
        <f>+SUMIF('حركه المخزن الرئيسي اليوميه'!$F:$F,$H:$H,'حركه المخزن الرئيسي اليوميه'!$H:$H)</f>
        <v>0.0</v>
      </c>
      <c r="M1209" s="22">
        <f>+SUMIF('حركه المخزن الرئيسي اليوميه'!$F:$F,$H:$H,'حركه المخزن الرئيسي اليوميه'!$I:$I)</f>
        <v>0.0</v>
      </c>
      <c r="N1209" s="22">
        <f>+K1209+L1209-M1209</f>
        <v>3.0</v>
      </c>
      <c r="O1209" s="22">
        <f>+N1209</f>
        <v>3.0</v>
      </c>
      <c r="P1209" s="22">
        <f>+N1209-O1209</f>
        <v>0.0</v>
      </c>
      <c r="Q1209" s="57"/>
      <c r="R1209" s="58"/>
    </row>
    <row r="1210" spans="8:8" ht="15.0" customHeight="1">
      <c r="B1210" s="54">
        <v>1321.0</v>
      </c>
      <c r="C1210" s="8" t="s">
        <v>8351</v>
      </c>
      <c r="D1210" s="8" t="s">
        <v>1013</v>
      </c>
      <c r="E1210" s="8" t="s">
        <v>1520</v>
      </c>
      <c r="F1210" s="8" t="s">
        <v>67</v>
      </c>
      <c r="G1210" s="8"/>
      <c r="H1210" s="8" t="s">
        <v>1520</v>
      </c>
      <c r="I1210" s="8"/>
      <c r="J1210" s="78" t="s">
        <v>5125</v>
      </c>
      <c r="K1210" s="22">
        <v>0.0</v>
      </c>
      <c r="L1210" s="22">
        <f>+SUMIF('حركه المخزن الرئيسي اليوميه'!$F:$F,$H:$H,'حركه المخزن الرئيسي اليوميه'!$H:$H)</f>
        <v>0.0</v>
      </c>
      <c r="M1210" s="22">
        <f>+SUMIF('حركه المخزن الرئيسي اليوميه'!$F:$F,$H:$H,'حركه المخزن الرئيسي اليوميه'!$I:$I)</f>
        <v>0.0</v>
      </c>
      <c r="N1210" s="22">
        <f>+K1210+L1210-M1210</f>
        <v>0.0</v>
      </c>
      <c r="O1210" s="22">
        <f>+N1210</f>
        <v>0.0</v>
      </c>
      <c r="P1210" s="22">
        <f>+N1210-O1210</f>
        <v>0.0</v>
      </c>
      <c r="Q1210" s="57"/>
      <c r="R1210" s="58"/>
    </row>
    <row r="1211" spans="8:8" ht="15.0" customHeight="1">
      <c r="B1211" s="54">
        <v>1322.0</v>
      </c>
      <c r="C1211" s="8" t="s">
        <v>8351</v>
      </c>
      <c r="D1211" s="8" t="s">
        <v>820</v>
      </c>
      <c r="E1211" s="8" t="s">
        <v>1273</v>
      </c>
      <c r="F1211" s="8" t="s">
        <v>68</v>
      </c>
      <c r="G1211" s="8" t="s">
        <v>2249</v>
      </c>
      <c r="H1211" s="8" t="s">
        <v>1273</v>
      </c>
      <c r="I1211" s="8"/>
      <c r="J1211" s="78" t="s">
        <v>5126</v>
      </c>
      <c r="K1211" s="22">
        <v>0.0</v>
      </c>
      <c r="L1211" s="22">
        <f>+SUMIF('حركه المخزن الرئيسي اليوميه'!$F:$F,$H:$H,'حركه المخزن الرئيسي اليوميه'!$H:$H)</f>
        <v>0.0</v>
      </c>
      <c r="M1211" s="22">
        <f>+SUMIF('حركه المخزن الرئيسي اليوميه'!$F:$F,$H:$H,'حركه المخزن الرئيسي اليوميه'!$I:$I)</f>
        <v>0.0</v>
      </c>
      <c r="N1211" s="22">
        <f>+K1211+L1211-M1211</f>
        <v>0.0</v>
      </c>
      <c r="O1211" s="22">
        <f>+N1211</f>
        <v>0.0</v>
      </c>
      <c r="P1211" s="22">
        <f>+N1211-O1211</f>
        <v>0.0</v>
      </c>
      <c r="Q1211" s="57"/>
      <c r="R1211" s="58"/>
    </row>
    <row r="1212" spans="8:8" ht="15.0" customHeight="1">
      <c r="B1212" s="54">
        <v>1323.0</v>
      </c>
      <c r="C1212" s="8" t="s">
        <v>8351</v>
      </c>
      <c r="D1212" s="8" t="s">
        <v>820</v>
      </c>
      <c r="E1212" s="8" t="s">
        <v>1271</v>
      </c>
      <c r="F1212" s="8" t="s">
        <v>68</v>
      </c>
      <c r="G1212" s="8" t="s">
        <v>2248</v>
      </c>
      <c r="H1212" s="8" t="s">
        <v>1271</v>
      </c>
      <c r="I1212" s="8"/>
      <c r="J1212" s="78" t="s">
        <v>5127</v>
      </c>
      <c r="K1212" s="22">
        <v>0.0</v>
      </c>
      <c r="L1212" s="22">
        <f>+SUMIF('حركه المخزن الرئيسي اليوميه'!$F:$F,$H:$H,'حركه المخزن الرئيسي اليوميه'!$H:$H)</f>
        <v>0.0</v>
      </c>
      <c r="M1212" s="22">
        <f>+SUMIF('حركه المخزن الرئيسي اليوميه'!$F:$F,$H:$H,'حركه المخزن الرئيسي اليوميه'!$I:$I)</f>
        <v>0.0</v>
      </c>
      <c r="N1212" s="22">
        <f>+K1212+L1212-M1212</f>
        <v>0.0</v>
      </c>
      <c r="O1212" s="22">
        <f>+N1212</f>
        <v>0.0</v>
      </c>
      <c r="P1212" s="22">
        <f>+N1212-O1212</f>
        <v>0.0</v>
      </c>
      <c r="Q1212" s="57"/>
      <c r="R1212" s="58"/>
    </row>
    <row r="1213" spans="8:8" ht="15.0" customHeight="1">
      <c r="B1213" s="54">
        <v>1324.0</v>
      </c>
      <c r="C1213" s="8" t="s">
        <v>8351</v>
      </c>
      <c r="D1213" s="8" t="s">
        <v>820</v>
      </c>
      <c r="E1213" s="8" t="s">
        <v>1410</v>
      </c>
      <c r="F1213" s="8" t="s">
        <v>1249</v>
      </c>
      <c r="G1213" s="8"/>
      <c r="H1213" s="8" t="s">
        <v>1410</v>
      </c>
      <c r="I1213" s="8"/>
      <c r="J1213" s="78" t="s">
        <v>5128</v>
      </c>
      <c r="K1213" s="22">
        <v>0.0</v>
      </c>
      <c r="L1213" s="22">
        <f>+SUMIF('حركه المخزن الرئيسي اليوميه'!$F:$F,$H:$H,'حركه المخزن الرئيسي اليوميه'!$H:$H)</f>
        <v>0.0</v>
      </c>
      <c r="M1213" s="22">
        <f>+SUMIF('حركه المخزن الرئيسي اليوميه'!$F:$F,$H:$H,'حركه المخزن الرئيسي اليوميه'!$I:$I)</f>
        <v>0.0</v>
      </c>
      <c r="N1213" s="22">
        <f>+K1213+L1213-M1213</f>
        <v>0.0</v>
      </c>
      <c r="O1213" s="22">
        <f>+N1213</f>
        <v>0.0</v>
      </c>
      <c r="P1213" s="22"/>
      <c r="Q1213" s="57"/>
      <c r="R1213" s="58"/>
    </row>
    <row r="1214" spans="8:8" ht="15.0" customHeight="1">
      <c r="B1214" s="54">
        <v>1325.0</v>
      </c>
      <c r="C1214" s="8" t="s">
        <v>8351</v>
      </c>
      <c r="D1214" s="8" t="s">
        <v>820</v>
      </c>
      <c r="E1214" s="8" t="s">
        <v>2534</v>
      </c>
      <c r="F1214" s="8" t="s">
        <v>68</v>
      </c>
      <c r="G1214" s="8" t="s">
        <v>2247</v>
      </c>
      <c r="H1214" s="8" t="s">
        <v>2534</v>
      </c>
      <c r="I1214" s="8"/>
      <c r="J1214" s="78" t="s">
        <v>5129</v>
      </c>
      <c r="K1214" s="22">
        <v>0.0</v>
      </c>
      <c r="L1214" s="22">
        <f>+SUMIF('حركه المخزن الرئيسي اليوميه'!$F:$F,$H:$H,'حركه المخزن الرئيسي اليوميه'!$H:$H)</f>
        <v>0.0</v>
      </c>
      <c r="M1214" s="22">
        <f>+SUMIF('حركه المخزن الرئيسي اليوميه'!$F:$F,$H:$H,'حركه المخزن الرئيسي اليوميه'!$I:$I)</f>
        <v>0.0</v>
      </c>
      <c r="N1214" s="22">
        <f>+K1214+L1214-M1214</f>
        <v>0.0</v>
      </c>
      <c r="O1214" s="22">
        <f>+N1214</f>
        <v>0.0</v>
      </c>
      <c r="P1214" s="22">
        <f>+N1214-O1214</f>
        <v>0.0</v>
      </c>
      <c r="Q1214" s="57"/>
      <c r="R1214" s="58"/>
    </row>
    <row r="1215" spans="8:8" ht="15.0" customHeight="1">
      <c r="B1215" s="54">
        <v>1326.0</v>
      </c>
      <c r="C1215" s="8" t="s">
        <v>8351</v>
      </c>
      <c r="D1215" s="8" t="s">
        <v>1460</v>
      </c>
      <c r="E1215" s="8" t="s">
        <v>1469</v>
      </c>
      <c r="F1215" s="8" t="s">
        <v>68</v>
      </c>
      <c r="G1215" s="8"/>
      <c r="H1215" s="8" t="s">
        <v>1469</v>
      </c>
      <c r="I1215" s="8"/>
      <c r="J1215" s="78" t="s">
        <v>5130</v>
      </c>
      <c r="K1215" s="22">
        <v>0.0</v>
      </c>
      <c r="L1215" s="22">
        <f>+SUMIF('حركه المخزن الرئيسي اليوميه'!$F:$F,$H:$H,'حركه المخزن الرئيسي اليوميه'!$H:$H)</f>
        <v>0.0</v>
      </c>
      <c r="M1215" s="22">
        <f>+SUMIF('حركه المخزن الرئيسي اليوميه'!$F:$F,$H:$H,'حركه المخزن الرئيسي اليوميه'!$I:$I)</f>
        <v>0.0</v>
      </c>
      <c r="N1215" s="22">
        <f>+K1215+L1215-M1215</f>
        <v>0.0</v>
      </c>
      <c r="O1215" s="22">
        <f>+N1215</f>
        <v>0.0</v>
      </c>
      <c r="P1215" s="22">
        <f>+N1215-O1215</f>
        <v>0.0</v>
      </c>
      <c r="Q1215" s="57"/>
      <c r="R1215" s="58"/>
    </row>
    <row r="1216" spans="8:8" ht="15.0" customHeight="1">
      <c r="B1216" s="54">
        <v>1327.0</v>
      </c>
      <c r="C1216" s="8" t="s">
        <v>8351</v>
      </c>
      <c r="D1216" s="8" t="s">
        <v>820</v>
      </c>
      <c r="E1216" s="8" t="s">
        <v>1394</v>
      </c>
      <c r="F1216" s="8" t="s">
        <v>876</v>
      </c>
      <c r="G1216" s="8"/>
      <c r="H1216" s="8" t="s">
        <v>1394</v>
      </c>
      <c r="I1216" s="8"/>
      <c r="J1216" s="78" t="s">
        <v>5131</v>
      </c>
      <c r="K1216" s="22">
        <v>0.0</v>
      </c>
      <c r="L1216" s="22">
        <f>+SUMIF('حركه المخزن الرئيسي اليوميه'!$F:$F,$H:$H,'حركه المخزن الرئيسي اليوميه'!$H:$H)</f>
        <v>0.0</v>
      </c>
      <c r="M1216" s="22">
        <f>+SUMIF('حركه المخزن الرئيسي اليوميه'!$F:$F,$H:$H,'حركه المخزن الرئيسي اليوميه'!$I:$I)</f>
        <v>0.0</v>
      </c>
      <c r="N1216" s="22">
        <f>+K1216+L1216-M1216</f>
        <v>0.0</v>
      </c>
      <c r="O1216" s="22">
        <f>+N1216</f>
        <v>0.0</v>
      </c>
      <c r="P1216" s="22">
        <f>+N1216-O1216</f>
        <v>0.0</v>
      </c>
      <c r="Q1216" s="57"/>
      <c r="R1216" s="58"/>
    </row>
    <row r="1217" spans="8:8" ht="15.0" customHeight="1">
      <c r="B1217" s="54">
        <v>1328.0</v>
      </c>
      <c r="C1217" s="8" t="s">
        <v>8351</v>
      </c>
      <c r="D1217" s="8" t="s">
        <v>1013</v>
      </c>
      <c r="E1217" s="8" t="s">
        <v>1509</v>
      </c>
      <c r="F1217" s="8" t="s">
        <v>1501</v>
      </c>
      <c r="G1217" s="8"/>
      <c r="H1217" s="8" t="s">
        <v>1509</v>
      </c>
      <c r="I1217" s="8"/>
      <c r="J1217" s="78" t="s">
        <v>5132</v>
      </c>
      <c r="K1217" s="22">
        <v>0.0</v>
      </c>
      <c r="L1217" s="22">
        <f>+SUMIF('حركه المخزن الرئيسي اليوميه'!$F:$F,$H:$H,'حركه المخزن الرئيسي اليوميه'!$H:$H)</f>
        <v>0.0</v>
      </c>
      <c r="M1217" s="22">
        <f>+SUMIF('حركه المخزن الرئيسي اليوميه'!$F:$F,$H:$H,'حركه المخزن الرئيسي اليوميه'!$I:$I)</f>
        <v>0.0</v>
      </c>
      <c r="N1217" s="22">
        <f>+K1217+L1217-M1217</f>
        <v>0.0</v>
      </c>
      <c r="O1217" s="22">
        <f>+N1217</f>
        <v>0.0</v>
      </c>
      <c r="P1217" s="22">
        <f>+N1217-O1217</f>
        <v>0.0</v>
      </c>
      <c r="Q1217" s="57"/>
      <c r="R1217" s="58"/>
    </row>
    <row r="1218" spans="8:8" ht="15.0" customHeight="1">
      <c r="B1218" s="54">
        <v>1329.0</v>
      </c>
      <c r="C1218" s="8" t="s">
        <v>8351</v>
      </c>
      <c r="D1218" s="8" t="s">
        <v>1013</v>
      </c>
      <c r="E1218" s="8" t="s">
        <v>1612</v>
      </c>
      <c r="F1218" s="8" t="s">
        <v>1501</v>
      </c>
      <c r="G1218" s="8"/>
      <c r="H1218" s="8" t="s">
        <v>1612</v>
      </c>
      <c r="I1218" s="8"/>
      <c r="J1218" s="78" t="s">
        <v>5133</v>
      </c>
      <c r="K1218" s="22">
        <v>0.0</v>
      </c>
      <c r="L1218" s="22">
        <f>+SUMIF('حركه المخزن الرئيسي اليوميه'!$F:$F,$H:$H,'حركه المخزن الرئيسي اليوميه'!$H:$H)</f>
        <v>0.0</v>
      </c>
      <c r="M1218" s="22">
        <f>+SUMIF('حركه المخزن الرئيسي اليوميه'!$F:$F,$H:$H,'حركه المخزن الرئيسي اليوميه'!$I:$I)</f>
        <v>0.0</v>
      </c>
      <c r="N1218" s="22">
        <f>+K1218+L1218-M1218</f>
        <v>0.0</v>
      </c>
      <c r="O1218" s="22">
        <f>+N1218</f>
        <v>0.0</v>
      </c>
      <c r="P1218" s="22">
        <f>+N1218-O1218</f>
        <v>0.0</v>
      </c>
      <c r="Q1218" s="57"/>
      <c r="R1218" s="58"/>
    </row>
    <row r="1219" spans="8:8" ht="15.0" customHeight="1">
      <c r="B1219" s="54">
        <v>1330.0</v>
      </c>
      <c r="C1219" s="8" t="s">
        <v>8351</v>
      </c>
      <c r="D1219" s="8" t="s">
        <v>820</v>
      </c>
      <c r="E1219" s="8" t="s">
        <v>1417</v>
      </c>
      <c r="F1219" s="8" t="s">
        <v>68</v>
      </c>
      <c r="G1219" s="8" t="s">
        <v>2267</v>
      </c>
      <c r="H1219" s="8" t="s">
        <v>1417</v>
      </c>
      <c r="I1219" s="8"/>
      <c r="J1219" s="78" t="s">
        <v>5134</v>
      </c>
      <c r="K1219" s="22">
        <v>0.0</v>
      </c>
      <c r="L1219" s="22">
        <f>+SUMIF('حركه المخزن الرئيسي اليوميه'!$F:$F,$H:$H,'حركه المخزن الرئيسي اليوميه'!$H:$H)</f>
        <v>0.0</v>
      </c>
      <c r="M1219" s="22">
        <f>+SUMIF('حركه المخزن الرئيسي اليوميه'!$F:$F,$H:$H,'حركه المخزن الرئيسي اليوميه'!$I:$I)</f>
        <v>0.0</v>
      </c>
      <c r="N1219" s="22">
        <f>+K1219+L1219-M1219</f>
        <v>0.0</v>
      </c>
      <c r="O1219" s="22">
        <f>+N1219</f>
        <v>0.0</v>
      </c>
      <c r="P1219" s="22">
        <f>+N1219-O1219</f>
        <v>0.0</v>
      </c>
      <c r="Q1219" s="57"/>
      <c r="R1219" s="58"/>
    </row>
    <row r="1220" spans="8:8" ht="15.0" customHeight="1">
      <c r="B1220" s="54">
        <v>1331.0</v>
      </c>
      <c r="C1220" s="8" t="s">
        <v>8351</v>
      </c>
      <c r="D1220" s="8" t="s">
        <v>1013</v>
      </c>
      <c r="E1220" s="8" t="s">
        <v>2720</v>
      </c>
      <c r="F1220" s="8" t="s">
        <v>68</v>
      </c>
      <c r="G1220" s="8"/>
      <c r="H1220" s="8" t="s">
        <v>2720</v>
      </c>
      <c r="I1220" s="8" t="s">
        <v>8157</v>
      </c>
      <c r="J1220" s="78" t="s">
        <v>5135</v>
      </c>
      <c r="K1220" s="22">
        <v>1.0</v>
      </c>
      <c r="L1220" s="22">
        <f>+SUMIF('حركه المخزن الرئيسي اليوميه'!$F:$F,$H:$H,'حركه المخزن الرئيسي اليوميه'!$H:$H)</f>
        <v>0.0</v>
      </c>
      <c r="M1220" s="22">
        <f>+SUMIF('حركه المخزن الرئيسي اليوميه'!$F:$F,$H:$H,'حركه المخزن الرئيسي اليوميه'!$I:$I)</f>
        <v>0.0</v>
      </c>
      <c r="N1220" s="22">
        <f>+K1220+L1220-M1220</f>
        <v>1.0</v>
      </c>
      <c r="O1220" s="22">
        <f>+N1220</f>
        <v>1.0</v>
      </c>
      <c r="P1220" s="22">
        <f>+N1220-O1220</f>
        <v>0.0</v>
      </c>
      <c r="Q1220" s="57"/>
      <c r="R1220" s="58"/>
    </row>
    <row r="1221" spans="8:8" ht="15.0" customHeight="1">
      <c r="B1221" s="54">
        <v>1332.0</v>
      </c>
      <c r="C1221" s="8" t="s">
        <v>8351</v>
      </c>
      <c r="D1221" s="8" t="s">
        <v>1013</v>
      </c>
      <c r="E1221" s="8" t="s">
        <v>8189</v>
      </c>
      <c r="F1221" s="8" t="s">
        <v>68</v>
      </c>
      <c r="G1221" s="8"/>
      <c r="H1221" s="8" t="s">
        <v>8189</v>
      </c>
      <c r="I1221" s="8" t="s">
        <v>3605</v>
      </c>
      <c r="J1221" s="78" t="s">
        <v>5136</v>
      </c>
      <c r="K1221" s="22">
        <v>2.0</v>
      </c>
      <c r="L1221" s="22">
        <f>+SUMIF('حركه المخزن الرئيسي اليوميه'!$F:$F,$H:$H,'حركه المخزن الرئيسي اليوميه'!$H:$H)</f>
        <v>0.0</v>
      </c>
      <c r="M1221" s="22">
        <f>+SUMIF('حركه المخزن الرئيسي اليوميه'!$F:$F,$H:$H,'حركه المخزن الرئيسي اليوميه'!$I:$I)</f>
        <v>0.0</v>
      </c>
      <c r="N1221" s="22">
        <f>+K1221+L1221-M1221</f>
        <v>2.0</v>
      </c>
      <c r="O1221" s="22">
        <f>+N1221</f>
        <v>2.0</v>
      </c>
      <c r="P1221" s="22">
        <f>+N1221-O1221</f>
        <v>0.0</v>
      </c>
      <c r="Q1221" s="57"/>
      <c r="R1221" s="58"/>
    </row>
    <row r="1222" spans="8:8" ht="15.0" customHeight="1">
      <c r="B1222" s="54">
        <v>1333.0</v>
      </c>
      <c r="C1222" s="8" t="s">
        <v>8351</v>
      </c>
      <c r="D1222" s="8" t="s">
        <v>1013</v>
      </c>
      <c r="E1222" s="8" t="s">
        <v>8167</v>
      </c>
      <c r="F1222" s="8" t="s">
        <v>68</v>
      </c>
      <c r="G1222" s="8"/>
      <c r="H1222" s="8" t="s">
        <v>8167</v>
      </c>
      <c r="I1222" s="8" t="s">
        <v>174</v>
      </c>
      <c r="J1222" s="78" t="s">
        <v>5137</v>
      </c>
      <c r="K1222" s="22">
        <v>8.0</v>
      </c>
      <c r="L1222" s="22">
        <f>+SUMIF('حركه المخزن الرئيسي اليوميه'!$F:$F,$H:$H,'حركه المخزن الرئيسي اليوميه'!$H:$H)</f>
        <v>0.0</v>
      </c>
      <c r="M1222" s="22">
        <f>+SUMIF('حركه المخزن الرئيسي اليوميه'!$F:$F,$H:$H,'حركه المخزن الرئيسي اليوميه'!$I:$I)</f>
        <v>0.0</v>
      </c>
      <c r="N1222" s="22">
        <f>+K1222+L1222-M1222</f>
        <v>8.0</v>
      </c>
      <c r="O1222" s="22">
        <f>+N1222</f>
        <v>8.0</v>
      </c>
      <c r="P1222" s="22">
        <f>+N1222-O1222</f>
        <v>0.0</v>
      </c>
      <c r="Q1222" s="57"/>
      <c r="R1222" s="58"/>
    </row>
    <row r="1223" spans="8:8" ht="15.0" customHeight="1">
      <c r="B1223" s="54">
        <v>1334.0</v>
      </c>
      <c r="C1223" s="8" t="s">
        <v>8351</v>
      </c>
      <c r="D1223" s="8" t="s">
        <v>1013</v>
      </c>
      <c r="E1223" s="8" t="s">
        <v>2723</v>
      </c>
      <c r="F1223" s="8" t="s">
        <v>67</v>
      </c>
      <c r="G1223" s="8"/>
      <c r="H1223" s="8" t="s">
        <v>2723</v>
      </c>
      <c r="I1223" s="8"/>
      <c r="J1223" s="78" t="s">
        <v>5138</v>
      </c>
      <c r="K1223" s="22">
        <v>0.0</v>
      </c>
      <c r="L1223" s="22">
        <f>+SUMIF('حركه المخزن الرئيسي اليوميه'!$F:$F,$H:$H,'حركه المخزن الرئيسي اليوميه'!$H:$H)</f>
        <v>0.0</v>
      </c>
      <c r="M1223" s="22">
        <f>+SUMIF('حركه المخزن الرئيسي اليوميه'!$F:$F,$H:$H,'حركه المخزن الرئيسي اليوميه'!$I:$I)</f>
        <v>0.0</v>
      </c>
      <c r="N1223" s="22">
        <f>+K1223+L1223-M1223</f>
        <v>0.0</v>
      </c>
      <c r="O1223" s="22">
        <f>+N1223</f>
        <v>0.0</v>
      </c>
      <c r="P1223" s="22">
        <f>+N1223-O1223</f>
        <v>0.0</v>
      </c>
      <c r="Q1223" s="57"/>
      <c r="R1223" s="58"/>
    </row>
    <row r="1224" spans="8:8" ht="15.0" customHeight="1">
      <c r="B1224" s="54">
        <v>1335.0</v>
      </c>
      <c r="C1224" s="8" t="s">
        <v>8351</v>
      </c>
      <c r="D1224" s="8" t="s">
        <v>1976</v>
      </c>
      <c r="E1224" s="8" t="s">
        <v>2725</v>
      </c>
      <c r="F1224" s="8" t="s">
        <v>68</v>
      </c>
      <c r="G1224" s="8"/>
      <c r="H1224" s="8" t="s">
        <v>2725</v>
      </c>
      <c r="I1224" s="8"/>
      <c r="J1224" s="78" t="s">
        <v>5139</v>
      </c>
      <c r="K1224" s="22">
        <v>0.0</v>
      </c>
      <c r="L1224" s="22">
        <f>+SUMIF('حركه المخزن الرئيسي اليوميه'!$F:$F,$H:$H,'حركه المخزن الرئيسي اليوميه'!$H:$H)</f>
        <v>0.0</v>
      </c>
      <c r="M1224" s="22">
        <f>+SUMIF('حركه المخزن الرئيسي اليوميه'!$F:$F,$H:$H,'حركه المخزن الرئيسي اليوميه'!$I:$I)</f>
        <v>0.0</v>
      </c>
      <c r="N1224" s="22">
        <f>+K1224+L1224-M1224</f>
        <v>0.0</v>
      </c>
      <c r="O1224" s="22">
        <f>+N1224</f>
        <v>0.0</v>
      </c>
      <c r="P1224" s="22">
        <f>+N1224-O1224</f>
        <v>0.0</v>
      </c>
      <c r="Q1224" s="57"/>
      <c r="R1224" s="58"/>
    </row>
    <row r="1225" spans="8:8" ht="15.0" customHeight="1">
      <c r="B1225" s="54">
        <v>1336.0</v>
      </c>
      <c r="C1225" s="8" t="s">
        <v>8351</v>
      </c>
      <c r="D1225" s="8" t="s">
        <v>765</v>
      </c>
      <c r="E1225" s="8" t="s">
        <v>2758</v>
      </c>
      <c r="F1225" s="8" t="s">
        <v>1501</v>
      </c>
      <c r="G1225" s="8"/>
      <c r="H1225" s="8" t="s">
        <v>2758</v>
      </c>
      <c r="I1225" s="8"/>
      <c r="J1225" s="78" t="s">
        <v>5140</v>
      </c>
      <c r="K1225" s="22">
        <v>0.0</v>
      </c>
      <c r="L1225" s="22">
        <f>+SUMIF('حركه المخزن الرئيسي اليوميه'!$F:$F,$H:$H,'حركه المخزن الرئيسي اليوميه'!$H:$H)</f>
        <v>0.0</v>
      </c>
      <c r="M1225" s="22">
        <f>+SUMIF('حركه المخزن الرئيسي اليوميه'!$F:$F,$H:$H,'حركه المخزن الرئيسي اليوميه'!$I:$I)</f>
        <v>0.0</v>
      </c>
      <c r="N1225" s="22">
        <f>+K1225+L1225-M1225</f>
        <v>0.0</v>
      </c>
      <c r="O1225" s="22">
        <f>+N1225</f>
        <v>0.0</v>
      </c>
      <c r="P1225" s="22">
        <f>+N1225-O1225</f>
        <v>0.0</v>
      </c>
      <c r="Q1225" s="57"/>
      <c r="R1225" s="58"/>
    </row>
    <row r="1226" spans="8:8" ht="15.0" customHeight="1">
      <c r="B1226" s="54">
        <v>1337.0</v>
      </c>
      <c r="C1226" s="8" t="s">
        <v>8351</v>
      </c>
      <c r="D1226" s="8" t="s">
        <v>1976</v>
      </c>
      <c r="E1226" s="8" t="s">
        <v>2765</v>
      </c>
      <c r="F1226" s="8" t="s">
        <v>1501</v>
      </c>
      <c r="G1226" s="8"/>
      <c r="H1226" s="8" t="s">
        <v>2765</v>
      </c>
      <c r="I1226" s="8"/>
      <c r="J1226" s="78" t="s">
        <v>5141</v>
      </c>
      <c r="K1226" s="22">
        <v>0.0</v>
      </c>
      <c r="L1226" s="22">
        <f>+SUMIF('حركه المخزن الرئيسي اليوميه'!$F:$F,$H:$H,'حركه المخزن الرئيسي اليوميه'!$H:$H)</f>
        <v>0.0</v>
      </c>
      <c r="M1226" s="22">
        <f>+SUMIF('حركه المخزن الرئيسي اليوميه'!$F:$F,$H:$H,'حركه المخزن الرئيسي اليوميه'!$I:$I)</f>
        <v>0.0</v>
      </c>
      <c r="N1226" s="22">
        <f>+K1226+L1226-M1226</f>
        <v>0.0</v>
      </c>
      <c r="O1226" s="22">
        <f>+N1226</f>
        <v>0.0</v>
      </c>
      <c r="P1226" s="22">
        <f>+N1226-O1226</f>
        <v>0.0</v>
      </c>
      <c r="Q1226" s="57"/>
      <c r="R1226" s="58"/>
    </row>
    <row r="1227" spans="8:8" ht="15.0" customHeight="1">
      <c r="B1227" s="54">
        <v>1338.0</v>
      </c>
      <c r="C1227" s="8" t="s">
        <v>8351</v>
      </c>
      <c r="D1227" s="8" t="s">
        <v>1976</v>
      </c>
      <c r="E1227" s="8" t="s">
        <v>2766</v>
      </c>
      <c r="F1227" s="8" t="s">
        <v>1501</v>
      </c>
      <c r="G1227" s="8"/>
      <c r="H1227" s="8" t="s">
        <v>2766</v>
      </c>
      <c r="I1227" s="8"/>
      <c r="J1227" s="78" t="s">
        <v>5142</v>
      </c>
      <c r="K1227" s="22">
        <v>0.0</v>
      </c>
      <c r="L1227" s="22">
        <f>+SUMIF('حركه المخزن الرئيسي اليوميه'!$F:$F,$H:$H,'حركه المخزن الرئيسي اليوميه'!$H:$H)</f>
        <v>0.0</v>
      </c>
      <c r="M1227" s="22">
        <f>+SUMIF('حركه المخزن الرئيسي اليوميه'!$F:$F,$H:$H,'حركه المخزن الرئيسي اليوميه'!$I:$I)</f>
        <v>0.0</v>
      </c>
      <c r="N1227" s="22">
        <f>+K1227+L1227-M1227</f>
        <v>0.0</v>
      </c>
      <c r="O1227" s="22">
        <f>+N1227</f>
        <v>0.0</v>
      </c>
      <c r="P1227" s="22">
        <f>+N1227-O1227</f>
        <v>0.0</v>
      </c>
      <c r="Q1227" s="57"/>
      <c r="R1227" s="58"/>
    </row>
    <row r="1228" spans="8:8" ht="15.0" customHeight="1">
      <c r="B1228" s="54">
        <v>1339.0</v>
      </c>
      <c r="C1228" s="8" t="s">
        <v>8351</v>
      </c>
      <c r="D1228" s="8" t="s">
        <v>1460</v>
      </c>
      <c r="E1228" s="8" t="s">
        <v>2767</v>
      </c>
      <c r="F1228" s="8" t="s">
        <v>1501</v>
      </c>
      <c r="G1228" s="8"/>
      <c r="H1228" s="8" t="s">
        <v>2767</v>
      </c>
      <c r="I1228" s="8" t="s">
        <v>818</v>
      </c>
      <c r="J1228" s="78" t="s">
        <v>5143</v>
      </c>
      <c r="K1228" s="22">
        <v>0.0</v>
      </c>
      <c r="L1228" s="22">
        <f>+SUMIF('حركه المخزن الرئيسي اليوميه'!$F:$F,$H:$H,'حركه المخزن الرئيسي اليوميه'!$H:$H)</f>
        <v>0.0</v>
      </c>
      <c r="M1228" s="22">
        <f>+SUMIF('حركه المخزن الرئيسي اليوميه'!$F:$F,$H:$H,'حركه المخزن الرئيسي اليوميه'!$I:$I)</f>
        <v>0.0</v>
      </c>
      <c r="N1228" s="22">
        <f>+K1228+L1228-M1228</f>
        <v>0.0</v>
      </c>
      <c r="O1228" s="22">
        <f>+N1228</f>
        <v>0.0</v>
      </c>
      <c r="P1228" s="22">
        <f>+N1228-O1228</f>
        <v>0.0</v>
      </c>
      <c r="Q1228" s="57"/>
      <c r="R1228" s="58"/>
    </row>
    <row r="1229" spans="8:8" ht="15.0" customHeight="1">
      <c r="B1229" s="54">
        <v>1340.0</v>
      </c>
      <c r="C1229" s="8" t="s">
        <v>8351</v>
      </c>
      <c r="D1229" s="8" t="s">
        <v>766</v>
      </c>
      <c r="E1229" s="8" t="s">
        <v>2780</v>
      </c>
      <c r="F1229" s="8" t="s">
        <v>1501</v>
      </c>
      <c r="G1229" s="8"/>
      <c r="H1229" s="8" t="s">
        <v>2780</v>
      </c>
      <c r="I1229" s="8"/>
      <c r="J1229" s="78" t="s">
        <v>5144</v>
      </c>
      <c r="K1229" s="22">
        <v>0.0</v>
      </c>
      <c r="L1229" s="22">
        <f>+SUMIF('حركه المخزن الرئيسي اليوميه'!$F:$F,$H:$H,'حركه المخزن الرئيسي اليوميه'!$H:$H)</f>
        <v>0.0</v>
      </c>
      <c r="M1229" s="22">
        <f>+SUMIF('حركه المخزن الرئيسي اليوميه'!$F:$F,$H:$H,'حركه المخزن الرئيسي اليوميه'!$I:$I)</f>
        <v>0.0</v>
      </c>
      <c r="N1229" s="22">
        <f>+K1229+L1229-M1229</f>
        <v>0.0</v>
      </c>
      <c r="O1229" s="22">
        <f>+N1229</f>
        <v>0.0</v>
      </c>
      <c r="P1229" s="22">
        <f>+N1229-O1229</f>
        <v>0.0</v>
      </c>
      <c r="Q1229" s="57"/>
      <c r="R1229" s="58"/>
    </row>
    <row r="1230" spans="8:8" ht="15.0" customHeight="1">
      <c r="B1230" s="54">
        <v>1341.0</v>
      </c>
      <c r="C1230" s="8" t="s">
        <v>8351</v>
      </c>
      <c r="D1230" s="8" t="s">
        <v>2784</v>
      </c>
      <c r="E1230" s="8" t="s">
        <v>2790</v>
      </c>
      <c r="F1230" s="8" t="s">
        <v>1501</v>
      </c>
      <c r="G1230" s="8"/>
      <c r="H1230" s="8" t="s">
        <v>2790</v>
      </c>
      <c r="I1230" s="8" t="s">
        <v>335</v>
      </c>
      <c r="J1230" s="78" t="s">
        <v>5145</v>
      </c>
      <c r="K1230" s="22">
        <v>1.0</v>
      </c>
      <c r="L1230" s="22">
        <f>+SUMIF('حركه المخزن الرئيسي اليوميه'!$F:$F,$H:$H,'حركه المخزن الرئيسي اليوميه'!$H:$H)</f>
        <v>0.0</v>
      </c>
      <c r="M1230" s="22">
        <f>+SUMIF('حركه المخزن الرئيسي اليوميه'!$F:$F,$H:$H,'حركه المخزن الرئيسي اليوميه'!$I:$I)</f>
        <v>0.0</v>
      </c>
      <c r="N1230" s="22">
        <f>+K1230+L1230-M1230</f>
        <v>1.0</v>
      </c>
      <c r="O1230" s="22">
        <f>+N1230</f>
        <v>1.0</v>
      </c>
      <c r="P1230" s="22">
        <f>+N1230-O1230</f>
        <v>0.0</v>
      </c>
      <c r="Q1230" s="57"/>
      <c r="R1230" s="58"/>
    </row>
    <row r="1231" spans="8:8" ht="18.75" customHeight="1">
      <c r="B1231" s="54">
        <v>1342.0</v>
      </c>
      <c r="C1231" s="8" t="s">
        <v>8351</v>
      </c>
      <c r="D1231" s="8" t="s">
        <v>1976</v>
      </c>
      <c r="E1231" s="8" t="s">
        <v>2797</v>
      </c>
      <c r="F1231" s="8" t="s">
        <v>1501</v>
      </c>
      <c r="G1231" s="8" t="s">
        <v>2798</v>
      </c>
      <c r="H1231" s="8" t="s">
        <v>2797</v>
      </c>
      <c r="I1231" s="8"/>
      <c r="J1231" s="78" t="s">
        <v>5146</v>
      </c>
      <c r="K1231" s="22">
        <v>0.0</v>
      </c>
      <c r="L1231" s="22">
        <f>+SUMIF('حركه المخزن الرئيسي اليوميه'!$F:$F,$H:$H,'حركه المخزن الرئيسي اليوميه'!$H:$H)</f>
        <v>0.0</v>
      </c>
      <c r="M1231" s="22">
        <f>+SUMIF('حركه المخزن الرئيسي اليوميه'!$F:$F,$H:$H,'حركه المخزن الرئيسي اليوميه'!$I:$I)</f>
        <v>0.0</v>
      </c>
      <c r="N1231" s="22">
        <f>+K1231+L1231-M1231</f>
        <v>0.0</v>
      </c>
      <c r="O1231" s="22">
        <f>+N1231</f>
        <v>0.0</v>
      </c>
      <c r="P1231" s="22">
        <f>+N1231-O1231</f>
        <v>0.0</v>
      </c>
      <c r="Q1231" s="57"/>
      <c r="R1231" s="58"/>
    </row>
    <row r="1232" spans="8:8" ht="15.0" customHeight="1">
      <c r="B1232" s="54">
        <v>1343.0</v>
      </c>
      <c r="C1232" s="8" t="s">
        <v>8351</v>
      </c>
      <c r="D1232" s="8" t="s">
        <v>1976</v>
      </c>
      <c r="E1232" s="8" t="s">
        <v>2799</v>
      </c>
      <c r="F1232" s="8" t="s">
        <v>1501</v>
      </c>
      <c r="G1232" s="8" t="s">
        <v>2799</v>
      </c>
      <c r="H1232" s="8" t="s">
        <v>2799</v>
      </c>
      <c r="I1232" s="8"/>
      <c r="J1232" s="78" t="s">
        <v>5147</v>
      </c>
      <c r="K1232" s="22">
        <v>0.0</v>
      </c>
      <c r="L1232" s="22">
        <f>+SUMIF('حركه المخزن الرئيسي اليوميه'!$F:$F,$H:$H,'حركه المخزن الرئيسي اليوميه'!$H:$H)</f>
        <v>0.0</v>
      </c>
      <c r="M1232" s="22">
        <f>+SUMIF('حركه المخزن الرئيسي اليوميه'!$F:$F,$H:$H,'حركه المخزن الرئيسي اليوميه'!$I:$I)</f>
        <v>0.0</v>
      </c>
      <c r="N1232" s="22">
        <f>+K1232+L1232-M1232</f>
        <v>0.0</v>
      </c>
      <c r="O1232" s="22">
        <f>+N1232</f>
        <v>0.0</v>
      </c>
      <c r="P1232" s="22">
        <f>+N1232-O1232</f>
        <v>0.0</v>
      </c>
      <c r="Q1232" s="57"/>
      <c r="R1232" s="58"/>
    </row>
    <row r="1233" spans="8:8" ht="15.0" customHeight="1">
      <c r="B1233" s="54">
        <v>1344.0</v>
      </c>
      <c r="C1233" s="8" t="s">
        <v>8351</v>
      </c>
      <c r="D1233" s="8" t="s">
        <v>1976</v>
      </c>
      <c r="E1233" s="8" t="s">
        <v>2800</v>
      </c>
      <c r="F1233" s="8" t="s">
        <v>1501</v>
      </c>
      <c r="G1233" s="8" t="s">
        <v>2800</v>
      </c>
      <c r="H1233" s="8" t="s">
        <v>2800</v>
      </c>
      <c r="I1233" s="8"/>
      <c r="J1233" s="78" t="s">
        <v>5148</v>
      </c>
      <c r="K1233" s="22">
        <v>0.0</v>
      </c>
      <c r="L1233" s="22">
        <f>+SUMIF('حركه المخزن الرئيسي اليوميه'!$F:$F,$H:$H,'حركه المخزن الرئيسي اليوميه'!$H:$H)</f>
        <v>0.0</v>
      </c>
      <c r="M1233" s="22">
        <f>+SUMIF('حركه المخزن الرئيسي اليوميه'!$F:$F,$H:$H,'حركه المخزن الرئيسي اليوميه'!$I:$I)</f>
        <v>0.0</v>
      </c>
      <c r="N1233" s="22">
        <f>+K1233+L1233-M1233</f>
        <v>0.0</v>
      </c>
      <c r="O1233" s="22">
        <f>+N1233</f>
        <v>0.0</v>
      </c>
      <c r="P1233" s="22">
        <f>+N1233-O1233</f>
        <v>0.0</v>
      </c>
      <c r="Q1233" s="57"/>
      <c r="R1233" s="58"/>
    </row>
    <row r="1234" spans="8:8" ht="15.0" customHeight="1">
      <c r="B1234" s="54">
        <v>1345.0</v>
      </c>
      <c r="C1234" s="8" t="s">
        <v>8351</v>
      </c>
      <c r="D1234" s="8" t="s">
        <v>1976</v>
      </c>
      <c r="E1234" s="8" t="s">
        <v>3022</v>
      </c>
      <c r="F1234" s="8" t="s">
        <v>1501</v>
      </c>
      <c r="G1234" s="8" t="s">
        <v>3022</v>
      </c>
      <c r="H1234" s="8" t="s">
        <v>3022</v>
      </c>
      <c r="I1234" s="8"/>
      <c r="J1234" s="78" t="s">
        <v>5149</v>
      </c>
      <c r="K1234" s="22">
        <v>0.0</v>
      </c>
      <c r="L1234" s="22">
        <f>+SUMIF('حركه المخزن الرئيسي اليوميه'!$F:$F,$H:$H,'حركه المخزن الرئيسي اليوميه'!$H:$H)</f>
        <v>0.0</v>
      </c>
      <c r="M1234" s="22">
        <f>+SUMIF('حركه المخزن الرئيسي اليوميه'!$F:$F,$H:$H,'حركه المخزن الرئيسي اليوميه'!$I:$I)</f>
        <v>0.0</v>
      </c>
      <c r="N1234" s="22">
        <f>+K1234+L1234-M1234</f>
        <v>0.0</v>
      </c>
      <c r="O1234" s="22">
        <f>+N1234</f>
        <v>0.0</v>
      </c>
      <c r="P1234" s="22">
        <f>+N1234-O1234</f>
        <v>0.0</v>
      </c>
      <c r="Q1234" s="57"/>
      <c r="R1234" s="58"/>
    </row>
    <row r="1235" spans="8:8" ht="15.0" customHeight="1">
      <c r="B1235" s="54">
        <v>1346.0</v>
      </c>
      <c r="C1235" s="8" t="s">
        <v>8351</v>
      </c>
      <c r="D1235" s="8" t="s">
        <v>1976</v>
      </c>
      <c r="E1235" s="8" t="s">
        <v>3023</v>
      </c>
      <c r="F1235" s="8" t="s">
        <v>1501</v>
      </c>
      <c r="G1235" s="8" t="s">
        <v>3023</v>
      </c>
      <c r="H1235" s="8" t="s">
        <v>3023</v>
      </c>
      <c r="I1235" s="8"/>
      <c r="J1235" s="78" t="s">
        <v>5150</v>
      </c>
      <c r="K1235" s="22">
        <v>0.0</v>
      </c>
      <c r="L1235" s="22">
        <f>+SUMIF('حركه المخزن الرئيسي اليوميه'!$F:$F,$H:$H,'حركه المخزن الرئيسي اليوميه'!$H:$H)</f>
        <v>0.0</v>
      </c>
      <c r="M1235" s="22">
        <f>+SUMIF('حركه المخزن الرئيسي اليوميه'!$F:$F,$H:$H,'حركه المخزن الرئيسي اليوميه'!$I:$I)</f>
        <v>0.0</v>
      </c>
      <c r="N1235" s="22">
        <f>+K1235+L1235-M1235</f>
        <v>0.0</v>
      </c>
      <c r="O1235" s="22">
        <f>+N1235</f>
        <v>0.0</v>
      </c>
      <c r="P1235" s="22">
        <f>+N1235-O1235</f>
        <v>0.0</v>
      </c>
      <c r="Q1235" s="57"/>
      <c r="R1235" s="58"/>
    </row>
    <row r="1236" spans="8:8" ht="15.0" customHeight="1">
      <c r="B1236" s="54">
        <v>1347.0</v>
      </c>
      <c r="C1236" s="8" t="s">
        <v>8351</v>
      </c>
      <c r="D1236" s="8" t="s">
        <v>1013</v>
      </c>
      <c r="E1236" s="8" t="s">
        <v>3024</v>
      </c>
      <c r="F1236" s="8" t="s">
        <v>1501</v>
      </c>
      <c r="G1236" s="8" t="s">
        <v>3024</v>
      </c>
      <c r="H1236" s="8" t="s">
        <v>3024</v>
      </c>
      <c r="I1236" s="8"/>
      <c r="J1236" s="78" t="s">
        <v>5151</v>
      </c>
      <c r="K1236" s="22">
        <v>0.0</v>
      </c>
      <c r="L1236" s="22">
        <f>+SUMIF('حركه المخزن الرئيسي اليوميه'!$F:$F,$H:$H,'حركه المخزن الرئيسي اليوميه'!$H:$H)</f>
        <v>0.0</v>
      </c>
      <c r="M1236" s="22">
        <f>+SUMIF('حركه المخزن الرئيسي اليوميه'!$F:$F,$H:$H,'حركه المخزن الرئيسي اليوميه'!$I:$I)</f>
        <v>0.0</v>
      </c>
      <c r="N1236" s="22">
        <f>+K1236+L1236-M1236</f>
        <v>0.0</v>
      </c>
      <c r="O1236" s="22">
        <f>+N1236</f>
        <v>0.0</v>
      </c>
      <c r="P1236" s="22">
        <f>+N1236-O1236</f>
        <v>0.0</v>
      </c>
      <c r="Q1236" s="57"/>
      <c r="R1236" s="58"/>
    </row>
    <row r="1237" spans="8:8" ht="15.0" customHeight="1">
      <c r="B1237" s="54">
        <v>1348.0</v>
      </c>
      <c r="C1237" s="8" t="s">
        <v>8351</v>
      </c>
      <c r="D1237" s="8" t="s">
        <v>1013</v>
      </c>
      <c r="E1237" s="8" t="s">
        <v>3025</v>
      </c>
      <c r="F1237" s="8" t="s">
        <v>1501</v>
      </c>
      <c r="G1237" s="8" t="s">
        <v>3025</v>
      </c>
      <c r="H1237" s="8" t="s">
        <v>3025</v>
      </c>
      <c r="I1237" s="8"/>
      <c r="J1237" s="78" t="s">
        <v>5152</v>
      </c>
      <c r="K1237" s="22">
        <v>0.0</v>
      </c>
      <c r="L1237" s="22">
        <f>+SUMIF('حركه المخزن الرئيسي اليوميه'!$F:$F,$H:$H,'حركه المخزن الرئيسي اليوميه'!$H:$H)</f>
        <v>0.0</v>
      </c>
      <c r="M1237" s="22">
        <f>+SUMIF('حركه المخزن الرئيسي اليوميه'!$F:$F,$H:$H,'حركه المخزن الرئيسي اليوميه'!$I:$I)</f>
        <v>0.0</v>
      </c>
      <c r="N1237" s="22">
        <f>+K1237+L1237-M1237</f>
        <v>0.0</v>
      </c>
      <c r="O1237" s="22">
        <f>+N1237</f>
        <v>0.0</v>
      </c>
      <c r="P1237" s="22">
        <f>+N1237-O1237</f>
        <v>0.0</v>
      </c>
      <c r="Q1237" s="57"/>
      <c r="R1237" s="58"/>
    </row>
    <row r="1238" spans="8:8" ht="15.0" customHeight="1">
      <c r="B1238" s="54">
        <v>1349.0</v>
      </c>
      <c r="C1238" s="8" t="s">
        <v>8351</v>
      </c>
      <c r="D1238" s="8" t="s">
        <v>1013</v>
      </c>
      <c r="E1238" s="8" t="s">
        <v>3026</v>
      </c>
      <c r="F1238" s="8" t="s">
        <v>1501</v>
      </c>
      <c r="G1238" s="8" t="s">
        <v>3026</v>
      </c>
      <c r="H1238" s="8" t="s">
        <v>3026</v>
      </c>
      <c r="I1238" s="8"/>
      <c r="J1238" s="78" t="s">
        <v>5153</v>
      </c>
      <c r="K1238" s="22">
        <v>0.0</v>
      </c>
      <c r="L1238" s="22">
        <f>+SUMIF('حركه المخزن الرئيسي اليوميه'!$F:$F,$H:$H,'حركه المخزن الرئيسي اليوميه'!$H:$H)</f>
        <v>0.0</v>
      </c>
      <c r="M1238" s="22">
        <f>+SUMIF('حركه المخزن الرئيسي اليوميه'!$F:$F,$H:$H,'حركه المخزن الرئيسي اليوميه'!$I:$I)</f>
        <v>0.0</v>
      </c>
      <c r="N1238" s="22">
        <f>+K1238+L1238-M1238</f>
        <v>0.0</v>
      </c>
      <c r="O1238" s="22">
        <f>+N1238</f>
        <v>0.0</v>
      </c>
      <c r="P1238" s="22">
        <f>+N1238-O1238</f>
        <v>0.0</v>
      </c>
      <c r="Q1238" s="57"/>
      <c r="R1238" s="58"/>
    </row>
    <row r="1239" spans="8:8" ht="15.0" customHeight="1">
      <c r="B1239" s="54">
        <v>1350.0</v>
      </c>
      <c r="C1239" s="8" t="s">
        <v>8351</v>
      </c>
      <c r="D1239" s="8" t="s">
        <v>1976</v>
      </c>
      <c r="E1239" s="8" t="s">
        <v>3024</v>
      </c>
      <c r="F1239" s="8" t="s">
        <v>1501</v>
      </c>
      <c r="G1239" s="8" t="s">
        <v>3024</v>
      </c>
      <c r="H1239" s="8" t="s">
        <v>3024</v>
      </c>
      <c r="I1239" s="8"/>
      <c r="J1239" s="78" t="s">
        <v>5154</v>
      </c>
      <c r="K1239" s="22">
        <v>0.0</v>
      </c>
      <c r="L1239" s="22">
        <f>+SUMIF('حركه المخزن الرئيسي اليوميه'!$F:$F,$H:$H,'حركه المخزن الرئيسي اليوميه'!$H:$H)</f>
        <v>0.0</v>
      </c>
      <c r="M1239" s="22">
        <f>+SUMIF('حركه المخزن الرئيسي اليوميه'!$F:$F,$H:$H,'حركه المخزن الرئيسي اليوميه'!$I:$I)</f>
        <v>0.0</v>
      </c>
      <c r="N1239" s="22">
        <f>+K1239+L1239-M1239</f>
        <v>0.0</v>
      </c>
      <c r="O1239" s="22">
        <f>+N1239</f>
        <v>0.0</v>
      </c>
      <c r="P1239" s="22">
        <f>+N1239-O1239</f>
        <v>0.0</v>
      </c>
      <c r="Q1239" s="57"/>
      <c r="R1239" s="58"/>
    </row>
    <row r="1240" spans="8:8" ht="15.0" customHeight="1">
      <c r="B1240" s="54">
        <v>1351.0</v>
      </c>
      <c r="C1240" s="8" t="s">
        <v>8351</v>
      </c>
      <c r="D1240" s="8" t="s">
        <v>1976</v>
      </c>
      <c r="E1240" s="8" t="s">
        <v>3025</v>
      </c>
      <c r="F1240" s="8" t="s">
        <v>1501</v>
      </c>
      <c r="G1240" s="8" t="s">
        <v>3025</v>
      </c>
      <c r="H1240" s="8" t="s">
        <v>3025</v>
      </c>
      <c r="I1240" s="8"/>
      <c r="J1240" s="78" t="s">
        <v>5155</v>
      </c>
      <c r="K1240" s="22">
        <v>0.0</v>
      </c>
      <c r="L1240" s="22">
        <f>+SUMIF('حركه المخزن الرئيسي اليوميه'!$F:$F,$H:$H,'حركه المخزن الرئيسي اليوميه'!$H:$H)</f>
        <v>0.0</v>
      </c>
      <c r="M1240" s="22">
        <f>+SUMIF('حركه المخزن الرئيسي اليوميه'!$F:$F,$H:$H,'حركه المخزن الرئيسي اليوميه'!$I:$I)</f>
        <v>0.0</v>
      </c>
      <c r="N1240" s="22">
        <f>+K1240+L1240-M1240</f>
        <v>0.0</v>
      </c>
      <c r="O1240" s="22">
        <f>+N1240</f>
        <v>0.0</v>
      </c>
      <c r="P1240" s="22">
        <f>+N1240-O1240</f>
        <v>0.0</v>
      </c>
      <c r="Q1240" s="57"/>
      <c r="R1240" s="58"/>
    </row>
    <row r="1241" spans="8:8" ht="15.0" customHeight="1">
      <c r="B1241" s="54">
        <v>1352.0</v>
      </c>
      <c r="C1241" s="8" t="s">
        <v>8351</v>
      </c>
      <c r="D1241" s="8" t="s">
        <v>1976</v>
      </c>
      <c r="E1241" s="8" t="s">
        <v>3026</v>
      </c>
      <c r="F1241" s="8" t="s">
        <v>1501</v>
      </c>
      <c r="G1241" s="8" t="s">
        <v>3026</v>
      </c>
      <c r="H1241" s="8" t="s">
        <v>3026</v>
      </c>
      <c r="I1241" s="8"/>
      <c r="J1241" s="78" t="s">
        <v>5156</v>
      </c>
      <c r="K1241" s="22">
        <v>0.0</v>
      </c>
      <c r="L1241" s="22">
        <f>+SUMIF('حركه المخزن الرئيسي اليوميه'!$F:$F,$H:$H,'حركه المخزن الرئيسي اليوميه'!$H:$H)</f>
        <v>0.0</v>
      </c>
      <c r="M1241" s="22">
        <f>+SUMIF('حركه المخزن الرئيسي اليوميه'!$F:$F,$H:$H,'حركه المخزن الرئيسي اليوميه'!$I:$I)</f>
        <v>0.0</v>
      </c>
      <c r="N1241" s="22">
        <f>+K1241+L1241-M1241</f>
        <v>0.0</v>
      </c>
      <c r="O1241" s="22">
        <f>+N1241</f>
        <v>0.0</v>
      </c>
      <c r="P1241" s="22">
        <f>+N1241-O1241</f>
        <v>0.0</v>
      </c>
      <c r="Q1241" s="57"/>
      <c r="R1241" s="58"/>
    </row>
    <row r="1242" spans="8:8" ht="15.0" customHeight="1">
      <c r="B1242" s="54">
        <v>1353.0</v>
      </c>
      <c r="C1242" s="8" t="s">
        <v>8351</v>
      </c>
      <c r="D1242" s="8" t="s">
        <v>1976</v>
      </c>
      <c r="E1242" s="8" t="s">
        <v>3014</v>
      </c>
      <c r="F1242" s="8" t="s">
        <v>1501</v>
      </c>
      <c r="G1242" s="8"/>
      <c r="H1242" s="8" t="s">
        <v>3014</v>
      </c>
      <c r="I1242" s="8"/>
      <c r="J1242" s="78" t="s">
        <v>5157</v>
      </c>
      <c r="K1242" s="22">
        <v>0.0</v>
      </c>
      <c r="L1242" s="22">
        <f>+SUMIF('حركه المخزن الرئيسي اليوميه'!$F:$F,$H:$H,'حركه المخزن الرئيسي اليوميه'!$H:$H)</f>
        <v>0.0</v>
      </c>
      <c r="M1242" s="22">
        <f>+SUMIF('حركه المخزن الرئيسي اليوميه'!$F:$F,$H:$H,'حركه المخزن الرئيسي اليوميه'!$I:$I)</f>
        <v>0.0</v>
      </c>
      <c r="N1242" s="22">
        <f>+K1242+L1242-M1242</f>
        <v>0.0</v>
      </c>
      <c r="O1242" s="22">
        <f>+N1242</f>
        <v>0.0</v>
      </c>
      <c r="P1242" s="22">
        <f>+N1242-O1242</f>
        <v>0.0</v>
      </c>
      <c r="Q1242" s="57"/>
      <c r="R1242" s="58"/>
    </row>
    <row r="1243" spans="8:8" ht="15.0" customHeight="1">
      <c r="B1243" s="54">
        <v>1354.0</v>
      </c>
      <c r="C1243" s="8" t="s">
        <v>8351</v>
      </c>
      <c r="D1243" s="8" t="s">
        <v>1976</v>
      </c>
      <c r="E1243" s="8" t="s">
        <v>2801</v>
      </c>
      <c r="F1243" s="8" t="s">
        <v>1501</v>
      </c>
      <c r="G1243" s="8" t="s">
        <v>2801</v>
      </c>
      <c r="H1243" s="8" t="s">
        <v>2801</v>
      </c>
      <c r="I1243" s="8"/>
      <c r="J1243" s="78" t="s">
        <v>5158</v>
      </c>
      <c r="K1243" s="22">
        <v>0.0</v>
      </c>
      <c r="L1243" s="22">
        <f>+SUMIF('حركه المخزن الرئيسي اليوميه'!$F:$F,$H:$H,'حركه المخزن الرئيسي اليوميه'!$H:$H)</f>
        <v>0.0</v>
      </c>
      <c r="M1243" s="22">
        <f>+SUMIF('حركه المخزن الرئيسي اليوميه'!$F:$F,$H:$H,'حركه المخزن الرئيسي اليوميه'!$I:$I)</f>
        <v>0.0</v>
      </c>
      <c r="N1243" s="22">
        <f>+K1243+L1243-M1243</f>
        <v>0.0</v>
      </c>
      <c r="O1243" s="22">
        <f>+N1243</f>
        <v>0.0</v>
      </c>
      <c r="P1243" s="22">
        <f>+N1243-O1243</f>
        <v>0.0</v>
      </c>
      <c r="Q1243" s="57"/>
      <c r="R1243" s="58"/>
    </row>
    <row r="1244" spans="8:8" ht="15.0" customHeight="1">
      <c r="B1244" s="54">
        <v>1355.0</v>
      </c>
      <c r="C1244" s="8" t="s">
        <v>8351</v>
      </c>
      <c r="D1244" s="8" t="s">
        <v>765</v>
      </c>
      <c r="E1244" s="8" t="s">
        <v>2866</v>
      </c>
      <c r="F1244" s="8" t="s">
        <v>1501</v>
      </c>
      <c r="G1244" s="8"/>
      <c r="H1244" s="8" t="s">
        <v>2866</v>
      </c>
      <c r="I1244" s="8"/>
      <c r="J1244" s="78" t="s">
        <v>5159</v>
      </c>
      <c r="K1244" s="22">
        <v>0.0</v>
      </c>
      <c r="L1244" s="22">
        <f>+SUMIF('حركه المخزن الرئيسي اليوميه'!$F:$F,$H:$H,'حركه المخزن الرئيسي اليوميه'!$H:$H)</f>
        <v>0.0</v>
      </c>
      <c r="M1244" s="22">
        <f>+SUMIF('حركه المخزن الرئيسي اليوميه'!$F:$F,$H:$H,'حركه المخزن الرئيسي اليوميه'!$I:$I)</f>
        <v>0.0</v>
      </c>
      <c r="N1244" s="22">
        <f>+K1244+L1244-M1244</f>
        <v>0.0</v>
      </c>
      <c r="O1244" s="22">
        <f>+N1244</f>
        <v>0.0</v>
      </c>
      <c r="P1244" s="22">
        <f>+N1244-O1244</f>
        <v>0.0</v>
      </c>
      <c r="Q1244" s="57"/>
      <c r="R1244" s="58"/>
    </row>
    <row r="1245" spans="8:8" ht="15.0" customHeight="1">
      <c r="B1245" s="54">
        <v>1356.0</v>
      </c>
      <c r="C1245" s="8" t="s">
        <v>8351</v>
      </c>
      <c r="D1245" s="8" t="s">
        <v>765</v>
      </c>
      <c r="E1245" s="8" t="s">
        <v>2867</v>
      </c>
      <c r="F1245" s="8" t="s">
        <v>1501</v>
      </c>
      <c r="G1245" s="8"/>
      <c r="H1245" s="8" t="s">
        <v>3846</v>
      </c>
      <c r="I1245" s="8"/>
      <c r="J1245" s="78" t="s">
        <v>5160</v>
      </c>
      <c r="K1245" s="22">
        <v>0.0</v>
      </c>
      <c r="L1245" s="22">
        <f>+SUMIF('حركه المخزن الرئيسي اليوميه'!$F:$F,$H:$H,'حركه المخزن الرئيسي اليوميه'!$H:$H)</f>
        <v>0.0</v>
      </c>
      <c r="M1245" s="22">
        <f>+SUMIF('حركه المخزن الرئيسي اليوميه'!$F:$F,$H:$H,'حركه المخزن الرئيسي اليوميه'!$I:$I)</f>
        <v>0.0</v>
      </c>
      <c r="N1245" s="22">
        <f>+K1245+L1245-M1245</f>
        <v>0.0</v>
      </c>
      <c r="O1245" s="22">
        <f>+N1245</f>
        <v>0.0</v>
      </c>
      <c r="P1245" s="22">
        <f>+N1245-O1245</f>
        <v>0.0</v>
      </c>
      <c r="Q1245" s="57"/>
      <c r="R1245" s="58"/>
    </row>
    <row r="1246" spans="8:8" ht="15.0" customHeight="1">
      <c r="B1246" s="54">
        <v>1357.0</v>
      </c>
      <c r="C1246" s="8" t="s">
        <v>8351</v>
      </c>
      <c r="D1246" s="8" t="s">
        <v>1018</v>
      </c>
      <c r="E1246" s="8" t="s">
        <v>2877</v>
      </c>
      <c r="F1246" s="8" t="s">
        <v>1501</v>
      </c>
      <c r="G1246" s="8"/>
      <c r="H1246" s="8" t="s">
        <v>2877</v>
      </c>
      <c r="I1246" s="8" t="s">
        <v>222</v>
      </c>
      <c r="J1246" s="78" t="s">
        <v>5161</v>
      </c>
      <c r="K1246" s="22">
        <v>0.0</v>
      </c>
      <c r="L1246" s="22">
        <f>+SUMIF('حركه المخزن الرئيسي اليوميه'!$F:$F,$H:$H,'حركه المخزن الرئيسي اليوميه'!$H:$H)</f>
        <v>0.0</v>
      </c>
      <c r="M1246" s="22">
        <f>+SUMIF('حركه المخزن الرئيسي اليوميه'!$F:$F,$H:$H,'حركه المخزن الرئيسي اليوميه'!$I:$I)</f>
        <v>0.0</v>
      </c>
      <c r="N1246" s="22">
        <f>+K1246+L1246-M1246</f>
        <v>0.0</v>
      </c>
      <c r="O1246" s="22">
        <f>+N1246</f>
        <v>0.0</v>
      </c>
      <c r="P1246" s="22">
        <f>+N1246-O1246</f>
        <v>0.0</v>
      </c>
      <c r="Q1246" s="57"/>
      <c r="R1246" s="58"/>
    </row>
    <row r="1247" spans="8:8" ht="15.0" customHeight="1">
      <c r="B1247" s="54">
        <v>1358.0</v>
      </c>
      <c r="C1247" s="8" t="s">
        <v>8351</v>
      </c>
      <c r="D1247" s="8" t="s">
        <v>1018</v>
      </c>
      <c r="E1247" s="8" t="s">
        <v>2876</v>
      </c>
      <c r="F1247" s="8" t="s">
        <v>1501</v>
      </c>
      <c r="G1247" s="8"/>
      <c r="H1247" s="8" t="s">
        <v>2876</v>
      </c>
      <c r="I1247" s="8" t="s">
        <v>335</v>
      </c>
      <c r="J1247" s="78" t="s">
        <v>5162</v>
      </c>
      <c r="K1247" s="22">
        <v>20.0</v>
      </c>
      <c r="L1247" s="22">
        <f>+SUMIF('حركه المخزن الرئيسي اليوميه'!$F:$F,$H:$H,'حركه المخزن الرئيسي اليوميه'!$H:$H)</f>
        <v>0.0</v>
      </c>
      <c r="M1247" s="22">
        <f>+SUMIF('حركه المخزن الرئيسي اليوميه'!$F:$F,$H:$H,'حركه المخزن الرئيسي اليوميه'!$I:$I)</f>
        <v>0.0</v>
      </c>
      <c r="N1247" s="22">
        <f>+K1247+L1247-M1247</f>
        <v>20.0</v>
      </c>
      <c r="O1247" s="22">
        <f>+N1247</f>
        <v>20.0</v>
      </c>
      <c r="P1247" s="22">
        <f>+N1247-O1247</f>
        <v>0.0</v>
      </c>
      <c r="Q1247" s="57"/>
      <c r="R1247" s="58"/>
    </row>
    <row r="1248" spans="8:8" ht="15.0" customHeight="1">
      <c r="B1248" s="54">
        <v>1359.0</v>
      </c>
      <c r="C1248" s="8" t="s">
        <v>8351</v>
      </c>
      <c r="D1248" s="8" t="s">
        <v>1013</v>
      </c>
      <c r="E1248" s="8" t="s">
        <v>2880</v>
      </c>
      <c r="F1248" s="8" t="s">
        <v>1501</v>
      </c>
      <c r="G1248" s="8"/>
      <c r="H1248" s="8" t="s">
        <v>2881</v>
      </c>
      <c r="I1248" s="8" t="s">
        <v>818</v>
      </c>
      <c r="J1248" s="78" t="s">
        <v>5163</v>
      </c>
      <c r="K1248" s="22">
        <v>0.0</v>
      </c>
      <c r="L1248" s="22">
        <f>+SUMIF('حركه المخزن الرئيسي اليوميه'!$F:$F,$H:$H,'حركه المخزن الرئيسي اليوميه'!$H:$H)</f>
        <v>0.0</v>
      </c>
      <c r="M1248" s="22">
        <f>+SUMIF('حركه المخزن الرئيسي اليوميه'!$F:$F,$H:$H,'حركه المخزن الرئيسي اليوميه'!$I:$I)</f>
        <v>0.0</v>
      </c>
      <c r="N1248" s="22">
        <f>+K1248+L1248-M1248</f>
        <v>0.0</v>
      </c>
      <c r="O1248" s="22">
        <f>+N1248</f>
        <v>0.0</v>
      </c>
      <c r="P1248" s="22">
        <f>+N1248-O1248</f>
        <v>0.0</v>
      </c>
      <c r="Q1248" s="57"/>
      <c r="R1248" s="58"/>
    </row>
    <row r="1249" spans="8:8" ht="15.0" customHeight="1">
      <c r="B1249" s="54">
        <v>1360.0</v>
      </c>
      <c r="C1249" s="8" t="s">
        <v>8351</v>
      </c>
      <c r="D1249" s="8" t="s">
        <v>765</v>
      </c>
      <c r="E1249" s="8" t="s">
        <v>2895</v>
      </c>
      <c r="F1249" s="8" t="s">
        <v>125</v>
      </c>
      <c r="G1249" s="8"/>
      <c r="H1249" s="8" t="s">
        <v>2895</v>
      </c>
      <c r="I1249" s="8"/>
      <c r="J1249" s="78" t="s">
        <v>5164</v>
      </c>
      <c r="K1249" s="22">
        <v>0.0</v>
      </c>
      <c r="L1249" s="22">
        <f>+SUMIF('حركه المخزن الرئيسي اليوميه'!$F:$F,$H:$H,'حركه المخزن الرئيسي اليوميه'!$H:$H)</f>
        <v>0.0</v>
      </c>
      <c r="M1249" s="22">
        <f>+SUMIF('حركه المخزن الرئيسي اليوميه'!$F:$F,$H:$H,'حركه المخزن الرئيسي اليوميه'!$I:$I)</f>
        <v>0.0</v>
      </c>
      <c r="N1249" s="22">
        <f>+K1249+L1249-M1249</f>
        <v>0.0</v>
      </c>
      <c r="O1249" s="22">
        <f>+N1249</f>
        <v>0.0</v>
      </c>
      <c r="P1249" s="22">
        <f>+N1249-O1249</f>
        <v>0.0</v>
      </c>
      <c r="Q1249" s="57"/>
      <c r="R1249" s="58"/>
    </row>
    <row r="1250" spans="8:8" ht="15.0" customHeight="1">
      <c r="B1250" s="54">
        <v>1361.0</v>
      </c>
      <c r="C1250" s="8" t="s">
        <v>8351</v>
      </c>
      <c r="D1250" s="8" t="s">
        <v>765</v>
      </c>
      <c r="E1250" s="8" t="s">
        <v>2888</v>
      </c>
      <c r="F1250" s="8" t="s">
        <v>1501</v>
      </c>
      <c r="G1250" s="8"/>
      <c r="H1250" s="8" t="s">
        <v>2888</v>
      </c>
      <c r="I1250" s="8" t="s">
        <v>767</v>
      </c>
      <c r="J1250" s="78" t="s">
        <v>5165</v>
      </c>
      <c r="K1250" s="22">
        <v>4.0</v>
      </c>
      <c r="L1250" s="22">
        <f>+SUMIF('حركه المخزن الرئيسي اليوميه'!$F:$F,$H:$H,'حركه المخزن الرئيسي اليوميه'!$H:$H)</f>
        <v>0.0</v>
      </c>
      <c r="M1250" s="22">
        <f>+SUMIF('حركه المخزن الرئيسي اليوميه'!$F:$F,$H:$H,'حركه المخزن الرئيسي اليوميه'!$I:$I)</f>
        <v>0.0</v>
      </c>
      <c r="N1250" s="22">
        <f>+K1250+L1250-M1250</f>
        <v>4.0</v>
      </c>
      <c r="O1250" s="22">
        <f>+N1250</f>
        <v>4.0</v>
      </c>
      <c r="P1250" s="22">
        <f>+N1250-O1250</f>
        <v>0.0</v>
      </c>
      <c r="Q1250" s="57"/>
      <c r="R1250" s="58"/>
    </row>
    <row r="1251" spans="8:8" ht="15.0" customHeight="1">
      <c r="B1251" s="54">
        <v>1362.0</v>
      </c>
      <c r="C1251" s="8" t="s">
        <v>8351</v>
      </c>
      <c r="D1251" s="8" t="s">
        <v>765</v>
      </c>
      <c r="E1251" s="8" t="s">
        <v>2889</v>
      </c>
      <c r="F1251" s="8" t="s">
        <v>1501</v>
      </c>
      <c r="G1251" s="8"/>
      <c r="H1251" s="8" t="s">
        <v>2889</v>
      </c>
      <c r="I1251" s="8" t="s">
        <v>767</v>
      </c>
      <c r="J1251" s="78" t="s">
        <v>5166</v>
      </c>
      <c r="K1251" s="22">
        <v>1.0</v>
      </c>
      <c r="L1251" s="22">
        <f>+SUMIF('حركه المخزن الرئيسي اليوميه'!$F:$F,$H:$H,'حركه المخزن الرئيسي اليوميه'!$H:$H)</f>
        <v>0.0</v>
      </c>
      <c r="M1251" s="22">
        <f>+SUMIF('حركه المخزن الرئيسي اليوميه'!$F:$F,$H:$H,'حركه المخزن الرئيسي اليوميه'!$I:$I)</f>
        <v>0.0</v>
      </c>
      <c r="N1251" s="22">
        <f>+K1251+L1251-M1251</f>
        <v>1.0</v>
      </c>
      <c r="O1251" s="22">
        <f>+N1251</f>
        <v>1.0</v>
      </c>
      <c r="P1251" s="22">
        <f>+N1251-O1251</f>
        <v>0.0</v>
      </c>
      <c r="Q1251" s="57"/>
      <c r="R1251" s="58"/>
    </row>
    <row r="1252" spans="8:8" ht="15.0" customHeight="1">
      <c r="B1252" s="54">
        <v>1363.0</v>
      </c>
      <c r="C1252" s="8" t="s">
        <v>8351</v>
      </c>
      <c r="D1252" s="8" t="s">
        <v>765</v>
      </c>
      <c r="E1252" s="8" t="s">
        <v>2890</v>
      </c>
      <c r="F1252" s="8" t="s">
        <v>1501</v>
      </c>
      <c r="G1252" s="8"/>
      <c r="H1252" s="8" t="s">
        <v>2890</v>
      </c>
      <c r="I1252" s="8"/>
      <c r="J1252" s="78" t="s">
        <v>5167</v>
      </c>
      <c r="K1252" s="22">
        <v>0.0</v>
      </c>
      <c r="L1252" s="22">
        <f>+SUMIF('حركه المخزن الرئيسي اليوميه'!$F:$F,$H:$H,'حركه المخزن الرئيسي اليوميه'!$H:$H)</f>
        <v>0.0</v>
      </c>
      <c r="M1252" s="22">
        <f>+SUMIF('حركه المخزن الرئيسي اليوميه'!$F:$F,$H:$H,'حركه المخزن الرئيسي اليوميه'!$I:$I)</f>
        <v>0.0</v>
      </c>
      <c r="N1252" s="22">
        <f>+K1252+L1252-M1252</f>
        <v>0.0</v>
      </c>
      <c r="O1252" s="22">
        <f>+N1252</f>
        <v>0.0</v>
      </c>
      <c r="P1252" s="22">
        <f>+N1252-O1252</f>
        <v>0.0</v>
      </c>
      <c r="Q1252" s="57"/>
      <c r="R1252" s="58"/>
    </row>
    <row r="1253" spans="8:8" ht="15.0" customHeight="1">
      <c r="B1253" s="54">
        <v>1364.0</v>
      </c>
      <c r="C1253" s="8" t="s">
        <v>8351</v>
      </c>
      <c r="D1253" s="8" t="s">
        <v>765</v>
      </c>
      <c r="E1253" s="8" t="s">
        <v>2891</v>
      </c>
      <c r="F1253" s="8" t="s">
        <v>1501</v>
      </c>
      <c r="G1253" s="8"/>
      <c r="H1253" s="8" t="s">
        <v>2891</v>
      </c>
      <c r="I1253" s="8"/>
      <c r="J1253" s="78" t="s">
        <v>5168</v>
      </c>
      <c r="K1253" s="22">
        <v>0.0</v>
      </c>
      <c r="L1253" s="22">
        <f>+SUMIF('حركه المخزن الرئيسي اليوميه'!$F:$F,$H:$H,'حركه المخزن الرئيسي اليوميه'!$H:$H)</f>
        <v>0.0</v>
      </c>
      <c r="M1253" s="22">
        <f>+SUMIF('حركه المخزن الرئيسي اليوميه'!$F:$F,$H:$H,'حركه المخزن الرئيسي اليوميه'!$I:$I)</f>
        <v>0.0</v>
      </c>
      <c r="N1253" s="22">
        <f>+K1253+L1253-M1253</f>
        <v>0.0</v>
      </c>
      <c r="O1253" s="22">
        <f>+N1253</f>
        <v>0.0</v>
      </c>
      <c r="P1253" s="22">
        <f>+N1253-O1253</f>
        <v>0.0</v>
      </c>
      <c r="Q1253" s="57"/>
      <c r="R1253" s="58"/>
    </row>
    <row r="1254" spans="8:8" ht="15.0" customHeight="1">
      <c r="B1254" s="54">
        <v>1365.0</v>
      </c>
      <c r="C1254" s="8" t="s">
        <v>8351</v>
      </c>
      <c r="D1254" s="8" t="s">
        <v>765</v>
      </c>
      <c r="E1254" s="8" t="s">
        <v>2892</v>
      </c>
      <c r="F1254" s="8" t="s">
        <v>1501</v>
      </c>
      <c r="G1254" s="8"/>
      <c r="H1254" s="8" t="s">
        <v>2892</v>
      </c>
      <c r="I1254" s="8"/>
      <c r="J1254" s="78" t="s">
        <v>5169</v>
      </c>
      <c r="K1254" s="22">
        <v>0.0</v>
      </c>
      <c r="L1254" s="22">
        <f>+SUMIF('حركه المخزن الرئيسي اليوميه'!$F:$F,$H:$H,'حركه المخزن الرئيسي اليوميه'!$H:$H)</f>
        <v>0.0</v>
      </c>
      <c r="M1254" s="22">
        <f>+SUMIF('حركه المخزن الرئيسي اليوميه'!$F:$F,$H:$H,'حركه المخزن الرئيسي اليوميه'!$I:$I)</f>
        <v>0.0</v>
      </c>
      <c r="N1254" s="22">
        <f>+K1254+L1254-M1254</f>
        <v>0.0</v>
      </c>
      <c r="O1254" s="22">
        <f>+N1254</f>
        <v>0.0</v>
      </c>
      <c r="P1254" s="22">
        <f>+N1254-O1254</f>
        <v>0.0</v>
      </c>
      <c r="Q1254" s="57"/>
      <c r="R1254" s="58"/>
    </row>
    <row r="1255" spans="8:8" ht="15.0" customHeight="1">
      <c r="B1255" s="54">
        <v>1366.0</v>
      </c>
      <c r="C1255" s="8" t="s">
        <v>8351</v>
      </c>
      <c r="D1255" s="8" t="s">
        <v>765</v>
      </c>
      <c r="E1255" s="8" t="s">
        <v>2894</v>
      </c>
      <c r="F1255" s="8" t="s">
        <v>1501</v>
      </c>
      <c r="G1255" s="8"/>
      <c r="H1255" s="8" t="s">
        <v>2894</v>
      </c>
      <c r="I1255" s="8"/>
      <c r="J1255" s="78" t="s">
        <v>5170</v>
      </c>
      <c r="K1255" s="22">
        <v>0.0</v>
      </c>
      <c r="L1255" s="22">
        <f>+SUMIF('حركه المخزن الرئيسي اليوميه'!$F:$F,$H:$H,'حركه المخزن الرئيسي اليوميه'!$H:$H)</f>
        <v>0.0</v>
      </c>
      <c r="M1255" s="22">
        <f>+SUMIF('حركه المخزن الرئيسي اليوميه'!$F:$F,$H:$H,'حركه المخزن الرئيسي اليوميه'!$I:$I)</f>
        <v>0.0</v>
      </c>
      <c r="N1255" s="22">
        <f>+K1255+L1255-M1255</f>
        <v>0.0</v>
      </c>
      <c r="O1255" s="22">
        <f>+N1255</f>
        <v>0.0</v>
      </c>
      <c r="P1255" s="22">
        <f>+N1255-O1255</f>
        <v>0.0</v>
      </c>
      <c r="Q1255" s="57"/>
      <c r="R1255" s="58"/>
    </row>
    <row r="1256" spans="8:8" ht="15.0" customHeight="1">
      <c r="B1256" s="54">
        <v>1367.0</v>
      </c>
      <c r="C1256" s="8" t="s">
        <v>8351</v>
      </c>
      <c r="D1256" s="8" t="s">
        <v>765</v>
      </c>
      <c r="E1256" s="8" t="s">
        <v>3188</v>
      </c>
      <c r="F1256" s="8" t="s">
        <v>1501</v>
      </c>
      <c r="G1256" s="8"/>
      <c r="H1256" s="8" t="s">
        <v>3188</v>
      </c>
      <c r="I1256" s="8"/>
      <c r="J1256" s="78" t="s">
        <v>5171</v>
      </c>
      <c r="K1256" s="22">
        <v>0.0</v>
      </c>
      <c r="L1256" s="22">
        <f>+SUMIF('حركه المخزن الرئيسي اليوميه'!$F:$F,$H:$H,'حركه المخزن الرئيسي اليوميه'!$H:$H)</f>
        <v>0.0</v>
      </c>
      <c r="M1256" s="22">
        <f>+SUMIF('حركه المخزن الرئيسي اليوميه'!$F:$F,$H:$H,'حركه المخزن الرئيسي اليوميه'!$I:$I)</f>
        <v>0.0</v>
      </c>
      <c r="N1256" s="22">
        <f>+K1256+L1256-M1256</f>
        <v>0.0</v>
      </c>
      <c r="O1256" s="22">
        <f>+N1256</f>
        <v>0.0</v>
      </c>
      <c r="P1256" s="22">
        <f>+N1256-O1256</f>
        <v>0.0</v>
      </c>
      <c r="Q1256" s="57"/>
      <c r="R1256" s="58"/>
    </row>
    <row r="1257" spans="8:8" ht="15.0" customHeight="1">
      <c r="B1257" s="54">
        <v>1368.0</v>
      </c>
      <c r="C1257" s="8" t="s">
        <v>8351</v>
      </c>
      <c r="D1257" s="8" t="s">
        <v>765</v>
      </c>
      <c r="E1257" s="8" t="s">
        <v>3011</v>
      </c>
      <c r="F1257" s="8" t="s">
        <v>68</v>
      </c>
      <c r="G1257" s="8"/>
      <c r="H1257" s="8" t="s">
        <v>3011</v>
      </c>
      <c r="I1257" s="8"/>
      <c r="J1257" s="78" t="s">
        <v>5172</v>
      </c>
      <c r="K1257" s="22">
        <v>0.0</v>
      </c>
      <c r="L1257" s="22">
        <f>+SUMIF('حركه المخزن الرئيسي اليوميه'!$F:$F,$H:$H,'حركه المخزن الرئيسي اليوميه'!$H:$H)</f>
        <v>0.0</v>
      </c>
      <c r="M1257" s="22">
        <f>+SUMIF('حركه المخزن الرئيسي اليوميه'!$F:$F,$H:$H,'حركه المخزن الرئيسي اليوميه'!$I:$I)</f>
        <v>0.0</v>
      </c>
      <c r="N1257" s="22">
        <f>+K1257+L1257-M1257</f>
        <v>0.0</v>
      </c>
      <c r="O1257" s="22">
        <f>+N1257</f>
        <v>0.0</v>
      </c>
      <c r="P1257" s="22">
        <f>+N1257-O1257</f>
        <v>0.0</v>
      </c>
      <c r="Q1257" s="57"/>
      <c r="R1257" s="58"/>
    </row>
    <row r="1258" spans="8:8" ht="15.0" customHeight="1">
      <c r="B1258" s="54">
        <v>1369.0</v>
      </c>
      <c r="C1258" s="8" t="s">
        <v>8351</v>
      </c>
      <c r="D1258" s="8" t="s">
        <v>765</v>
      </c>
      <c r="E1258" s="8" t="s">
        <v>3019</v>
      </c>
      <c r="F1258" s="8" t="s">
        <v>68</v>
      </c>
      <c r="G1258" s="8"/>
      <c r="H1258" s="8" t="s">
        <v>3019</v>
      </c>
      <c r="I1258" s="8" t="s">
        <v>767</v>
      </c>
      <c r="J1258" s="78" t="s">
        <v>5173</v>
      </c>
      <c r="K1258" s="22">
        <v>0.0</v>
      </c>
      <c r="L1258" s="22">
        <f>+SUMIF('حركه المخزن الرئيسي اليوميه'!$F:$F,$H:$H,'حركه المخزن الرئيسي اليوميه'!$H:$H)</f>
        <v>0.0</v>
      </c>
      <c r="M1258" s="22">
        <f>+SUMIF('حركه المخزن الرئيسي اليوميه'!$F:$F,$H:$H,'حركه المخزن الرئيسي اليوميه'!$I:$I)</f>
        <v>0.0</v>
      </c>
      <c r="N1258" s="22">
        <f>+K1258+L1258-M1258</f>
        <v>0.0</v>
      </c>
      <c r="O1258" s="22">
        <f>+N1258</f>
        <v>0.0</v>
      </c>
      <c r="P1258" s="22">
        <f>+N1258-O1258</f>
        <v>0.0</v>
      </c>
      <c r="Q1258" s="57"/>
      <c r="R1258" s="58"/>
    </row>
    <row r="1259" spans="8:8" ht="15.0" customHeight="1">
      <c r="B1259" s="54">
        <v>1370.0</v>
      </c>
      <c r="C1259" s="8" t="s">
        <v>8351</v>
      </c>
      <c r="D1259" s="8" t="s">
        <v>765</v>
      </c>
      <c r="E1259" s="8" t="s">
        <v>3030</v>
      </c>
      <c r="F1259" s="8" t="s">
        <v>68</v>
      </c>
      <c r="G1259" s="8"/>
      <c r="H1259" s="8" t="s">
        <v>3030</v>
      </c>
      <c r="I1259" s="8"/>
      <c r="J1259" s="78" t="s">
        <v>5174</v>
      </c>
      <c r="K1259" s="22">
        <v>0.0</v>
      </c>
      <c r="L1259" s="22">
        <f>+SUMIF('حركه المخزن الرئيسي اليوميه'!$F:$F,$H:$H,'حركه المخزن الرئيسي اليوميه'!$H:$H)</f>
        <v>0.0</v>
      </c>
      <c r="M1259" s="22">
        <f>+SUMIF('حركه المخزن الرئيسي اليوميه'!$F:$F,$H:$H,'حركه المخزن الرئيسي اليوميه'!$I:$I)</f>
        <v>0.0</v>
      </c>
      <c r="N1259" s="22">
        <f>+K1259+L1259-M1259</f>
        <v>0.0</v>
      </c>
      <c r="O1259" s="22">
        <f>+N1259</f>
        <v>0.0</v>
      </c>
      <c r="P1259" s="22">
        <f>+N1259-O1259</f>
        <v>0.0</v>
      </c>
      <c r="Q1259" s="57"/>
      <c r="R1259" s="58"/>
    </row>
    <row r="1260" spans="8:8" ht="15.0" customHeight="1">
      <c r="B1260" s="54">
        <v>1371.0</v>
      </c>
      <c r="C1260" s="8" t="s">
        <v>8351</v>
      </c>
      <c r="D1260" s="8" t="s">
        <v>765</v>
      </c>
      <c r="E1260" s="8" t="s">
        <v>3029</v>
      </c>
      <c r="F1260" s="8" t="s">
        <v>68</v>
      </c>
      <c r="G1260" s="8"/>
      <c r="H1260" s="8" t="s">
        <v>3029</v>
      </c>
      <c r="I1260" s="8"/>
      <c r="J1260" s="78" t="s">
        <v>5175</v>
      </c>
      <c r="K1260" s="22">
        <v>0.0</v>
      </c>
      <c r="L1260" s="22">
        <f>+SUMIF('حركه المخزن الرئيسي اليوميه'!$F:$F,$H:$H,'حركه المخزن الرئيسي اليوميه'!$H:$H)</f>
        <v>0.0</v>
      </c>
      <c r="M1260" s="22">
        <f>+SUMIF('حركه المخزن الرئيسي اليوميه'!$F:$F,$H:$H,'حركه المخزن الرئيسي اليوميه'!$I:$I)</f>
        <v>0.0</v>
      </c>
      <c r="N1260" s="22">
        <f>+K1260+L1260-M1260</f>
        <v>0.0</v>
      </c>
      <c r="O1260" s="22">
        <f>+N1260</f>
        <v>0.0</v>
      </c>
      <c r="P1260" s="22">
        <f>+N1260-O1260</f>
        <v>0.0</v>
      </c>
      <c r="Q1260" s="57"/>
      <c r="R1260" s="58"/>
    </row>
    <row r="1261" spans="8:8" ht="15.0" customHeight="1">
      <c r="B1261" s="54">
        <v>1372.0</v>
      </c>
      <c r="C1261" s="8" t="s">
        <v>8351</v>
      </c>
      <c r="D1261" s="8" t="s">
        <v>765</v>
      </c>
      <c r="E1261" s="8" t="s">
        <v>3031</v>
      </c>
      <c r="F1261" s="8" t="s">
        <v>873</v>
      </c>
      <c r="G1261" s="8"/>
      <c r="H1261" s="8" t="s">
        <v>3031</v>
      </c>
      <c r="I1261" s="8"/>
      <c r="J1261" s="78" t="s">
        <v>5176</v>
      </c>
      <c r="K1261" s="22">
        <v>0.0</v>
      </c>
      <c r="L1261" s="22">
        <f>+SUMIF('حركه المخزن الرئيسي اليوميه'!$F:$F,$H:$H,'حركه المخزن الرئيسي اليوميه'!$H:$H)</f>
        <v>0.0</v>
      </c>
      <c r="M1261" s="22">
        <f>+SUMIF('حركه المخزن الرئيسي اليوميه'!$F:$F,$H:$H,'حركه المخزن الرئيسي اليوميه'!$I:$I)</f>
        <v>0.0</v>
      </c>
      <c r="N1261" s="22">
        <f>+K1261+L1261-M1261</f>
        <v>0.0</v>
      </c>
      <c r="O1261" s="22">
        <f>+N1261</f>
        <v>0.0</v>
      </c>
      <c r="P1261" s="22">
        <f>+N1261-O1261</f>
        <v>0.0</v>
      </c>
      <c r="Q1261" s="57"/>
      <c r="R1261" s="58"/>
    </row>
    <row r="1262" spans="8:8" ht="18.0" customHeight="1">
      <c r="B1262" s="54">
        <v>1373.0</v>
      </c>
      <c r="C1262" s="8" t="s">
        <v>8351</v>
      </c>
      <c r="D1262" s="8" t="s">
        <v>765</v>
      </c>
      <c r="E1262" s="8" t="s">
        <v>3032</v>
      </c>
      <c r="F1262" s="8" t="s">
        <v>68</v>
      </c>
      <c r="G1262" s="8"/>
      <c r="H1262" s="8" t="s">
        <v>3032</v>
      </c>
      <c r="I1262" s="8"/>
      <c r="J1262" s="78" t="s">
        <v>5177</v>
      </c>
      <c r="K1262" s="22">
        <v>0.0</v>
      </c>
      <c r="L1262" s="22">
        <f>+SUMIF('حركه المخزن الرئيسي اليوميه'!$F:$F,$H:$H,'حركه المخزن الرئيسي اليوميه'!$H:$H)</f>
        <v>0.0</v>
      </c>
      <c r="M1262" s="22">
        <f>+SUMIF('حركه المخزن الرئيسي اليوميه'!$F:$F,$H:$H,'حركه المخزن الرئيسي اليوميه'!$I:$I)</f>
        <v>0.0</v>
      </c>
      <c r="N1262" s="22">
        <f>+K1262+L1262-M1262</f>
        <v>0.0</v>
      </c>
      <c r="O1262" s="22">
        <f>+N1262</f>
        <v>0.0</v>
      </c>
      <c r="P1262" s="22">
        <f>+N1262-O1262</f>
        <v>0.0</v>
      </c>
      <c r="Q1262" s="57"/>
      <c r="R1262" s="58"/>
    </row>
    <row r="1263" spans="8:8" ht="15.0" customHeight="1">
      <c r="B1263" s="54">
        <v>1374.0</v>
      </c>
      <c r="C1263" s="8" t="s">
        <v>8351</v>
      </c>
      <c r="D1263" s="8" t="s">
        <v>765</v>
      </c>
      <c r="E1263" s="8" t="s">
        <v>3033</v>
      </c>
      <c r="F1263" s="8" t="s">
        <v>68</v>
      </c>
      <c r="G1263" s="8"/>
      <c r="H1263" s="8" t="s">
        <v>3033</v>
      </c>
      <c r="I1263" s="8"/>
      <c r="J1263" s="78" t="s">
        <v>5178</v>
      </c>
      <c r="K1263" s="22">
        <v>0.0</v>
      </c>
      <c r="L1263" s="22">
        <f>+SUMIF('حركه المخزن الرئيسي اليوميه'!$F:$F,$H:$H,'حركه المخزن الرئيسي اليوميه'!$H:$H)</f>
        <v>0.0</v>
      </c>
      <c r="M1263" s="22">
        <f>+SUMIF('حركه المخزن الرئيسي اليوميه'!$F:$F,$H:$H,'حركه المخزن الرئيسي اليوميه'!$I:$I)</f>
        <v>0.0</v>
      </c>
      <c r="N1263" s="22">
        <f>+K1263+L1263-M1263</f>
        <v>0.0</v>
      </c>
      <c r="O1263" s="22">
        <f>+N1263</f>
        <v>0.0</v>
      </c>
      <c r="P1263" s="22">
        <f>+N1263-O1263</f>
        <v>0.0</v>
      </c>
      <c r="Q1263" s="57"/>
      <c r="R1263" s="58"/>
    </row>
    <row r="1264" spans="8:8" ht="15.0" customHeight="1">
      <c r="B1264" s="54">
        <v>1375.0</v>
      </c>
      <c r="C1264" s="8" t="s">
        <v>8351</v>
      </c>
      <c r="D1264" s="8" t="s">
        <v>765</v>
      </c>
      <c r="E1264" s="8" t="s">
        <v>3034</v>
      </c>
      <c r="F1264" s="8" t="s">
        <v>68</v>
      </c>
      <c r="G1264" s="8"/>
      <c r="H1264" s="8" t="s">
        <v>3034</v>
      </c>
      <c r="I1264" s="8"/>
      <c r="J1264" s="78" t="s">
        <v>5179</v>
      </c>
      <c r="K1264" s="22">
        <v>0.0</v>
      </c>
      <c r="L1264" s="22">
        <f>+SUMIF('حركه المخزن الرئيسي اليوميه'!$F:$F,$H:$H,'حركه المخزن الرئيسي اليوميه'!$H:$H)</f>
        <v>0.0</v>
      </c>
      <c r="M1264" s="22">
        <f>+SUMIF('حركه المخزن الرئيسي اليوميه'!$F:$F,$H:$H,'حركه المخزن الرئيسي اليوميه'!$I:$I)</f>
        <v>0.0</v>
      </c>
      <c r="N1264" s="22">
        <f>+K1264+L1264-M1264</f>
        <v>0.0</v>
      </c>
      <c r="O1264" s="22">
        <f>+N1264</f>
        <v>0.0</v>
      </c>
      <c r="P1264" s="22">
        <f>+N1264-O1264</f>
        <v>0.0</v>
      </c>
      <c r="Q1264" s="57"/>
      <c r="R1264" s="58"/>
    </row>
    <row r="1265" spans="8:8" ht="15.0" customHeight="1">
      <c r="B1265" s="54">
        <v>1376.0</v>
      </c>
      <c r="C1265" s="8" t="s">
        <v>8351</v>
      </c>
      <c r="D1265" s="8" t="s">
        <v>765</v>
      </c>
      <c r="E1265" s="8" t="s">
        <v>3035</v>
      </c>
      <c r="F1265" s="8" t="s">
        <v>68</v>
      </c>
      <c r="G1265" s="8"/>
      <c r="H1265" s="8" t="s">
        <v>3035</v>
      </c>
      <c r="I1265" s="8"/>
      <c r="J1265" s="78" t="s">
        <v>5180</v>
      </c>
      <c r="K1265" s="22">
        <v>0.0</v>
      </c>
      <c r="L1265" s="22">
        <f>+SUMIF('حركه المخزن الرئيسي اليوميه'!$F:$F,$H:$H,'حركه المخزن الرئيسي اليوميه'!$H:$H)</f>
        <v>0.0</v>
      </c>
      <c r="M1265" s="22">
        <f>+SUMIF('حركه المخزن الرئيسي اليوميه'!$F:$F,$H:$H,'حركه المخزن الرئيسي اليوميه'!$I:$I)</f>
        <v>0.0</v>
      </c>
      <c r="N1265" s="22">
        <f>+K1265+L1265-M1265</f>
        <v>0.0</v>
      </c>
      <c r="O1265" s="22">
        <f>+N1265</f>
        <v>0.0</v>
      </c>
      <c r="P1265" s="22">
        <f>+N1265-O1265</f>
        <v>0.0</v>
      </c>
      <c r="Q1265" s="57"/>
      <c r="R1265" s="58"/>
    </row>
    <row r="1266" spans="8:8" ht="15.0" customHeight="1">
      <c r="B1266" s="54">
        <v>1377.0</v>
      </c>
      <c r="C1266" s="8" t="s">
        <v>8351</v>
      </c>
      <c r="D1266" s="8" t="s">
        <v>1018</v>
      </c>
      <c r="E1266" s="8" t="s">
        <v>3039</v>
      </c>
      <c r="F1266" s="8" t="s">
        <v>68</v>
      </c>
      <c r="G1266" s="8"/>
      <c r="H1266" s="8" t="s">
        <v>3039</v>
      </c>
      <c r="I1266" s="8" t="s">
        <v>224</v>
      </c>
      <c r="J1266" s="78" t="s">
        <v>5181</v>
      </c>
      <c r="K1266" s="22">
        <v>2.0</v>
      </c>
      <c r="L1266" s="22">
        <f>+SUMIF('حركه المخزن الرئيسي اليوميه'!$F:$F,$H:$H,'حركه المخزن الرئيسي اليوميه'!$H:$H)</f>
        <v>0.0</v>
      </c>
      <c r="M1266" s="22">
        <f>+SUMIF('حركه المخزن الرئيسي اليوميه'!$F:$F,$H:$H,'حركه المخزن الرئيسي اليوميه'!$I:$I)</f>
        <v>0.0</v>
      </c>
      <c r="N1266" s="22">
        <f>+K1266+L1266-M1266</f>
        <v>2.0</v>
      </c>
      <c r="O1266" s="22">
        <f>+N1266</f>
        <v>2.0</v>
      </c>
      <c r="P1266" s="22">
        <f>+N1266-O1266</f>
        <v>0.0</v>
      </c>
      <c r="Q1266" s="57"/>
      <c r="R1266" s="58"/>
    </row>
    <row r="1267" spans="8:8" ht="15.0" customHeight="1">
      <c r="B1267" s="54">
        <v>1378.0</v>
      </c>
      <c r="C1267" s="8" t="s">
        <v>8351</v>
      </c>
      <c r="D1267" s="8" t="s">
        <v>1013</v>
      </c>
      <c r="E1267" s="8" t="s">
        <v>3042</v>
      </c>
      <c r="F1267" s="8" t="s">
        <v>68</v>
      </c>
      <c r="G1267" s="8"/>
      <c r="H1267" s="8" t="s">
        <v>3042</v>
      </c>
      <c r="I1267" s="8" t="s">
        <v>3292</v>
      </c>
      <c r="J1267" s="78" t="s">
        <v>5182</v>
      </c>
      <c r="K1267" s="22">
        <v>5.0</v>
      </c>
      <c r="L1267" s="22">
        <f>+SUMIF('حركه المخزن الرئيسي اليوميه'!$F:$F,$H:$H,'حركه المخزن الرئيسي اليوميه'!$H:$H)</f>
        <v>0.0</v>
      </c>
      <c r="M1267" s="22">
        <f>+SUMIF('حركه المخزن الرئيسي اليوميه'!$F:$F,$H:$H,'حركه المخزن الرئيسي اليوميه'!$I:$I)</f>
        <v>0.0</v>
      </c>
      <c r="N1267" s="22">
        <f>+K1267+L1267-M1267</f>
        <v>5.0</v>
      </c>
      <c r="O1267" s="22">
        <f>+N1267</f>
        <v>5.0</v>
      </c>
      <c r="P1267" s="22">
        <f>+N1267-O1267</f>
        <v>0.0</v>
      </c>
      <c r="Q1267" s="57"/>
      <c r="R1267" s="59"/>
    </row>
    <row r="1268" spans="8:8" ht="15.0" customHeight="1">
      <c r="B1268" s="54">
        <v>1379.0</v>
      </c>
      <c r="C1268" s="8" t="s">
        <v>8351</v>
      </c>
      <c r="D1268" s="8" t="s">
        <v>1013</v>
      </c>
      <c r="E1268" s="8" t="s">
        <v>3043</v>
      </c>
      <c r="F1268" s="8" t="s">
        <v>68</v>
      </c>
      <c r="G1268" s="8"/>
      <c r="H1268" s="8" t="s">
        <v>3043</v>
      </c>
      <c r="I1268" s="8" t="s">
        <v>43</v>
      </c>
      <c r="J1268" s="78" t="s">
        <v>5183</v>
      </c>
      <c r="K1268" s="22">
        <v>0.0</v>
      </c>
      <c r="L1268" s="22">
        <f>+SUMIF('حركه المخزن الرئيسي اليوميه'!$F:$F,$H:$H,'حركه المخزن الرئيسي اليوميه'!$H:$H)</f>
        <v>0.0</v>
      </c>
      <c r="M1268" s="22">
        <f>+SUMIF('حركه المخزن الرئيسي اليوميه'!$F:$F,$H:$H,'حركه المخزن الرئيسي اليوميه'!$I:$I)</f>
        <v>0.0</v>
      </c>
      <c r="N1268" s="22">
        <f>+K1268+L1268-M1268</f>
        <v>0.0</v>
      </c>
      <c r="O1268" s="22">
        <f>+N1268</f>
        <v>0.0</v>
      </c>
      <c r="P1268" s="22">
        <f>+N1268-O1268</f>
        <v>0.0</v>
      </c>
      <c r="Q1268" s="57"/>
      <c r="R1268" s="59"/>
    </row>
    <row r="1269" spans="8:8" ht="15.0" customHeight="1">
      <c r="B1269" s="54">
        <v>1380.0</v>
      </c>
      <c r="C1269" s="8" t="s">
        <v>8351</v>
      </c>
      <c r="D1269" s="8" t="s">
        <v>1018</v>
      </c>
      <c r="E1269" s="8" t="s">
        <v>2831</v>
      </c>
      <c r="F1269" s="8" t="s">
        <v>1586</v>
      </c>
      <c r="G1269" s="8"/>
      <c r="H1269" s="8" t="s">
        <v>2831</v>
      </c>
      <c r="I1269" s="8" t="s">
        <v>222</v>
      </c>
      <c r="J1269" s="78" t="s">
        <v>5184</v>
      </c>
      <c r="K1269" s="22">
        <v>108.0</v>
      </c>
      <c r="L1269" s="22">
        <f>+SUMIF('حركه المخزن الرئيسي اليوميه'!$F:$F,$H:$H,'حركه المخزن الرئيسي اليوميه'!$H:$H)</f>
        <v>0.0</v>
      </c>
      <c r="M1269" s="22">
        <f>+SUMIF('حركه المخزن الرئيسي اليوميه'!$F:$F,$H:$H,'حركه المخزن الرئيسي اليوميه'!$I:$I)</f>
        <v>0.0</v>
      </c>
      <c r="N1269" s="22">
        <f>+K1269+L1269-M1269</f>
        <v>108.0</v>
      </c>
      <c r="O1269" s="22">
        <f>+N1269</f>
        <v>108.0</v>
      </c>
      <c r="P1269" s="22">
        <f>+N1269-O1269</f>
        <v>0.0</v>
      </c>
      <c r="Q1269" s="57"/>
      <c r="R1269" s="58"/>
    </row>
    <row r="1270" spans="8:8" ht="15.0" customHeight="1">
      <c r="B1270" s="54">
        <v>1382.0</v>
      </c>
      <c r="C1270" s="8" t="s">
        <v>8351</v>
      </c>
      <c r="D1270" s="8" t="s">
        <v>1013</v>
      </c>
      <c r="E1270" s="8" t="s">
        <v>1488</v>
      </c>
      <c r="F1270" s="8" t="s">
        <v>68</v>
      </c>
      <c r="G1270" s="8"/>
      <c r="H1270" s="8">
        <v>36209.0</v>
      </c>
      <c r="I1270" s="8"/>
      <c r="J1270" s="78" t="s">
        <v>5185</v>
      </c>
      <c r="K1270" s="22">
        <v>0.0</v>
      </c>
      <c r="L1270" s="22">
        <f>+SUMIF('حركه المخزن الرئيسي اليوميه'!$F:$F,$H:$H,'حركه المخزن الرئيسي اليوميه'!$H:$H)</f>
        <v>0.0</v>
      </c>
      <c r="M1270" s="22">
        <f>+SUMIF('حركه المخزن الرئيسي اليوميه'!$F:$F,$H:$H,'حركه المخزن الرئيسي اليوميه'!$I:$I)</f>
        <v>0.0</v>
      </c>
      <c r="N1270" s="22">
        <f>+K1270+L1270-M1270</f>
        <v>0.0</v>
      </c>
      <c r="O1270" s="22">
        <f>+N1270</f>
        <v>0.0</v>
      </c>
      <c r="P1270" s="22">
        <f>+N1270-O1270</f>
        <v>0.0</v>
      </c>
      <c r="Q1270" s="57"/>
      <c r="R1270" s="58"/>
    </row>
    <row r="1271" spans="8:8" ht="15.0" customHeight="1">
      <c r="B1271" s="54">
        <v>1383.0</v>
      </c>
      <c r="C1271" s="8" t="s">
        <v>8351</v>
      </c>
      <c r="D1271" s="8" t="s">
        <v>1013</v>
      </c>
      <c r="E1271" s="8" t="s">
        <v>1488</v>
      </c>
      <c r="F1271" s="8" t="s">
        <v>68</v>
      </c>
      <c r="G1271" s="8"/>
      <c r="H1271" s="8" t="s">
        <v>3293</v>
      </c>
      <c r="I1271" s="8" t="s">
        <v>3265</v>
      </c>
      <c r="J1271" s="78" t="s">
        <v>5186</v>
      </c>
      <c r="K1271" s="22">
        <v>10.0</v>
      </c>
      <c r="L1271" s="22">
        <f>+SUMIF('حركه المخزن الرئيسي اليوميه'!$F:$F,$H:$H,'حركه المخزن الرئيسي اليوميه'!$H:$H)</f>
        <v>0.0</v>
      </c>
      <c r="M1271" s="22">
        <f>+SUMIF('حركه المخزن الرئيسي اليوميه'!$F:$F,$H:$H,'حركه المخزن الرئيسي اليوميه'!$I:$I)</f>
        <v>0.0</v>
      </c>
      <c r="N1271" s="22">
        <f>+K1271+L1271-M1271</f>
        <v>10.0</v>
      </c>
      <c r="O1271" s="22">
        <f>+N1271</f>
        <v>10.0</v>
      </c>
      <c r="P1271" s="22">
        <f>+N1271-O1271</f>
        <v>0.0</v>
      </c>
      <c r="Q1271" s="57"/>
      <c r="R1271" s="58"/>
    </row>
    <row r="1272" spans="8:8" ht="15.0" customHeight="1">
      <c r="B1272" s="54">
        <v>1384.0</v>
      </c>
      <c r="C1272" s="8" t="s">
        <v>8351</v>
      </c>
      <c r="D1272" s="8" t="s">
        <v>1013</v>
      </c>
      <c r="E1272" s="8" t="s">
        <v>1488</v>
      </c>
      <c r="F1272" s="8" t="s">
        <v>68</v>
      </c>
      <c r="G1272" s="8"/>
      <c r="H1272" s="8">
        <v>7506.0</v>
      </c>
      <c r="I1272" s="8" t="s">
        <v>197</v>
      </c>
      <c r="J1272" s="78" t="s">
        <v>5187</v>
      </c>
      <c r="K1272" s="22">
        <v>20.0</v>
      </c>
      <c r="L1272" s="22">
        <f>+SUMIF('حركه المخزن الرئيسي اليوميه'!$F:$F,$H:$H,'حركه المخزن الرئيسي اليوميه'!$H:$H)</f>
        <v>0.0</v>
      </c>
      <c r="M1272" s="22">
        <f>+SUMIF('حركه المخزن الرئيسي اليوميه'!$F:$F,$H:$H,'حركه المخزن الرئيسي اليوميه'!$I:$I)</f>
        <v>0.0</v>
      </c>
      <c r="N1272" s="22">
        <f>+K1272+L1272-M1272</f>
        <v>20.0</v>
      </c>
      <c r="O1272" s="22">
        <f>+N1272</f>
        <v>20.0</v>
      </c>
      <c r="P1272" s="22">
        <f>+N1272-O1272</f>
        <v>0.0</v>
      </c>
      <c r="Q1272" s="57"/>
      <c r="R1272" s="58"/>
    </row>
    <row r="1273" spans="8:8" ht="15.0" customHeight="1">
      <c r="B1273" s="54">
        <v>1388.0</v>
      </c>
      <c r="C1273" s="8" t="s">
        <v>8351</v>
      </c>
      <c r="D1273" s="8" t="s">
        <v>1013</v>
      </c>
      <c r="E1273" s="8" t="s">
        <v>3060</v>
      </c>
      <c r="F1273" s="8" t="s">
        <v>68</v>
      </c>
      <c r="G1273" s="8"/>
      <c r="H1273" s="8" t="s">
        <v>3062</v>
      </c>
      <c r="I1273" s="8" t="s">
        <v>2947</v>
      </c>
      <c r="J1273" s="78" t="s">
        <v>5188</v>
      </c>
      <c r="K1273" s="22">
        <v>3.0</v>
      </c>
      <c r="L1273" s="22">
        <f>+SUMIF('حركه المخزن الرئيسي اليوميه'!$F:$F,$H:$H,'حركه المخزن الرئيسي اليوميه'!$H:$H)</f>
        <v>0.0</v>
      </c>
      <c r="M1273" s="22">
        <f>+SUMIF('حركه المخزن الرئيسي اليوميه'!$F:$F,$H:$H,'حركه المخزن الرئيسي اليوميه'!$I:$I)</f>
        <v>0.0</v>
      </c>
      <c r="N1273" s="22">
        <f>+K1273+L1273-M1273</f>
        <v>3.0</v>
      </c>
      <c r="O1273" s="22">
        <f>+N1273</f>
        <v>3.0</v>
      </c>
      <c r="P1273" s="22">
        <f>+N1273-O1273</f>
        <v>0.0</v>
      </c>
      <c r="Q1273" s="57"/>
      <c r="R1273" s="58"/>
    </row>
    <row r="1274" spans="8:8" ht="15.0" customHeight="1">
      <c r="B1274" s="54">
        <v>1389.0</v>
      </c>
      <c r="C1274" s="8" t="s">
        <v>8351</v>
      </c>
      <c r="D1274" s="8" t="s">
        <v>1013</v>
      </c>
      <c r="E1274" s="8" t="s">
        <v>3061</v>
      </c>
      <c r="F1274" s="8" t="s">
        <v>68</v>
      </c>
      <c r="G1274" s="8"/>
      <c r="H1274" s="8" t="s">
        <v>3061</v>
      </c>
      <c r="I1274" s="8" t="s">
        <v>2947</v>
      </c>
      <c r="J1274" s="78" t="s">
        <v>5189</v>
      </c>
      <c r="K1274" s="22">
        <v>1.0</v>
      </c>
      <c r="L1274" s="22">
        <f>+SUMIF('حركه المخزن الرئيسي اليوميه'!$F:$F,$H:$H,'حركه المخزن الرئيسي اليوميه'!$H:$H)</f>
        <v>0.0</v>
      </c>
      <c r="M1274" s="22">
        <f>+SUMIF('حركه المخزن الرئيسي اليوميه'!$F:$F,$H:$H,'حركه المخزن الرئيسي اليوميه'!$I:$I)</f>
        <v>0.0</v>
      </c>
      <c r="N1274" s="22">
        <f>+K1274+L1274-M1274</f>
        <v>1.0</v>
      </c>
      <c r="O1274" s="22">
        <f>+N1274</f>
        <v>1.0</v>
      </c>
      <c r="P1274" s="22">
        <f>+N1274-O1274</f>
        <v>0.0</v>
      </c>
      <c r="Q1274" s="57"/>
      <c r="R1274" s="58"/>
    </row>
    <row r="1275" spans="8:8" ht="15.0" customHeight="1">
      <c r="B1275" s="54">
        <v>1390.0</v>
      </c>
      <c r="C1275" s="8" t="s">
        <v>8351</v>
      </c>
      <c r="D1275" s="8" t="s">
        <v>1013</v>
      </c>
      <c r="E1275" s="8" t="s">
        <v>3063</v>
      </c>
      <c r="F1275" s="8" t="s">
        <v>68</v>
      </c>
      <c r="G1275" s="8"/>
      <c r="H1275" s="8" t="s">
        <v>3063</v>
      </c>
      <c r="I1275" s="8" t="s">
        <v>3202</v>
      </c>
      <c r="J1275" s="78" t="s">
        <v>5190</v>
      </c>
      <c r="K1275" s="22">
        <v>1.0</v>
      </c>
      <c r="L1275" s="22">
        <f>+SUMIF('حركه المخزن الرئيسي اليوميه'!$F:$F,$H:$H,'حركه المخزن الرئيسي اليوميه'!$H:$H)</f>
        <v>0.0</v>
      </c>
      <c r="M1275" s="22">
        <f>+SUMIF('حركه المخزن الرئيسي اليوميه'!$F:$F,$H:$H,'حركه المخزن الرئيسي اليوميه'!$I:$I)</f>
        <v>0.0</v>
      </c>
      <c r="N1275" s="22">
        <f>+K1275+L1275-M1275</f>
        <v>1.0</v>
      </c>
      <c r="O1275" s="22">
        <f>+N1275</f>
        <v>1.0</v>
      </c>
      <c r="P1275" s="22">
        <f>+N1275-O1275</f>
        <v>0.0</v>
      </c>
      <c r="Q1275" s="57"/>
      <c r="R1275" s="58"/>
    </row>
    <row r="1276" spans="8:8" ht="15.0" customHeight="1">
      <c r="B1276" s="54">
        <v>1391.0</v>
      </c>
      <c r="C1276" s="8" t="s">
        <v>8351</v>
      </c>
      <c r="D1276" s="8" t="s">
        <v>1013</v>
      </c>
      <c r="E1276" s="8" t="s">
        <v>3064</v>
      </c>
      <c r="F1276" s="8" t="s">
        <v>68</v>
      </c>
      <c r="G1276" s="8"/>
      <c r="H1276" s="8" t="s">
        <v>3064</v>
      </c>
      <c r="I1276" s="8" t="s">
        <v>3202</v>
      </c>
      <c r="J1276" s="78" t="s">
        <v>5191</v>
      </c>
      <c r="K1276" s="22">
        <v>4.0</v>
      </c>
      <c r="L1276" s="22">
        <f>+SUMIF('حركه المخزن الرئيسي اليوميه'!$F:$F,$H:$H,'حركه المخزن الرئيسي اليوميه'!$H:$H)</f>
        <v>0.0</v>
      </c>
      <c r="M1276" s="22">
        <f>+SUMIF('حركه المخزن الرئيسي اليوميه'!$F:$F,$H:$H,'حركه المخزن الرئيسي اليوميه'!$I:$I)</f>
        <v>0.0</v>
      </c>
      <c r="N1276" s="22">
        <f>+K1276+L1276-M1276</f>
        <v>4.0</v>
      </c>
      <c r="O1276" s="22">
        <f>+N1276</f>
        <v>4.0</v>
      </c>
      <c r="P1276" s="22">
        <f>+N1276-O1276</f>
        <v>0.0</v>
      </c>
      <c r="Q1276" s="57"/>
      <c r="R1276" s="58"/>
    </row>
    <row r="1277" spans="8:8" ht="15.0" customHeight="1">
      <c r="B1277" s="54">
        <v>1392.0</v>
      </c>
      <c r="C1277" s="8" t="s">
        <v>1132</v>
      </c>
      <c r="D1277" s="8" t="s">
        <v>1013</v>
      </c>
      <c r="E1277" s="8" t="s">
        <v>3065</v>
      </c>
      <c r="F1277" s="8" t="s">
        <v>68</v>
      </c>
      <c r="G1277" s="8"/>
      <c r="H1277" s="8" t="s">
        <v>3065</v>
      </c>
      <c r="I1277" s="8" t="s">
        <v>767</v>
      </c>
      <c r="J1277" s="78" t="s">
        <v>5192</v>
      </c>
      <c r="K1277" s="22">
        <v>12.0</v>
      </c>
      <c r="L1277" s="22">
        <f>+SUMIF('حركه المخزن الرئيسي اليوميه'!$F:$F,$H:$H,'حركه المخزن الرئيسي اليوميه'!$H:$H)</f>
        <v>0.0</v>
      </c>
      <c r="M1277" s="22">
        <f>+SUMIF('حركه المخزن الرئيسي اليوميه'!$F:$F,$H:$H,'حركه المخزن الرئيسي اليوميه'!$I:$I)</f>
        <v>0.0</v>
      </c>
      <c r="N1277" s="22">
        <f>+K1277+L1277-M1277</f>
        <v>12.0</v>
      </c>
      <c r="O1277" s="22">
        <f>+N1277</f>
        <v>12.0</v>
      </c>
      <c r="P1277" s="22">
        <f>+N1277-O1277</f>
        <v>0.0</v>
      </c>
      <c r="Q1277" s="57"/>
      <c r="R1277" s="58"/>
    </row>
    <row r="1278" spans="8:8" ht="15.0" customHeight="1">
      <c r="B1278" s="54">
        <v>1393.0</v>
      </c>
      <c r="C1278" s="8" t="s">
        <v>1132</v>
      </c>
      <c r="D1278" s="8" t="s">
        <v>1013</v>
      </c>
      <c r="E1278" s="8" t="s">
        <v>3066</v>
      </c>
      <c r="F1278" s="8" t="s">
        <v>68</v>
      </c>
      <c r="G1278" s="8"/>
      <c r="H1278" s="8" t="s">
        <v>3066</v>
      </c>
      <c r="I1278" s="8" t="s">
        <v>767</v>
      </c>
      <c r="J1278" s="78" t="s">
        <v>5193</v>
      </c>
      <c r="K1278" s="22">
        <v>4.0</v>
      </c>
      <c r="L1278" s="22">
        <f>+SUMIF('حركه المخزن الرئيسي اليوميه'!$F:$F,$H:$H,'حركه المخزن الرئيسي اليوميه'!$H:$H)</f>
        <v>0.0</v>
      </c>
      <c r="M1278" s="22">
        <f>+SUMIF('حركه المخزن الرئيسي اليوميه'!$F:$F,$H:$H,'حركه المخزن الرئيسي اليوميه'!$I:$I)</f>
        <v>0.0</v>
      </c>
      <c r="N1278" s="22">
        <f>+K1278+L1278-M1278</f>
        <v>4.0</v>
      </c>
      <c r="O1278" s="22">
        <f>+N1278</f>
        <v>4.0</v>
      </c>
      <c r="P1278" s="22">
        <f>+N1278-O1278</f>
        <v>0.0</v>
      </c>
      <c r="Q1278" s="57"/>
      <c r="R1278" s="58"/>
    </row>
    <row r="1279" spans="8:8" ht="15.0" customHeight="1">
      <c r="B1279" s="54">
        <v>1394.0</v>
      </c>
      <c r="C1279" s="8" t="s">
        <v>767</v>
      </c>
      <c r="D1279" s="8" t="s">
        <v>1013</v>
      </c>
      <c r="E1279" s="8" t="s">
        <v>3067</v>
      </c>
      <c r="F1279" s="8" t="s">
        <v>68</v>
      </c>
      <c r="G1279" s="8"/>
      <c r="H1279" s="8" t="s">
        <v>3067</v>
      </c>
      <c r="I1279" s="8" t="s">
        <v>767</v>
      </c>
      <c r="J1279" s="78" t="s">
        <v>5194</v>
      </c>
      <c r="K1279" s="22">
        <v>2.0</v>
      </c>
      <c r="L1279" s="22">
        <f>+SUMIF('حركه المخزن الرئيسي اليوميه'!$F:$F,$H:$H,'حركه المخزن الرئيسي اليوميه'!$H:$H)</f>
        <v>0.0</v>
      </c>
      <c r="M1279" s="22">
        <f>+SUMIF('حركه المخزن الرئيسي اليوميه'!$F:$F,$H:$H,'حركه المخزن الرئيسي اليوميه'!$I:$I)</f>
        <v>0.0</v>
      </c>
      <c r="N1279" s="22">
        <f>+K1279+L1279-M1279</f>
        <v>2.0</v>
      </c>
      <c r="O1279" s="22">
        <f>+N1279</f>
        <v>2.0</v>
      </c>
      <c r="P1279" s="22">
        <f>+N1279-O1279</f>
        <v>0.0</v>
      </c>
      <c r="Q1279" s="57"/>
      <c r="R1279" s="58"/>
    </row>
    <row r="1280" spans="8:8" ht="15.0" customHeight="1">
      <c r="B1280" s="54">
        <v>1405.0</v>
      </c>
      <c r="C1280" s="8" t="s">
        <v>8351</v>
      </c>
      <c r="D1280" s="8" t="s">
        <v>1017</v>
      </c>
      <c r="E1280" s="8" t="s">
        <v>8168</v>
      </c>
      <c r="F1280" s="8" t="s">
        <v>68</v>
      </c>
      <c r="G1280" s="8"/>
      <c r="H1280" s="8" t="s">
        <v>8168</v>
      </c>
      <c r="I1280" s="8" t="s">
        <v>164</v>
      </c>
      <c r="J1280" s="78" t="s">
        <v>5195</v>
      </c>
      <c r="K1280" s="22">
        <v>8.0</v>
      </c>
      <c r="L1280" s="22">
        <f>+SUMIF('حركه المخزن الرئيسي اليوميه'!$F:$F,$H:$H,'حركه المخزن الرئيسي اليوميه'!$H:$H)</f>
        <v>0.0</v>
      </c>
      <c r="M1280" s="22">
        <f>+SUMIF('حركه المخزن الرئيسي اليوميه'!$F:$F,$H:$H,'حركه المخزن الرئيسي اليوميه'!$I:$I)</f>
        <v>0.0</v>
      </c>
      <c r="N1280" s="22">
        <f>+K1280+L1280-M1280</f>
        <v>8.0</v>
      </c>
      <c r="O1280" s="22">
        <f>+N1280</f>
        <v>8.0</v>
      </c>
      <c r="P1280" s="22">
        <f>+N1280-O1280</f>
        <v>0.0</v>
      </c>
      <c r="Q1280" s="57"/>
      <c r="R1280" s="58"/>
    </row>
    <row r="1281" spans="8:8" ht="15.0" customHeight="1">
      <c r="B1281" s="54">
        <v>1406.0</v>
      </c>
      <c r="C1281" s="8"/>
      <c r="D1281" s="8"/>
      <c r="E1281" s="8"/>
      <c r="F1281" s="8"/>
      <c r="G1281" s="8"/>
      <c r="H1281" s="8"/>
      <c r="I1281" s="8"/>
      <c r="J1281" s="78" t="s">
        <v>5196</v>
      </c>
      <c r="K1281" s="22">
        <v>0.0</v>
      </c>
      <c r="L1281" s="22">
        <f>+SUMIF('حركه المخزن الرئيسي اليوميه'!$F:$F,$H:$H,'حركه المخزن الرئيسي اليوميه'!$H:$H)</f>
        <v>0.0</v>
      </c>
      <c r="M1281" s="22">
        <f>+SUMIF('حركه المخزن الرئيسي اليوميه'!$F:$F,$H:$H,'حركه المخزن الرئيسي اليوميه'!$I:$I)</f>
        <v>0.0</v>
      </c>
      <c r="N1281" s="22">
        <f>+K1281+L1281-M1281</f>
        <v>0.0</v>
      </c>
      <c r="O1281" s="22">
        <f>+N1281</f>
        <v>0.0</v>
      </c>
      <c r="P1281" s="22">
        <f>+N1281-O1281</f>
        <v>0.0</v>
      </c>
      <c r="Q1281" s="57"/>
      <c r="R1281" s="58"/>
    </row>
    <row r="1282" spans="8:8" ht="15.0" customHeight="1">
      <c r="B1282" s="54">
        <v>1409.0</v>
      </c>
      <c r="C1282" s="8" t="s">
        <v>8351</v>
      </c>
      <c r="D1282" s="8" t="s">
        <v>1013</v>
      </c>
      <c r="E1282" s="8" t="s">
        <v>3086</v>
      </c>
      <c r="F1282" s="8" t="s">
        <v>1501</v>
      </c>
      <c r="G1282" s="8"/>
      <c r="H1282" s="8" t="s">
        <v>3086</v>
      </c>
      <c r="I1282" s="8" t="s">
        <v>2948</v>
      </c>
      <c r="J1282" s="78" t="s">
        <v>5197</v>
      </c>
      <c r="K1282" s="22">
        <v>30.0</v>
      </c>
      <c r="L1282" s="22">
        <f>+SUMIF('حركه المخزن الرئيسي اليوميه'!$F:$F,$H:$H,'حركه المخزن الرئيسي اليوميه'!$H:$H)</f>
        <v>0.0</v>
      </c>
      <c r="M1282" s="22">
        <f>+SUMIF('حركه المخزن الرئيسي اليوميه'!$F:$F,$H:$H,'حركه المخزن الرئيسي اليوميه'!$I:$I)</f>
        <v>0.0</v>
      </c>
      <c r="N1282" s="22">
        <f>+K1282+L1282-M1282</f>
        <v>30.0</v>
      </c>
      <c r="O1282" s="22">
        <f>+N1282</f>
        <v>30.0</v>
      </c>
      <c r="P1282" s="22">
        <f>+N1282-O1282</f>
        <v>0.0</v>
      </c>
      <c r="Q1282" s="57"/>
      <c r="R1282" s="58"/>
    </row>
    <row r="1283" spans="8:8" ht="15.0" customHeight="1">
      <c r="B1283" s="54">
        <v>1410.0</v>
      </c>
      <c r="C1283" s="8" t="s">
        <v>8351</v>
      </c>
      <c r="D1283" s="8" t="s">
        <v>820</v>
      </c>
      <c r="E1283" s="8" t="s">
        <v>2617</v>
      </c>
      <c r="F1283" s="8" t="s">
        <v>1501</v>
      </c>
      <c r="G1283" s="8"/>
      <c r="H1283" s="8" t="s">
        <v>3534</v>
      </c>
      <c r="I1283" s="8" t="s">
        <v>3290</v>
      </c>
      <c r="J1283" s="78" t="s">
        <v>5198</v>
      </c>
      <c r="K1283" s="22">
        <v>15.0</v>
      </c>
      <c r="L1283" s="22">
        <f>+SUMIF('حركه المخزن الرئيسي اليوميه'!$F:$F,$H:$H,'حركه المخزن الرئيسي اليوميه'!$H:$H)</f>
        <v>0.0</v>
      </c>
      <c r="M1283" s="22">
        <f>+SUMIF('حركه المخزن الرئيسي اليوميه'!$F:$F,$H:$H,'حركه المخزن الرئيسي اليوميه'!$I:$I)</f>
        <v>0.0</v>
      </c>
      <c r="N1283" s="22">
        <f>+K1283+L1283-M1283</f>
        <v>15.0</v>
      </c>
      <c r="O1283" s="22">
        <f>+N1283</f>
        <v>15.0</v>
      </c>
      <c r="P1283" s="22">
        <f>+N1283-O1283</f>
        <v>0.0</v>
      </c>
      <c r="Q1283" s="57"/>
      <c r="R1283" s="58"/>
    </row>
    <row r="1284" spans="8:8" ht="15.0" customHeight="1">
      <c r="B1284" s="54">
        <v>1411.0</v>
      </c>
      <c r="C1284" s="8" t="s">
        <v>8351</v>
      </c>
      <c r="D1284" s="8" t="s">
        <v>820</v>
      </c>
      <c r="E1284" s="8" t="s">
        <v>3105</v>
      </c>
      <c r="F1284" s="8" t="s">
        <v>1501</v>
      </c>
      <c r="G1284" s="8"/>
      <c r="H1284" s="8" t="s">
        <v>3105</v>
      </c>
      <c r="I1284" s="8" t="s">
        <v>351</v>
      </c>
      <c r="J1284" s="78" t="s">
        <v>5199</v>
      </c>
      <c r="K1284" s="22">
        <v>754.0</v>
      </c>
      <c r="L1284" s="22">
        <f>+SUMIF('حركه المخزن الرئيسي اليوميه'!$F:$F,$H:$H,'حركه المخزن الرئيسي اليوميه'!$H:$H)</f>
        <v>0.0</v>
      </c>
      <c r="M1284" s="22">
        <f>+SUMIF('حركه المخزن الرئيسي اليوميه'!$F:$F,$H:$H,'حركه المخزن الرئيسي اليوميه'!$I:$I)</f>
        <v>10.0</v>
      </c>
      <c r="N1284" s="22">
        <f>+K1284+L1284-M1284</f>
        <v>744.0</v>
      </c>
      <c r="O1284" s="22">
        <f>+N1284</f>
        <v>744.0</v>
      </c>
      <c r="P1284" s="22">
        <f>+N1284-O1284</f>
        <v>0.0</v>
      </c>
      <c r="Q1284" s="57"/>
      <c r="R1284" s="58"/>
    </row>
    <row r="1285" spans="8:8" ht="15.0" customHeight="1">
      <c r="B1285" s="54">
        <v>1412.0</v>
      </c>
      <c r="C1285" s="8" t="s">
        <v>8351</v>
      </c>
      <c r="D1285" s="8" t="s">
        <v>820</v>
      </c>
      <c r="E1285" s="8" t="s">
        <v>3106</v>
      </c>
      <c r="F1285" s="8" t="s">
        <v>1501</v>
      </c>
      <c r="G1285" s="8"/>
      <c r="H1285" s="8" t="s">
        <v>3106</v>
      </c>
      <c r="I1285" s="8" t="s">
        <v>359</v>
      </c>
      <c r="J1285" s="78" t="s">
        <v>5200</v>
      </c>
      <c r="K1285" s="22">
        <v>878.0</v>
      </c>
      <c r="L1285" s="22">
        <f>+SUMIF('حركه المخزن الرئيسي اليوميه'!$F:$F,$H:$H,'حركه المخزن الرئيسي اليوميه'!$H:$H)</f>
        <v>0.0</v>
      </c>
      <c r="M1285" s="22">
        <f>+SUMIF('حركه المخزن الرئيسي اليوميه'!$F:$F,$H:$H,'حركه المخزن الرئيسي اليوميه'!$I:$I)</f>
        <v>0.0</v>
      </c>
      <c r="N1285" s="22">
        <f>+K1285+L1285-M1285</f>
        <v>878.0</v>
      </c>
      <c r="O1285" s="22">
        <f>+N1285</f>
        <v>878.0</v>
      </c>
      <c r="P1285" s="22">
        <f>+N1285-O1285</f>
        <v>0.0</v>
      </c>
      <c r="Q1285" s="57"/>
      <c r="R1285" s="58"/>
    </row>
    <row r="1286" spans="8:8" ht="15.0" customHeight="1">
      <c r="B1286" s="54">
        <v>1413.0</v>
      </c>
      <c r="C1286" s="8"/>
      <c r="D1286" s="8"/>
      <c r="E1286" s="8"/>
      <c r="F1286" s="8"/>
      <c r="G1286" s="8"/>
      <c r="H1286" s="8"/>
      <c r="I1286" s="8"/>
      <c r="J1286" s="78" t="s">
        <v>5201</v>
      </c>
      <c r="K1286" s="22">
        <v>0.0</v>
      </c>
      <c r="L1286" s="22">
        <f>+SUMIF('حركه المخزن الرئيسي اليوميه'!$F:$F,$H:$H,'حركه المخزن الرئيسي اليوميه'!$H:$H)</f>
        <v>0.0</v>
      </c>
      <c r="M1286" s="22">
        <f>+SUMIF('حركه المخزن الرئيسي اليوميه'!$F:$F,$H:$H,'حركه المخزن الرئيسي اليوميه'!$I:$I)</f>
        <v>0.0</v>
      </c>
      <c r="N1286" s="22">
        <f>+K1286+L1286-M1286</f>
        <v>0.0</v>
      </c>
      <c r="O1286" s="22">
        <f>+N1286</f>
        <v>0.0</v>
      </c>
      <c r="P1286" s="22">
        <f>+N1286-O1286</f>
        <v>0.0</v>
      </c>
      <c r="Q1286" s="57"/>
      <c r="R1286" s="58"/>
    </row>
    <row r="1287" spans="8:8" ht="15.0" customHeight="1">
      <c r="B1287" s="54">
        <v>1415.0</v>
      </c>
      <c r="C1287" s="8" t="s">
        <v>8351</v>
      </c>
      <c r="D1287" s="8" t="s">
        <v>568</v>
      </c>
      <c r="E1287" s="8" t="s">
        <v>3109</v>
      </c>
      <c r="F1287" s="8" t="s">
        <v>1501</v>
      </c>
      <c r="G1287" s="8"/>
      <c r="H1287" s="8" t="s">
        <v>3109</v>
      </c>
      <c r="I1287" s="8" t="s">
        <v>3200</v>
      </c>
      <c r="J1287" s="78" t="s">
        <v>5202</v>
      </c>
      <c r="K1287" s="22">
        <v>8.0</v>
      </c>
      <c r="L1287" s="22">
        <f>+SUMIF('حركه المخزن الرئيسي اليوميه'!$F:$F,$H:$H,'حركه المخزن الرئيسي اليوميه'!$H:$H)</f>
        <v>0.0</v>
      </c>
      <c r="M1287" s="22">
        <f>+SUMIF('حركه المخزن الرئيسي اليوميه'!$F:$F,$H:$H,'حركه المخزن الرئيسي اليوميه'!$I:$I)</f>
        <v>0.0</v>
      </c>
      <c r="N1287" s="22">
        <f>+K1287+L1287-M1287</f>
        <v>8.0</v>
      </c>
      <c r="O1287" s="22">
        <f>+N1287</f>
        <v>8.0</v>
      </c>
      <c r="P1287" s="22">
        <f>+N1287-O1287</f>
        <v>0.0</v>
      </c>
      <c r="Q1287" s="57"/>
      <c r="R1287" s="58"/>
    </row>
    <row r="1288" spans="8:8" ht="15.0" customHeight="1">
      <c r="B1288" s="54">
        <v>1416.0</v>
      </c>
      <c r="C1288" s="8" t="s">
        <v>8351</v>
      </c>
      <c r="D1288" s="8" t="s">
        <v>568</v>
      </c>
      <c r="E1288" s="8" t="s">
        <v>3294</v>
      </c>
      <c r="F1288" s="8" t="s">
        <v>1501</v>
      </c>
      <c r="G1288" s="8"/>
      <c r="H1288" s="8" t="s">
        <v>3294</v>
      </c>
      <c r="I1288" s="8" t="s">
        <v>3199</v>
      </c>
      <c r="J1288" s="78" t="s">
        <v>5203</v>
      </c>
      <c r="K1288" s="22">
        <v>0.0</v>
      </c>
      <c r="L1288" s="22">
        <f>+SUMIF('حركه المخزن الرئيسي اليوميه'!$F:$F,$H:$H,'حركه المخزن الرئيسي اليوميه'!$H:$H)</f>
        <v>0.0</v>
      </c>
      <c r="M1288" s="22">
        <f>+SUMIF('حركه المخزن الرئيسي اليوميه'!$F:$F,$H:$H,'حركه المخزن الرئيسي اليوميه'!$I:$I)</f>
        <v>0.0</v>
      </c>
      <c r="N1288" s="22">
        <f>+K1288+L1288-M1288</f>
        <v>0.0</v>
      </c>
      <c r="O1288" s="22">
        <f>+N1288</f>
        <v>0.0</v>
      </c>
      <c r="P1288" s="22">
        <f>+N1288-O1288</f>
        <v>0.0</v>
      </c>
      <c r="Q1288" s="57"/>
      <c r="R1288" s="58"/>
    </row>
    <row r="1289" spans="8:8" ht="15.0" customHeight="1">
      <c r="B1289" s="54">
        <v>1417.0</v>
      </c>
      <c r="C1289" s="8" t="s">
        <v>8351</v>
      </c>
      <c r="D1289" s="8" t="s">
        <v>1013</v>
      </c>
      <c r="E1289" s="8" t="s">
        <v>3110</v>
      </c>
      <c r="F1289" s="8" t="s">
        <v>1501</v>
      </c>
      <c r="G1289" s="8"/>
      <c r="H1289" s="8" t="s">
        <v>3110</v>
      </c>
      <c r="I1289" s="8" t="s">
        <v>3200</v>
      </c>
      <c r="J1289" s="78" t="s">
        <v>5204</v>
      </c>
      <c r="K1289" s="22">
        <v>24.0</v>
      </c>
      <c r="L1289" s="22">
        <f>+SUMIF('حركه المخزن الرئيسي اليوميه'!$F:$F,$H:$H,'حركه المخزن الرئيسي اليوميه'!$H:$H)</f>
        <v>0.0</v>
      </c>
      <c r="M1289" s="22">
        <f>+SUMIF('حركه المخزن الرئيسي اليوميه'!$F:$F,$H:$H,'حركه المخزن الرئيسي اليوميه'!$I:$I)</f>
        <v>0.0</v>
      </c>
      <c r="N1289" s="22">
        <f>+K1289+L1289-M1289</f>
        <v>24.0</v>
      </c>
      <c r="O1289" s="22">
        <f>+N1289</f>
        <v>24.0</v>
      </c>
      <c r="P1289" s="22">
        <f>+N1289-O1289</f>
        <v>0.0</v>
      </c>
      <c r="Q1289" s="57"/>
      <c r="R1289" s="58"/>
    </row>
    <row r="1290" spans="8:8" ht="15.0" customHeight="1">
      <c r="B1290" s="54">
        <v>1418.0</v>
      </c>
      <c r="C1290" s="8" t="s">
        <v>8351</v>
      </c>
      <c r="D1290" s="8" t="s">
        <v>1013</v>
      </c>
      <c r="E1290" s="8" t="s">
        <v>3111</v>
      </c>
      <c r="F1290" s="8" t="s">
        <v>1501</v>
      </c>
      <c r="G1290" s="8"/>
      <c r="H1290" s="8" t="s">
        <v>3111</v>
      </c>
      <c r="I1290" s="8" t="s">
        <v>3200</v>
      </c>
      <c r="J1290" s="78" t="s">
        <v>5205</v>
      </c>
      <c r="K1290" s="22">
        <v>3.0</v>
      </c>
      <c r="L1290" s="22">
        <f>+SUMIF('حركه المخزن الرئيسي اليوميه'!$F:$F,$H:$H,'حركه المخزن الرئيسي اليوميه'!$H:$H)</f>
        <v>0.0</v>
      </c>
      <c r="M1290" s="22">
        <f>+SUMIF('حركه المخزن الرئيسي اليوميه'!$F:$F,$H:$H,'حركه المخزن الرئيسي اليوميه'!$I:$I)</f>
        <v>0.0</v>
      </c>
      <c r="N1290" s="22">
        <f>+K1290+L1290-M1290</f>
        <v>3.0</v>
      </c>
      <c r="O1290" s="22">
        <f>+N1290</f>
        <v>3.0</v>
      </c>
      <c r="P1290" s="22">
        <f>+N1290-O1290</f>
        <v>0.0</v>
      </c>
      <c r="Q1290" s="57"/>
      <c r="R1290" s="58"/>
    </row>
    <row r="1291" spans="8:8" ht="15.0" customHeight="1">
      <c r="B1291" s="54">
        <v>1419.0</v>
      </c>
      <c r="C1291" s="8" t="s">
        <v>8351</v>
      </c>
      <c r="D1291" s="8" t="s">
        <v>1013</v>
      </c>
      <c r="E1291" s="8" t="s">
        <v>3295</v>
      </c>
      <c r="F1291" s="8" t="s">
        <v>1501</v>
      </c>
      <c r="G1291" s="8"/>
      <c r="H1291" s="8" t="s">
        <v>3295</v>
      </c>
      <c r="I1291" s="8" t="s">
        <v>3200</v>
      </c>
      <c r="J1291" s="78" t="s">
        <v>5206</v>
      </c>
      <c r="K1291" s="22">
        <v>8.0</v>
      </c>
      <c r="L1291" s="22">
        <f>+SUMIF('حركه المخزن الرئيسي اليوميه'!$F:$F,$H:$H,'حركه المخزن الرئيسي اليوميه'!$H:$H)</f>
        <v>0.0</v>
      </c>
      <c r="M1291" s="22">
        <f>+SUMIF('حركه المخزن الرئيسي اليوميه'!$F:$F,$H:$H,'حركه المخزن الرئيسي اليوميه'!$I:$I)</f>
        <v>0.0</v>
      </c>
      <c r="N1291" s="22">
        <f>+K1291+L1291-M1291</f>
        <v>8.0</v>
      </c>
      <c r="O1291" s="22">
        <f>+N1291</f>
        <v>8.0</v>
      </c>
      <c r="P1291" s="22">
        <f>+N1291-O1291</f>
        <v>0.0</v>
      </c>
      <c r="Q1291" s="57"/>
      <c r="R1291" s="58"/>
    </row>
    <row r="1292" spans="8:8" ht="15.0" customHeight="1">
      <c r="B1292" s="54">
        <v>1420.0</v>
      </c>
      <c r="C1292" s="8" t="s">
        <v>8351</v>
      </c>
      <c r="D1292" s="8" t="s">
        <v>1013</v>
      </c>
      <c r="E1292" s="8" t="s">
        <v>3112</v>
      </c>
      <c r="F1292" s="8" t="s">
        <v>1501</v>
      </c>
      <c r="G1292" s="8"/>
      <c r="H1292" s="8" t="s">
        <v>3112</v>
      </c>
      <c r="I1292" s="8" t="s">
        <v>3199</v>
      </c>
      <c r="J1292" s="78" t="s">
        <v>5207</v>
      </c>
      <c r="K1292" s="22">
        <v>2.0</v>
      </c>
      <c r="L1292" s="22">
        <f>+SUMIF('حركه المخزن الرئيسي اليوميه'!$F:$F,$H:$H,'حركه المخزن الرئيسي اليوميه'!$H:$H)</f>
        <v>0.0</v>
      </c>
      <c r="M1292" s="22">
        <f>+SUMIF('حركه المخزن الرئيسي اليوميه'!$F:$F,$H:$H,'حركه المخزن الرئيسي اليوميه'!$I:$I)</f>
        <v>0.0</v>
      </c>
      <c r="N1292" s="22">
        <f>+K1292+L1292-M1292</f>
        <v>2.0</v>
      </c>
      <c r="O1292" s="22">
        <f>+N1292</f>
        <v>2.0</v>
      </c>
      <c r="P1292" s="22">
        <f>+N1292-O1292</f>
        <v>0.0</v>
      </c>
      <c r="Q1292" s="57"/>
      <c r="R1292" s="58"/>
    </row>
    <row r="1293" spans="8:8" ht="15.0" customHeight="1">
      <c r="B1293" s="54">
        <v>1421.0</v>
      </c>
      <c r="C1293" s="8" t="s">
        <v>8351</v>
      </c>
      <c r="D1293" s="8" t="s">
        <v>1013</v>
      </c>
      <c r="E1293" s="8" t="s">
        <v>3113</v>
      </c>
      <c r="F1293" s="8" t="s">
        <v>1501</v>
      </c>
      <c r="G1293" s="8"/>
      <c r="H1293" s="8" t="s">
        <v>3113</v>
      </c>
      <c r="I1293" s="8" t="s">
        <v>3198</v>
      </c>
      <c r="J1293" s="78" t="s">
        <v>5208</v>
      </c>
      <c r="K1293" s="22">
        <v>0.0</v>
      </c>
      <c r="L1293" s="22">
        <f>+SUMIF('حركه المخزن الرئيسي اليوميه'!$F:$F,$H:$H,'حركه المخزن الرئيسي اليوميه'!$H:$H)</f>
        <v>0.0</v>
      </c>
      <c r="M1293" s="22">
        <f>+SUMIF('حركه المخزن الرئيسي اليوميه'!$F:$F,$H:$H,'حركه المخزن الرئيسي اليوميه'!$I:$I)</f>
        <v>0.0</v>
      </c>
      <c r="N1293" s="22">
        <f>+K1293+L1293-M1293</f>
        <v>0.0</v>
      </c>
      <c r="O1293" s="22">
        <f>+N1293</f>
        <v>0.0</v>
      </c>
      <c r="P1293" s="22">
        <f>+N1293-O1293</f>
        <v>0.0</v>
      </c>
      <c r="Q1293" s="57"/>
      <c r="R1293" s="58"/>
    </row>
    <row r="1294" spans="8:8" ht="15.0" customHeight="1">
      <c r="B1294" s="54">
        <v>1422.0</v>
      </c>
      <c r="C1294" s="8" t="s">
        <v>8351</v>
      </c>
      <c r="D1294" s="8" t="s">
        <v>1013</v>
      </c>
      <c r="E1294" s="8" t="s">
        <v>3114</v>
      </c>
      <c r="F1294" s="8" t="s">
        <v>1501</v>
      </c>
      <c r="G1294" s="8"/>
      <c r="H1294" s="8" t="s">
        <v>3114</v>
      </c>
      <c r="I1294" s="8" t="s">
        <v>3200</v>
      </c>
      <c r="J1294" s="78" t="s">
        <v>5209</v>
      </c>
      <c r="K1294" s="22">
        <v>5.0</v>
      </c>
      <c r="L1294" s="22">
        <f>+SUMIF('حركه المخزن الرئيسي اليوميه'!$F:$F,$H:$H,'حركه المخزن الرئيسي اليوميه'!$H:$H)</f>
        <v>0.0</v>
      </c>
      <c r="M1294" s="22">
        <f>+SUMIF('حركه المخزن الرئيسي اليوميه'!$F:$F,$H:$H,'حركه المخزن الرئيسي اليوميه'!$I:$I)</f>
        <v>0.0</v>
      </c>
      <c r="N1294" s="22">
        <f>+K1294+L1294-M1294</f>
        <v>5.0</v>
      </c>
      <c r="O1294" s="22">
        <f>+N1294</f>
        <v>5.0</v>
      </c>
      <c r="P1294" s="22">
        <f>+N1294-O1294</f>
        <v>0.0</v>
      </c>
      <c r="Q1294" s="57"/>
      <c r="R1294" s="58"/>
    </row>
    <row r="1295" spans="8:8" ht="15.0" customHeight="1">
      <c r="B1295" s="54">
        <v>1423.0</v>
      </c>
      <c r="C1295" s="8" t="s">
        <v>8351</v>
      </c>
      <c r="D1295" s="8" t="s">
        <v>1013</v>
      </c>
      <c r="E1295" s="8" t="s">
        <v>3115</v>
      </c>
      <c r="F1295" s="8" t="s">
        <v>1501</v>
      </c>
      <c r="G1295" s="8"/>
      <c r="H1295" s="8" t="s">
        <v>3116</v>
      </c>
      <c r="I1295" s="8" t="s">
        <v>3201</v>
      </c>
      <c r="J1295" s="78" t="s">
        <v>5210</v>
      </c>
      <c r="K1295" s="22">
        <v>121.0</v>
      </c>
      <c r="L1295" s="22">
        <f>+SUMIF('حركه المخزن الرئيسي اليوميه'!$F:$F,$H:$H,'حركه المخزن الرئيسي اليوميه'!$H:$H)</f>
        <v>0.0</v>
      </c>
      <c r="M1295" s="22">
        <f>+SUMIF('حركه المخزن الرئيسي اليوميه'!$F:$F,$H:$H,'حركه المخزن الرئيسي اليوميه'!$I:$I)</f>
        <v>0.0</v>
      </c>
      <c r="N1295" s="22">
        <f>+K1295+L1295-M1295</f>
        <v>121.0</v>
      </c>
      <c r="O1295" s="22">
        <f>+N1295</f>
        <v>121.0</v>
      </c>
      <c r="P1295" s="22">
        <f>+N1295-O1295</f>
        <v>0.0</v>
      </c>
      <c r="Q1295" s="57"/>
      <c r="R1295" s="58"/>
    </row>
    <row r="1296" spans="8:8" ht="15.0" customHeight="1">
      <c r="B1296" s="54">
        <v>1424.0</v>
      </c>
      <c r="C1296" s="8" t="s">
        <v>8351</v>
      </c>
      <c r="D1296" s="8" t="s">
        <v>1013</v>
      </c>
      <c r="E1296" s="8" t="s">
        <v>3115</v>
      </c>
      <c r="F1296" s="8" t="s">
        <v>1501</v>
      </c>
      <c r="G1296" s="8" t="s">
        <v>1030</v>
      </c>
      <c r="H1296" s="8" t="s">
        <v>3117</v>
      </c>
      <c r="I1296" s="8" t="s">
        <v>3198</v>
      </c>
      <c r="J1296" s="78" t="s">
        <v>5211</v>
      </c>
      <c r="K1296" s="22">
        <v>175.0</v>
      </c>
      <c r="L1296" s="22">
        <f>+SUMIF('حركه المخزن الرئيسي اليوميه'!$F:$F,$H:$H,'حركه المخزن الرئيسي اليوميه'!$H:$H)</f>
        <v>0.0</v>
      </c>
      <c r="M1296" s="22">
        <f>+SUMIF('حركه المخزن الرئيسي اليوميه'!$F:$F,$H:$H,'حركه المخزن الرئيسي اليوميه'!$I:$I)</f>
        <v>0.0</v>
      </c>
      <c r="N1296" s="22">
        <f>+K1296+L1296-M1296</f>
        <v>175.0</v>
      </c>
      <c r="O1296" s="22">
        <f>+N1296</f>
        <v>175.0</v>
      </c>
      <c r="P1296" s="22">
        <f>+N1296-O1296</f>
        <v>0.0</v>
      </c>
      <c r="Q1296" s="57"/>
      <c r="R1296" s="58"/>
    </row>
    <row r="1297" spans="8:8" ht="15.0" customHeight="1">
      <c r="B1297" s="54">
        <v>1425.0</v>
      </c>
      <c r="C1297" s="8" t="s">
        <v>8351</v>
      </c>
      <c r="D1297" s="8" t="s">
        <v>1013</v>
      </c>
      <c r="E1297" s="8" t="s">
        <v>3118</v>
      </c>
      <c r="F1297" s="8" t="s">
        <v>1501</v>
      </c>
      <c r="G1297" s="8"/>
      <c r="H1297" s="8" t="s">
        <v>3118</v>
      </c>
      <c r="I1297" s="8" t="s">
        <v>3200</v>
      </c>
      <c r="J1297" s="78" t="s">
        <v>5212</v>
      </c>
      <c r="K1297" s="22">
        <v>146.0</v>
      </c>
      <c r="L1297" s="22">
        <f>+SUMIF('حركه المخزن الرئيسي اليوميه'!$F:$F,$H:$H,'حركه المخزن الرئيسي اليوميه'!$H:$H)</f>
        <v>0.0</v>
      </c>
      <c r="M1297" s="22">
        <f>+SUMIF('حركه المخزن الرئيسي اليوميه'!$F:$F,$H:$H,'حركه المخزن الرئيسي اليوميه'!$I:$I)</f>
        <v>0.0</v>
      </c>
      <c r="N1297" s="22">
        <f>+K1297+L1297-M1297</f>
        <v>146.0</v>
      </c>
      <c r="O1297" s="22">
        <f>+N1297</f>
        <v>146.0</v>
      </c>
      <c r="P1297" s="22">
        <f>+N1297-O1297</f>
        <v>0.0</v>
      </c>
      <c r="Q1297" s="57"/>
      <c r="R1297" s="58"/>
    </row>
    <row r="1298" spans="8:8" ht="15.0" customHeight="1">
      <c r="B1298" s="54">
        <v>1426.0</v>
      </c>
      <c r="C1298" s="8" t="s">
        <v>8351</v>
      </c>
      <c r="D1298" s="8" t="s">
        <v>1013</v>
      </c>
      <c r="E1298" s="8" t="s">
        <v>3119</v>
      </c>
      <c r="F1298" s="8" t="s">
        <v>1501</v>
      </c>
      <c r="G1298" s="8"/>
      <c r="H1298" s="8" t="s">
        <v>3119</v>
      </c>
      <c r="I1298" s="8" t="s">
        <v>3200</v>
      </c>
      <c r="J1298" s="78" t="s">
        <v>5213</v>
      </c>
      <c r="K1298" s="22">
        <v>33.0</v>
      </c>
      <c r="L1298" s="22">
        <f>+SUMIF('حركه المخزن الرئيسي اليوميه'!$F:$F,$H:$H,'حركه المخزن الرئيسي اليوميه'!$H:$H)</f>
        <v>0.0</v>
      </c>
      <c r="M1298" s="22">
        <f>+SUMIF('حركه المخزن الرئيسي اليوميه'!$F:$F,$H:$H,'حركه المخزن الرئيسي اليوميه'!$I:$I)</f>
        <v>0.0</v>
      </c>
      <c r="N1298" s="22">
        <f>+K1298+L1298-M1298</f>
        <v>33.0</v>
      </c>
      <c r="O1298" s="22">
        <f>+N1298</f>
        <v>33.0</v>
      </c>
      <c r="P1298" s="22">
        <f>+N1298-O1298</f>
        <v>0.0</v>
      </c>
      <c r="Q1298" s="57"/>
      <c r="R1298" s="58"/>
    </row>
    <row r="1299" spans="8:8" ht="15.0" customHeight="1">
      <c r="B1299" s="54">
        <v>1427.0</v>
      </c>
      <c r="C1299" s="8" t="s">
        <v>8351</v>
      </c>
      <c r="D1299" s="8" t="s">
        <v>1013</v>
      </c>
      <c r="E1299" s="8" t="s">
        <v>3120</v>
      </c>
      <c r="F1299" s="8" t="s">
        <v>1501</v>
      </c>
      <c r="G1299" s="8"/>
      <c r="H1299" s="8" t="s">
        <v>3120</v>
      </c>
      <c r="I1299" s="8" t="s">
        <v>3200</v>
      </c>
      <c r="J1299" s="78" t="s">
        <v>5214</v>
      </c>
      <c r="K1299" s="22">
        <v>34.0</v>
      </c>
      <c r="L1299" s="22">
        <f>+SUMIF('حركه المخزن الرئيسي اليوميه'!$F:$F,$H:$H,'حركه المخزن الرئيسي اليوميه'!$H:$H)</f>
        <v>0.0</v>
      </c>
      <c r="M1299" s="22">
        <f>+SUMIF('حركه المخزن الرئيسي اليوميه'!$F:$F,$H:$H,'حركه المخزن الرئيسي اليوميه'!$I:$I)</f>
        <v>0.0</v>
      </c>
      <c r="N1299" s="22">
        <f>+K1299+L1299-M1299</f>
        <v>34.0</v>
      </c>
      <c r="O1299" s="22">
        <f>+N1299</f>
        <v>34.0</v>
      </c>
      <c r="P1299" s="22">
        <f>+N1299-O1299</f>
        <v>0.0</v>
      </c>
      <c r="Q1299" s="57"/>
      <c r="R1299" s="58"/>
    </row>
    <row r="1300" spans="8:8" ht="15.0" customHeight="1">
      <c r="B1300" s="54">
        <v>1428.0</v>
      </c>
      <c r="C1300" s="8" t="s">
        <v>8351</v>
      </c>
      <c r="D1300" s="8" t="s">
        <v>1013</v>
      </c>
      <c r="E1300" s="8" t="s">
        <v>3121</v>
      </c>
      <c r="F1300" s="8" t="s">
        <v>1501</v>
      </c>
      <c r="G1300" s="8"/>
      <c r="H1300" s="8" t="s">
        <v>3121</v>
      </c>
      <c r="I1300" s="8" t="s">
        <v>3201</v>
      </c>
      <c r="J1300" s="78" t="s">
        <v>5215</v>
      </c>
      <c r="K1300" s="22">
        <v>3.0</v>
      </c>
      <c r="L1300" s="22">
        <f>+SUMIF('حركه المخزن الرئيسي اليوميه'!$F:$F,$H:$H,'حركه المخزن الرئيسي اليوميه'!$H:$H)</f>
        <v>0.0</v>
      </c>
      <c r="M1300" s="22">
        <f>+SUMIF('حركه المخزن الرئيسي اليوميه'!$F:$F,$H:$H,'حركه المخزن الرئيسي اليوميه'!$I:$I)</f>
        <v>0.0</v>
      </c>
      <c r="N1300" s="22">
        <f>+K1300+L1300-M1300</f>
        <v>3.0</v>
      </c>
      <c r="O1300" s="22">
        <f>+N1300</f>
        <v>3.0</v>
      </c>
      <c r="P1300" s="22">
        <f>+N1300-O1300</f>
        <v>0.0</v>
      </c>
      <c r="Q1300" s="57"/>
      <c r="R1300" s="58"/>
    </row>
    <row r="1301" spans="8:8" ht="18.75" customHeight="1">
      <c r="B1301" s="54">
        <v>1429.0</v>
      </c>
      <c r="C1301" s="8" t="s">
        <v>8351</v>
      </c>
      <c r="D1301" s="8" t="s">
        <v>568</v>
      </c>
      <c r="E1301" s="8" t="s">
        <v>3122</v>
      </c>
      <c r="F1301" s="8" t="s">
        <v>1501</v>
      </c>
      <c r="G1301" s="8"/>
      <c r="H1301" s="8" t="s">
        <v>3123</v>
      </c>
      <c r="I1301" s="8" t="s">
        <v>3197</v>
      </c>
      <c r="J1301" s="78" t="s">
        <v>5216</v>
      </c>
      <c r="K1301" s="22">
        <v>7.0</v>
      </c>
      <c r="L1301" s="22">
        <f>+SUMIF('حركه المخزن الرئيسي اليوميه'!$F:$F,$H:$H,'حركه المخزن الرئيسي اليوميه'!$H:$H)</f>
        <v>0.0</v>
      </c>
      <c r="M1301" s="22">
        <f>+SUMIF('حركه المخزن الرئيسي اليوميه'!$F:$F,$H:$H,'حركه المخزن الرئيسي اليوميه'!$I:$I)</f>
        <v>0.0</v>
      </c>
      <c r="N1301" s="22">
        <f>+K1301+L1301-M1301</f>
        <v>7.0</v>
      </c>
      <c r="O1301" s="22">
        <f>+N1301</f>
        <v>7.0</v>
      </c>
      <c r="P1301" s="22">
        <f>+N1301-O1301</f>
        <v>0.0</v>
      </c>
      <c r="Q1301" s="57"/>
      <c r="R1301" s="58"/>
    </row>
    <row r="1302" spans="8:8" ht="15.0" customHeight="1">
      <c r="B1302" s="54">
        <v>1430.0</v>
      </c>
      <c r="C1302" s="8" t="s">
        <v>8351</v>
      </c>
      <c r="D1302" s="8" t="s">
        <v>568</v>
      </c>
      <c r="E1302" s="8" t="s">
        <v>3124</v>
      </c>
      <c r="F1302" s="8" t="s">
        <v>1501</v>
      </c>
      <c r="G1302" s="8"/>
      <c r="H1302" s="8" t="s">
        <v>3124</v>
      </c>
      <c r="I1302" s="8" t="s">
        <v>3197</v>
      </c>
      <c r="J1302" s="78" t="s">
        <v>5217</v>
      </c>
      <c r="K1302" s="22">
        <v>8.0</v>
      </c>
      <c r="L1302" s="22">
        <f>+SUMIF('حركه المخزن الرئيسي اليوميه'!$F:$F,$H:$H,'حركه المخزن الرئيسي اليوميه'!$H:$H)</f>
        <v>0.0</v>
      </c>
      <c r="M1302" s="22">
        <f>+SUMIF('حركه المخزن الرئيسي اليوميه'!$F:$F,$H:$H,'حركه المخزن الرئيسي اليوميه'!$I:$I)</f>
        <v>0.0</v>
      </c>
      <c r="N1302" s="22">
        <f>+K1302+L1302-M1302</f>
        <v>8.0</v>
      </c>
      <c r="O1302" s="22">
        <f>+N1302</f>
        <v>8.0</v>
      </c>
      <c r="P1302" s="22">
        <f>+N1302-O1302</f>
        <v>0.0</v>
      </c>
      <c r="Q1302" s="57"/>
      <c r="R1302" s="58"/>
    </row>
    <row r="1303" spans="8:8" ht="18.75" customHeight="1">
      <c r="B1303" s="54">
        <v>1431.0</v>
      </c>
      <c r="C1303" s="8" t="s">
        <v>8351</v>
      </c>
      <c r="D1303" s="8" t="s">
        <v>568</v>
      </c>
      <c r="E1303" s="8" t="s">
        <v>3125</v>
      </c>
      <c r="F1303" s="8" t="s">
        <v>1501</v>
      </c>
      <c r="G1303" s="8"/>
      <c r="H1303" s="8" t="s">
        <v>3125</v>
      </c>
      <c r="I1303" s="8" t="s">
        <v>3197</v>
      </c>
      <c r="J1303" s="78" t="s">
        <v>5218</v>
      </c>
      <c r="K1303" s="22">
        <v>6.0</v>
      </c>
      <c r="L1303" s="22">
        <f>+SUMIF('حركه المخزن الرئيسي اليوميه'!$F:$F,$H:$H,'حركه المخزن الرئيسي اليوميه'!$H:$H)</f>
        <v>0.0</v>
      </c>
      <c r="M1303" s="22">
        <f>+SUMIF('حركه المخزن الرئيسي اليوميه'!$F:$F,$H:$H,'حركه المخزن الرئيسي اليوميه'!$I:$I)</f>
        <v>0.0</v>
      </c>
      <c r="N1303" s="22">
        <f>+K1303+L1303-M1303</f>
        <v>6.0</v>
      </c>
      <c r="O1303" s="22">
        <f>+N1303</f>
        <v>6.0</v>
      </c>
      <c r="P1303" s="22">
        <f>+N1303-O1303</f>
        <v>0.0</v>
      </c>
      <c r="Q1303" s="57"/>
      <c r="R1303" s="58"/>
    </row>
    <row r="1304" spans="8:8" ht="15.0" customHeight="1">
      <c r="B1304" s="54">
        <v>1432.0</v>
      </c>
      <c r="C1304" s="8" t="s">
        <v>8351</v>
      </c>
      <c r="D1304" s="8" t="s">
        <v>1013</v>
      </c>
      <c r="E1304" s="8" t="s">
        <v>3126</v>
      </c>
      <c r="F1304" s="8" t="s">
        <v>1501</v>
      </c>
      <c r="G1304" s="8"/>
      <c r="H1304" s="8" t="s">
        <v>3140</v>
      </c>
      <c r="I1304" s="8" t="s">
        <v>3196</v>
      </c>
      <c r="J1304" s="78" t="s">
        <v>5219</v>
      </c>
      <c r="K1304" s="22">
        <v>10.0</v>
      </c>
      <c r="L1304" s="22">
        <f>+SUMIF('حركه المخزن الرئيسي اليوميه'!$F:$F,$H:$H,'حركه المخزن الرئيسي اليوميه'!$H:$H)</f>
        <v>0.0</v>
      </c>
      <c r="M1304" s="22">
        <f>+SUMIF('حركه المخزن الرئيسي اليوميه'!$F:$F,$H:$H,'حركه المخزن الرئيسي اليوميه'!$I:$I)</f>
        <v>0.0</v>
      </c>
      <c r="N1304" s="22">
        <f>+K1304+L1304-M1304</f>
        <v>10.0</v>
      </c>
      <c r="O1304" s="22">
        <f>+N1304</f>
        <v>10.0</v>
      </c>
      <c r="P1304" s="22">
        <f>+N1304-O1304</f>
        <v>0.0</v>
      </c>
      <c r="Q1304" s="57"/>
      <c r="R1304" s="58"/>
    </row>
    <row r="1305" spans="8:8" ht="15.0" customHeight="1">
      <c r="B1305" s="54">
        <v>1433.0</v>
      </c>
      <c r="C1305" s="8" t="s">
        <v>8351</v>
      </c>
      <c r="D1305" s="8" t="s">
        <v>1013</v>
      </c>
      <c r="E1305" s="8" t="s">
        <v>3127</v>
      </c>
      <c r="F1305" s="8" t="s">
        <v>1501</v>
      </c>
      <c r="G1305" s="8"/>
      <c r="H1305" s="8" t="s">
        <v>3127</v>
      </c>
      <c r="I1305" s="8" t="s">
        <v>349</v>
      </c>
      <c r="J1305" s="78" t="s">
        <v>5220</v>
      </c>
      <c r="K1305" s="22">
        <v>223.0</v>
      </c>
      <c r="L1305" s="22">
        <f>+SUMIF('حركه المخزن الرئيسي اليوميه'!$F:$F,$H:$H,'حركه المخزن الرئيسي اليوميه'!$H:$H)</f>
        <v>0.0</v>
      </c>
      <c r="M1305" s="22">
        <f>+SUMIF('حركه المخزن الرئيسي اليوميه'!$F:$F,$H:$H,'حركه المخزن الرئيسي اليوميه'!$I:$I)</f>
        <v>1.0</v>
      </c>
      <c r="N1305" s="22">
        <f>+K1305+L1305-M1305</f>
        <v>222.0</v>
      </c>
      <c r="O1305" s="22">
        <f>+N1305</f>
        <v>222.0</v>
      </c>
      <c r="P1305" s="22">
        <f>+N1305-O1305</f>
        <v>0.0</v>
      </c>
      <c r="Q1305" s="57"/>
      <c r="R1305" s="58"/>
    </row>
    <row r="1306" spans="8:8" ht="15.0" customHeight="1">
      <c r="B1306" s="54">
        <v>1434.0</v>
      </c>
      <c r="C1306" s="8" t="s">
        <v>8351</v>
      </c>
      <c r="D1306" s="8" t="s">
        <v>1013</v>
      </c>
      <c r="E1306" s="8" t="s">
        <v>3128</v>
      </c>
      <c r="F1306" s="8" t="s">
        <v>1501</v>
      </c>
      <c r="G1306" s="8"/>
      <c r="H1306" s="8" t="s">
        <v>3128</v>
      </c>
      <c r="I1306" s="8" t="s">
        <v>375</v>
      </c>
      <c r="J1306" s="78" t="s">
        <v>5221</v>
      </c>
      <c r="K1306" s="22">
        <v>392.0</v>
      </c>
      <c r="L1306" s="22">
        <f>+SUMIF('حركه المخزن الرئيسي اليوميه'!$F:$F,$H:$H,'حركه المخزن الرئيسي اليوميه'!$H:$H)</f>
        <v>0.0</v>
      </c>
      <c r="M1306" s="22">
        <f>+SUMIF('حركه المخزن الرئيسي اليوميه'!$F:$F,$H:$H,'حركه المخزن الرئيسي اليوميه'!$I:$I)</f>
        <v>6.0</v>
      </c>
      <c r="N1306" s="22">
        <f>+K1306+L1306-M1306</f>
        <v>386.0</v>
      </c>
      <c r="O1306" s="22">
        <f>+N1306</f>
        <v>386.0</v>
      </c>
      <c r="P1306" s="22">
        <f>+N1306-O1306</f>
        <v>0.0</v>
      </c>
      <c r="Q1306" s="57"/>
      <c r="R1306" s="58"/>
    </row>
    <row r="1307" spans="8:8" ht="15.0" customHeight="1">
      <c r="B1307" s="54">
        <v>1435.0</v>
      </c>
      <c r="C1307" s="8" t="s">
        <v>8351</v>
      </c>
      <c r="D1307" s="8" t="s">
        <v>1013</v>
      </c>
      <c r="E1307" s="8" t="s">
        <v>3129</v>
      </c>
      <c r="F1307" s="8" t="s">
        <v>1501</v>
      </c>
      <c r="G1307" s="8"/>
      <c r="H1307" s="8" t="s">
        <v>3129</v>
      </c>
      <c r="I1307" s="8" t="s">
        <v>3916</v>
      </c>
      <c r="J1307" s="78" t="s">
        <v>5222</v>
      </c>
      <c r="K1307" s="22">
        <v>2.0</v>
      </c>
      <c r="L1307" s="22">
        <f>+SUMIF('حركه المخزن الرئيسي اليوميه'!$F:$F,$H:$H,'حركه المخزن الرئيسي اليوميه'!$H:$H)</f>
        <v>0.0</v>
      </c>
      <c r="M1307" s="22">
        <f>+SUMIF('حركه المخزن الرئيسي اليوميه'!$F:$F,$H:$H,'حركه المخزن الرئيسي اليوميه'!$I:$I)</f>
        <v>0.0</v>
      </c>
      <c r="N1307" s="22">
        <f>+K1307+L1307-M1307</f>
        <v>2.0</v>
      </c>
      <c r="O1307" s="22">
        <f>+N1307</f>
        <v>2.0</v>
      </c>
      <c r="P1307" s="22">
        <f>+N1307-O1307</f>
        <v>0.0</v>
      </c>
      <c r="Q1307" s="57"/>
      <c r="R1307" s="58"/>
    </row>
    <row r="1308" spans="8:8" ht="15.0" customHeight="1">
      <c r="B1308" s="54">
        <v>1436.0</v>
      </c>
      <c r="C1308" s="8" t="s">
        <v>8351</v>
      </c>
      <c r="D1308" s="8" t="s">
        <v>1013</v>
      </c>
      <c r="E1308" s="8" t="s">
        <v>3130</v>
      </c>
      <c r="F1308" s="8" t="s">
        <v>1501</v>
      </c>
      <c r="G1308" s="8"/>
      <c r="H1308" s="8" t="s">
        <v>3130</v>
      </c>
      <c r="I1308" s="8" t="s">
        <v>3266</v>
      </c>
      <c r="J1308" s="78" t="s">
        <v>5223</v>
      </c>
      <c r="K1308" s="22">
        <v>17.0</v>
      </c>
      <c r="L1308" s="22">
        <f>+SUMIF('حركه المخزن الرئيسي اليوميه'!$F:$F,$H:$H,'حركه المخزن الرئيسي اليوميه'!$H:$H)</f>
        <v>0.0</v>
      </c>
      <c r="M1308" s="22">
        <f>+SUMIF('حركه المخزن الرئيسي اليوميه'!$F:$F,$H:$H,'حركه المخزن الرئيسي اليوميه'!$I:$I)</f>
        <v>0.0</v>
      </c>
      <c r="N1308" s="22">
        <f>+K1308+L1308-M1308</f>
        <v>17.0</v>
      </c>
      <c r="O1308" s="22">
        <f>+N1308</f>
        <v>17.0</v>
      </c>
      <c r="P1308" s="22">
        <f>+N1308-O1308</f>
        <v>0.0</v>
      </c>
      <c r="Q1308" s="57"/>
      <c r="R1308" s="58"/>
    </row>
    <row r="1309" spans="8:8" ht="15.0" customHeight="1">
      <c r="B1309" s="54">
        <v>1437.0</v>
      </c>
      <c r="C1309" s="8" t="s">
        <v>8351</v>
      </c>
      <c r="D1309" s="8" t="s">
        <v>1013</v>
      </c>
      <c r="E1309" s="8" t="s">
        <v>3141</v>
      </c>
      <c r="F1309" s="8" t="s">
        <v>1501</v>
      </c>
      <c r="G1309" s="8"/>
      <c r="H1309" s="8" t="s">
        <v>3296</v>
      </c>
      <c r="I1309" s="8" t="s">
        <v>3196</v>
      </c>
      <c r="J1309" s="78" t="s">
        <v>5224</v>
      </c>
      <c r="K1309" s="22">
        <v>2.0</v>
      </c>
      <c r="L1309" s="22">
        <f>+SUMIF('حركه المخزن الرئيسي اليوميه'!$F:$F,$H:$H,'حركه المخزن الرئيسي اليوميه'!$H:$H)</f>
        <v>0.0</v>
      </c>
      <c r="M1309" s="22">
        <f>+SUMIF('حركه المخزن الرئيسي اليوميه'!$F:$F,$H:$H,'حركه المخزن الرئيسي اليوميه'!$I:$I)</f>
        <v>1.0</v>
      </c>
      <c r="N1309" s="22">
        <f>+K1309+L1309-M1309</f>
        <v>1.0</v>
      </c>
      <c r="O1309" s="22">
        <f>+N1309</f>
        <v>1.0</v>
      </c>
      <c r="P1309" s="22">
        <f>+N1309-O1309</f>
        <v>0.0</v>
      </c>
      <c r="Q1309" s="57"/>
      <c r="R1309" s="58"/>
    </row>
    <row r="1310" spans="8:8" ht="15.0" customHeight="1">
      <c r="B1310" s="54">
        <v>1438.0</v>
      </c>
      <c r="C1310" s="8" t="s">
        <v>8351</v>
      </c>
      <c r="D1310" s="8" t="s">
        <v>1013</v>
      </c>
      <c r="E1310" s="8" t="s">
        <v>3143</v>
      </c>
      <c r="F1310" s="8" t="s">
        <v>1501</v>
      </c>
      <c r="G1310" s="8"/>
      <c r="H1310" s="8" t="s">
        <v>3143</v>
      </c>
      <c r="I1310" s="8" t="s">
        <v>3196</v>
      </c>
      <c r="J1310" s="78" t="s">
        <v>5225</v>
      </c>
      <c r="K1310" s="22">
        <v>14.0</v>
      </c>
      <c r="L1310" s="22">
        <f>+SUMIF('حركه المخزن الرئيسي اليوميه'!$F:$F,$H:$H,'حركه المخزن الرئيسي اليوميه'!$H:$H)</f>
        <v>0.0</v>
      </c>
      <c r="M1310" s="22">
        <f>+SUMIF('حركه المخزن الرئيسي اليوميه'!$F:$F,$H:$H,'حركه المخزن الرئيسي اليوميه'!$I:$I)</f>
        <v>0.0</v>
      </c>
      <c r="N1310" s="22">
        <f>+K1310+L1310-M1310</f>
        <v>14.0</v>
      </c>
      <c r="O1310" s="22">
        <f>+N1310</f>
        <v>14.0</v>
      </c>
      <c r="P1310" s="22">
        <f>+N1310-O1310</f>
        <v>0.0</v>
      </c>
      <c r="Q1310" s="57"/>
      <c r="R1310" s="58"/>
    </row>
    <row r="1311" spans="8:8" ht="15.0" customHeight="1">
      <c r="B1311" s="54">
        <v>1439.0</v>
      </c>
      <c r="C1311" s="8" t="s">
        <v>8351</v>
      </c>
      <c r="D1311" s="8" t="s">
        <v>1013</v>
      </c>
      <c r="E1311" s="8" t="s">
        <v>3144</v>
      </c>
      <c r="F1311" s="8" t="s">
        <v>1501</v>
      </c>
      <c r="G1311" s="8"/>
      <c r="H1311" s="8" t="s">
        <v>3144</v>
      </c>
      <c r="I1311" s="8" t="s">
        <v>3196</v>
      </c>
      <c r="J1311" s="78" t="s">
        <v>5226</v>
      </c>
      <c r="K1311" s="22">
        <v>10.0</v>
      </c>
      <c r="L1311" s="22">
        <f>+SUMIF('حركه المخزن الرئيسي اليوميه'!$F:$F,$H:$H,'حركه المخزن الرئيسي اليوميه'!$H:$H)</f>
        <v>0.0</v>
      </c>
      <c r="M1311" s="22">
        <f>+SUMIF('حركه المخزن الرئيسي اليوميه'!$F:$F,$H:$H,'حركه المخزن الرئيسي اليوميه'!$I:$I)</f>
        <v>1.0</v>
      </c>
      <c r="N1311" s="22">
        <f>+K1311+L1311-M1311</f>
        <v>9.0</v>
      </c>
      <c r="O1311" s="22">
        <f>+N1311</f>
        <v>9.0</v>
      </c>
      <c r="P1311" s="22">
        <f>+N1311-O1311</f>
        <v>0.0</v>
      </c>
      <c r="Q1311" s="57"/>
      <c r="R1311" s="58"/>
    </row>
    <row r="1312" spans="8:8" ht="15.0" customHeight="1">
      <c r="B1312" s="54">
        <v>1440.0</v>
      </c>
      <c r="C1312" s="8" t="s">
        <v>8351</v>
      </c>
      <c r="D1312" s="8" t="s">
        <v>1013</v>
      </c>
      <c r="E1312" s="8" t="s">
        <v>3145</v>
      </c>
      <c r="F1312" s="8" t="s">
        <v>1501</v>
      </c>
      <c r="G1312" s="8"/>
      <c r="H1312" s="8" t="s">
        <v>3145</v>
      </c>
      <c r="I1312" s="8" t="s">
        <v>3196</v>
      </c>
      <c r="J1312" s="78" t="s">
        <v>5227</v>
      </c>
      <c r="K1312" s="22">
        <v>3.0</v>
      </c>
      <c r="L1312" s="22">
        <f>+SUMIF('حركه المخزن الرئيسي اليوميه'!$F:$F,$H:$H,'حركه المخزن الرئيسي اليوميه'!$H:$H)</f>
        <v>0.0</v>
      </c>
      <c r="M1312" s="22">
        <f>+SUMIF('حركه المخزن الرئيسي اليوميه'!$F:$F,$H:$H,'حركه المخزن الرئيسي اليوميه'!$I:$I)</f>
        <v>0.0</v>
      </c>
      <c r="N1312" s="22">
        <f>+K1312+L1312-M1312</f>
        <v>3.0</v>
      </c>
      <c r="O1312" s="22">
        <f>+N1312</f>
        <v>3.0</v>
      </c>
      <c r="P1312" s="22">
        <f>+N1312-O1312</f>
        <v>0.0</v>
      </c>
      <c r="Q1312" s="57"/>
      <c r="R1312" s="58"/>
    </row>
    <row r="1313" spans="8:8" ht="15.0" customHeight="1">
      <c r="B1313" s="54">
        <v>1441.0</v>
      </c>
      <c r="C1313" s="8" t="s">
        <v>8351</v>
      </c>
      <c r="D1313" s="8" t="s">
        <v>1013</v>
      </c>
      <c r="E1313" s="8" t="s">
        <v>3536</v>
      </c>
      <c r="F1313" s="8" t="s">
        <v>1501</v>
      </c>
      <c r="G1313" s="8"/>
      <c r="H1313" s="8" t="s">
        <v>3536</v>
      </c>
      <c r="I1313" s="8" t="s">
        <v>3196</v>
      </c>
      <c r="J1313" s="78" t="s">
        <v>5228</v>
      </c>
      <c r="K1313" s="22">
        <v>6.0</v>
      </c>
      <c r="L1313" s="22">
        <f>+SUMIF('حركه المخزن الرئيسي اليوميه'!$F:$F,$H:$H,'حركه المخزن الرئيسي اليوميه'!$H:$H)</f>
        <v>0.0</v>
      </c>
      <c r="M1313" s="22">
        <f>+SUMIF('حركه المخزن الرئيسي اليوميه'!$F:$F,$H:$H,'حركه المخزن الرئيسي اليوميه'!$I:$I)</f>
        <v>1.0</v>
      </c>
      <c r="N1313" s="22">
        <f>+K1313+L1313-M1313</f>
        <v>5.0</v>
      </c>
      <c r="O1313" s="22">
        <f>+N1313</f>
        <v>5.0</v>
      </c>
      <c r="P1313" s="22">
        <f>+N1313-O1313</f>
        <v>0.0</v>
      </c>
      <c r="Q1313" s="57"/>
      <c r="R1313" s="58"/>
    </row>
    <row r="1314" spans="8:8" ht="15.0" customHeight="1">
      <c r="B1314" s="54">
        <v>1442.0</v>
      </c>
      <c r="C1314" s="8" t="s">
        <v>8351</v>
      </c>
      <c r="D1314" s="8" t="s">
        <v>1013</v>
      </c>
      <c r="E1314" s="8" t="s">
        <v>3297</v>
      </c>
      <c r="F1314" s="8" t="s">
        <v>1501</v>
      </c>
      <c r="G1314" s="8"/>
      <c r="H1314" s="8" t="s">
        <v>3297</v>
      </c>
      <c r="I1314" s="8" t="s">
        <v>3196</v>
      </c>
      <c r="J1314" s="78" t="s">
        <v>5229</v>
      </c>
      <c r="K1314" s="22">
        <v>2.0</v>
      </c>
      <c r="L1314" s="22">
        <f>+SUMIF('حركه المخزن الرئيسي اليوميه'!$F:$F,$H:$H,'حركه المخزن الرئيسي اليوميه'!$H:$H)</f>
        <v>0.0</v>
      </c>
      <c r="M1314" s="22">
        <f>+SUMIF('حركه المخزن الرئيسي اليوميه'!$F:$F,$H:$H,'حركه المخزن الرئيسي اليوميه'!$I:$I)</f>
        <v>1.0</v>
      </c>
      <c r="N1314" s="22">
        <f>+K1314+L1314-M1314</f>
        <v>1.0</v>
      </c>
      <c r="O1314" s="22">
        <f>+N1314</f>
        <v>1.0</v>
      </c>
      <c r="P1314" s="22">
        <f>+N1314-O1314</f>
        <v>0.0</v>
      </c>
      <c r="Q1314" s="57"/>
      <c r="R1314" s="58"/>
    </row>
    <row r="1315" spans="8:8" ht="15.0" customHeight="1">
      <c r="B1315" s="54">
        <v>1443.0</v>
      </c>
      <c r="C1315" s="8" t="s">
        <v>8351</v>
      </c>
      <c r="D1315" s="8" t="s">
        <v>1013</v>
      </c>
      <c r="E1315" s="8" t="s">
        <v>3147</v>
      </c>
      <c r="F1315" s="8" t="s">
        <v>1501</v>
      </c>
      <c r="G1315" s="8"/>
      <c r="H1315" s="8" t="s">
        <v>3147</v>
      </c>
      <c r="I1315" s="8" t="s">
        <v>78</v>
      </c>
      <c r="J1315" s="78" t="s">
        <v>5230</v>
      </c>
      <c r="K1315" s="22">
        <v>167.0</v>
      </c>
      <c r="L1315" s="22">
        <f>+SUMIF('حركه المخزن الرئيسي اليوميه'!$F:$F,$H:$H,'حركه المخزن الرئيسي اليوميه'!$H:$H)</f>
        <v>0.0</v>
      </c>
      <c r="M1315" s="22">
        <f>+SUMIF('حركه المخزن الرئيسي اليوميه'!$F:$F,$H:$H,'حركه المخزن الرئيسي اليوميه'!$I:$I)</f>
        <v>1.0</v>
      </c>
      <c r="N1315" s="22">
        <f>+K1315+L1315-M1315</f>
        <v>166.0</v>
      </c>
      <c r="O1315" s="22">
        <f>+N1315</f>
        <v>166.0</v>
      </c>
      <c r="P1315" s="22">
        <f>+N1315-O1315</f>
        <v>0.0</v>
      </c>
      <c r="Q1315" s="57"/>
      <c r="R1315" s="58"/>
    </row>
    <row r="1316" spans="8:8" ht="15.0" customHeight="1">
      <c r="B1316" s="54">
        <v>1444.0</v>
      </c>
      <c r="C1316" s="8"/>
      <c r="D1316" s="8"/>
      <c r="E1316" s="8"/>
      <c r="F1316" s="8"/>
      <c r="G1316" s="8"/>
      <c r="H1316" s="8"/>
      <c r="I1316" s="8"/>
      <c r="J1316" s="78" t="s">
        <v>5231</v>
      </c>
      <c r="K1316" s="22">
        <v>0.0</v>
      </c>
      <c r="L1316" s="22">
        <f>+SUMIF('حركه المخزن الرئيسي اليوميه'!$F:$F,$H:$H,'حركه المخزن الرئيسي اليوميه'!$H:$H)</f>
        <v>0.0</v>
      </c>
      <c r="M1316" s="22">
        <f>+SUMIF('حركه المخزن الرئيسي اليوميه'!$F:$F,$H:$H,'حركه المخزن الرئيسي اليوميه'!$I:$I)</f>
        <v>0.0</v>
      </c>
      <c r="N1316" s="22">
        <f>+K1316+L1316-M1316</f>
        <v>0.0</v>
      </c>
      <c r="O1316" s="22">
        <f>+N1316</f>
        <v>0.0</v>
      </c>
      <c r="P1316" s="22">
        <f>+N1316-O1316</f>
        <v>0.0</v>
      </c>
      <c r="Q1316" s="57"/>
      <c r="R1316" s="58"/>
    </row>
    <row r="1317" spans="8:8" ht="15.0" customHeight="1">
      <c r="B1317" s="54">
        <v>1446.0</v>
      </c>
      <c r="C1317" s="8" t="s">
        <v>8351</v>
      </c>
      <c r="D1317" s="8" t="s">
        <v>1013</v>
      </c>
      <c r="E1317" s="8" t="s">
        <v>3156</v>
      </c>
      <c r="F1317" s="8" t="s">
        <v>1501</v>
      </c>
      <c r="G1317" s="8"/>
      <c r="H1317" s="8" t="s">
        <v>3156</v>
      </c>
      <c r="I1317" s="8" t="s">
        <v>45</v>
      </c>
      <c r="J1317" s="78" t="s">
        <v>5232</v>
      </c>
      <c r="K1317" s="22">
        <v>15.0</v>
      </c>
      <c r="L1317" s="22">
        <f>+SUMIF('حركه المخزن الرئيسي اليوميه'!$F:$F,$H:$H,'حركه المخزن الرئيسي اليوميه'!$H:$H)</f>
        <v>0.0</v>
      </c>
      <c r="M1317" s="22">
        <f>+SUMIF('حركه المخزن الرئيسي اليوميه'!$F:$F,$H:$H,'حركه المخزن الرئيسي اليوميه'!$I:$I)</f>
        <v>0.0</v>
      </c>
      <c r="N1317" s="22">
        <f>+K1317+L1317-M1317</f>
        <v>15.0</v>
      </c>
      <c r="O1317" s="22">
        <f>+N1317</f>
        <v>15.0</v>
      </c>
      <c r="P1317" s="22">
        <f>+N1317-O1317</f>
        <v>0.0</v>
      </c>
      <c r="Q1317" s="57"/>
      <c r="R1317" s="59"/>
    </row>
    <row r="1318" spans="8:8" ht="15.75" customHeight="1">
      <c r="B1318" s="54">
        <v>1447.0</v>
      </c>
      <c r="C1318" s="8" t="s">
        <v>8351</v>
      </c>
      <c r="D1318" s="8" t="s">
        <v>1013</v>
      </c>
      <c r="E1318" s="8" t="s">
        <v>3157</v>
      </c>
      <c r="F1318" s="8" t="s">
        <v>1501</v>
      </c>
      <c r="G1318" s="8"/>
      <c r="H1318" s="8" t="s">
        <v>3157</v>
      </c>
      <c r="I1318" s="8" t="s">
        <v>43</v>
      </c>
      <c r="J1318" s="78" t="s">
        <v>5233</v>
      </c>
      <c r="K1318" s="22">
        <v>24.0</v>
      </c>
      <c r="L1318" s="22">
        <f>+SUMIF('حركه المخزن الرئيسي اليوميه'!$F:$F,$H:$H,'حركه المخزن الرئيسي اليوميه'!$H:$H)</f>
        <v>0.0</v>
      </c>
      <c r="M1318" s="22">
        <f>+SUMIF('حركه المخزن الرئيسي اليوميه'!$F:$F,$H:$H,'حركه المخزن الرئيسي اليوميه'!$I:$I)</f>
        <v>0.0</v>
      </c>
      <c r="N1318" s="22">
        <f>+K1318+L1318-M1318</f>
        <v>24.0</v>
      </c>
      <c r="O1318" s="22">
        <f>+N1318</f>
        <v>24.0</v>
      </c>
      <c r="P1318" s="22">
        <f>+N1318-O1318</f>
        <v>0.0</v>
      </c>
      <c r="Q1318" s="57"/>
      <c r="R1318" s="59"/>
    </row>
    <row r="1319" spans="8:8" ht="15.0" customHeight="1">
      <c r="B1319" s="54">
        <v>1448.0</v>
      </c>
      <c r="C1319" s="8"/>
      <c r="D1319" s="8"/>
      <c r="E1319" s="8"/>
      <c r="F1319" s="8"/>
      <c r="G1319" s="8"/>
      <c r="H1319" s="8"/>
      <c r="I1319" s="8"/>
      <c r="J1319" s="78" t="s">
        <v>5234</v>
      </c>
      <c r="K1319" s="22">
        <v>0.0</v>
      </c>
      <c r="L1319" s="22">
        <f>+SUMIF('حركه المخزن الرئيسي اليوميه'!$F:$F,$H:$H,'حركه المخزن الرئيسي اليوميه'!$H:$H)</f>
        <v>0.0</v>
      </c>
      <c r="M1319" s="22">
        <f>+SUMIF('حركه المخزن الرئيسي اليوميه'!$F:$F,$H:$H,'حركه المخزن الرئيسي اليوميه'!$I:$I)</f>
        <v>0.0</v>
      </c>
      <c r="N1319" s="22">
        <f>+K1319+L1319-M1319</f>
        <v>0.0</v>
      </c>
      <c r="O1319" s="22">
        <f>+N1319</f>
        <v>0.0</v>
      </c>
      <c r="P1319" s="22">
        <f>+N1319-O1319</f>
        <v>0.0</v>
      </c>
      <c r="Q1319" s="57"/>
      <c r="R1319" s="58"/>
    </row>
    <row r="1320" spans="8:8" ht="15.0" customHeight="1">
      <c r="B1320" s="54">
        <v>1449.0</v>
      </c>
      <c r="C1320" s="8" t="s">
        <v>8351</v>
      </c>
      <c r="D1320" s="8" t="s">
        <v>1013</v>
      </c>
      <c r="E1320" s="8"/>
      <c r="F1320" s="8"/>
      <c r="G1320" s="8"/>
      <c r="H1320" s="8"/>
      <c r="I1320" s="8"/>
      <c r="J1320" s="78" t="s">
        <v>5235</v>
      </c>
      <c r="K1320" s="22">
        <v>0.0</v>
      </c>
      <c r="L1320" s="22">
        <f>+SUMIF('حركه المخزن الرئيسي اليوميه'!$F:$F,$H:$H,'حركه المخزن الرئيسي اليوميه'!$H:$H)</f>
        <v>0.0</v>
      </c>
      <c r="M1320" s="22">
        <f>+SUMIF('حركه المخزن الرئيسي اليوميه'!$F:$F,$H:$H,'حركه المخزن الرئيسي اليوميه'!$I:$I)</f>
        <v>0.0</v>
      </c>
      <c r="N1320" s="22">
        <f>+K1320+L1320-M1320</f>
        <v>0.0</v>
      </c>
      <c r="O1320" s="22">
        <f>+N1320</f>
        <v>0.0</v>
      </c>
      <c r="P1320" s="22">
        <f>+N1320-O1320</f>
        <v>0.0</v>
      </c>
      <c r="Q1320" s="57"/>
      <c r="R1320" s="58"/>
    </row>
    <row r="1321" spans="8:8" ht="15.0" customHeight="1">
      <c r="B1321" s="54">
        <v>1450.0</v>
      </c>
      <c r="C1321" s="8" t="s">
        <v>8351</v>
      </c>
      <c r="D1321" s="8" t="s">
        <v>766</v>
      </c>
      <c r="E1321" s="8" t="s">
        <v>412</v>
      </c>
      <c r="F1321" s="8" t="s">
        <v>1501</v>
      </c>
      <c r="G1321" s="8"/>
      <c r="H1321" s="8" t="s">
        <v>3243</v>
      </c>
      <c r="I1321" s="8" t="s">
        <v>818</v>
      </c>
      <c r="J1321" s="78" t="s">
        <v>5236</v>
      </c>
      <c r="K1321" s="22">
        <v>1.0</v>
      </c>
      <c r="L1321" s="22">
        <f>+SUMIF('حركه المخزن الرئيسي اليوميه'!$F:$F,$H:$H,'حركه المخزن الرئيسي اليوميه'!$H:$H)</f>
        <v>0.0</v>
      </c>
      <c r="M1321" s="22">
        <f>+SUMIF('حركه المخزن الرئيسي اليوميه'!$F:$F,$H:$H,'حركه المخزن الرئيسي اليوميه'!$I:$I)</f>
        <v>0.0</v>
      </c>
      <c r="N1321" s="22">
        <f>+K1321+L1321-M1321</f>
        <v>1.0</v>
      </c>
      <c r="O1321" s="22">
        <f>+N1321</f>
        <v>1.0</v>
      </c>
      <c r="P1321" s="22">
        <f>+N1321-O1321</f>
        <v>0.0</v>
      </c>
      <c r="Q1321" s="57"/>
      <c r="R1321" s="58"/>
    </row>
    <row r="1322" spans="8:8" ht="15.0" customHeight="1">
      <c r="B1322" s="54">
        <v>1451.0</v>
      </c>
      <c r="C1322" s="8" t="s">
        <v>8351</v>
      </c>
      <c r="D1322" s="8" t="s">
        <v>1013</v>
      </c>
      <c r="E1322" s="8" t="s">
        <v>3549</v>
      </c>
      <c r="F1322" s="8" t="s">
        <v>1501</v>
      </c>
      <c r="G1322" s="8"/>
      <c r="H1322" s="8" t="s">
        <v>3549</v>
      </c>
      <c r="I1322" s="8" t="s">
        <v>363</v>
      </c>
      <c r="J1322" s="78" t="s">
        <v>5237</v>
      </c>
      <c r="K1322" s="22">
        <v>16.0</v>
      </c>
      <c r="L1322" s="22">
        <f>+SUMIF('حركه المخزن الرئيسي اليوميه'!$F:$F,$H:$H,'حركه المخزن الرئيسي اليوميه'!$H:$H)</f>
        <v>0.0</v>
      </c>
      <c r="M1322" s="22">
        <f>+SUMIF('حركه المخزن الرئيسي اليوميه'!$F:$F,$H:$H,'حركه المخزن الرئيسي اليوميه'!$I:$I)</f>
        <v>0.0</v>
      </c>
      <c r="N1322" s="22">
        <f>+K1322+L1322-M1322</f>
        <v>16.0</v>
      </c>
      <c r="O1322" s="22">
        <f>+N1322</f>
        <v>16.0</v>
      </c>
      <c r="P1322" s="22">
        <f>+N1322-O1322</f>
        <v>0.0</v>
      </c>
      <c r="Q1322" s="57"/>
      <c r="R1322" s="58"/>
    </row>
    <row r="1323" spans="8:8" ht="15.0" customHeight="1">
      <c r="B1323" s="54">
        <v>1452.0</v>
      </c>
      <c r="C1323" s="8" t="s">
        <v>8351</v>
      </c>
      <c r="D1323" s="8" t="s">
        <v>1013</v>
      </c>
      <c r="E1323" s="8" t="s">
        <v>3164</v>
      </c>
      <c r="F1323" s="8" t="s">
        <v>1501</v>
      </c>
      <c r="G1323" s="8"/>
      <c r="H1323" s="8" t="s">
        <v>3164</v>
      </c>
      <c r="I1323" s="8" t="s">
        <v>1365</v>
      </c>
      <c r="J1323" s="78" t="s">
        <v>5238</v>
      </c>
      <c r="K1323" s="22">
        <v>23.0</v>
      </c>
      <c r="L1323" s="22">
        <f>+SUMIF('حركه المخزن الرئيسي اليوميه'!$F:$F,$H:$H,'حركه المخزن الرئيسي اليوميه'!$H:$H)</f>
        <v>0.0</v>
      </c>
      <c r="M1323" s="22">
        <f>+SUMIF('حركه المخزن الرئيسي اليوميه'!$F:$F,$H:$H,'حركه المخزن الرئيسي اليوميه'!$I:$I)</f>
        <v>0.0</v>
      </c>
      <c r="N1323" s="22">
        <f>+K1323+L1323-M1323</f>
        <v>23.0</v>
      </c>
      <c r="O1323" s="22">
        <f>+N1323</f>
        <v>23.0</v>
      </c>
      <c r="P1323" s="22">
        <f>+N1323-O1323</f>
        <v>0.0</v>
      </c>
      <c r="Q1323" s="57"/>
      <c r="R1323" s="58"/>
    </row>
    <row r="1324" spans="8:8" ht="15.0" customHeight="1">
      <c r="B1324" s="54">
        <v>1453.0</v>
      </c>
      <c r="C1324" s="8" t="s">
        <v>8351</v>
      </c>
      <c r="D1324" s="8" t="s">
        <v>1013</v>
      </c>
      <c r="E1324" s="8" t="s">
        <v>3165</v>
      </c>
      <c r="F1324" s="8" t="s">
        <v>1501</v>
      </c>
      <c r="G1324" s="8"/>
      <c r="H1324" s="8" t="s">
        <v>3165</v>
      </c>
      <c r="I1324" s="8" t="s">
        <v>3195</v>
      </c>
      <c r="J1324" s="78" t="s">
        <v>5239</v>
      </c>
      <c r="K1324" s="22">
        <v>16.0</v>
      </c>
      <c r="L1324" s="22">
        <f>+SUMIF('حركه المخزن الرئيسي اليوميه'!$F:$F,$H:$H,'حركه المخزن الرئيسي اليوميه'!$H:$H)</f>
        <v>0.0</v>
      </c>
      <c r="M1324" s="22">
        <f>+SUMIF('حركه المخزن الرئيسي اليوميه'!$F:$F,$H:$H,'حركه المخزن الرئيسي اليوميه'!$I:$I)</f>
        <v>0.0</v>
      </c>
      <c r="N1324" s="22">
        <f>+K1324+L1324-M1324</f>
        <v>16.0</v>
      </c>
      <c r="O1324" s="22">
        <f>+N1324</f>
        <v>16.0</v>
      </c>
      <c r="P1324" s="22">
        <f>+N1324-O1324</f>
        <v>0.0</v>
      </c>
      <c r="Q1324" s="57"/>
      <c r="R1324" s="58"/>
    </row>
    <row r="1325" spans="8:8" ht="15.0" customHeight="1">
      <c r="B1325" s="54">
        <v>1454.0</v>
      </c>
      <c r="C1325" s="8" t="s">
        <v>8351</v>
      </c>
      <c r="D1325" s="8" t="s">
        <v>1013</v>
      </c>
      <c r="E1325" s="8" t="s">
        <v>3166</v>
      </c>
      <c r="F1325" s="8" t="s">
        <v>1501</v>
      </c>
      <c r="G1325" s="8"/>
      <c r="H1325" s="8" t="s">
        <v>3166</v>
      </c>
      <c r="I1325" s="8" t="s">
        <v>3195</v>
      </c>
      <c r="J1325" s="78" t="s">
        <v>5240</v>
      </c>
      <c r="K1325" s="22">
        <v>15.0</v>
      </c>
      <c r="L1325" s="22">
        <f>+SUMIF('حركه المخزن الرئيسي اليوميه'!$F:$F,$H:$H,'حركه المخزن الرئيسي اليوميه'!$H:$H)</f>
        <v>0.0</v>
      </c>
      <c r="M1325" s="22">
        <f>+SUMIF('حركه المخزن الرئيسي اليوميه'!$F:$F,$H:$H,'حركه المخزن الرئيسي اليوميه'!$I:$I)</f>
        <v>0.0</v>
      </c>
      <c r="N1325" s="22">
        <f>+K1325+L1325-M1325</f>
        <v>15.0</v>
      </c>
      <c r="O1325" s="22">
        <f>+N1325</f>
        <v>15.0</v>
      </c>
      <c r="P1325" s="22">
        <f>+N1325-O1325</f>
        <v>0.0</v>
      </c>
      <c r="Q1325" s="57"/>
      <c r="R1325" s="58"/>
    </row>
    <row r="1326" spans="8:8" ht="15.0" customHeight="1">
      <c r="B1326" s="54">
        <v>1455.0</v>
      </c>
      <c r="C1326" s="8" t="s">
        <v>8351</v>
      </c>
      <c r="D1326" s="8" t="s">
        <v>1013</v>
      </c>
      <c r="E1326" s="8" t="s">
        <v>3167</v>
      </c>
      <c r="F1326" s="8" t="s">
        <v>1501</v>
      </c>
      <c r="G1326" s="8"/>
      <c r="H1326" s="8" t="s">
        <v>3167</v>
      </c>
      <c r="I1326" s="8" t="s">
        <v>3195</v>
      </c>
      <c r="J1326" s="78" t="s">
        <v>5241</v>
      </c>
      <c r="K1326" s="22">
        <v>20.0</v>
      </c>
      <c r="L1326" s="22">
        <f>+SUMIF('حركه المخزن الرئيسي اليوميه'!$F:$F,$H:$H,'حركه المخزن الرئيسي اليوميه'!$H:$H)</f>
        <v>0.0</v>
      </c>
      <c r="M1326" s="22">
        <f>+SUMIF('حركه المخزن الرئيسي اليوميه'!$F:$F,$H:$H,'حركه المخزن الرئيسي اليوميه'!$I:$I)</f>
        <v>0.0</v>
      </c>
      <c r="N1326" s="22">
        <f>+K1326+L1326-M1326</f>
        <v>20.0</v>
      </c>
      <c r="O1326" s="22">
        <f>+N1326</f>
        <v>20.0</v>
      </c>
      <c r="P1326" s="22">
        <f>+N1326-O1326</f>
        <v>0.0</v>
      </c>
      <c r="Q1326" s="57"/>
      <c r="R1326" s="58"/>
    </row>
    <row r="1327" spans="8:8" ht="15.0" customHeight="1">
      <c r="B1327" s="54">
        <v>1456.0</v>
      </c>
      <c r="C1327" s="8" t="s">
        <v>8351</v>
      </c>
      <c r="D1327" s="8" t="s">
        <v>1013</v>
      </c>
      <c r="E1327" s="8" t="s">
        <v>3168</v>
      </c>
      <c r="F1327" s="8" t="s">
        <v>1501</v>
      </c>
      <c r="G1327" s="8"/>
      <c r="H1327" s="8" t="s">
        <v>3168</v>
      </c>
      <c r="I1327" s="8" t="s">
        <v>3195</v>
      </c>
      <c r="J1327" s="78" t="s">
        <v>5242</v>
      </c>
      <c r="K1327" s="22">
        <v>7.0</v>
      </c>
      <c r="L1327" s="22">
        <f>+SUMIF('حركه المخزن الرئيسي اليوميه'!$F:$F,$H:$H,'حركه المخزن الرئيسي اليوميه'!$H:$H)</f>
        <v>0.0</v>
      </c>
      <c r="M1327" s="22">
        <f>+SUMIF('حركه المخزن الرئيسي اليوميه'!$F:$F,$H:$H,'حركه المخزن الرئيسي اليوميه'!$I:$I)</f>
        <v>0.0</v>
      </c>
      <c r="N1327" s="22">
        <f>+K1327+L1327-M1327</f>
        <v>7.0</v>
      </c>
      <c r="O1327" s="22">
        <f>+N1327</f>
        <v>7.0</v>
      </c>
      <c r="P1327" s="22">
        <f>+N1327-O1327</f>
        <v>0.0</v>
      </c>
      <c r="Q1327" s="57"/>
      <c r="R1327" s="58"/>
    </row>
    <row r="1328" spans="8:8" ht="15.0" customHeight="1">
      <c r="B1328" s="54">
        <v>1457.0</v>
      </c>
      <c r="C1328" s="8" t="s">
        <v>8351</v>
      </c>
      <c r="D1328" s="8" t="s">
        <v>1013</v>
      </c>
      <c r="E1328" s="8" t="s">
        <v>3169</v>
      </c>
      <c r="F1328" s="8" t="s">
        <v>1501</v>
      </c>
      <c r="G1328" s="8"/>
      <c r="H1328" s="8" t="s">
        <v>3169</v>
      </c>
      <c r="I1328" s="8" t="s">
        <v>3195</v>
      </c>
      <c r="J1328" s="78" t="s">
        <v>5243</v>
      </c>
      <c r="K1328" s="22">
        <v>2.0</v>
      </c>
      <c r="L1328" s="22">
        <f>+SUMIF('حركه المخزن الرئيسي اليوميه'!$F:$F,$H:$H,'حركه المخزن الرئيسي اليوميه'!$H:$H)</f>
        <v>0.0</v>
      </c>
      <c r="M1328" s="22">
        <f>+SUMIF('حركه المخزن الرئيسي اليوميه'!$F:$F,$H:$H,'حركه المخزن الرئيسي اليوميه'!$I:$I)</f>
        <v>0.0</v>
      </c>
      <c r="N1328" s="22">
        <f>+K1328+L1328-M1328</f>
        <v>2.0</v>
      </c>
      <c r="O1328" s="22">
        <f>+N1328</f>
        <v>2.0</v>
      </c>
      <c r="P1328" s="22">
        <f>+N1328-O1328</f>
        <v>0.0</v>
      </c>
      <c r="Q1328" s="57"/>
      <c r="R1328" s="58"/>
    </row>
    <row r="1329" spans="8:8" ht="15.0" customHeight="1">
      <c r="B1329" s="54">
        <v>1458.0</v>
      </c>
      <c r="C1329" s="8" t="s">
        <v>8351</v>
      </c>
      <c r="D1329" s="8" t="s">
        <v>1013</v>
      </c>
      <c r="E1329" s="8" t="s">
        <v>3170</v>
      </c>
      <c r="F1329" s="8" t="s">
        <v>1501</v>
      </c>
      <c r="G1329" s="8"/>
      <c r="H1329" s="8" t="s">
        <v>3170</v>
      </c>
      <c r="I1329" s="8" t="s">
        <v>3195</v>
      </c>
      <c r="J1329" s="78" t="s">
        <v>5244</v>
      </c>
      <c r="K1329" s="22">
        <v>4.0</v>
      </c>
      <c r="L1329" s="22">
        <f>+SUMIF('حركه المخزن الرئيسي اليوميه'!$F:$F,$H:$H,'حركه المخزن الرئيسي اليوميه'!$H:$H)</f>
        <v>0.0</v>
      </c>
      <c r="M1329" s="22">
        <f>+SUMIF('حركه المخزن الرئيسي اليوميه'!$F:$F,$H:$H,'حركه المخزن الرئيسي اليوميه'!$I:$I)</f>
        <v>0.0</v>
      </c>
      <c r="N1329" s="22">
        <f>+K1329+L1329-M1329</f>
        <v>4.0</v>
      </c>
      <c r="O1329" s="22">
        <f>+N1329</f>
        <v>4.0</v>
      </c>
      <c r="P1329" s="22">
        <f>+N1329-O1329</f>
        <v>0.0</v>
      </c>
      <c r="Q1329" s="57"/>
      <c r="R1329" s="58"/>
    </row>
    <row r="1330" spans="8:8" ht="15.0" customHeight="1">
      <c r="B1330" s="54">
        <v>1459.0</v>
      </c>
      <c r="C1330" s="8" t="s">
        <v>8351</v>
      </c>
      <c r="D1330" s="8" t="s">
        <v>1013</v>
      </c>
      <c r="E1330" s="8" t="s">
        <v>3171</v>
      </c>
      <c r="F1330" s="8" t="s">
        <v>1501</v>
      </c>
      <c r="G1330" s="8"/>
      <c r="H1330" s="8" t="s">
        <v>3171</v>
      </c>
      <c r="I1330" s="8" t="s">
        <v>3195</v>
      </c>
      <c r="J1330" s="78" t="s">
        <v>5245</v>
      </c>
      <c r="K1330" s="22">
        <v>15.0</v>
      </c>
      <c r="L1330" s="22">
        <f>+SUMIF('حركه المخزن الرئيسي اليوميه'!$F:$F,$H:$H,'حركه المخزن الرئيسي اليوميه'!$H:$H)</f>
        <v>0.0</v>
      </c>
      <c r="M1330" s="22">
        <f>+SUMIF('حركه المخزن الرئيسي اليوميه'!$F:$F,$H:$H,'حركه المخزن الرئيسي اليوميه'!$I:$I)</f>
        <v>0.0</v>
      </c>
      <c r="N1330" s="22">
        <f>+K1330+L1330-M1330</f>
        <v>15.0</v>
      </c>
      <c r="O1330" s="22">
        <f>+N1330</f>
        <v>15.0</v>
      </c>
      <c r="P1330" s="22">
        <f>+N1330-O1330</f>
        <v>0.0</v>
      </c>
      <c r="Q1330" s="57"/>
      <c r="R1330" s="58"/>
    </row>
    <row r="1331" spans="8:8" ht="15.0" customHeight="1">
      <c r="B1331" s="54">
        <v>1460.0</v>
      </c>
      <c r="C1331" s="8" t="s">
        <v>8351</v>
      </c>
      <c r="D1331" s="8" t="s">
        <v>1013</v>
      </c>
      <c r="E1331" s="8" t="s">
        <v>3172</v>
      </c>
      <c r="F1331" s="8" t="s">
        <v>1501</v>
      </c>
      <c r="G1331" s="8"/>
      <c r="H1331" s="8" t="s">
        <v>3172</v>
      </c>
      <c r="I1331" s="8" t="s">
        <v>3195</v>
      </c>
      <c r="J1331" s="78" t="s">
        <v>5246</v>
      </c>
      <c r="K1331" s="22">
        <v>6.0</v>
      </c>
      <c r="L1331" s="22">
        <f>+SUMIF('حركه المخزن الرئيسي اليوميه'!$F:$F,$H:$H,'حركه المخزن الرئيسي اليوميه'!$H:$H)</f>
        <v>0.0</v>
      </c>
      <c r="M1331" s="22">
        <f>+SUMIF('حركه المخزن الرئيسي اليوميه'!$F:$F,$H:$H,'حركه المخزن الرئيسي اليوميه'!$I:$I)</f>
        <v>0.0</v>
      </c>
      <c r="N1331" s="22">
        <f>+K1331+L1331-M1331</f>
        <v>6.0</v>
      </c>
      <c r="O1331" s="22">
        <f>+N1331</f>
        <v>6.0</v>
      </c>
      <c r="P1331" s="22">
        <f>+N1331-O1331</f>
        <v>0.0</v>
      </c>
      <c r="Q1331" s="57"/>
      <c r="R1331" s="58"/>
    </row>
    <row r="1332" spans="8:8" ht="15.0" customHeight="1">
      <c r="B1332" s="54">
        <v>1465.0</v>
      </c>
      <c r="C1332" s="8" t="s">
        <v>8351</v>
      </c>
      <c r="D1332" s="8" t="s">
        <v>1013</v>
      </c>
      <c r="E1332" s="8" t="s">
        <v>3755</v>
      </c>
      <c r="F1332" s="8" t="s">
        <v>68</v>
      </c>
      <c r="G1332" s="8"/>
      <c r="H1332" s="8" t="s">
        <v>3755</v>
      </c>
      <c r="I1332" s="8" t="s">
        <v>286</v>
      </c>
      <c r="J1332" s="78" t="s">
        <v>5247</v>
      </c>
      <c r="K1332" s="22">
        <v>13.0</v>
      </c>
      <c r="L1332" s="22">
        <f>+SUMIF('حركه المخزن الرئيسي اليوميه'!$F:$F,$H:$H,'حركه المخزن الرئيسي اليوميه'!$H:$H)</f>
        <v>0.0</v>
      </c>
      <c r="M1332" s="22">
        <f>+SUMIF('حركه المخزن الرئيسي اليوميه'!$F:$F,$H:$H,'حركه المخزن الرئيسي اليوميه'!$I:$I)</f>
        <v>0.0</v>
      </c>
      <c r="N1332" s="22">
        <f>+K1332+L1332-M1332</f>
        <v>13.0</v>
      </c>
      <c r="O1332" s="22">
        <f>+N1332</f>
        <v>13.0</v>
      </c>
      <c r="P1332" s="22">
        <f>+N1332-O1332</f>
        <v>0.0</v>
      </c>
      <c r="Q1332" s="57"/>
      <c r="R1332" s="58"/>
    </row>
    <row r="1333" spans="8:8" ht="15.0" customHeight="1">
      <c r="B1333" s="54">
        <v>1468.0</v>
      </c>
      <c r="C1333" s="8" t="s">
        <v>8351</v>
      </c>
      <c r="D1333" s="8" t="s">
        <v>1013</v>
      </c>
      <c r="E1333" s="8" t="s">
        <v>3756</v>
      </c>
      <c r="F1333" s="8" t="s">
        <v>68</v>
      </c>
      <c r="G1333" s="8" t="s">
        <v>2118</v>
      </c>
      <c r="H1333" s="8" t="s">
        <v>3756</v>
      </c>
      <c r="I1333" s="8" t="s">
        <v>8160</v>
      </c>
      <c r="J1333" s="78" t="s">
        <v>5248</v>
      </c>
      <c r="K1333" s="22">
        <v>6.0</v>
      </c>
      <c r="L1333" s="22">
        <f>+SUMIF('حركه المخزن الرئيسي اليوميه'!$F:$F,$H:$H,'حركه المخزن الرئيسي اليوميه'!$H:$H)</f>
        <v>0.0</v>
      </c>
      <c r="M1333" s="22">
        <f>+SUMIF('حركه المخزن الرئيسي اليوميه'!$F:$F,$H:$H,'حركه المخزن الرئيسي اليوميه'!$I:$I)</f>
        <v>0.0</v>
      </c>
      <c r="N1333" s="22">
        <f>+K1333+L1333-M1333</f>
        <v>6.0</v>
      </c>
      <c r="O1333" s="22">
        <f>+N1333</f>
        <v>6.0</v>
      </c>
      <c r="P1333" s="22">
        <f>+N1333-O1333</f>
        <v>0.0</v>
      </c>
      <c r="Q1333" s="57"/>
      <c r="R1333" s="58"/>
    </row>
    <row r="1334" spans="8:8" ht="15.0" customHeight="1">
      <c r="B1334" s="54">
        <v>1469.0</v>
      </c>
      <c r="C1334" s="8" t="s">
        <v>8351</v>
      </c>
      <c r="D1334" s="8" t="s">
        <v>3541</v>
      </c>
      <c r="E1334" s="8" t="s">
        <v>3757</v>
      </c>
      <c r="F1334" s="8" t="s">
        <v>125</v>
      </c>
      <c r="G1334" s="8"/>
      <c r="H1334" s="8" t="s">
        <v>3757</v>
      </c>
      <c r="I1334" s="8"/>
      <c r="J1334" s="78" t="s">
        <v>5249</v>
      </c>
      <c r="K1334" s="22">
        <v>0.0</v>
      </c>
      <c r="L1334" s="22">
        <f>+SUMIF('حركه المخزن الرئيسي اليوميه'!$F:$F,$H:$H,'حركه المخزن الرئيسي اليوميه'!$H:$H)</f>
        <v>0.0</v>
      </c>
      <c r="M1334" s="22">
        <f>+SUMIF('حركه المخزن الرئيسي اليوميه'!$F:$F,$H:$H,'حركه المخزن الرئيسي اليوميه'!$I:$I)</f>
        <v>0.0</v>
      </c>
      <c r="N1334" s="22">
        <f>+K1334+L1334-M1334</f>
        <v>0.0</v>
      </c>
      <c r="O1334" s="22">
        <f>+N1334</f>
        <v>0.0</v>
      </c>
      <c r="P1334" s="22">
        <f>+N1334-O1334</f>
        <v>0.0</v>
      </c>
      <c r="Q1334" s="57"/>
      <c r="R1334" s="58"/>
    </row>
    <row r="1335" spans="8:8" ht="15.0" customHeight="1">
      <c r="B1335" s="54">
        <v>1470.0</v>
      </c>
      <c r="C1335" s="8" t="s">
        <v>8351</v>
      </c>
      <c r="D1335" s="8" t="s">
        <v>1017</v>
      </c>
      <c r="E1335" s="8" t="s">
        <v>3793</v>
      </c>
      <c r="F1335" s="8" t="s">
        <v>68</v>
      </c>
      <c r="G1335" s="8"/>
      <c r="H1335" s="8" t="s">
        <v>3794</v>
      </c>
      <c r="I1335" s="8" t="s">
        <v>170</v>
      </c>
      <c r="J1335" s="78" t="s">
        <v>5250</v>
      </c>
      <c r="K1335" s="22">
        <v>1.0</v>
      </c>
      <c r="L1335" s="22">
        <f>+SUMIF('حركه المخزن الرئيسي اليوميه'!$F:$F,$H:$H,'حركه المخزن الرئيسي اليوميه'!$H:$H)</f>
        <v>0.0</v>
      </c>
      <c r="M1335" s="22">
        <f>+SUMIF('حركه المخزن الرئيسي اليوميه'!$F:$F,$H:$H,'حركه المخزن الرئيسي اليوميه'!$I:$I)</f>
        <v>0.0</v>
      </c>
      <c r="N1335" s="22">
        <f>+K1335+L1335-M1335</f>
        <v>1.0</v>
      </c>
      <c r="O1335" s="22">
        <f>+N1335</f>
        <v>1.0</v>
      </c>
      <c r="P1335" s="22">
        <f>+N1335-O1335</f>
        <v>0.0</v>
      </c>
      <c r="Q1335" s="57"/>
      <c r="R1335" s="59"/>
    </row>
    <row r="1336" spans="8:8" ht="15.0" customHeight="1">
      <c r="B1336" s="54">
        <v>1471.0</v>
      </c>
      <c r="C1336" s="8" t="s">
        <v>8351</v>
      </c>
      <c r="D1336" s="8" t="s">
        <v>1013</v>
      </c>
      <c r="E1336" s="8" t="s">
        <v>3182</v>
      </c>
      <c r="F1336" s="8" t="s">
        <v>68</v>
      </c>
      <c r="G1336" s="8" t="s">
        <v>3181</v>
      </c>
      <c r="H1336" s="8" t="s">
        <v>3182</v>
      </c>
      <c r="I1336" s="8" t="s">
        <v>3267</v>
      </c>
      <c r="J1336" s="78" t="s">
        <v>5251</v>
      </c>
      <c r="K1336" s="22">
        <v>3.0</v>
      </c>
      <c r="L1336" s="22">
        <f>+SUMIF('حركه المخزن الرئيسي اليوميه'!$F:$F,$H:$H,'حركه المخزن الرئيسي اليوميه'!$H:$H)</f>
        <v>0.0</v>
      </c>
      <c r="M1336" s="22">
        <f>+SUMIF('حركه المخزن الرئيسي اليوميه'!$F:$F,$H:$H,'حركه المخزن الرئيسي اليوميه'!$I:$I)</f>
        <v>0.0</v>
      </c>
      <c r="N1336" s="22">
        <f>+K1336+L1336-M1336</f>
        <v>3.0</v>
      </c>
      <c r="O1336" s="22">
        <f>+N1336</f>
        <v>3.0</v>
      </c>
      <c r="P1336" s="22">
        <f>+N1336-O1336</f>
        <v>0.0</v>
      </c>
      <c r="Q1336" s="57"/>
      <c r="R1336" s="58"/>
    </row>
    <row r="1337" spans="8:8" ht="15.0" customHeight="1">
      <c r="B1337" s="54">
        <v>1472.0</v>
      </c>
      <c r="C1337" s="8" t="s">
        <v>8351</v>
      </c>
      <c r="D1337" s="8" t="s">
        <v>1013</v>
      </c>
      <c r="E1337" s="8" t="s">
        <v>3184</v>
      </c>
      <c r="F1337" s="8" t="s">
        <v>68</v>
      </c>
      <c r="G1337" s="8" t="s">
        <v>3183</v>
      </c>
      <c r="H1337" s="8" t="s">
        <v>3184</v>
      </c>
      <c r="I1337" s="8" t="s">
        <v>3267</v>
      </c>
      <c r="J1337" s="78" t="s">
        <v>5252</v>
      </c>
      <c r="K1337" s="22">
        <v>2.0</v>
      </c>
      <c r="L1337" s="22">
        <f>+SUMIF('حركه المخزن الرئيسي اليوميه'!$F:$F,$H:$H,'حركه المخزن الرئيسي اليوميه'!$H:$H)</f>
        <v>0.0</v>
      </c>
      <c r="M1337" s="22">
        <f>+SUMIF('حركه المخزن الرئيسي اليوميه'!$F:$F,$H:$H,'حركه المخزن الرئيسي اليوميه'!$I:$I)</f>
        <v>0.0</v>
      </c>
      <c r="N1337" s="22">
        <f>+K1337+L1337-M1337</f>
        <v>2.0</v>
      </c>
      <c r="O1337" s="22">
        <f>+N1337</f>
        <v>2.0</v>
      </c>
      <c r="P1337" s="22">
        <f>+N1337-O1337</f>
        <v>0.0</v>
      </c>
      <c r="Q1337" s="57"/>
      <c r="R1337" s="58"/>
    </row>
    <row r="1338" spans="8:8" ht="15.0" customHeight="1">
      <c r="B1338" s="54">
        <v>1473.0</v>
      </c>
      <c r="C1338" s="8" t="s">
        <v>8351</v>
      </c>
      <c r="D1338" s="8" t="s">
        <v>1013</v>
      </c>
      <c r="E1338" s="8" t="s">
        <v>23</v>
      </c>
      <c r="F1338" s="8" t="s">
        <v>68</v>
      </c>
      <c r="G1338" s="8"/>
      <c r="H1338" s="8">
        <v>30311.0</v>
      </c>
      <c r="I1338" s="8" t="s">
        <v>206</v>
      </c>
      <c r="J1338" s="78" t="s">
        <v>5253</v>
      </c>
      <c r="K1338" s="22">
        <v>5.0</v>
      </c>
      <c r="L1338" s="22">
        <f>+SUMIF('حركه المخزن الرئيسي اليوميه'!$F:$F,$H:$H,'حركه المخزن الرئيسي اليوميه'!$H:$H)</f>
        <v>0.0</v>
      </c>
      <c r="M1338" s="22">
        <f>+SUMIF('حركه المخزن الرئيسي اليوميه'!$F:$F,$H:$H,'حركه المخزن الرئيسي اليوميه'!$I:$I)</f>
        <v>0.0</v>
      </c>
      <c r="N1338" s="22">
        <f>+K1338+L1338-M1338</f>
        <v>5.0</v>
      </c>
      <c r="O1338" s="22">
        <f>+N1338</f>
        <v>5.0</v>
      </c>
      <c r="P1338" s="22">
        <f>+N1338-O1338</f>
        <v>0.0</v>
      </c>
      <c r="Q1338" s="57"/>
      <c r="R1338" s="58"/>
    </row>
    <row r="1339" spans="8:8" ht="15.0" customHeight="1">
      <c r="B1339" s="54">
        <v>1474.0</v>
      </c>
      <c r="C1339" s="8" t="s">
        <v>8351</v>
      </c>
      <c r="D1339" s="8" t="s">
        <v>1013</v>
      </c>
      <c r="E1339" s="8" t="s">
        <v>3190</v>
      </c>
      <c r="F1339" s="8" t="s">
        <v>125</v>
      </c>
      <c r="G1339" s="8"/>
      <c r="H1339" s="8" t="s">
        <v>3190</v>
      </c>
      <c r="I1339" s="8" t="s">
        <v>818</v>
      </c>
      <c r="J1339" s="78" t="s">
        <v>5254</v>
      </c>
      <c r="K1339" s="22">
        <v>0.0</v>
      </c>
      <c r="L1339" s="22">
        <f>+SUMIF('حركه المخزن الرئيسي اليوميه'!$F:$F,$H:$H,'حركه المخزن الرئيسي اليوميه'!$H:$H)</f>
        <v>0.0</v>
      </c>
      <c r="M1339" s="22">
        <f>+SUMIF('حركه المخزن الرئيسي اليوميه'!$F:$F,$H:$H,'حركه المخزن الرئيسي اليوميه'!$I:$I)</f>
        <v>0.0</v>
      </c>
      <c r="N1339" s="22">
        <f>+K1339+L1339-M1339</f>
        <v>0.0</v>
      </c>
      <c r="O1339" s="22">
        <f>+N1339</f>
        <v>0.0</v>
      </c>
      <c r="P1339" s="22">
        <f>+N1339-O1339</f>
        <v>0.0</v>
      </c>
      <c r="Q1339" s="57"/>
      <c r="R1339" s="58"/>
    </row>
    <row r="1340" spans="8:8" ht="15.0" customHeight="1">
      <c r="B1340" s="54">
        <v>1475.0</v>
      </c>
      <c r="C1340" s="8" t="s">
        <v>8351</v>
      </c>
      <c r="D1340" s="8" t="s">
        <v>1013</v>
      </c>
      <c r="E1340" s="8" t="s">
        <v>3191</v>
      </c>
      <c r="F1340" s="8" t="s">
        <v>125</v>
      </c>
      <c r="G1340" s="8"/>
      <c r="H1340" s="8" t="s">
        <v>3191</v>
      </c>
      <c r="I1340" s="8" t="s">
        <v>818</v>
      </c>
      <c r="J1340" s="78" t="s">
        <v>5255</v>
      </c>
      <c r="K1340" s="22">
        <v>0.0</v>
      </c>
      <c r="L1340" s="22">
        <f>+SUMIF('حركه المخزن الرئيسي اليوميه'!$F:$F,$H:$H,'حركه المخزن الرئيسي اليوميه'!$H:$H)</f>
        <v>0.0</v>
      </c>
      <c r="M1340" s="22">
        <f>+SUMIF('حركه المخزن الرئيسي اليوميه'!$F:$F,$H:$H,'حركه المخزن الرئيسي اليوميه'!$I:$I)</f>
        <v>0.0</v>
      </c>
      <c r="N1340" s="22">
        <f>+K1340+L1340-M1340</f>
        <v>0.0</v>
      </c>
      <c r="O1340" s="22">
        <f>+N1340</f>
        <v>0.0</v>
      </c>
      <c r="P1340" s="22">
        <f>+N1340-O1340</f>
        <v>0.0</v>
      </c>
      <c r="Q1340" s="57"/>
      <c r="R1340" s="58"/>
    </row>
    <row r="1341" spans="8:8" ht="15.0" customHeight="1">
      <c r="B1341" s="54">
        <v>1476.0</v>
      </c>
      <c r="C1341" s="8" t="s">
        <v>8351</v>
      </c>
      <c r="D1341" s="8" t="s">
        <v>1013</v>
      </c>
      <c r="E1341" s="8" t="s">
        <v>3192</v>
      </c>
      <c r="F1341" s="8" t="s">
        <v>1046</v>
      </c>
      <c r="G1341" s="8"/>
      <c r="H1341" s="8" t="s">
        <v>3192</v>
      </c>
      <c r="I1341" s="8" t="s">
        <v>818</v>
      </c>
      <c r="J1341" s="78" t="s">
        <v>5256</v>
      </c>
      <c r="K1341" s="22">
        <v>0.0</v>
      </c>
      <c r="L1341" s="22">
        <f>+SUMIF('حركه المخزن الرئيسي اليوميه'!$F:$F,$H:$H,'حركه المخزن الرئيسي اليوميه'!$H:$H)</f>
        <v>0.0</v>
      </c>
      <c r="M1341" s="22">
        <f>+SUMIF('حركه المخزن الرئيسي اليوميه'!$F:$F,$H:$H,'حركه المخزن الرئيسي اليوميه'!$I:$I)</f>
        <v>0.0</v>
      </c>
      <c r="N1341" s="22">
        <f>+K1341+L1341-M1341</f>
        <v>0.0</v>
      </c>
      <c r="O1341" s="22">
        <f>+N1341</f>
        <v>0.0</v>
      </c>
      <c r="P1341" s="22">
        <f>+N1341-O1341</f>
        <v>0.0</v>
      </c>
      <c r="Q1341" s="57"/>
      <c r="R1341" s="58"/>
    </row>
    <row r="1342" spans="8:8" ht="15.0" customHeight="1">
      <c r="B1342" s="54">
        <v>1477.0</v>
      </c>
      <c r="C1342" s="8" t="s">
        <v>8351</v>
      </c>
      <c r="D1342" s="8" t="s">
        <v>1013</v>
      </c>
      <c r="E1342" s="8" t="s">
        <v>3193</v>
      </c>
      <c r="F1342" s="8" t="s">
        <v>1046</v>
      </c>
      <c r="G1342" s="8"/>
      <c r="H1342" s="8" t="s">
        <v>3193</v>
      </c>
      <c r="I1342" s="8" t="s">
        <v>818</v>
      </c>
      <c r="J1342" s="78" t="s">
        <v>5257</v>
      </c>
      <c r="K1342" s="22">
        <v>0.0</v>
      </c>
      <c r="L1342" s="22">
        <f>+SUMIF('حركه المخزن الرئيسي اليوميه'!$F:$F,$H:$H,'حركه المخزن الرئيسي اليوميه'!$H:$H)</f>
        <v>0.0</v>
      </c>
      <c r="M1342" s="22">
        <f>+SUMIF('حركه المخزن الرئيسي اليوميه'!$F:$F,$H:$H,'حركه المخزن الرئيسي اليوميه'!$I:$I)</f>
        <v>0.0</v>
      </c>
      <c r="N1342" s="22">
        <f>+K1342+L1342-M1342</f>
        <v>0.0</v>
      </c>
      <c r="O1342" s="22">
        <f>+N1342</f>
        <v>0.0</v>
      </c>
      <c r="P1342" s="22">
        <f>+N1342-O1342</f>
        <v>0.0</v>
      </c>
      <c r="Q1342" s="57"/>
      <c r="R1342" s="58"/>
    </row>
    <row r="1343" spans="8:8" ht="15.0" customHeight="1">
      <c r="B1343" s="54">
        <v>1478.0</v>
      </c>
      <c r="C1343" s="8" t="s">
        <v>8351</v>
      </c>
      <c r="D1343" s="8" t="s">
        <v>1013</v>
      </c>
      <c r="E1343" s="8" t="s">
        <v>3210</v>
      </c>
      <c r="F1343" s="8" t="s">
        <v>1046</v>
      </c>
      <c r="G1343" s="8"/>
      <c r="H1343" s="8" t="s">
        <v>3211</v>
      </c>
      <c r="I1343" s="8" t="s">
        <v>139</v>
      </c>
      <c r="J1343" s="78" t="s">
        <v>5258</v>
      </c>
      <c r="K1343" s="22">
        <v>3.0</v>
      </c>
      <c r="L1343" s="22">
        <f>+SUMIF('حركه المخزن الرئيسي اليوميه'!$F:$F,$H:$H,'حركه المخزن الرئيسي اليوميه'!$H:$H)</f>
        <v>0.0</v>
      </c>
      <c r="M1343" s="22">
        <f>+SUMIF('حركه المخزن الرئيسي اليوميه'!$F:$F,$H:$H,'حركه المخزن الرئيسي اليوميه'!$I:$I)</f>
        <v>0.0</v>
      </c>
      <c r="N1343" s="22">
        <f>+K1343+L1343-M1343</f>
        <v>3.0</v>
      </c>
      <c r="O1343" s="22">
        <f>+N1343</f>
        <v>3.0</v>
      </c>
      <c r="P1343" s="22">
        <f>+N1343-O1343</f>
        <v>0.0</v>
      </c>
      <c r="Q1343" s="57"/>
      <c r="R1343" s="58"/>
    </row>
    <row r="1344" spans="8:8" ht="15.0" customHeight="1">
      <c r="B1344" s="54">
        <v>1479.0</v>
      </c>
      <c r="C1344" s="8" t="s">
        <v>8351</v>
      </c>
      <c r="D1344" s="8" t="s">
        <v>1013</v>
      </c>
      <c r="E1344" s="8" t="s">
        <v>3212</v>
      </c>
      <c r="F1344" s="8" t="s">
        <v>873</v>
      </c>
      <c r="G1344" s="8"/>
      <c r="H1344" s="8" t="s">
        <v>3212</v>
      </c>
      <c r="I1344" s="8" t="s">
        <v>818</v>
      </c>
      <c r="J1344" s="78" t="s">
        <v>5259</v>
      </c>
      <c r="K1344" s="22">
        <v>0.0</v>
      </c>
      <c r="L1344" s="22">
        <f>+SUMIF('حركه المخزن الرئيسي اليوميه'!$F:$F,$H:$H,'حركه المخزن الرئيسي اليوميه'!$H:$H)</f>
        <v>0.0</v>
      </c>
      <c r="M1344" s="22">
        <f>+SUMIF('حركه المخزن الرئيسي اليوميه'!$F:$F,$H:$H,'حركه المخزن الرئيسي اليوميه'!$I:$I)</f>
        <v>0.0</v>
      </c>
      <c r="N1344" s="22">
        <f>+K1344+L1344-M1344</f>
        <v>0.0</v>
      </c>
      <c r="O1344" s="22">
        <f>+N1344</f>
        <v>0.0</v>
      </c>
      <c r="P1344" s="22">
        <f>+N1344-O1344</f>
        <v>0.0</v>
      </c>
      <c r="Q1344" s="57"/>
      <c r="R1344" s="58"/>
    </row>
    <row r="1345" spans="8:8" ht="15.0" customHeight="1">
      <c r="B1345" s="54">
        <v>1480.0</v>
      </c>
      <c r="C1345" s="8" t="s">
        <v>8351</v>
      </c>
      <c r="D1345" s="8" t="s">
        <v>1013</v>
      </c>
      <c r="E1345" s="8" t="s">
        <v>252</v>
      </c>
      <c r="F1345" s="8" t="s">
        <v>68</v>
      </c>
      <c r="G1345" s="8" t="s">
        <v>1859</v>
      </c>
      <c r="H1345" s="8" t="s">
        <v>3213</v>
      </c>
      <c r="I1345" s="8" t="s">
        <v>3268</v>
      </c>
      <c r="J1345" s="78" t="s">
        <v>5260</v>
      </c>
      <c r="K1345" s="22">
        <v>0.0</v>
      </c>
      <c r="L1345" s="22">
        <f>+SUMIF('حركه المخزن الرئيسي اليوميه'!$F:$F,$H:$H,'حركه المخزن الرئيسي اليوميه'!$H:$H)</f>
        <v>0.0</v>
      </c>
      <c r="M1345" s="22">
        <f>+SUMIF('حركه المخزن الرئيسي اليوميه'!$F:$F,$H:$H,'حركه المخزن الرئيسي اليوميه'!$I:$I)</f>
        <v>0.0</v>
      </c>
      <c r="N1345" s="22">
        <f>+K1345+L1345-M1345</f>
        <v>0.0</v>
      </c>
      <c r="O1345" s="22">
        <f>+N1345</f>
        <v>0.0</v>
      </c>
      <c r="P1345" s="22">
        <f>+N1345-O1345</f>
        <v>0.0</v>
      </c>
      <c r="Q1345" s="57"/>
      <c r="R1345" s="58"/>
    </row>
    <row r="1346" spans="8:8" ht="15.0" customHeight="1">
      <c r="B1346" s="54">
        <v>1481.0</v>
      </c>
      <c r="C1346" s="8" t="s">
        <v>8351</v>
      </c>
      <c r="D1346" s="8" t="s">
        <v>828</v>
      </c>
      <c r="E1346" s="8" t="s">
        <v>415</v>
      </c>
      <c r="F1346" s="8" t="s">
        <v>1501</v>
      </c>
      <c r="G1346" s="8"/>
      <c r="H1346" s="8" t="s">
        <v>3215</v>
      </c>
      <c r="I1346" s="8" t="s">
        <v>818</v>
      </c>
      <c r="J1346" s="78" t="s">
        <v>5261</v>
      </c>
      <c r="K1346" s="22">
        <v>1.0</v>
      </c>
      <c r="L1346" s="22">
        <f>+SUMIF('حركه المخزن الرئيسي اليوميه'!$F:$F,$H:$H,'حركه المخزن الرئيسي اليوميه'!$H:$H)</f>
        <v>0.0</v>
      </c>
      <c r="M1346" s="22">
        <f>+SUMIF('حركه المخزن الرئيسي اليوميه'!$F:$F,$H:$H,'حركه المخزن الرئيسي اليوميه'!$I:$I)</f>
        <v>0.0</v>
      </c>
      <c r="N1346" s="22">
        <f>+K1346+L1346-M1346</f>
        <v>1.0</v>
      </c>
      <c r="O1346" s="22">
        <f>+N1346</f>
        <v>1.0</v>
      </c>
      <c r="P1346" s="22">
        <f>+N1346-O1346</f>
        <v>0.0</v>
      </c>
      <c r="Q1346" s="57"/>
      <c r="R1346" s="58"/>
    </row>
    <row r="1347" spans="8:8" ht="15.0" customHeight="1">
      <c r="B1347" s="54">
        <v>1482.0</v>
      </c>
      <c r="C1347" s="8" t="s">
        <v>8351</v>
      </c>
      <c r="D1347" s="8" t="s">
        <v>828</v>
      </c>
      <c r="E1347" s="8" t="s">
        <v>415</v>
      </c>
      <c r="F1347" s="8" t="s">
        <v>1501</v>
      </c>
      <c r="G1347" s="8"/>
      <c r="H1347" s="8" t="s">
        <v>3537</v>
      </c>
      <c r="I1347" s="8" t="s">
        <v>818</v>
      </c>
      <c r="J1347" s="78" t="s">
        <v>5262</v>
      </c>
      <c r="K1347" s="22">
        <v>4.0</v>
      </c>
      <c r="L1347" s="22">
        <f>+SUMIF('حركه المخزن الرئيسي اليوميه'!$F:$F,$H:$H,'حركه المخزن الرئيسي اليوميه'!$H:$H)</f>
        <v>0.0</v>
      </c>
      <c r="M1347" s="22">
        <f>+SUMIF('حركه المخزن الرئيسي اليوميه'!$F:$F,$H:$H,'حركه المخزن الرئيسي اليوميه'!$I:$I)</f>
        <v>0.0</v>
      </c>
      <c r="N1347" s="22">
        <f>+K1347+L1347-M1347</f>
        <v>4.0</v>
      </c>
      <c r="O1347" s="22">
        <f>+N1347</f>
        <v>4.0</v>
      </c>
      <c r="P1347" s="22">
        <f>+N1347-O1347</f>
        <v>0.0</v>
      </c>
      <c r="Q1347" s="57"/>
      <c r="R1347" s="58"/>
    </row>
    <row r="1348" spans="8:8" ht="15.0" customHeight="1">
      <c r="B1348" s="54">
        <v>1483.0</v>
      </c>
      <c r="C1348" s="8" t="s">
        <v>8351</v>
      </c>
      <c r="D1348" s="8" t="s">
        <v>828</v>
      </c>
      <c r="E1348" s="8" t="s">
        <v>415</v>
      </c>
      <c r="F1348" s="8" t="s">
        <v>1501</v>
      </c>
      <c r="G1348" s="8"/>
      <c r="H1348" s="8" t="s">
        <v>3216</v>
      </c>
      <c r="I1348" s="8" t="s">
        <v>818</v>
      </c>
      <c r="J1348" s="78" t="s">
        <v>5263</v>
      </c>
      <c r="K1348" s="22">
        <v>1.0</v>
      </c>
      <c r="L1348" s="22">
        <f>+SUMIF('حركه المخزن الرئيسي اليوميه'!$F:$F,$H:$H,'حركه المخزن الرئيسي اليوميه'!$H:$H)</f>
        <v>0.0</v>
      </c>
      <c r="M1348" s="22">
        <f>+SUMIF('حركه المخزن الرئيسي اليوميه'!$F:$F,$H:$H,'حركه المخزن الرئيسي اليوميه'!$I:$I)</f>
        <v>0.0</v>
      </c>
      <c r="N1348" s="22">
        <f>+K1348+L1348-M1348</f>
        <v>1.0</v>
      </c>
      <c r="O1348" s="22">
        <f>+N1348</f>
        <v>1.0</v>
      </c>
      <c r="P1348" s="22">
        <f>+N1348-O1348</f>
        <v>0.0</v>
      </c>
      <c r="Q1348" s="57"/>
      <c r="R1348" s="58"/>
    </row>
    <row r="1349" spans="8:8" ht="15.0" customHeight="1">
      <c r="B1349" s="54">
        <v>1484.0</v>
      </c>
      <c r="C1349" s="8" t="s">
        <v>8351</v>
      </c>
      <c r="D1349" s="8" t="s">
        <v>828</v>
      </c>
      <c r="E1349" s="8" t="s">
        <v>401</v>
      </c>
      <c r="F1349" s="8" t="s">
        <v>68</v>
      </c>
      <c r="G1349" s="8"/>
      <c r="H1349" s="8" t="s">
        <v>3218</v>
      </c>
      <c r="I1349" s="8" t="s">
        <v>818</v>
      </c>
      <c r="J1349" s="78" t="s">
        <v>5264</v>
      </c>
      <c r="K1349" s="22">
        <v>1.0</v>
      </c>
      <c r="L1349" s="22">
        <f>+SUMIF('حركه المخزن الرئيسي اليوميه'!$F:$F,$H:$H,'حركه المخزن الرئيسي اليوميه'!$H:$H)</f>
        <v>0.0</v>
      </c>
      <c r="M1349" s="22">
        <f>+SUMIF('حركه المخزن الرئيسي اليوميه'!$F:$F,$H:$H,'حركه المخزن الرئيسي اليوميه'!$I:$I)</f>
        <v>0.0</v>
      </c>
      <c r="N1349" s="22">
        <f>+K1349+L1349-M1349</f>
        <v>1.0</v>
      </c>
      <c r="O1349" s="22">
        <f>+N1349</f>
        <v>1.0</v>
      </c>
      <c r="P1349" s="22">
        <f>+N1349-O1349</f>
        <v>0.0</v>
      </c>
      <c r="Q1349" s="57"/>
      <c r="R1349" s="58"/>
    </row>
    <row r="1350" spans="8:8" ht="15.0" customHeight="1">
      <c r="B1350" s="54">
        <v>1485.0</v>
      </c>
      <c r="C1350" s="8" t="s">
        <v>8351</v>
      </c>
      <c r="D1350" s="8" t="s">
        <v>828</v>
      </c>
      <c r="E1350" s="8" t="s">
        <v>400</v>
      </c>
      <c r="F1350" s="8" t="s">
        <v>68</v>
      </c>
      <c r="G1350" s="8" t="s">
        <v>1692</v>
      </c>
      <c r="H1350" s="8" t="s">
        <v>3220</v>
      </c>
      <c r="I1350" s="8" t="s">
        <v>818</v>
      </c>
      <c r="J1350" s="78" t="s">
        <v>5265</v>
      </c>
      <c r="K1350" s="22">
        <v>0.0</v>
      </c>
      <c r="L1350" s="22">
        <f>+SUMIF('حركه المخزن الرئيسي اليوميه'!$F:$F,$H:$H,'حركه المخزن الرئيسي اليوميه'!$H:$H)</f>
        <v>0.0</v>
      </c>
      <c r="M1350" s="22">
        <f>+SUMIF('حركه المخزن الرئيسي اليوميه'!$F:$F,$H:$H,'حركه المخزن الرئيسي اليوميه'!$I:$I)</f>
        <v>0.0</v>
      </c>
      <c r="N1350" s="22">
        <f>+K1350+L1350-M1350</f>
        <v>0.0</v>
      </c>
      <c r="O1350" s="22">
        <f>+N1350</f>
        <v>0.0</v>
      </c>
      <c r="P1350" s="22">
        <f>+N1350-O1350</f>
        <v>0.0</v>
      </c>
      <c r="Q1350" s="57"/>
      <c r="R1350" s="58"/>
    </row>
    <row r="1351" spans="8:8" ht="15.0" customHeight="1">
      <c r="B1351" s="54">
        <v>1486.0</v>
      </c>
      <c r="C1351" s="8" t="s">
        <v>8351</v>
      </c>
      <c r="D1351" s="8" t="s">
        <v>828</v>
      </c>
      <c r="E1351" s="8" t="s">
        <v>400</v>
      </c>
      <c r="F1351" s="8" t="s">
        <v>68</v>
      </c>
      <c r="G1351" s="8"/>
      <c r="H1351" s="8" t="s">
        <v>3221</v>
      </c>
      <c r="I1351" s="8" t="s">
        <v>818</v>
      </c>
      <c r="J1351" s="78" t="s">
        <v>5266</v>
      </c>
      <c r="K1351" s="22">
        <v>2.0</v>
      </c>
      <c r="L1351" s="22">
        <f>+SUMIF('حركه المخزن الرئيسي اليوميه'!$F:$F,$H:$H,'حركه المخزن الرئيسي اليوميه'!$H:$H)</f>
        <v>0.0</v>
      </c>
      <c r="M1351" s="22">
        <f>+SUMIF('حركه المخزن الرئيسي اليوميه'!$F:$F,$H:$H,'حركه المخزن الرئيسي اليوميه'!$I:$I)</f>
        <v>0.0</v>
      </c>
      <c r="N1351" s="22">
        <f>+K1351+L1351-M1351</f>
        <v>2.0</v>
      </c>
      <c r="O1351" s="22">
        <f>+N1351</f>
        <v>2.0</v>
      </c>
      <c r="P1351" s="22">
        <f>+N1351-O1351</f>
        <v>0.0</v>
      </c>
      <c r="Q1351" s="57"/>
      <c r="R1351" s="58"/>
    </row>
    <row r="1352" spans="8:8" ht="15.0" customHeight="1">
      <c r="B1352" s="54">
        <v>1487.0</v>
      </c>
      <c r="C1352" s="8" t="s">
        <v>8351</v>
      </c>
      <c r="D1352" s="8" t="s">
        <v>828</v>
      </c>
      <c r="E1352" s="8" t="s">
        <v>400</v>
      </c>
      <c r="F1352" s="8" t="s">
        <v>68</v>
      </c>
      <c r="G1352" s="8"/>
      <c r="H1352" s="8" t="s">
        <v>3222</v>
      </c>
      <c r="I1352" s="8" t="s">
        <v>818</v>
      </c>
      <c r="J1352" s="78" t="s">
        <v>5267</v>
      </c>
      <c r="K1352" s="22">
        <v>2.0</v>
      </c>
      <c r="L1352" s="22">
        <f>+SUMIF('حركه المخزن الرئيسي اليوميه'!$F:$F,$H:$H,'حركه المخزن الرئيسي اليوميه'!$H:$H)</f>
        <v>0.0</v>
      </c>
      <c r="M1352" s="22">
        <f>+SUMIF('حركه المخزن الرئيسي اليوميه'!$F:$F,$H:$H,'حركه المخزن الرئيسي اليوميه'!$I:$I)</f>
        <v>0.0</v>
      </c>
      <c r="N1352" s="22">
        <f>+K1352+L1352-M1352</f>
        <v>2.0</v>
      </c>
      <c r="O1352" s="22">
        <f>+N1352</f>
        <v>2.0</v>
      </c>
      <c r="P1352" s="22">
        <f>+N1352-O1352</f>
        <v>0.0</v>
      </c>
      <c r="Q1352" s="57"/>
      <c r="R1352" s="58"/>
    </row>
    <row r="1353" spans="8:8" ht="15.0" customHeight="1">
      <c r="B1353" s="54">
        <v>1488.0</v>
      </c>
      <c r="C1353" s="8" t="s">
        <v>8351</v>
      </c>
      <c r="D1353" s="8" t="s">
        <v>828</v>
      </c>
      <c r="E1353" s="8" t="s">
        <v>3247</v>
      </c>
      <c r="F1353" s="8" t="s">
        <v>68</v>
      </c>
      <c r="G1353" s="8"/>
      <c r="H1353" s="8" t="s">
        <v>3246</v>
      </c>
      <c r="I1353" s="8" t="s">
        <v>818</v>
      </c>
      <c r="J1353" s="78" t="s">
        <v>5268</v>
      </c>
      <c r="K1353" s="22">
        <v>1.0</v>
      </c>
      <c r="L1353" s="22">
        <f>+SUMIF('حركه المخزن الرئيسي اليوميه'!$F:$F,$H:$H,'حركه المخزن الرئيسي اليوميه'!$H:$H)</f>
        <v>0.0</v>
      </c>
      <c r="M1353" s="22">
        <f>+SUMIF('حركه المخزن الرئيسي اليوميه'!$F:$F,$H:$H,'حركه المخزن الرئيسي اليوميه'!$I:$I)</f>
        <v>0.0</v>
      </c>
      <c r="N1353" s="22">
        <f>+K1353+L1353-M1353</f>
        <v>1.0</v>
      </c>
      <c r="O1353" s="22">
        <f>+N1353</f>
        <v>1.0</v>
      </c>
      <c r="P1353" s="22">
        <f>+N1353-O1353</f>
        <v>0.0</v>
      </c>
      <c r="Q1353" s="57"/>
      <c r="R1353" s="58"/>
    </row>
    <row r="1354" spans="8:8" ht="15.0" customHeight="1">
      <c r="B1354" s="54">
        <v>1489.0</v>
      </c>
      <c r="C1354" s="8" t="s">
        <v>8351</v>
      </c>
      <c r="D1354" s="8" t="s">
        <v>828</v>
      </c>
      <c r="E1354" s="8" t="s">
        <v>400</v>
      </c>
      <c r="F1354" s="8" t="s">
        <v>68</v>
      </c>
      <c r="G1354" s="8" t="s">
        <v>1692</v>
      </c>
      <c r="H1354" s="8" t="s">
        <v>3223</v>
      </c>
      <c r="I1354" s="8" t="s">
        <v>818</v>
      </c>
      <c r="J1354" s="78" t="s">
        <v>5269</v>
      </c>
      <c r="K1354" s="22">
        <v>0.0</v>
      </c>
      <c r="L1354" s="22">
        <f>+SUMIF('حركه المخزن الرئيسي اليوميه'!$F:$F,$H:$H,'حركه المخزن الرئيسي اليوميه'!$H:$H)</f>
        <v>0.0</v>
      </c>
      <c r="M1354" s="22">
        <f>+SUMIF('حركه المخزن الرئيسي اليوميه'!$F:$F,$H:$H,'حركه المخزن الرئيسي اليوميه'!$I:$I)</f>
        <v>0.0</v>
      </c>
      <c r="N1354" s="22">
        <f>+K1354+L1354-M1354</f>
        <v>0.0</v>
      </c>
      <c r="O1354" s="22">
        <f>+N1354</f>
        <v>0.0</v>
      </c>
      <c r="P1354" s="22">
        <f>+N1354-O1354</f>
        <v>0.0</v>
      </c>
      <c r="Q1354" s="57"/>
      <c r="R1354" s="58"/>
    </row>
    <row r="1355" spans="8:8" ht="15.0" customHeight="1">
      <c r="B1355" s="54">
        <v>1490.0</v>
      </c>
      <c r="C1355" s="8" t="s">
        <v>8351</v>
      </c>
      <c r="D1355" s="8" t="s">
        <v>828</v>
      </c>
      <c r="E1355" s="8" t="s">
        <v>400</v>
      </c>
      <c r="F1355" s="8" t="s">
        <v>68</v>
      </c>
      <c r="G1355" s="8"/>
      <c r="H1355" s="8" t="s">
        <v>3224</v>
      </c>
      <c r="I1355" s="8" t="s">
        <v>818</v>
      </c>
      <c r="J1355" s="78" t="s">
        <v>5270</v>
      </c>
      <c r="K1355" s="22">
        <v>2.0</v>
      </c>
      <c r="L1355" s="22">
        <f>+SUMIF('حركه المخزن الرئيسي اليوميه'!$F:$F,$H:$H,'حركه المخزن الرئيسي اليوميه'!$H:$H)</f>
        <v>0.0</v>
      </c>
      <c r="M1355" s="22">
        <f>+SUMIF('حركه المخزن الرئيسي اليوميه'!$F:$F,$H:$H,'حركه المخزن الرئيسي اليوميه'!$I:$I)</f>
        <v>0.0</v>
      </c>
      <c r="N1355" s="22">
        <f>+K1355+L1355-M1355</f>
        <v>2.0</v>
      </c>
      <c r="O1355" s="22">
        <f>+N1355</f>
        <v>2.0</v>
      </c>
      <c r="P1355" s="22">
        <f>+N1355-O1355</f>
        <v>0.0</v>
      </c>
      <c r="Q1355" s="57"/>
      <c r="R1355" s="58"/>
    </row>
    <row r="1356" spans="8:8" ht="15.0" customHeight="1">
      <c r="B1356" s="54">
        <v>1491.0</v>
      </c>
      <c r="C1356" s="8" t="s">
        <v>8351</v>
      </c>
      <c r="D1356" s="8" t="s">
        <v>828</v>
      </c>
      <c r="E1356" s="8" t="s">
        <v>399</v>
      </c>
      <c r="F1356" s="8" t="s">
        <v>68</v>
      </c>
      <c r="G1356" s="8"/>
      <c r="H1356" s="8" t="s">
        <v>3226</v>
      </c>
      <c r="I1356" s="8" t="s">
        <v>818</v>
      </c>
      <c r="J1356" s="78" t="s">
        <v>5271</v>
      </c>
      <c r="K1356" s="22">
        <v>2.0</v>
      </c>
      <c r="L1356" s="22">
        <f>+SUMIF('حركه المخزن الرئيسي اليوميه'!$F:$F,$H:$H,'حركه المخزن الرئيسي اليوميه'!$H:$H)</f>
        <v>0.0</v>
      </c>
      <c r="M1356" s="22">
        <f>+SUMIF('حركه المخزن الرئيسي اليوميه'!$F:$F,$H:$H,'حركه المخزن الرئيسي اليوميه'!$I:$I)</f>
        <v>0.0</v>
      </c>
      <c r="N1356" s="22">
        <f>+K1356+L1356-M1356</f>
        <v>2.0</v>
      </c>
      <c r="O1356" s="22">
        <f>+N1356</f>
        <v>2.0</v>
      </c>
      <c r="P1356" s="22">
        <f>+N1356-O1356</f>
        <v>0.0</v>
      </c>
      <c r="Q1356" s="57"/>
      <c r="R1356" s="58"/>
    </row>
    <row r="1357" spans="8:8" ht="15.0" customHeight="1">
      <c r="B1357" s="54">
        <v>1492.0</v>
      </c>
      <c r="C1357" s="8" t="s">
        <v>8351</v>
      </c>
      <c r="D1357" s="8" t="s">
        <v>828</v>
      </c>
      <c r="E1357" s="8" t="s">
        <v>412</v>
      </c>
      <c r="F1357" s="8" t="s">
        <v>68</v>
      </c>
      <c r="G1357" s="8"/>
      <c r="H1357" s="8" t="s">
        <v>3228</v>
      </c>
      <c r="I1357" s="8" t="s">
        <v>818</v>
      </c>
      <c r="J1357" s="78" t="s">
        <v>5272</v>
      </c>
      <c r="K1357" s="22">
        <v>1.0</v>
      </c>
      <c r="L1357" s="22">
        <f>+SUMIF('حركه المخزن الرئيسي اليوميه'!$F:$F,$H:$H,'حركه المخزن الرئيسي اليوميه'!$H:$H)</f>
        <v>0.0</v>
      </c>
      <c r="M1357" s="22">
        <f>+SUMIF('حركه المخزن الرئيسي اليوميه'!$F:$F,$H:$H,'حركه المخزن الرئيسي اليوميه'!$I:$I)</f>
        <v>0.0</v>
      </c>
      <c r="N1357" s="22">
        <f>+K1357+L1357-M1357</f>
        <v>1.0</v>
      </c>
      <c r="O1357" s="22">
        <f>+N1357</f>
        <v>1.0</v>
      </c>
      <c r="P1357" s="22">
        <f>+N1357-O1357</f>
        <v>0.0</v>
      </c>
      <c r="Q1357" s="57"/>
      <c r="R1357" s="58"/>
    </row>
    <row r="1358" spans="8:8" ht="15.0" customHeight="1">
      <c r="B1358" s="54">
        <v>1493.0</v>
      </c>
      <c r="C1358" s="8" t="s">
        <v>8351</v>
      </c>
      <c r="D1358" s="8" t="s">
        <v>828</v>
      </c>
      <c r="E1358" s="8" t="s">
        <v>412</v>
      </c>
      <c r="F1358" s="8" t="s">
        <v>68</v>
      </c>
      <c r="G1358" s="8"/>
      <c r="H1358" s="8" t="s">
        <v>3229</v>
      </c>
      <c r="I1358" s="8" t="s">
        <v>818</v>
      </c>
      <c r="J1358" s="78" t="s">
        <v>5273</v>
      </c>
      <c r="K1358" s="22">
        <v>1.0</v>
      </c>
      <c r="L1358" s="22">
        <f>+SUMIF('حركه المخزن الرئيسي اليوميه'!$F:$F,$H:$H,'حركه المخزن الرئيسي اليوميه'!$H:$H)</f>
        <v>0.0</v>
      </c>
      <c r="M1358" s="22">
        <f>+SUMIF('حركه المخزن الرئيسي اليوميه'!$F:$F,$H:$H,'حركه المخزن الرئيسي اليوميه'!$I:$I)</f>
        <v>0.0</v>
      </c>
      <c r="N1358" s="22">
        <f>+K1358+L1358-M1358</f>
        <v>1.0</v>
      </c>
      <c r="O1358" s="22">
        <f>+N1358</f>
        <v>1.0</v>
      </c>
      <c r="P1358" s="22">
        <f>+N1358-O1358</f>
        <v>0.0</v>
      </c>
      <c r="Q1358" s="57"/>
      <c r="R1358" s="58"/>
    </row>
    <row r="1359" spans="8:8" ht="15.0" customHeight="1">
      <c r="B1359" s="54">
        <v>1494.0</v>
      </c>
      <c r="C1359" s="8" t="s">
        <v>8351</v>
      </c>
      <c r="D1359" s="8" t="s">
        <v>828</v>
      </c>
      <c r="E1359" s="8" t="s">
        <v>412</v>
      </c>
      <c r="F1359" s="8" t="s">
        <v>68</v>
      </c>
      <c r="G1359" s="8"/>
      <c r="H1359" s="8" t="s">
        <v>3232</v>
      </c>
      <c r="I1359" s="8" t="s">
        <v>818</v>
      </c>
      <c r="J1359" s="78" t="s">
        <v>5274</v>
      </c>
      <c r="K1359" s="22">
        <v>2.0</v>
      </c>
      <c r="L1359" s="22">
        <f>+SUMIF('حركه المخزن الرئيسي اليوميه'!$F:$F,$H:$H,'حركه المخزن الرئيسي اليوميه'!$H:$H)</f>
        <v>0.0</v>
      </c>
      <c r="M1359" s="22">
        <f>+SUMIF('حركه المخزن الرئيسي اليوميه'!$F:$F,$H:$H,'حركه المخزن الرئيسي اليوميه'!$I:$I)</f>
        <v>0.0</v>
      </c>
      <c r="N1359" s="22">
        <f>+K1359+L1359-M1359</f>
        <v>2.0</v>
      </c>
      <c r="O1359" s="22">
        <f>+N1359</f>
        <v>2.0</v>
      </c>
      <c r="P1359" s="22">
        <f>+N1359-O1359</f>
        <v>0.0</v>
      </c>
      <c r="Q1359" s="57"/>
      <c r="R1359" s="58"/>
    </row>
    <row r="1360" spans="8:8" ht="15.0" customHeight="1">
      <c r="B1360" s="54">
        <v>1495.0</v>
      </c>
      <c r="C1360" s="8" t="s">
        <v>8351</v>
      </c>
      <c r="D1360" s="8" t="s">
        <v>828</v>
      </c>
      <c r="E1360" s="8" t="s">
        <v>412</v>
      </c>
      <c r="F1360" s="8" t="s">
        <v>68</v>
      </c>
      <c r="G1360" s="8"/>
      <c r="H1360" s="8" t="s">
        <v>3234</v>
      </c>
      <c r="I1360" s="8" t="s">
        <v>818</v>
      </c>
      <c r="J1360" s="78" t="s">
        <v>5275</v>
      </c>
      <c r="K1360" s="22">
        <v>2.0</v>
      </c>
      <c r="L1360" s="22">
        <f>+SUMIF('حركه المخزن الرئيسي اليوميه'!$F:$F,$H:$H,'حركه المخزن الرئيسي اليوميه'!$H:$H)</f>
        <v>0.0</v>
      </c>
      <c r="M1360" s="22">
        <f>+SUMIF('حركه المخزن الرئيسي اليوميه'!$F:$F,$H:$H,'حركه المخزن الرئيسي اليوميه'!$I:$I)</f>
        <v>0.0</v>
      </c>
      <c r="N1360" s="22">
        <f>+K1360+L1360-M1360</f>
        <v>2.0</v>
      </c>
      <c r="O1360" s="22">
        <f>+N1360</f>
        <v>2.0</v>
      </c>
      <c r="P1360" s="22">
        <f>+N1360-O1360</f>
        <v>0.0</v>
      </c>
      <c r="Q1360" s="57"/>
      <c r="R1360" s="58"/>
    </row>
    <row r="1361" spans="8:8" ht="15.0" customHeight="1">
      <c r="B1361" s="54">
        <v>1496.0</v>
      </c>
      <c r="C1361" s="8" t="s">
        <v>8351</v>
      </c>
      <c r="D1361" s="8" t="s">
        <v>828</v>
      </c>
      <c r="E1361" s="8" t="s">
        <v>412</v>
      </c>
      <c r="F1361" s="8" t="s">
        <v>68</v>
      </c>
      <c r="G1361" s="8"/>
      <c r="H1361" s="8" t="s">
        <v>3235</v>
      </c>
      <c r="I1361" s="8" t="s">
        <v>818</v>
      </c>
      <c r="J1361" s="78" t="s">
        <v>5276</v>
      </c>
      <c r="K1361" s="22">
        <v>2.0</v>
      </c>
      <c r="L1361" s="22">
        <f>+SUMIF('حركه المخزن الرئيسي اليوميه'!$F:$F,$H:$H,'حركه المخزن الرئيسي اليوميه'!$H:$H)</f>
        <v>0.0</v>
      </c>
      <c r="M1361" s="22">
        <f>+SUMIF('حركه المخزن الرئيسي اليوميه'!$F:$F,$H:$H,'حركه المخزن الرئيسي اليوميه'!$I:$I)</f>
        <v>0.0</v>
      </c>
      <c r="N1361" s="22">
        <f>+K1361+L1361-M1361</f>
        <v>2.0</v>
      </c>
      <c r="O1361" s="22">
        <f>+N1361</f>
        <v>2.0</v>
      </c>
      <c r="P1361" s="22">
        <f>+N1361-O1361</f>
        <v>0.0</v>
      </c>
      <c r="Q1361" s="57"/>
      <c r="R1361" s="58"/>
    </row>
    <row r="1362" spans="8:8" ht="15.0" customHeight="1">
      <c r="B1362" s="54">
        <v>1497.0</v>
      </c>
      <c r="C1362" s="8" t="s">
        <v>8351</v>
      </c>
      <c r="D1362" s="8" t="s">
        <v>1013</v>
      </c>
      <c r="E1362" s="8" t="s">
        <v>2504</v>
      </c>
      <c r="F1362" s="8" t="s">
        <v>68</v>
      </c>
      <c r="G1362" s="8"/>
      <c r="H1362" s="8" t="s">
        <v>3244</v>
      </c>
      <c r="I1362" s="8" t="s">
        <v>818</v>
      </c>
      <c r="J1362" s="78" t="s">
        <v>5277</v>
      </c>
      <c r="K1362" s="22">
        <v>0.0</v>
      </c>
      <c r="L1362" s="22">
        <f>+SUMIF('حركه المخزن الرئيسي اليوميه'!$F:$F,$H:$H,'حركه المخزن الرئيسي اليوميه'!$H:$H)</f>
        <v>0.0</v>
      </c>
      <c r="M1362" s="22">
        <f>+SUMIF('حركه المخزن الرئيسي اليوميه'!$F:$F,$H:$H,'حركه المخزن الرئيسي اليوميه'!$I:$I)</f>
        <v>0.0</v>
      </c>
      <c r="N1362" s="22">
        <f>+K1362+L1362-M1362</f>
        <v>0.0</v>
      </c>
      <c r="O1362" s="22">
        <f>+N1362</f>
        <v>0.0</v>
      </c>
      <c r="P1362" s="22">
        <f>+N1362-O1362</f>
        <v>0.0</v>
      </c>
      <c r="Q1362" s="57"/>
      <c r="R1362" s="58"/>
    </row>
    <row r="1363" spans="8:8" ht="15.0" customHeight="1">
      <c r="B1363" s="54">
        <v>1498.0</v>
      </c>
      <c r="C1363" s="8" t="s">
        <v>8351</v>
      </c>
      <c r="D1363" s="8" t="s">
        <v>828</v>
      </c>
      <c r="E1363" s="8" t="s">
        <v>412</v>
      </c>
      <c r="F1363" s="8" t="s">
        <v>68</v>
      </c>
      <c r="G1363" s="8" t="s">
        <v>2265</v>
      </c>
      <c r="H1363" s="8" t="s">
        <v>3538</v>
      </c>
      <c r="I1363" s="8" t="s">
        <v>818</v>
      </c>
      <c r="J1363" s="78" t="s">
        <v>5278</v>
      </c>
      <c r="K1363" s="22">
        <v>1.0</v>
      </c>
      <c r="L1363" s="22">
        <f>+SUMIF('حركه المخزن الرئيسي اليوميه'!$F:$F,$H:$H,'حركه المخزن الرئيسي اليوميه'!$H:$H)</f>
        <v>0.0</v>
      </c>
      <c r="M1363" s="22">
        <f>+SUMIF('حركه المخزن الرئيسي اليوميه'!$F:$F,$H:$H,'حركه المخزن الرئيسي اليوميه'!$I:$I)</f>
        <v>0.0</v>
      </c>
      <c r="N1363" s="22">
        <f>+K1363+L1363-M1363</f>
        <v>1.0</v>
      </c>
      <c r="O1363" s="22">
        <f>+N1363</f>
        <v>1.0</v>
      </c>
      <c r="P1363" s="22">
        <f>+N1363-O1363</f>
        <v>0.0</v>
      </c>
      <c r="Q1363" s="57"/>
      <c r="R1363" s="58"/>
    </row>
    <row r="1364" spans="8:8" ht="15.0" customHeight="1">
      <c r="B1364" s="54">
        <v>1499.0</v>
      </c>
      <c r="C1364" s="8" t="s">
        <v>8351</v>
      </c>
      <c r="D1364" s="8" t="s">
        <v>766</v>
      </c>
      <c r="E1364" s="8" t="s">
        <v>415</v>
      </c>
      <c r="F1364" s="8" t="s">
        <v>68</v>
      </c>
      <c r="G1364" s="8"/>
      <c r="H1364" s="8" t="s">
        <v>3245</v>
      </c>
      <c r="I1364" s="8" t="s">
        <v>818</v>
      </c>
      <c r="J1364" s="78" t="s">
        <v>5279</v>
      </c>
      <c r="K1364" s="22">
        <v>3.0</v>
      </c>
      <c r="L1364" s="22">
        <f>+SUMIF('حركه المخزن الرئيسي اليوميه'!$F:$F,$H:$H,'حركه المخزن الرئيسي اليوميه'!$H:$H)</f>
        <v>0.0</v>
      </c>
      <c r="M1364" s="22">
        <f>+SUMIF('حركه المخزن الرئيسي اليوميه'!$F:$F,$H:$H,'حركه المخزن الرئيسي اليوميه'!$I:$I)</f>
        <v>0.0</v>
      </c>
      <c r="N1364" s="22">
        <f>+K1364+L1364-M1364</f>
        <v>3.0</v>
      </c>
      <c r="O1364" s="22">
        <f>+N1364</f>
        <v>3.0</v>
      </c>
      <c r="P1364" s="22">
        <f>+N1364-O1364</f>
        <v>0.0</v>
      </c>
      <c r="Q1364" s="57"/>
      <c r="R1364" s="58"/>
    </row>
    <row r="1365" spans="8:8" ht="15.0" customHeight="1">
      <c r="B1365" s="54">
        <v>1500.0</v>
      </c>
      <c r="C1365" s="8" t="s">
        <v>8351</v>
      </c>
      <c r="D1365" s="8" t="s">
        <v>766</v>
      </c>
      <c r="E1365" s="8" t="s">
        <v>415</v>
      </c>
      <c r="F1365" s="8" t="s">
        <v>68</v>
      </c>
      <c r="G1365" s="8"/>
      <c r="H1365" s="8" t="s">
        <v>3627</v>
      </c>
      <c r="I1365" s="8" t="s">
        <v>818</v>
      </c>
      <c r="J1365" s="78" t="s">
        <v>5280</v>
      </c>
      <c r="K1365" s="22">
        <v>1.0</v>
      </c>
      <c r="L1365" s="22">
        <f>+SUMIF('حركه المخزن الرئيسي اليوميه'!$F:$F,$H:$H,'حركه المخزن الرئيسي اليوميه'!$H:$H)</f>
        <v>0.0</v>
      </c>
      <c r="M1365" s="22">
        <f>+SUMIF('حركه المخزن الرئيسي اليوميه'!$F:$F,$H:$H,'حركه المخزن الرئيسي اليوميه'!$I:$I)</f>
        <v>0.0</v>
      </c>
      <c r="N1365" s="22">
        <f>+K1365+L1365-M1365</f>
        <v>1.0</v>
      </c>
      <c r="O1365" s="22">
        <f>+N1365</f>
        <v>1.0</v>
      </c>
      <c r="P1365" s="22">
        <f>+N1365-O1365</f>
        <v>0.0</v>
      </c>
      <c r="Q1365" s="57"/>
      <c r="R1365" s="58"/>
    </row>
    <row r="1366" spans="8:8" ht="15.0" customHeight="1">
      <c r="B1366" s="54">
        <v>1501.0</v>
      </c>
      <c r="C1366" s="8" t="s">
        <v>8351</v>
      </c>
      <c r="D1366" s="8" t="s">
        <v>828</v>
      </c>
      <c r="E1366" s="8" t="s">
        <v>412</v>
      </c>
      <c r="F1366" s="8" t="s">
        <v>68</v>
      </c>
      <c r="G1366" s="8"/>
      <c r="H1366" s="8" t="s">
        <v>3240</v>
      </c>
      <c r="I1366" s="8" t="s">
        <v>818</v>
      </c>
      <c r="J1366" s="78" t="s">
        <v>5281</v>
      </c>
      <c r="K1366" s="22">
        <v>2.0</v>
      </c>
      <c r="L1366" s="22">
        <f>+SUMIF('حركه المخزن الرئيسي اليوميه'!$F:$F,$H:$H,'حركه المخزن الرئيسي اليوميه'!$H:$H)</f>
        <v>0.0</v>
      </c>
      <c r="M1366" s="22">
        <f>+SUMIF('حركه المخزن الرئيسي اليوميه'!$F:$F,$H:$H,'حركه المخزن الرئيسي اليوميه'!$I:$I)</f>
        <v>0.0</v>
      </c>
      <c r="N1366" s="22">
        <f>+K1366+L1366-M1366</f>
        <v>2.0</v>
      </c>
      <c r="O1366" s="22">
        <f>+N1366</f>
        <v>2.0</v>
      </c>
      <c r="P1366" s="22">
        <f>+N1366-O1366</f>
        <v>0.0</v>
      </c>
      <c r="Q1366" s="57"/>
      <c r="R1366" s="58"/>
    </row>
    <row r="1367" spans="8:8" ht="15.0" customHeight="1">
      <c r="B1367" s="54">
        <v>1502.0</v>
      </c>
      <c r="C1367" s="8" t="s">
        <v>8351</v>
      </c>
      <c r="D1367" s="8" t="s">
        <v>1013</v>
      </c>
      <c r="E1367" s="8"/>
      <c r="F1367" s="8"/>
      <c r="G1367" s="8"/>
      <c r="H1367" s="8"/>
      <c r="I1367" s="8"/>
      <c r="J1367" s="78" t="s">
        <v>5282</v>
      </c>
      <c r="K1367" s="22">
        <v>0.0</v>
      </c>
      <c r="L1367" s="22">
        <f>+SUMIF('حركه المخزن الرئيسي اليوميه'!$F:$F,$H:$H,'حركه المخزن الرئيسي اليوميه'!$H:$H)</f>
        <v>0.0</v>
      </c>
      <c r="M1367" s="22">
        <f>+SUMIF('حركه المخزن الرئيسي اليوميه'!$F:$F,$H:$H,'حركه المخزن الرئيسي اليوميه'!$I:$I)</f>
        <v>0.0</v>
      </c>
      <c r="N1367" s="22">
        <f>+K1367+L1367-M1367</f>
        <v>0.0</v>
      </c>
      <c r="O1367" s="22">
        <f>+N1367</f>
        <v>0.0</v>
      </c>
      <c r="P1367" s="22">
        <f>+N1367-O1367</f>
        <v>0.0</v>
      </c>
      <c r="Q1367" s="57"/>
      <c r="R1367" s="58"/>
    </row>
    <row r="1368" spans="8:8" ht="15.0" customHeight="1">
      <c r="B1368" s="54">
        <v>1503.0</v>
      </c>
      <c r="C1368" s="8" t="s">
        <v>8351</v>
      </c>
      <c r="D1368" s="8" t="s">
        <v>1013</v>
      </c>
      <c r="E1368" s="8"/>
      <c r="F1368" s="8"/>
      <c r="G1368" s="8"/>
      <c r="H1368" s="8"/>
      <c r="I1368" s="8"/>
      <c r="J1368" s="78" t="s">
        <v>5283</v>
      </c>
      <c r="K1368" s="22">
        <v>0.0</v>
      </c>
      <c r="L1368" s="22">
        <f>+SUMIF('حركه المخزن الرئيسي اليوميه'!$F:$F,$H:$H,'حركه المخزن الرئيسي اليوميه'!$H:$H)</f>
        <v>0.0</v>
      </c>
      <c r="M1368" s="22">
        <f>+SUMIF('حركه المخزن الرئيسي اليوميه'!$F:$F,$H:$H,'حركه المخزن الرئيسي اليوميه'!$I:$I)</f>
        <v>0.0</v>
      </c>
      <c r="N1368" s="22">
        <f>+K1368+L1368-M1368</f>
        <v>0.0</v>
      </c>
      <c r="O1368" s="22">
        <f>+N1368</f>
        <v>0.0</v>
      </c>
      <c r="P1368" s="22">
        <f>+N1368-O1368</f>
        <v>0.0</v>
      </c>
      <c r="Q1368" s="57"/>
      <c r="R1368" s="58"/>
    </row>
    <row r="1369" spans="8:8" ht="15.0" customHeight="1">
      <c r="B1369" s="54">
        <v>1504.0</v>
      </c>
      <c r="C1369" s="8" t="s">
        <v>8351</v>
      </c>
      <c r="D1369" s="8" t="s">
        <v>1013</v>
      </c>
      <c r="E1369" s="8"/>
      <c r="F1369" s="8"/>
      <c r="G1369" s="8"/>
      <c r="H1369" s="8"/>
      <c r="I1369" s="8"/>
      <c r="J1369" s="78" t="s">
        <v>5284</v>
      </c>
      <c r="K1369" s="22">
        <v>0.0</v>
      </c>
      <c r="L1369" s="22">
        <f>+SUMIF('حركه المخزن الرئيسي اليوميه'!$F:$F,$H:$H,'حركه المخزن الرئيسي اليوميه'!$H:$H)</f>
        <v>0.0</v>
      </c>
      <c r="M1369" s="22">
        <f>+SUMIF('حركه المخزن الرئيسي اليوميه'!$F:$F,$H:$H,'حركه المخزن الرئيسي اليوميه'!$I:$I)</f>
        <v>0.0</v>
      </c>
      <c r="N1369" s="22">
        <f>+K1369+L1369-M1369</f>
        <v>0.0</v>
      </c>
      <c r="O1369" s="22">
        <f>+N1369</f>
        <v>0.0</v>
      </c>
      <c r="P1369" s="22">
        <f>+N1369-O1369</f>
        <v>0.0</v>
      </c>
      <c r="Q1369" s="57"/>
      <c r="R1369" s="58"/>
    </row>
    <row r="1370" spans="8:8" ht="15.0" customHeight="1">
      <c r="B1370" s="54">
        <v>1505.0</v>
      </c>
      <c r="C1370" s="8" t="s">
        <v>8351</v>
      </c>
      <c r="D1370" s="8" t="s">
        <v>1013</v>
      </c>
      <c r="E1370" s="8"/>
      <c r="F1370" s="8"/>
      <c r="G1370" s="8"/>
      <c r="H1370" s="8"/>
      <c r="I1370" s="8"/>
      <c r="J1370" s="78" t="s">
        <v>5285</v>
      </c>
      <c r="K1370" s="22">
        <v>0.0</v>
      </c>
      <c r="L1370" s="22">
        <f>+SUMIF('حركه المخزن الرئيسي اليوميه'!$F:$F,$H:$H,'حركه المخزن الرئيسي اليوميه'!$H:$H)</f>
        <v>0.0</v>
      </c>
      <c r="M1370" s="22">
        <f>+SUMIF('حركه المخزن الرئيسي اليوميه'!$F:$F,$H:$H,'حركه المخزن الرئيسي اليوميه'!$I:$I)</f>
        <v>0.0</v>
      </c>
      <c r="N1370" s="22">
        <f>+K1370+L1370-M1370</f>
        <v>0.0</v>
      </c>
      <c r="O1370" s="22">
        <f>+N1370</f>
        <v>0.0</v>
      </c>
      <c r="P1370" s="22">
        <f>+N1370-O1370</f>
        <v>0.0</v>
      </c>
      <c r="Q1370" s="57"/>
      <c r="R1370" s="58"/>
    </row>
    <row r="1371" spans="8:8" ht="15.0" customHeight="1">
      <c r="B1371" s="54">
        <v>1506.0</v>
      </c>
      <c r="C1371" s="8" t="s">
        <v>8351</v>
      </c>
      <c r="D1371" s="8" t="s">
        <v>765</v>
      </c>
      <c r="E1371" s="8" t="s">
        <v>3853</v>
      </c>
      <c r="F1371" s="8" t="s">
        <v>68</v>
      </c>
      <c r="G1371" s="8" t="s">
        <v>3853</v>
      </c>
      <c r="H1371" s="8" t="s">
        <v>3853</v>
      </c>
      <c r="I1371" s="8" t="s">
        <v>818</v>
      </c>
      <c r="J1371" s="78" t="s">
        <v>5286</v>
      </c>
      <c r="K1371" s="22">
        <v>0.0</v>
      </c>
      <c r="L1371" s="22">
        <f>+SUMIF('حركه المخزن الرئيسي اليوميه'!$F:$F,$H:$H,'حركه المخزن الرئيسي اليوميه'!$H:$H)</f>
        <v>0.0</v>
      </c>
      <c r="M1371" s="22">
        <f>+SUMIF('حركه المخزن الرئيسي اليوميه'!$F:$F,$H:$H,'حركه المخزن الرئيسي اليوميه'!$I:$I)</f>
        <v>0.0</v>
      </c>
      <c r="N1371" s="22">
        <f>+K1371+L1371-M1371</f>
        <v>0.0</v>
      </c>
      <c r="O1371" s="22">
        <f>+N1371</f>
        <v>0.0</v>
      </c>
      <c r="P1371" s="22">
        <f>+N1371-O1371</f>
        <v>0.0</v>
      </c>
      <c r="Q1371" s="57"/>
      <c r="R1371" s="58"/>
    </row>
    <row r="1372" spans="8:8" ht="15.0" customHeight="1">
      <c r="B1372" s="54">
        <v>1507.0</v>
      </c>
      <c r="C1372" s="8" t="s">
        <v>8351</v>
      </c>
      <c r="D1372" s="8" t="s">
        <v>765</v>
      </c>
      <c r="E1372" s="8" t="s">
        <v>3308</v>
      </c>
      <c r="F1372" s="8" t="s">
        <v>68</v>
      </c>
      <c r="G1372" s="8" t="s">
        <v>3308</v>
      </c>
      <c r="H1372" s="8" t="s">
        <v>3308</v>
      </c>
      <c r="I1372" s="8" t="s">
        <v>818</v>
      </c>
      <c r="J1372" s="78" t="s">
        <v>5287</v>
      </c>
      <c r="K1372" s="22">
        <v>0.0</v>
      </c>
      <c r="L1372" s="22">
        <f>+SUMIF('حركه المخزن الرئيسي اليوميه'!$F:$F,$H:$H,'حركه المخزن الرئيسي اليوميه'!$H:$H)</f>
        <v>0.0</v>
      </c>
      <c r="M1372" s="22">
        <f>+SUMIF('حركه المخزن الرئيسي اليوميه'!$F:$F,$H:$H,'حركه المخزن الرئيسي اليوميه'!$I:$I)</f>
        <v>0.0</v>
      </c>
      <c r="N1372" s="22">
        <f>+K1372+L1372-M1372</f>
        <v>0.0</v>
      </c>
      <c r="O1372" s="22">
        <f>+N1372</f>
        <v>0.0</v>
      </c>
      <c r="P1372" s="22">
        <f>+N1372-O1372</f>
        <v>0.0</v>
      </c>
      <c r="Q1372" s="57"/>
      <c r="R1372" s="58"/>
    </row>
    <row r="1373" spans="8:8" ht="15.0" customHeight="1">
      <c r="B1373" s="54">
        <v>1508.0</v>
      </c>
      <c r="C1373" s="8" t="s">
        <v>8351</v>
      </c>
      <c r="D1373" s="8" t="s">
        <v>765</v>
      </c>
      <c r="E1373" s="8" t="s">
        <v>3309</v>
      </c>
      <c r="F1373" s="8" t="s">
        <v>68</v>
      </c>
      <c r="G1373" s="8" t="s">
        <v>3309</v>
      </c>
      <c r="H1373" s="8" t="s">
        <v>3309</v>
      </c>
      <c r="I1373" s="8" t="s">
        <v>168</v>
      </c>
      <c r="J1373" s="78" t="s">
        <v>5288</v>
      </c>
      <c r="K1373" s="22">
        <v>0.0</v>
      </c>
      <c r="L1373" s="22">
        <f>+SUMIF('حركه المخزن الرئيسي اليوميه'!$F:$F,$H:$H,'حركه المخزن الرئيسي اليوميه'!$H:$H)</f>
        <v>0.0</v>
      </c>
      <c r="M1373" s="22">
        <f>+SUMIF('حركه المخزن الرئيسي اليوميه'!$F:$F,$H:$H,'حركه المخزن الرئيسي اليوميه'!$I:$I)</f>
        <v>0.0</v>
      </c>
      <c r="N1373" s="22">
        <f>+K1373+L1373-M1373</f>
        <v>0.0</v>
      </c>
      <c r="O1373" s="22">
        <f>+N1373</f>
        <v>0.0</v>
      </c>
      <c r="P1373" s="22">
        <f>+N1373-O1373</f>
        <v>0.0</v>
      </c>
      <c r="Q1373" s="57"/>
      <c r="R1373" s="58"/>
    </row>
    <row r="1374" spans="8:8" ht="15.0" customHeight="1">
      <c r="B1374" s="54">
        <v>1509.0</v>
      </c>
      <c r="C1374" s="8" t="s">
        <v>8351</v>
      </c>
      <c r="D1374" s="8" t="s">
        <v>765</v>
      </c>
      <c r="E1374" s="8" t="s">
        <v>3310</v>
      </c>
      <c r="F1374" s="8" t="s">
        <v>68</v>
      </c>
      <c r="G1374" s="8" t="s">
        <v>3310</v>
      </c>
      <c r="H1374" s="8" t="s">
        <v>3310</v>
      </c>
      <c r="I1374" s="8" t="s">
        <v>818</v>
      </c>
      <c r="J1374" s="78" t="s">
        <v>5289</v>
      </c>
      <c r="K1374" s="22">
        <v>0.0</v>
      </c>
      <c r="L1374" s="22">
        <f>+SUMIF('حركه المخزن الرئيسي اليوميه'!$F:$F,$H:$H,'حركه المخزن الرئيسي اليوميه'!$H:$H)</f>
        <v>0.0</v>
      </c>
      <c r="M1374" s="22">
        <f>+SUMIF('حركه المخزن الرئيسي اليوميه'!$F:$F,$H:$H,'حركه المخزن الرئيسي اليوميه'!$I:$I)</f>
        <v>0.0</v>
      </c>
      <c r="N1374" s="22">
        <f>+K1374+L1374-M1374</f>
        <v>0.0</v>
      </c>
      <c r="O1374" s="22">
        <f>+N1374</f>
        <v>0.0</v>
      </c>
      <c r="P1374" s="22">
        <f>+N1374-O1374</f>
        <v>0.0</v>
      </c>
      <c r="Q1374" s="57"/>
      <c r="R1374" s="58"/>
    </row>
    <row r="1375" spans="8:8" ht="15.0" customHeight="1">
      <c r="B1375" s="54">
        <v>1510.0</v>
      </c>
      <c r="C1375" s="8" t="s">
        <v>8351</v>
      </c>
      <c r="D1375" s="8" t="s">
        <v>765</v>
      </c>
      <c r="E1375" s="8" t="s">
        <v>3311</v>
      </c>
      <c r="F1375" s="8" t="s">
        <v>68</v>
      </c>
      <c r="G1375" s="8" t="s">
        <v>3311</v>
      </c>
      <c r="H1375" s="8" t="s">
        <v>3311</v>
      </c>
      <c r="I1375" s="8" t="s">
        <v>818</v>
      </c>
      <c r="J1375" s="78" t="s">
        <v>5290</v>
      </c>
      <c r="K1375" s="22">
        <v>0.0</v>
      </c>
      <c r="L1375" s="22">
        <f>+SUMIF('حركه المخزن الرئيسي اليوميه'!$F:$F,$H:$H,'حركه المخزن الرئيسي اليوميه'!$H:$H)</f>
        <v>0.0</v>
      </c>
      <c r="M1375" s="22">
        <f>+SUMIF('حركه المخزن الرئيسي اليوميه'!$F:$F,$H:$H,'حركه المخزن الرئيسي اليوميه'!$I:$I)</f>
        <v>0.0</v>
      </c>
      <c r="N1375" s="22">
        <f>+K1375+L1375-M1375</f>
        <v>0.0</v>
      </c>
      <c r="O1375" s="22">
        <f>+N1375</f>
        <v>0.0</v>
      </c>
      <c r="P1375" s="22">
        <f>+N1375-O1375</f>
        <v>0.0</v>
      </c>
      <c r="Q1375" s="57"/>
      <c r="R1375" s="58"/>
    </row>
    <row r="1376" spans="8:8" ht="15.0" customHeight="1">
      <c r="B1376" s="54">
        <v>1511.0</v>
      </c>
      <c r="C1376" s="8" t="s">
        <v>8351</v>
      </c>
      <c r="D1376" s="8" t="s">
        <v>765</v>
      </c>
      <c r="E1376" s="8" t="s">
        <v>3312</v>
      </c>
      <c r="F1376" s="8" t="s">
        <v>68</v>
      </c>
      <c r="G1376" s="8" t="s">
        <v>3312</v>
      </c>
      <c r="H1376" s="8" t="s">
        <v>3312</v>
      </c>
      <c r="I1376" s="8" t="s">
        <v>818</v>
      </c>
      <c r="J1376" s="78" t="s">
        <v>5291</v>
      </c>
      <c r="K1376" s="22">
        <v>0.0</v>
      </c>
      <c r="L1376" s="22">
        <f>+SUMIF('حركه المخزن الرئيسي اليوميه'!$F:$F,$H:$H,'حركه المخزن الرئيسي اليوميه'!$H:$H)</f>
        <v>0.0</v>
      </c>
      <c r="M1376" s="22">
        <f>+SUMIF('حركه المخزن الرئيسي اليوميه'!$F:$F,$H:$H,'حركه المخزن الرئيسي اليوميه'!$I:$I)</f>
        <v>0.0</v>
      </c>
      <c r="N1376" s="22">
        <f>+K1376+L1376-M1376</f>
        <v>0.0</v>
      </c>
      <c r="O1376" s="22">
        <f>+N1376</f>
        <v>0.0</v>
      </c>
      <c r="P1376" s="22">
        <f>+N1376-O1376</f>
        <v>0.0</v>
      </c>
      <c r="Q1376" s="57"/>
      <c r="R1376" s="58"/>
    </row>
    <row r="1377" spans="8:8" ht="15.0" customHeight="1">
      <c r="B1377" s="54">
        <v>1512.0</v>
      </c>
      <c r="C1377" s="8" t="s">
        <v>8351</v>
      </c>
      <c r="D1377" s="8" t="s">
        <v>765</v>
      </c>
      <c r="E1377" s="8" t="s">
        <v>3313</v>
      </c>
      <c r="F1377" s="8" t="s">
        <v>68</v>
      </c>
      <c r="G1377" s="8" t="s">
        <v>3313</v>
      </c>
      <c r="H1377" s="8" t="s">
        <v>3313</v>
      </c>
      <c r="I1377" s="8" t="s">
        <v>818</v>
      </c>
      <c r="J1377" s="78" t="s">
        <v>5292</v>
      </c>
      <c r="K1377" s="22">
        <v>0.0</v>
      </c>
      <c r="L1377" s="22">
        <f>+SUMIF('حركه المخزن الرئيسي اليوميه'!$F:$F,$H:$H,'حركه المخزن الرئيسي اليوميه'!$H:$H)</f>
        <v>0.0</v>
      </c>
      <c r="M1377" s="22">
        <f>+SUMIF('حركه المخزن الرئيسي اليوميه'!$F:$F,$H:$H,'حركه المخزن الرئيسي اليوميه'!$I:$I)</f>
        <v>0.0</v>
      </c>
      <c r="N1377" s="22">
        <f>+K1377+L1377-M1377</f>
        <v>0.0</v>
      </c>
      <c r="O1377" s="22">
        <f>+N1377</f>
        <v>0.0</v>
      </c>
      <c r="P1377" s="22">
        <f>+N1377-O1377</f>
        <v>0.0</v>
      </c>
      <c r="Q1377" s="57"/>
      <c r="R1377" s="58"/>
    </row>
    <row r="1378" spans="8:8" ht="15.0" customHeight="1">
      <c r="B1378" s="54">
        <v>1513.0</v>
      </c>
      <c r="C1378" s="8" t="s">
        <v>8351</v>
      </c>
      <c r="D1378" s="8" t="s">
        <v>765</v>
      </c>
      <c r="E1378" s="8" t="s">
        <v>3314</v>
      </c>
      <c r="F1378" s="8" t="s">
        <v>68</v>
      </c>
      <c r="G1378" s="8" t="s">
        <v>3315</v>
      </c>
      <c r="H1378" s="8" t="s">
        <v>3315</v>
      </c>
      <c r="I1378" s="8" t="s">
        <v>818</v>
      </c>
      <c r="J1378" s="78" t="s">
        <v>5293</v>
      </c>
      <c r="K1378" s="22">
        <v>0.0</v>
      </c>
      <c r="L1378" s="22">
        <f>+SUMIF('حركه المخزن الرئيسي اليوميه'!$F:$F,$H:$H,'حركه المخزن الرئيسي اليوميه'!$H:$H)</f>
        <v>0.0</v>
      </c>
      <c r="M1378" s="22">
        <f>+SUMIF('حركه المخزن الرئيسي اليوميه'!$F:$F,$H:$H,'حركه المخزن الرئيسي اليوميه'!$I:$I)</f>
        <v>0.0</v>
      </c>
      <c r="N1378" s="22">
        <f>+K1378+L1378-M1378</f>
        <v>0.0</v>
      </c>
      <c r="O1378" s="22">
        <f>+N1378</f>
        <v>0.0</v>
      </c>
      <c r="P1378" s="22">
        <f>+N1378-O1378</f>
        <v>0.0</v>
      </c>
      <c r="Q1378" s="57"/>
      <c r="R1378" s="58"/>
    </row>
    <row r="1379" spans="8:8" ht="15.0" customHeight="1">
      <c r="B1379" s="54">
        <v>1514.0</v>
      </c>
      <c r="C1379" s="8" t="s">
        <v>8351</v>
      </c>
      <c r="D1379" s="8" t="s">
        <v>765</v>
      </c>
      <c r="E1379" s="8" t="s">
        <v>3316</v>
      </c>
      <c r="F1379" s="8" t="s">
        <v>68</v>
      </c>
      <c r="G1379" s="8" t="s">
        <v>3316</v>
      </c>
      <c r="H1379" s="8" t="s">
        <v>3316</v>
      </c>
      <c r="I1379" s="8" t="s">
        <v>818</v>
      </c>
      <c r="J1379" s="78" t="s">
        <v>5294</v>
      </c>
      <c r="K1379" s="22">
        <v>0.0</v>
      </c>
      <c r="L1379" s="22">
        <f>+SUMIF('حركه المخزن الرئيسي اليوميه'!$F:$F,$H:$H,'حركه المخزن الرئيسي اليوميه'!$H:$H)</f>
        <v>0.0</v>
      </c>
      <c r="M1379" s="22">
        <f>+SUMIF('حركه المخزن الرئيسي اليوميه'!$F:$F,$H:$H,'حركه المخزن الرئيسي اليوميه'!$I:$I)</f>
        <v>0.0</v>
      </c>
      <c r="N1379" s="22">
        <f>+K1379+L1379-M1379</f>
        <v>0.0</v>
      </c>
      <c r="O1379" s="22">
        <f>+N1379</f>
        <v>0.0</v>
      </c>
      <c r="P1379" s="22">
        <f>+N1379-O1379</f>
        <v>0.0</v>
      </c>
      <c r="Q1379" s="57"/>
      <c r="R1379" s="58"/>
    </row>
    <row r="1380" spans="8:8" ht="15.0" customHeight="1">
      <c r="B1380" s="54">
        <v>1515.0</v>
      </c>
      <c r="C1380" s="8" t="s">
        <v>8351</v>
      </c>
      <c r="D1380" s="8" t="s">
        <v>765</v>
      </c>
      <c r="E1380" s="8" t="s">
        <v>3317</v>
      </c>
      <c r="F1380" s="8" t="s">
        <v>68</v>
      </c>
      <c r="G1380" s="8" t="s">
        <v>3317</v>
      </c>
      <c r="H1380" s="8" t="s">
        <v>3317</v>
      </c>
      <c r="I1380" s="8" t="s">
        <v>818</v>
      </c>
      <c r="J1380" s="78" t="s">
        <v>5295</v>
      </c>
      <c r="K1380" s="22">
        <v>0.0</v>
      </c>
      <c r="L1380" s="22">
        <f>+SUMIF('حركه المخزن الرئيسي اليوميه'!$F:$F,$H:$H,'حركه المخزن الرئيسي اليوميه'!$H:$H)</f>
        <v>0.0</v>
      </c>
      <c r="M1380" s="22">
        <f>+SUMIF('حركه المخزن الرئيسي اليوميه'!$F:$F,$H:$H,'حركه المخزن الرئيسي اليوميه'!$I:$I)</f>
        <v>0.0</v>
      </c>
      <c r="N1380" s="22">
        <f>+K1380+L1380-M1380</f>
        <v>0.0</v>
      </c>
      <c r="O1380" s="22">
        <f>+N1380</f>
        <v>0.0</v>
      </c>
      <c r="P1380" s="22">
        <f>+N1380-O1380</f>
        <v>0.0</v>
      </c>
      <c r="Q1380" s="57"/>
      <c r="R1380" s="58"/>
    </row>
    <row r="1381" spans="8:8" ht="15.0" customHeight="1">
      <c r="B1381" s="54">
        <v>1516.0</v>
      </c>
      <c r="C1381" s="8" t="s">
        <v>8351</v>
      </c>
      <c r="D1381" s="8" t="s">
        <v>765</v>
      </c>
      <c r="E1381" s="8" t="s">
        <v>3318</v>
      </c>
      <c r="F1381" s="8" t="s">
        <v>68</v>
      </c>
      <c r="G1381" s="8" t="s">
        <v>3318</v>
      </c>
      <c r="H1381" s="8" t="s">
        <v>3318</v>
      </c>
      <c r="I1381" s="8" t="s">
        <v>767</v>
      </c>
      <c r="J1381" s="78" t="s">
        <v>5296</v>
      </c>
      <c r="K1381" s="22">
        <v>0.0</v>
      </c>
      <c r="L1381" s="22">
        <f>+SUMIF('حركه المخزن الرئيسي اليوميه'!$F:$F,$H:$H,'حركه المخزن الرئيسي اليوميه'!$H:$H)</f>
        <v>0.0</v>
      </c>
      <c r="M1381" s="22">
        <f>+SUMIF('حركه المخزن الرئيسي اليوميه'!$F:$F,$H:$H,'حركه المخزن الرئيسي اليوميه'!$I:$I)</f>
        <v>0.0</v>
      </c>
      <c r="N1381" s="22">
        <f>+K1381+L1381-M1381</f>
        <v>0.0</v>
      </c>
      <c r="O1381" s="22">
        <f>+N1381</f>
        <v>0.0</v>
      </c>
      <c r="P1381" s="22">
        <f>+N1381-O1381</f>
        <v>0.0</v>
      </c>
      <c r="Q1381" s="57"/>
      <c r="R1381" s="58"/>
    </row>
    <row r="1382" spans="8:8" ht="15.0" customHeight="1">
      <c r="B1382" s="54">
        <v>1518.0</v>
      </c>
      <c r="C1382" s="8" t="s">
        <v>8351</v>
      </c>
      <c r="D1382" s="8" t="s">
        <v>765</v>
      </c>
      <c r="E1382" s="8" t="s">
        <v>3322</v>
      </c>
      <c r="F1382" s="8" t="s">
        <v>3323</v>
      </c>
      <c r="G1382" s="8" t="s">
        <v>3322</v>
      </c>
      <c r="H1382" s="8" t="s">
        <v>3322</v>
      </c>
      <c r="I1382" s="8" t="s">
        <v>818</v>
      </c>
      <c r="J1382" s="78" t="s">
        <v>5297</v>
      </c>
      <c r="K1382" s="22">
        <v>0.0</v>
      </c>
      <c r="L1382" s="22">
        <f>+SUMIF('حركه المخزن الرئيسي اليوميه'!$F:$F,$H:$H,'حركه المخزن الرئيسي اليوميه'!$H:$H)</f>
        <v>0.0</v>
      </c>
      <c r="M1382" s="22">
        <f>+SUMIF('حركه المخزن الرئيسي اليوميه'!$F:$F,$H:$H,'حركه المخزن الرئيسي اليوميه'!$I:$I)</f>
        <v>0.0</v>
      </c>
      <c r="N1382" s="22">
        <f>+K1382+L1382-M1382</f>
        <v>0.0</v>
      </c>
      <c r="O1382" s="22">
        <f>+N1382</f>
        <v>0.0</v>
      </c>
      <c r="P1382" s="22">
        <f>+N1382-O1382</f>
        <v>0.0</v>
      </c>
      <c r="Q1382" s="57"/>
      <c r="R1382" s="58"/>
    </row>
    <row r="1383" spans="8:8" ht="15.0" customHeight="1">
      <c r="B1383" s="54">
        <v>1519.0</v>
      </c>
      <c r="C1383" s="8" t="s">
        <v>8351</v>
      </c>
      <c r="D1383" s="8" t="s">
        <v>765</v>
      </c>
      <c r="E1383" s="8" t="s">
        <v>3324</v>
      </c>
      <c r="F1383" s="8" t="s">
        <v>125</v>
      </c>
      <c r="G1383" s="8" t="s">
        <v>3324</v>
      </c>
      <c r="H1383" s="8" t="s">
        <v>3324</v>
      </c>
      <c r="I1383" s="8" t="s">
        <v>818</v>
      </c>
      <c r="J1383" s="78" t="s">
        <v>5298</v>
      </c>
      <c r="K1383" s="22">
        <v>0.0</v>
      </c>
      <c r="L1383" s="22">
        <f>+SUMIF('حركه المخزن الرئيسي اليوميه'!$F:$F,$H:$H,'حركه المخزن الرئيسي اليوميه'!$H:$H)</f>
        <v>0.0</v>
      </c>
      <c r="M1383" s="22">
        <f>+SUMIF('حركه المخزن الرئيسي اليوميه'!$F:$F,$H:$H,'حركه المخزن الرئيسي اليوميه'!$I:$I)</f>
        <v>0.0</v>
      </c>
      <c r="N1383" s="22">
        <f>+K1383+L1383-M1383</f>
        <v>0.0</v>
      </c>
      <c r="O1383" s="22">
        <f>+N1383</f>
        <v>0.0</v>
      </c>
      <c r="P1383" s="22">
        <f>+N1383-O1383</f>
        <v>0.0</v>
      </c>
      <c r="Q1383" s="57"/>
      <c r="R1383" s="58"/>
    </row>
    <row r="1384" spans="8:8" ht="15.0" customHeight="1">
      <c r="B1384" s="54">
        <v>1520.0</v>
      </c>
      <c r="C1384" s="8" t="s">
        <v>8351</v>
      </c>
      <c r="D1384" s="8" t="s">
        <v>765</v>
      </c>
      <c r="E1384" s="8" t="s">
        <v>3325</v>
      </c>
      <c r="F1384" s="8" t="s">
        <v>125</v>
      </c>
      <c r="G1384" s="8" t="s">
        <v>3325</v>
      </c>
      <c r="H1384" s="8" t="s">
        <v>3325</v>
      </c>
      <c r="I1384" s="8" t="s">
        <v>818</v>
      </c>
      <c r="J1384" s="78" t="s">
        <v>5299</v>
      </c>
      <c r="K1384" s="22">
        <v>0.0</v>
      </c>
      <c r="L1384" s="22">
        <f>+SUMIF('حركه المخزن الرئيسي اليوميه'!$F:$F,$H:$H,'حركه المخزن الرئيسي اليوميه'!$H:$H)</f>
        <v>0.0</v>
      </c>
      <c r="M1384" s="22">
        <f>+SUMIF('حركه المخزن الرئيسي اليوميه'!$F:$F,$H:$H,'حركه المخزن الرئيسي اليوميه'!$I:$I)</f>
        <v>0.0</v>
      </c>
      <c r="N1384" s="22">
        <f>+K1384+L1384-M1384</f>
        <v>0.0</v>
      </c>
      <c r="O1384" s="22">
        <f>+N1384</f>
        <v>0.0</v>
      </c>
      <c r="P1384" s="22">
        <f>+N1384-O1384</f>
        <v>0.0</v>
      </c>
      <c r="Q1384" s="57"/>
      <c r="R1384" s="58"/>
    </row>
    <row r="1385" spans="8:8" ht="15.0" customHeight="1">
      <c r="B1385" s="54">
        <v>1521.0</v>
      </c>
      <c r="C1385" s="8" t="s">
        <v>8351</v>
      </c>
      <c r="D1385" s="8" t="s">
        <v>765</v>
      </c>
      <c r="E1385" s="8" t="s">
        <v>23</v>
      </c>
      <c r="F1385" s="8" t="s">
        <v>68</v>
      </c>
      <c r="G1385" s="8" t="s">
        <v>2047</v>
      </c>
      <c r="H1385" s="8">
        <v>6320.0</v>
      </c>
      <c r="I1385" s="8" t="s">
        <v>206</v>
      </c>
      <c r="J1385" s="78" t="s">
        <v>5300</v>
      </c>
      <c r="K1385" s="22">
        <v>1.0</v>
      </c>
      <c r="L1385" s="22">
        <f>+SUMIF('حركه المخزن الرئيسي اليوميه'!$F:$F,$H:$H,'حركه المخزن الرئيسي اليوميه'!$H:$H)</f>
        <v>0.0</v>
      </c>
      <c r="M1385" s="22">
        <f>+SUMIF('حركه المخزن الرئيسي اليوميه'!$F:$F,$H:$H,'حركه المخزن الرئيسي اليوميه'!$I:$I)</f>
        <v>0.0</v>
      </c>
      <c r="N1385" s="22">
        <f>+K1385+L1385-M1385</f>
        <v>1.0</v>
      </c>
      <c r="O1385" s="22">
        <f>+N1385</f>
        <v>1.0</v>
      </c>
      <c r="P1385" s="22">
        <f>+N1385-O1385</f>
        <v>0.0</v>
      </c>
      <c r="Q1385" s="57"/>
      <c r="R1385" s="58"/>
    </row>
    <row r="1386" spans="8:8" ht="15.0" customHeight="1">
      <c r="B1386" s="54">
        <v>1522.0</v>
      </c>
      <c r="C1386" s="8" t="s">
        <v>8351</v>
      </c>
      <c r="D1386" s="8" t="s">
        <v>765</v>
      </c>
      <c r="E1386" s="8" t="s">
        <v>23</v>
      </c>
      <c r="F1386" s="8" t="s">
        <v>68</v>
      </c>
      <c r="G1386" s="8" t="s">
        <v>3337</v>
      </c>
      <c r="H1386" s="8" t="s">
        <v>3337</v>
      </c>
      <c r="I1386" s="8" t="s">
        <v>206</v>
      </c>
      <c r="J1386" s="78" t="s">
        <v>5301</v>
      </c>
      <c r="K1386" s="22">
        <v>1.0</v>
      </c>
      <c r="L1386" s="22">
        <f>+SUMIF('حركه المخزن الرئيسي اليوميه'!$F:$F,$H:$H,'حركه المخزن الرئيسي اليوميه'!$H:$H)</f>
        <v>0.0</v>
      </c>
      <c r="M1386" s="22">
        <f>+SUMIF('حركه المخزن الرئيسي اليوميه'!$F:$F,$H:$H,'حركه المخزن الرئيسي اليوميه'!$I:$I)</f>
        <v>0.0</v>
      </c>
      <c r="N1386" s="22">
        <f>+K1386+L1386-M1386</f>
        <v>1.0</v>
      </c>
      <c r="O1386" s="22">
        <f>+N1386</f>
        <v>1.0</v>
      </c>
      <c r="P1386" s="22">
        <f>+N1386-O1386</f>
        <v>0.0</v>
      </c>
      <c r="Q1386" s="57"/>
      <c r="R1386" s="58"/>
    </row>
    <row r="1387" spans="8:8" ht="15.0" customHeight="1">
      <c r="B1387" s="54">
        <v>1523.0</v>
      </c>
      <c r="C1387" s="8" t="s">
        <v>8351</v>
      </c>
      <c r="D1387" s="8" t="s">
        <v>765</v>
      </c>
      <c r="E1387" s="8" t="s">
        <v>3338</v>
      </c>
      <c r="F1387" s="8" t="s">
        <v>68</v>
      </c>
      <c r="G1387" s="8" t="s">
        <v>3338</v>
      </c>
      <c r="H1387" s="8" t="s">
        <v>3338</v>
      </c>
      <c r="I1387" s="8" t="s">
        <v>767</v>
      </c>
      <c r="J1387" s="78" t="s">
        <v>5302</v>
      </c>
      <c r="K1387" s="22">
        <v>4.0</v>
      </c>
      <c r="L1387" s="22">
        <f>+SUMIF('حركه المخزن الرئيسي اليوميه'!$F:$F,$H:$H,'حركه المخزن الرئيسي اليوميه'!$H:$H)</f>
        <v>0.0</v>
      </c>
      <c r="M1387" s="22">
        <f>+SUMIF('حركه المخزن الرئيسي اليوميه'!$F:$F,$H:$H,'حركه المخزن الرئيسي اليوميه'!$I:$I)</f>
        <v>0.0</v>
      </c>
      <c r="N1387" s="22">
        <f>+K1387+L1387-M1387</f>
        <v>4.0</v>
      </c>
      <c r="O1387" s="22">
        <f>+N1387</f>
        <v>4.0</v>
      </c>
      <c r="P1387" s="22">
        <f>+N1387-O1387</f>
        <v>0.0</v>
      </c>
      <c r="Q1387" s="57"/>
      <c r="R1387" s="58"/>
    </row>
    <row r="1388" spans="8:8" ht="15.0" customHeight="1">
      <c r="B1388" s="54">
        <v>1524.0</v>
      </c>
      <c r="C1388" s="8" t="s">
        <v>8351</v>
      </c>
      <c r="D1388" s="8" t="s">
        <v>765</v>
      </c>
      <c r="E1388" s="8" t="s">
        <v>3343</v>
      </c>
      <c r="F1388" s="8" t="s">
        <v>68</v>
      </c>
      <c r="G1388" s="8" t="s">
        <v>3343</v>
      </c>
      <c r="H1388" s="8" t="s">
        <v>3343</v>
      </c>
      <c r="I1388" s="8" t="s">
        <v>767</v>
      </c>
      <c r="J1388" s="78" t="s">
        <v>5303</v>
      </c>
      <c r="K1388" s="22">
        <v>0.0</v>
      </c>
      <c r="L1388" s="22">
        <f>+SUMIF('حركه المخزن الرئيسي اليوميه'!$F:$F,$H:$H,'حركه المخزن الرئيسي اليوميه'!$H:$H)</f>
        <v>0.0</v>
      </c>
      <c r="M1388" s="22">
        <f>+SUMIF('حركه المخزن الرئيسي اليوميه'!$F:$F,$H:$H,'حركه المخزن الرئيسي اليوميه'!$I:$I)</f>
        <v>0.0</v>
      </c>
      <c r="N1388" s="22">
        <f>+K1388+L1388-M1388</f>
        <v>0.0</v>
      </c>
      <c r="O1388" s="22">
        <f>+N1388</f>
        <v>0.0</v>
      </c>
      <c r="P1388" s="22">
        <f>+N1388-O1388</f>
        <v>0.0</v>
      </c>
      <c r="Q1388" s="57"/>
      <c r="R1388" s="58"/>
    </row>
    <row r="1389" spans="8:8" ht="15.0" customHeight="1">
      <c r="B1389" s="54">
        <v>1525.0</v>
      </c>
      <c r="C1389" s="8" t="s">
        <v>8351</v>
      </c>
      <c r="D1389" s="8" t="s">
        <v>765</v>
      </c>
      <c r="E1389" s="8" t="s">
        <v>3344</v>
      </c>
      <c r="F1389" s="8" t="s">
        <v>68</v>
      </c>
      <c r="G1389" s="8" t="s">
        <v>3344</v>
      </c>
      <c r="H1389" s="8" t="s">
        <v>3344</v>
      </c>
      <c r="I1389" s="8" t="s">
        <v>818</v>
      </c>
      <c r="J1389" s="78" t="s">
        <v>5304</v>
      </c>
      <c r="K1389" s="22">
        <v>0.0</v>
      </c>
      <c r="L1389" s="22">
        <f>+SUMIF('حركه المخزن الرئيسي اليوميه'!$F:$F,$H:$H,'حركه المخزن الرئيسي اليوميه'!$H:$H)</f>
        <v>0.0</v>
      </c>
      <c r="M1389" s="22">
        <f>+SUMIF('حركه المخزن الرئيسي اليوميه'!$F:$F,$H:$H,'حركه المخزن الرئيسي اليوميه'!$I:$I)</f>
        <v>0.0</v>
      </c>
      <c r="N1389" s="22">
        <f>+K1389+L1389-M1389</f>
        <v>0.0</v>
      </c>
      <c r="O1389" s="22">
        <f>+N1389</f>
        <v>0.0</v>
      </c>
      <c r="P1389" s="22">
        <f>+N1389-O1389</f>
        <v>0.0</v>
      </c>
      <c r="Q1389" s="57"/>
      <c r="R1389" s="58"/>
    </row>
    <row r="1390" spans="8:8" ht="15.0" customHeight="1">
      <c r="B1390" s="54">
        <v>1526.0</v>
      </c>
      <c r="C1390" s="8" t="s">
        <v>8351</v>
      </c>
      <c r="D1390" s="8" t="s">
        <v>765</v>
      </c>
      <c r="E1390" s="8" t="s">
        <v>3346</v>
      </c>
      <c r="F1390" s="8" t="s">
        <v>68</v>
      </c>
      <c r="G1390" s="8" t="s">
        <v>3346</v>
      </c>
      <c r="H1390" s="8" t="s">
        <v>3346</v>
      </c>
      <c r="I1390" s="8" t="s">
        <v>3347</v>
      </c>
      <c r="J1390" s="78" t="s">
        <v>5305</v>
      </c>
      <c r="K1390" s="22">
        <v>0.0</v>
      </c>
      <c r="L1390" s="22">
        <f>+SUMIF('حركه المخزن الرئيسي اليوميه'!$F:$F,$H:$H,'حركه المخزن الرئيسي اليوميه'!$H:$H)</f>
        <v>0.0</v>
      </c>
      <c r="M1390" s="22">
        <f>+SUMIF('حركه المخزن الرئيسي اليوميه'!$F:$F,$H:$H,'حركه المخزن الرئيسي اليوميه'!$I:$I)</f>
        <v>0.0</v>
      </c>
      <c r="N1390" s="22">
        <f>+K1390+L1390-M1390</f>
        <v>0.0</v>
      </c>
      <c r="O1390" s="22">
        <f>+N1390</f>
        <v>0.0</v>
      </c>
      <c r="P1390" s="22">
        <f>+N1390-O1390</f>
        <v>0.0</v>
      </c>
      <c r="Q1390" s="57"/>
      <c r="R1390" s="58"/>
    </row>
    <row r="1391" spans="8:8" ht="15.0" customHeight="1">
      <c r="B1391" s="54">
        <v>1527.0</v>
      </c>
      <c r="C1391" s="8" t="s">
        <v>8351</v>
      </c>
      <c r="D1391" s="8" t="s">
        <v>765</v>
      </c>
      <c r="E1391" s="8" t="s">
        <v>3348</v>
      </c>
      <c r="F1391" s="8" t="s">
        <v>68</v>
      </c>
      <c r="G1391" s="8" t="s">
        <v>3348</v>
      </c>
      <c r="H1391" s="8" t="s">
        <v>3348</v>
      </c>
      <c r="I1391" s="8" t="s">
        <v>818</v>
      </c>
      <c r="J1391" s="78" t="s">
        <v>5306</v>
      </c>
      <c r="K1391" s="22">
        <v>0.0</v>
      </c>
      <c r="L1391" s="22">
        <f>+SUMIF('حركه المخزن الرئيسي اليوميه'!$F:$F,$H:$H,'حركه المخزن الرئيسي اليوميه'!$H:$H)</f>
        <v>0.0</v>
      </c>
      <c r="M1391" s="22">
        <f>+SUMIF('حركه المخزن الرئيسي اليوميه'!$F:$F,$H:$H,'حركه المخزن الرئيسي اليوميه'!$I:$I)</f>
        <v>0.0</v>
      </c>
      <c r="N1391" s="22">
        <f>+K1391+L1391-M1391</f>
        <v>0.0</v>
      </c>
      <c r="O1391" s="22">
        <f>+N1391</f>
        <v>0.0</v>
      </c>
      <c r="P1391" s="22">
        <f>+N1391-O1391</f>
        <v>0.0</v>
      </c>
      <c r="Q1391" s="57"/>
      <c r="R1391" s="58"/>
    </row>
    <row r="1392" spans="8:8" ht="15.0" customHeight="1">
      <c r="B1392" s="54">
        <v>1529.0</v>
      </c>
      <c r="C1392" s="8" t="s">
        <v>8351</v>
      </c>
      <c r="D1392" s="8" t="s">
        <v>765</v>
      </c>
      <c r="E1392" s="8" t="s">
        <v>3353</v>
      </c>
      <c r="F1392" s="8" t="s">
        <v>68</v>
      </c>
      <c r="G1392" s="8" t="s">
        <v>3353</v>
      </c>
      <c r="H1392" s="8" t="s">
        <v>3353</v>
      </c>
      <c r="I1392" s="8" t="s">
        <v>58</v>
      </c>
      <c r="J1392" s="78" t="s">
        <v>5307</v>
      </c>
      <c r="K1392" s="22">
        <v>0.0</v>
      </c>
      <c r="L1392" s="22">
        <f>+SUMIF('حركه المخزن الرئيسي اليوميه'!$F:$F,$H:$H,'حركه المخزن الرئيسي اليوميه'!$H:$H)</f>
        <v>0.0</v>
      </c>
      <c r="M1392" s="22">
        <f>+SUMIF('حركه المخزن الرئيسي اليوميه'!$F:$F,$H:$H,'حركه المخزن الرئيسي اليوميه'!$I:$I)</f>
        <v>0.0</v>
      </c>
      <c r="N1392" s="22">
        <f>+K1392+L1392-M1392</f>
        <v>0.0</v>
      </c>
      <c r="O1392" s="22">
        <f>+N1392</f>
        <v>0.0</v>
      </c>
      <c r="P1392" s="22">
        <f>+N1392-O1392</f>
        <v>0.0</v>
      </c>
      <c r="Q1392" s="57"/>
      <c r="R1392" s="58"/>
    </row>
    <row r="1393" spans="8:8" ht="15.0" customHeight="1">
      <c r="B1393" s="54">
        <v>1530.0</v>
      </c>
      <c r="C1393" s="8" t="s">
        <v>8351</v>
      </c>
      <c r="D1393" s="8" t="s">
        <v>765</v>
      </c>
      <c r="E1393" s="8" t="s">
        <v>3356</v>
      </c>
      <c r="F1393" s="8" t="s">
        <v>1501</v>
      </c>
      <c r="G1393" s="8" t="s">
        <v>3356</v>
      </c>
      <c r="H1393" s="8" t="s">
        <v>3356</v>
      </c>
      <c r="I1393" s="8" t="s">
        <v>767</v>
      </c>
      <c r="J1393" s="78" t="s">
        <v>5308</v>
      </c>
      <c r="K1393" s="22">
        <v>2.0</v>
      </c>
      <c r="L1393" s="22">
        <f>+SUMIF('حركه المخزن الرئيسي اليوميه'!$F:$F,$H:$H,'حركه المخزن الرئيسي اليوميه'!$H:$H)</f>
        <v>0.0</v>
      </c>
      <c r="M1393" s="22">
        <f>+SUMIF('حركه المخزن الرئيسي اليوميه'!$F:$F,$H:$H,'حركه المخزن الرئيسي اليوميه'!$I:$I)</f>
        <v>2.0</v>
      </c>
      <c r="N1393" s="22">
        <f>+K1393+L1393-M1393</f>
        <v>0.0</v>
      </c>
      <c r="O1393" s="22">
        <f>+N1393</f>
        <v>0.0</v>
      </c>
      <c r="P1393" s="22">
        <f>+N1393-O1393</f>
        <v>0.0</v>
      </c>
      <c r="Q1393" s="57"/>
      <c r="R1393" s="58"/>
    </row>
    <row r="1394" spans="8:8" ht="15.0" customHeight="1">
      <c r="B1394" s="54">
        <v>1531.0</v>
      </c>
      <c r="C1394" s="8" t="s">
        <v>8351</v>
      </c>
      <c r="D1394" s="8" t="s">
        <v>765</v>
      </c>
      <c r="E1394" s="8"/>
      <c r="F1394" s="8"/>
      <c r="G1394" s="8"/>
      <c r="H1394" s="8"/>
      <c r="I1394" s="8"/>
      <c r="J1394" s="78" t="s">
        <v>5309</v>
      </c>
      <c r="K1394" s="22">
        <v>0.0</v>
      </c>
      <c r="L1394" s="22">
        <f>+SUMIF('حركه المخزن الرئيسي اليوميه'!$F:$F,$H:$H,'حركه المخزن الرئيسي اليوميه'!$H:$H)</f>
        <v>0.0</v>
      </c>
      <c r="M1394" s="22">
        <f>+SUMIF('حركه المخزن الرئيسي اليوميه'!$F:$F,$H:$H,'حركه المخزن الرئيسي اليوميه'!$I:$I)</f>
        <v>0.0</v>
      </c>
      <c r="N1394" s="22">
        <f>+K1394+L1394-M1394</f>
        <v>0.0</v>
      </c>
      <c r="O1394" s="22">
        <f>+N1394</f>
        <v>0.0</v>
      </c>
      <c r="P1394" s="22">
        <f>+N1394-O1394</f>
        <v>0.0</v>
      </c>
      <c r="Q1394" s="57"/>
      <c r="R1394" s="58"/>
    </row>
    <row r="1395" spans="8:8" ht="15.0" customHeight="1">
      <c r="B1395" s="54">
        <v>1532.0</v>
      </c>
      <c r="C1395" s="8" t="s">
        <v>8351</v>
      </c>
      <c r="D1395" s="8" t="s">
        <v>765</v>
      </c>
      <c r="E1395" s="8" t="s">
        <v>3358</v>
      </c>
      <c r="F1395" s="8" t="s">
        <v>2035</v>
      </c>
      <c r="G1395" s="8" t="s">
        <v>3359</v>
      </c>
      <c r="H1395" s="8" t="s">
        <v>3359</v>
      </c>
      <c r="I1395" s="8"/>
      <c r="J1395" s="78" t="s">
        <v>5310</v>
      </c>
      <c r="K1395" s="22">
        <v>0.0</v>
      </c>
      <c r="L1395" s="22">
        <f>+SUMIF('حركه المخزن الرئيسي اليوميه'!$F:$F,$H:$H,'حركه المخزن الرئيسي اليوميه'!$H:$H)</f>
        <v>0.0</v>
      </c>
      <c r="M1395" s="22">
        <f>+SUMIF('حركه المخزن الرئيسي اليوميه'!$F:$F,$H:$H,'حركه المخزن الرئيسي اليوميه'!$I:$I)</f>
        <v>0.0</v>
      </c>
      <c r="N1395" s="22">
        <f>+K1395+L1395-M1395</f>
        <v>0.0</v>
      </c>
      <c r="O1395" s="22">
        <f>+N1395</f>
        <v>0.0</v>
      </c>
      <c r="P1395" s="22">
        <f>+N1395-O1395</f>
        <v>0.0</v>
      </c>
      <c r="Q1395" s="57"/>
      <c r="R1395" s="58"/>
    </row>
    <row r="1396" spans="8:8" ht="15.0" customHeight="1">
      <c r="B1396" s="54">
        <v>1533.0</v>
      </c>
      <c r="C1396" s="8" t="s">
        <v>8351</v>
      </c>
      <c r="D1396" s="8" t="s">
        <v>765</v>
      </c>
      <c r="E1396" s="8" t="s">
        <v>3360</v>
      </c>
      <c r="F1396" s="8" t="s">
        <v>3361</v>
      </c>
      <c r="G1396" s="8" t="s">
        <v>3362</v>
      </c>
      <c r="H1396" s="8" t="s">
        <v>3360</v>
      </c>
      <c r="I1396" s="8" t="s">
        <v>767</v>
      </c>
      <c r="J1396" s="78" t="s">
        <v>5311</v>
      </c>
      <c r="K1396" s="22">
        <v>6.0</v>
      </c>
      <c r="L1396" s="22">
        <f>+SUMIF('حركه المخزن الرئيسي اليوميه'!$F:$F,$H:$H,'حركه المخزن الرئيسي اليوميه'!$H:$H)</f>
        <v>0.0</v>
      </c>
      <c r="M1396" s="22">
        <f>+SUMIF('حركه المخزن الرئيسي اليوميه'!$F:$F,$H:$H,'حركه المخزن الرئيسي اليوميه'!$I:$I)</f>
        <v>0.0</v>
      </c>
      <c r="N1396" s="22">
        <f>+K1396+L1396-M1396</f>
        <v>6.0</v>
      </c>
      <c r="O1396" s="22">
        <f>+N1396</f>
        <v>6.0</v>
      </c>
      <c r="P1396" s="22">
        <f>+N1396-O1396</f>
        <v>0.0</v>
      </c>
      <c r="Q1396" s="8"/>
      <c r="R1396" s="58"/>
    </row>
    <row r="1397" spans="8:8" ht="15.0" customHeight="1">
      <c r="B1397" s="54">
        <v>1534.0</v>
      </c>
      <c r="C1397" s="8" t="s">
        <v>8351</v>
      </c>
      <c r="D1397" s="8" t="s">
        <v>765</v>
      </c>
      <c r="E1397" s="8" t="s">
        <v>3363</v>
      </c>
      <c r="F1397" s="8" t="s">
        <v>1501</v>
      </c>
      <c r="G1397" s="8" t="s">
        <v>3363</v>
      </c>
      <c r="H1397" s="8" t="s">
        <v>3363</v>
      </c>
      <c r="I1397" s="8" t="s">
        <v>767</v>
      </c>
      <c r="J1397" s="78" t="s">
        <v>5312</v>
      </c>
      <c r="K1397" s="22">
        <v>0.0</v>
      </c>
      <c r="L1397" s="22">
        <f>+SUMIF('حركه المخزن الرئيسي اليوميه'!$F:$F,$H:$H,'حركه المخزن الرئيسي اليوميه'!$H:$H)</f>
        <v>0.0</v>
      </c>
      <c r="M1397" s="22">
        <f>+SUMIF('حركه المخزن الرئيسي اليوميه'!$F:$F,$H:$H,'حركه المخزن الرئيسي اليوميه'!$I:$I)</f>
        <v>0.0</v>
      </c>
      <c r="N1397" s="22">
        <f>+K1397+L1397-M1397</f>
        <v>0.0</v>
      </c>
      <c r="O1397" s="22">
        <f>+N1397</f>
        <v>0.0</v>
      </c>
      <c r="P1397" s="22">
        <f>+N1397-O1397</f>
        <v>0.0</v>
      </c>
      <c r="Q1397" s="57"/>
      <c r="R1397" s="58"/>
    </row>
    <row r="1398" spans="8:8" ht="15.0" customHeight="1">
      <c r="B1398" s="54">
        <v>1535.0</v>
      </c>
      <c r="C1398" s="8" t="s">
        <v>8351</v>
      </c>
      <c r="D1398" s="8" t="s">
        <v>765</v>
      </c>
      <c r="E1398" s="8" t="s">
        <v>3366</v>
      </c>
      <c r="F1398" s="8" t="s">
        <v>873</v>
      </c>
      <c r="G1398" s="8" t="s">
        <v>3366</v>
      </c>
      <c r="H1398" s="8" t="s">
        <v>3366</v>
      </c>
      <c r="I1398" s="8"/>
      <c r="J1398" s="78" t="s">
        <v>5313</v>
      </c>
      <c r="K1398" s="22">
        <v>0.0</v>
      </c>
      <c r="L1398" s="22">
        <f>+SUMIF('حركه المخزن الرئيسي اليوميه'!$F:$F,$H:$H,'حركه المخزن الرئيسي اليوميه'!$H:$H)</f>
        <v>0.0</v>
      </c>
      <c r="M1398" s="22">
        <f>+SUMIF('حركه المخزن الرئيسي اليوميه'!$F:$F,$H:$H,'حركه المخزن الرئيسي اليوميه'!$I:$I)</f>
        <v>0.0</v>
      </c>
      <c r="N1398" s="22">
        <f>+K1398+L1398-M1398</f>
        <v>0.0</v>
      </c>
      <c r="O1398" s="22">
        <f>+N1398</f>
        <v>0.0</v>
      </c>
      <c r="P1398" s="22">
        <f>+N1398-O1398</f>
        <v>0.0</v>
      </c>
      <c r="Q1398" s="57"/>
      <c r="R1398" s="58"/>
    </row>
    <row r="1399" spans="8:8" ht="15.0" customHeight="1">
      <c r="B1399" s="54">
        <v>1536.0</v>
      </c>
      <c r="C1399" s="8" t="s">
        <v>8351</v>
      </c>
      <c r="D1399" s="8" t="s">
        <v>765</v>
      </c>
      <c r="E1399" s="8" t="s">
        <v>3367</v>
      </c>
      <c r="F1399" s="8" t="s">
        <v>1501</v>
      </c>
      <c r="G1399" s="8" t="s">
        <v>3367</v>
      </c>
      <c r="H1399" s="8" t="s">
        <v>3367</v>
      </c>
      <c r="I1399" s="8"/>
      <c r="J1399" s="78" t="s">
        <v>5314</v>
      </c>
      <c r="K1399" s="22">
        <v>0.0</v>
      </c>
      <c r="L1399" s="22">
        <f>+SUMIF('حركه المخزن الرئيسي اليوميه'!$F:$F,$H:$H,'حركه المخزن الرئيسي اليوميه'!$H:$H)</f>
        <v>0.0</v>
      </c>
      <c r="M1399" s="22">
        <f>+SUMIF('حركه المخزن الرئيسي اليوميه'!$F:$F,$H:$H,'حركه المخزن الرئيسي اليوميه'!$I:$I)</f>
        <v>0.0</v>
      </c>
      <c r="N1399" s="22">
        <f>+K1399+L1399-M1399</f>
        <v>0.0</v>
      </c>
      <c r="O1399" s="22">
        <f>+N1399</f>
        <v>0.0</v>
      </c>
      <c r="P1399" s="22">
        <f>+N1399-O1399</f>
        <v>0.0</v>
      </c>
      <c r="Q1399" s="57"/>
      <c r="R1399" s="58"/>
    </row>
    <row r="1400" spans="8:8" ht="15.0" customHeight="1">
      <c r="B1400" s="54">
        <v>1537.0</v>
      </c>
      <c r="C1400" s="8" t="s">
        <v>8351</v>
      </c>
      <c r="D1400" s="8" t="s">
        <v>765</v>
      </c>
      <c r="E1400" s="8" t="s">
        <v>3371</v>
      </c>
      <c r="F1400" s="8" t="s">
        <v>1501</v>
      </c>
      <c r="G1400" s="8" t="s">
        <v>3371</v>
      </c>
      <c r="H1400" s="8" t="s">
        <v>3371</v>
      </c>
      <c r="I1400" s="8"/>
      <c r="J1400" s="78" t="s">
        <v>5315</v>
      </c>
      <c r="K1400" s="22">
        <v>0.0</v>
      </c>
      <c r="L1400" s="22">
        <f>+SUMIF('حركه المخزن الرئيسي اليوميه'!$F:$F,$H:$H,'حركه المخزن الرئيسي اليوميه'!$H:$H)</f>
        <v>0.0</v>
      </c>
      <c r="M1400" s="22">
        <f>+SUMIF('حركه المخزن الرئيسي اليوميه'!$F:$F,$H:$H,'حركه المخزن الرئيسي اليوميه'!$I:$I)</f>
        <v>0.0</v>
      </c>
      <c r="N1400" s="22">
        <f>+K1400+L1400-M1400</f>
        <v>0.0</v>
      </c>
      <c r="O1400" s="22">
        <f>+N1400</f>
        <v>0.0</v>
      </c>
      <c r="P1400" s="22">
        <f>+N1400-O1400</f>
        <v>0.0</v>
      </c>
      <c r="Q1400" s="57"/>
      <c r="R1400" s="58"/>
    </row>
    <row r="1401" spans="8:8" ht="15.0" customHeight="1">
      <c r="B1401" s="54">
        <v>1538.0</v>
      </c>
      <c r="C1401" s="8" t="s">
        <v>8351</v>
      </c>
      <c r="D1401" s="8" t="s">
        <v>765</v>
      </c>
      <c r="E1401" s="8" t="s">
        <v>3372</v>
      </c>
      <c r="F1401" s="8" t="s">
        <v>1501</v>
      </c>
      <c r="G1401" s="8" t="s">
        <v>3372</v>
      </c>
      <c r="H1401" s="8" t="s">
        <v>3372</v>
      </c>
      <c r="I1401" s="8"/>
      <c r="J1401" s="78" t="s">
        <v>5316</v>
      </c>
      <c r="K1401" s="22">
        <v>0.0</v>
      </c>
      <c r="L1401" s="22">
        <f>+SUMIF('حركه المخزن الرئيسي اليوميه'!$F:$F,$H:$H,'حركه المخزن الرئيسي اليوميه'!$H:$H)</f>
        <v>0.0</v>
      </c>
      <c r="M1401" s="22">
        <f>+SUMIF('حركه المخزن الرئيسي اليوميه'!$F:$F,$H:$H,'حركه المخزن الرئيسي اليوميه'!$I:$I)</f>
        <v>0.0</v>
      </c>
      <c r="N1401" s="22">
        <f>+K1401+L1401-M1401</f>
        <v>0.0</v>
      </c>
      <c r="O1401" s="22">
        <f>+N1401</f>
        <v>0.0</v>
      </c>
      <c r="P1401" s="22">
        <f>+N1401-O1401</f>
        <v>0.0</v>
      </c>
      <c r="Q1401" s="57"/>
      <c r="R1401" s="58"/>
    </row>
    <row r="1402" spans="8:8" ht="15.0" customHeight="1">
      <c r="B1402" s="54">
        <v>1539.0</v>
      </c>
      <c r="C1402" s="8" t="s">
        <v>8351</v>
      </c>
      <c r="D1402" s="8" t="s">
        <v>765</v>
      </c>
      <c r="E1402" s="8" t="s">
        <v>329</v>
      </c>
      <c r="F1402" s="8" t="s">
        <v>1501</v>
      </c>
      <c r="G1402" s="8"/>
      <c r="H1402" s="8" t="s">
        <v>343</v>
      </c>
      <c r="I1402" s="8" t="s">
        <v>335</v>
      </c>
      <c r="J1402" s="78" t="s">
        <v>5317</v>
      </c>
      <c r="K1402" s="22">
        <v>3.0</v>
      </c>
      <c r="L1402" s="22">
        <f>+SUMIF('حركه المخزن الرئيسي اليوميه'!$F:$F,$H:$H,'حركه المخزن الرئيسي اليوميه'!$H:$H)</f>
        <v>0.0</v>
      </c>
      <c r="M1402" s="22">
        <f>+SUMIF('حركه المخزن الرئيسي اليوميه'!$F:$F,$H:$H,'حركه المخزن الرئيسي اليوميه'!$I:$I)</f>
        <v>0.0</v>
      </c>
      <c r="N1402" s="22">
        <f>+K1402+L1402-M1402</f>
        <v>3.0</v>
      </c>
      <c r="O1402" s="22">
        <f>+N1402</f>
        <v>3.0</v>
      </c>
      <c r="P1402" s="22">
        <f>+N1402-O1402</f>
        <v>0.0</v>
      </c>
      <c r="Q1402" s="57"/>
      <c r="R1402" s="58"/>
    </row>
    <row r="1403" spans="8:8" ht="15.0" customHeight="1">
      <c r="B1403" s="54">
        <v>1540.0</v>
      </c>
      <c r="C1403" s="8" t="s">
        <v>8351</v>
      </c>
      <c r="D1403" s="8" t="s">
        <v>765</v>
      </c>
      <c r="E1403" s="8" t="s">
        <v>3374</v>
      </c>
      <c r="F1403" s="8" t="s">
        <v>1501</v>
      </c>
      <c r="G1403" s="8" t="s">
        <v>3374</v>
      </c>
      <c r="H1403" s="8" t="s">
        <v>3374</v>
      </c>
      <c r="I1403" s="8"/>
      <c r="J1403" s="78" t="s">
        <v>5318</v>
      </c>
      <c r="K1403" s="22">
        <v>0.0</v>
      </c>
      <c r="L1403" s="22">
        <f>+SUMIF('حركه المخزن الرئيسي اليوميه'!$F:$F,$H:$H,'حركه المخزن الرئيسي اليوميه'!$H:$H)</f>
        <v>0.0</v>
      </c>
      <c r="M1403" s="22">
        <f>+SUMIF('حركه المخزن الرئيسي اليوميه'!$F:$F,$H:$H,'حركه المخزن الرئيسي اليوميه'!$I:$I)</f>
        <v>0.0</v>
      </c>
      <c r="N1403" s="22">
        <f>+K1403+L1403-M1403</f>
        <v>0.0</v>
      </c>
      <c r="O1403" s="22">
        <f>+N1403</f>
        <v>0.0</v>
      </c>
      <c r="P1403" s="22">
        <f>+N1403-O1403</f>
        <v>0.0</v>
      </c>
      <c r="Q1403" s="57"/>
      <c r="R1403" s="58"/>
    </row>
    <row r="1404" spans="8:8" ht="15.0" customHeight="1">
      <c r="B1404" s="54">
        <v>1541.0</v>
      </c>
      <c r="C1404" s="8" t="s">
        <v>8351</v>
      </c>
      <c r="D1404" s="8" t="s">
        <v>765</v>
      </c>
      <c r="E1404" s="8" t="s">
        <v>3796</v>
      </c>
      <c r="F1404" s="8" t="s">
        <v>1501</v>
      </c>
      <c r="G1404" s="8" t="s">
        <v>3375</v>
      </c>
      <c r="H1404" s="8" t="s">
        <v>3796</v>
      </c>
      <c r="I1404" s="8" t="s">
        <v>294</v>
      </c>
      <c r="J1404" s="78" t="s">
        <v>5319</v>
      </c>
      <c r="K1404" s="22">
        <v>11.0</v>
      </c>
      <c r="L1404" s="22">
        <f>+SUMIF('حركه المخزن الرئيسي اليوميه'!$F:$F,$H:$H,'حركه المخزن الرئيسي اليوميه'!$H:$H)</f>
        <v>0.0</v>
      </c>
      <c r="M1404" s="22">
        <f>+SUMIF('حركه المخزن الرئيسي اليوميه'!$F:$F,$H:$H,'حركه المخزن الرئيسي اليوميه'!$I:$I)</f>
        <v>0.0</v>
      </c>
      <c r="N1404" s="22">
        <f>+K1404+L1404-M1404</f>
        <v>11.0</v>
      </c>
      <c r="O1404" s="22">
        <f>+N1404</f>
        <v>11.0</v>
      </c>
      <c r="P1404" s="22">
        <f>+N1404-O1404</f>
        <v>0.0</v>
      </c>
      <c r="Q1404" s="57"/>
      <c r="R1404" s="58"/>
    </row>
    <row r="1405" spans="8:8" ht="15.0" customHeight="1">
      <c r="B1405" s="54">
        <v>1542.0</v>
      </c>
      <c r="C1405" s="8" t="s">
        <v>8351</v>
      </c>
      <c r="D1405" s="8" t="s">
        <v>765</v>
      </c>
      <c r="E1405" s="8" t="s">
        <v>3560</v>
      </c>
      <c r="F1405" s="8" t="s">
        <v>1501</v>
      </c>
      <c r="G1405" s="8" t="s">
        <v>3377</v>
      </c>
      <c r="H1405" s="8" t="s">
        <v>3560</v>
      </c>
      <c r="I1405" s="8"/>
      <c r="J1405" s="78" t="s">
        <v>5320</v>
      </c>
      <c r="K1405" s="22">
        <v>0.0</v>
      </c>
      <c r="L1405" s="22">
        <f>+SUMIF('حركه المخزن الرئيسي اليوميه'!$F:$F,$H:$H,'حركه المخزن الرئيسي اليوميه'!$H:$H)</f>
        <v>0.0</v>
      </c>
      <c r="M1405" s="22">
        <f>+SUMIF('حركه المخزن الرئيسي اليوميه'!$F:$F,$H:$H,'حركه المخزن الرئيسي اليوميه'!$I:$I)</f>
        <v>0.0</v>
      </c>
      <c r="N1405" s="22">
        <f>+K1405+L1405-M1405</f>
        <v>0.0</v>
      </c>
      <c r="O1405" s="22">
        <f>+N1405</f>
        <v>0.0</v>
      </c>
      <c r="P1405" s="22">
        <f>+N1405-O1405</f>
        <v>0.0</v>
      </c>
      <c r="Q1405" s="57"/>
      <c r="R1405" s="58"/>
    </row>
    <row r="1406" spans="8:8" ht="15.0" customHeight="1">
      <c r="B1406" s="54">
        <v>1544.0</v>
      </c>
      <c r="C1406" s="8" t="s">
        <v>8351</v>
      </c>
      <c r="D1406" s="8" t="s">
        <v>765</v>
      </c>
      <c r="E1406" s="8" t="s">
        <v>1055</v>
      </c>
      <c r="F1406" s="8" t="s">
        <v>1501</v>
      </c>
      <c r="G1406" s="8" t="s">
        <v>1859</v>
      </c>
      <c r="H1406" s="8" t="s">
        <v>3505</v>
      </c>
      <c r="I1406" s="55" t="s">
        <v>2908</v>
      </c>
      <c r="J1406" s="78" t="s">
        <v>5321</v>
      </c>
      <c r="K1406" s="22">
        <v>0.0</v>
      </c>
      <c r="L1406" s="22">
        <f>+SUMIF('حركه المخزن الرئيسي اليوميه'!$F:$F,$H:$H,'حركه المخزن الرئيسي اليوميه'!$H:$H)</f>
        <v>0.0</v>
      </c>
      <c r="M1406" s="22">
        <f>+SUMIF('حركه المخزن الرئيسي اليوميه'!$F:$F,$H:$H,'حركه المخزن الرئيسي اليوميه'!$I:$I)</f>
        <v>0.0</v>
      </c>
      <c r="N1406" s="22">
        <f>+K1406+L1406-M1406</f>
        <v>0.0</v>
      </c>
      <c r="O1406" s="22">
        <f>+N1406</f>
        <v>0.0</v>
      </c>
      <c r="P1406" s="22">
        <f>+N1406-O1406</f>
        <v>0.0</v>
      </c>
      <c r="Q1406" s="57"/>
      <c r="R1406" s="58"/>
    </row>
    <row r="1407" spans="8:8" ht="15.0" customHeight="1">
      <c r="B1407" s="54">
        <v>1545.0</v>
      </c>
      <c r="C1407" s="8" t="s">
        <v>8351</v>
      </c>
      <c r="D1407" s="8" t="s">
        <v>1018</v>
      </c>
      <c r="E1407" s="8" t="s">
        <v>3380</v>
      </c>
      <c r="F1407" s="8" t="s">
        <v>389</v>
      </c>
      <c r="G1407" s="8"/>
      <c r="H1407" s="8" t="s">
        <v>3380</v>
      </c>
      <c r="I1407" s="8" t="s">
        <v>818</v>
      </c>
      <c r="J1407" s="78" t="s">
        <v>5322</v>
      </c>
      <c r="K1407" s="22">
        <v>0.0</v>
      </c>
      <c r="L1407" s="22">
        <f>+SUMIF('حركه المخزن الرئيسي اليوميه'!$F:$F,$H:$H,'حركه المخزن الرئيسي اليوميه'!$H:$H)</f>
        <v>0.0</v>
      </c>
      <c r="M1407" s="22">
        <f>+SUMIF('حركه المخزن الرئيسي اليوميه'!$F:$F,$H:$H,'حركه المخزن الرئيسي اليوميه'!$I:$I)</f>
        <v>0.0</v>
      </c>
      <c r="N1407" s="22">
        <f>+K1407+L1407-M1407</f>
        <v>0.0</v>
      </c>
      <c r="O1407" s="22">
        <f>+N1407</f>
        <v>0.0</v>
      </c>
      <c r="P1407" s="22">
        <f>+N1407-O1407</f>
        <v>0.0</v>
      </c>
      <c r="Q1407" s="57"/>
      <c r="R1407" s="58"/>
    </row>
    <row r="1408" spans="8:8" ht="15.0" customHeight="1">
      <c r="B1408" s="54">
        <v>1546.0</v>
      </c>
      <c r="C1408" s="8" t="s">
        <v>8351</v>
      </c>
      <c r="D1408" s="8" t="s">
        <v>765</v>
      </c>
      <c r="E1408" s="8" t="s">
        <v>3381</v>
      </c>
      <c r="F1408" s="8" t="s">
        <v>3382</v>
      </c>
      <c r="G1408" s="8"/>
      <c r="H1408" s="8" t="s">
        <v>3381</v>
      </c>
      <c r="I1408" s="8" t="s">
        <v>818</v>
      </c>
      <c r="J1408" s="78" t="s">
        <v>5323</v>
      </c>
      <c r="K1408" s="22">
        <v>0.0</v>
      </c>
      <c r="L1408" s="22">
        <f>+SUMIF('حركه المخزن الرئيسي اليوميه'!$F:$F,$H:$H,'حركه المخزن الرئيسي اليوميه'!$H:$H)</f>
        <v>0.0</v>
      </c>
      <c r="M1408" s="22">
        <f>+SUMIF('حركه المخزن الرئيسي اليوميه'!$F:$F,$H:$H,'حركه المخزن الرئيسي اليوميه'!$I:$I)</f>
        <v>0.0</v>
      </c>
      <c r="N1408" s="22">
        <f>+K1408+L1408-M1408</f>
        <v>0.0</v>
      </c>
      <c r="O1408" s="22">
        <f>+N1408</f>
        <v>0.0</v>
      </c>
      <c r="P1408" s="22">
        <f>+N1408-O1408</f>
        <v>0.0</v>
      </c>
      <c r="Q1408" s="57"/>
      <c r="R1408" s="58"/>
    </row>
    <row r="1409" spans="8:8" ht="15.0" customHeight="1">
      <c r="B1409" s="54">
        <v>1547.0</v>
      </c>
      <c r="C1409" s="8" t="s">
        <v>8351</v>
      </c>
      <c r="D1409" s="8" t="s">
        <v>765</v>
      </c>
      <c r="E1409" s="8" t="s">
        <v>3383</v>
      </c>
      <c r="F1409" s="8" t="s">
        <v>1501</v>
      </c>
      <c r="G1409" s="8"/>
      <c r="H1409" s="8" t="s">
        <v>3384</v>
      </c>
      <c r="I1409" s="8" t="s">
        <v>818</v>
      </c>
      <c r="J1409" s="78" t="s">
        <v>5324</v>
      </c>
      <c r="K1409" s="22">
        <v>2.0</v>
      </c>
      <c r="L1409" s="22">
        <f>+SUMIF('حركه المخزن الرئيسي اليوميه'!$F:$F,$H:$H,'حركه المخزن الرئيسي اليوميه'!$H:$H)</f>
        <v>0.0</v>
      </c>
      <c r="M1409" s="22">
        <f>+SUMIF('حركه المخزن الرئيسي اليوميه'!$F:$F,$H:$H,'حركه المخزن الرئيسي اليوميه'!$I:$I)</f>
        <v>0.0</v>
      </c>
      <c r="N1409" s="22">
        <f>+K1409+L1409-M1409</f>
        <v>2.0</v>
      </c>
      <c r="O1409" s="22">
        <f>+N1409</f>
        <v>2.0</v>
      </c>
      <c r="P1409" s="22">
        <f>+N1409-O1409</f>
        <v>0.0</v>
      </c>
      <c r="Q1409" s="57"/>
      <c r="R1409" s="58"/>
    </row>
    <row r="1410" spans="8:8" ht="15.0" customHeight="1">
      <c r="B1410" s="54">
        <v>1549.0</v>
      </c>
      <c r="C1410" s="8" t="s">
        <v>8351</v>
      </c>
      <c r="D1410" s="8" t="s">
        <v>765</v>
      </c>
      <c r="E1410" s="8" t="s">
        <v>3390</v>
      </c>
      <c r="F1410" s="8" t="s">
        <v>1501</v>
      </c>
      <c r="G1410" s="8"/>
      <c r="H1410" s="8" t="s">
        <v>3390</v>
      </c>
      <c r="I1410" s="8" t="s">
        <v>335</v>
      </c>
      <c r="J1410" s="78" t="s">
        <v>5325</v>
      </c>
      <c r="K1410" s="22">
        <v>1.0</v>
      </c>
      <c r="L1410" s="22">
        <f>+SUMIF('حركه المخزن الرئيسي اليوميه'!$F:$F,$H:$H,'حركه المخزن الرئيسي اليوميه'!$H:$H)</f>
        <v>0.0</v>
      </c>
      <c r="M1410" s="22">
        <f>+SUMIF('حركه المخزن الرئيسي اليوميه'!$F:$F,$H:$H,'حركه المخزن الرئيسي اليوميه'!$I:$I)</f>
        <v>0.0</v>
      </c>
      <c r="N1410" s="22">
        <f>+K1410+L1410-M1410</f>
        <v>1.0</v>
      </c>
      <c r="O1410" s="22">
        <f>+N1410</f>
        <v>1.0</v>
      </c>
      <c r="P1410" s="22">
        <f>+N1410-O1410</f>
        <v>0.0</v>
      </c>
      <c r="Q1410" s="57"/>
      <c r="R1410" s="58"/>
    </row>
    <row r="1411" spans="8:8" ht="15.0" customHeight="1">
      <c r="B1411" s="54">
        <v>1550.0</v>
      </c>
      <c r="C1411" s="8" t="s">
        <v>8351</v>
      </c>
      <c r="D1411" s="8" t="s">
        <v>765</v>
      </c>
      <c r="E1411" s="8" t="s">
        <v>3603</v>
      </c>
      <c r="F1411" s="8" t="s">
        <v>1573</v>
      </c>
      <c r="G1411" s="8"/>
      <c r="H1411" s="8" t="s">
        <v>3603</v>
      </c>
      <c r="I1411" s="8" t="s">
        <v>335</v>
      </c>
      <c r="J1411" s="78" t="s">
        <v>5326</v>
      </c>
      <c r="K1411" s="22">
        <v>0.0</v>
      </c>
      <c r="L1411" s="22">
        <f>+SUMIF('حركه المخزن الرئيسي اليوميه'!$F:$F,$H:$H,'حركه المخزن الرئيسي اليوميه'!$H:$H)</f>
        <v>0.0</v>
      </c>
      <c r="M1411" s="22">
        <f>+SUMIF('حركه المخزن الرئيسي اليوميه'!$F:$F,$H:$H,'حركه المخزن الرئيسي اليوميه'!$I:$I)</f>
        <v>0.0</v>
      </c>
      <c r="N1411" s="22">
        <f>+K1411+L1411-M1411</f>
        <v>0.0</v>
      </c>
      <c r="O1411" s="22">
        <f>+N1411</f>
        <v>0.0</v>
      </c>
      <c r="P1411" s="22">
        <f>+N1411-O1411</f>
        <v>0.0</v>
      </c>
      <c r="Q1411" s="57"/>
      <c r="R1411" s="58"/>
    </row>
    <row r="1412" spans="8:8" ht="15.0" customHeight="1">
      <c r="B1412" s="54">
        <v>1551.0</v>
      </c>
      <c r="C1412" s="8" t="s">
        <v>8351</v>
      </c>
      <c r="D1412" s="8" t="s">
        <v>765</v>
      </c>
      <c r="E1412" s="8" t="s">
        <v>3387</v>
      </c>
      <c r="F1412" s="8" t="s">
        <v>1501</v>
      </c>
      <c r="G1412" s="8"/>
      <c r="H1412" s="8" t="s">
        <v>3387</v>
      </c>
      <c r="I1412" s="8" t="s">
        <v>818</v>
      </c>
      <c r="J1412" s="78" t="s">
        <v>5327</v>
      </c>
      <c r="K1412" s="22">
        <v>0.0</v>
      </c>
      <c r="L1412" s="22">
        <f>+SUMIF('حركه المخزن الرئيسي اليوميه'!$F:$F,$H:$H,'حركه المخزن الرئيسي اليوميه'!$H:$H)</f>
        <v>0.0</v>
      </c>
      <c r="M1412" s="22">
        <f>+SUMIF('حركه المخزن الرئيسي اليوميه'!$F:$F,$H:$H,'حركه المخزن الرئيسي اليوميه'!$I:$I)</f>
        <v>0.0</v>
      </c>
      <c r="N1412" s="22">
        <f>+K1412+L1412-M1412</f>
        <v>0.0</v>
      </c>
      <c r="O1412" s="22">
        <f>+N1412</f>
        <v>0.0</v>
      </c>
      <c r="P1412" s="22">
        <f>+N1412-O1412</f>
        <v>0.0</v>
      </c>
      <c r="Q1412" s="57"/>
      <c r="R1412" s="58"/>
    </row>
    <row r="1413" spans="8:8" ht="15.0" customHeight="1">
      <c r="B1413" s="54">
        <v>1552.0</v>
      </c>
      <c r="C1413" s="8" t="s">
        <v>8351</v>
      </c>
      <c r="D1413" s="8" t="s">
        <v>765</v>
      </c>
      <c r="E1413" s="8" t="s">
        <v>3388</v>
      </c>
      <c r="F1413" s="8" t="s">
        <v>1501</v>
      </c>
      <c r="G1413" s="8"/>
      <c r="H1413" s="8" t="s">
        <v>3388</v>
      </c>
      <c r="I1413" s="8" t="s">
        <v>818</v>
      </c>
      <c r="J1413" s="78" t="s">
        <v>5328</v>
      </c>
      <c r="K1413" s="22">
        <v>0.0</v>
      </c>
      <c r="L1413" s="22">
        <f>+SUMIF('حركه المخزن الرئيسي اليوميه'!$F:$F,$H:$H,'حركه المخزن الرئيسي اليوميه'!$H:$H)</f>
        <v>0.0</v>
      </c>
      <c r="M1413" s="22">
        <f>+SUMIF('حركه المخزن الرئيسي اليوميه'!$F:$F,$H:$H,'حركه المخزن الرئيسي اليوميه'!$I:$I)</f>
        <v>0.0</v>
      </c>
      <c r="N1413" s="22">
        <f>+K1413+L1413-M1413</f>
        <v>0.0</v>
      </c>
      <c r="O1413" s="22">
        <f>+N1413</f>
        <v>0.0</v>
      </c>
      <c r="P1413" s="22">
        <f>+N1413-O1413</f>
        <v>0.0</v>
      </c>
      <c r="Q1413" s="57"/>
      <c r="R1413" s="58"/>
    </row>
    <row r="1414" spans="8:8" ht="15.0" customHeight="1">
      <c r="B1414" s="54">
        <v>1553.0</v>
      </c>
      <c r="C1414" s="8" t="s">
        <v>8351</v>
      </c>
      <c r="D1414" s="8" t="s">
        <v>1018</v>
      </c>
      <c r="E1414" s="8" t="s">
        <v>3576</v>
      </c>
      <c r="F1414" s="8" t="s">
        <v>1586</v>
      </c>
      <c r="G1414" s="8"/>
      <c r="H1414" s="8" t="s">
        <v>3576</v>
      </c>
      <c r="I1414" s="8" t="s">
        <v>224</v>
      </c>
      <c r="J1414" s="78" t="s">
        <v>5329</v>
      </c>
      <c r="K1414" s="22">
        <v>48.0</v>
      </c>
      <c r="L1414" s="22">
        <f>+SUMIF('حركه المخزن الرئيسي اليوميه'!$F:$F,$H:$H,'حركه المخزن الرئيسي اليوميه'!$H:$H)</f>
        <v>0.0</v>
      </c>
      <c r="M1414" s="22">
        <f>+SUMIF('حركه المخزن الرئيسي اليوميه'!$F:$F,$H:$H,'حركه المخزن الرئيسي اليوميه'!$I:$I)</f>
        <v>5.0</v>
      </c>
      <c r="N1414" s="22">
        <f>+K1414+L1414-M1414</f>
        <v>43.0</v>
      </c>
      <c r="O1414" s="22">
        <f>+N1414</f>
        <v>43.0</v>
      </c>
      <c r="P1414" s="22">
        <f>+N1414-O1414</f>
        <v>0.0</v>
      </c>
      <c r="Q1414" s="57"/>
      <c r="R1414" s="58"/>
    </row>
    <row r="1415" spans="8:8" ht="15.0" customHeight="1">
      <c r="B1415" s="54">
        <v>1555.0</v>
      </c>
      <c r="C1415" s="8" t="s">
        <v>8351</v>
      </c>
      <c r="D1415" s="8" t="s">
        <v>1018</v>
      </c>
      <c r="E1415" s="8" t="s">
        <v>3396</v>
      </c>
      <c r="F1415" s="8" t="s">
        <v>1501</v>
      </c>
      <c r="G1415" s="8"/>
      <c r="H1415" s="8" t="s">
        <v>3396</v>
      </c>
      <c r="I1415" s="8" t="s">
        <v>224</v>
      </c>
      <c r="J1415" s="78" t="s">
        <v>5330</v>
      </c>
      <c r="K1415" s="22">
        <v>0.0</v>
      </c>
      <c r="L1415" s="22">
        <f>+SUMIF('حركه المخزن الرئيسي اليوميه'!$F:$F,$H:$H,'حركه المخزن الرئيسي اليوميه'!$H:$H)</f>
        <v>0.0</v>
      </c>
      <c r="M1415" s="22">
        <f>+SUMIF('حركه المخزن الرئيسي اليوميه'!$F:$F,$H:$H,'حركه المخزن الرئيسي اليوميه'!$I:$I)</f>
        <v>0.0</v>
      </c>
      <c r="N1415" s="22">
        <f>+K1415+L1415-M1415</f>
        <v>0.0</v>
      </c>
      <c r="O1415" s="22">
        <f>+N1415</f>
        <v>0.0</v>
      </c>
      <c r="P1415" s="22">
        <f>+N1415-O1415</f>
        <v>0.0</v>
      </c>
      <c r="Q1415" s="57"/>
      <c r="R1415" s="58"/>
    </row>
    <row r="1416" spans="8:8" ht="15.0" customHeight="1">
      <c r="B1416" s="54">
        <v>1556.0</v>
      </c>
      <c r="C1416" s="8" t="s">
        <v>8351</v>
      </c>
      <c r="D1416" s="8" t="s">
        <v>765</v>
      </c>
      <c r="E1416" s="8" t="s">
        <v>3398</v>
      </c>
      <c r="F1416" s="8" t="s">
        <v>125</v>
      </c>
      <c r="G1416" s="8"/>
      <c r="H1416" s="8" t="s">
        <v>3398</v>
      </c>
      <c r="I1416" s="8" t="s">
        <v>1132</v>
      </c>
      <c r="J1416" s="78" t="s">
        <v>5331</v>
      </c>
      <c r="K1416" s="22">
        <v>1.0</v>
      </c>
      <c r="L1416" s="22">
        <f>+SUMIF('حركه المخزن الرئيسي اليوميه'!$F:$F,$H:$H,'حركه المخزن الرئيسي اليوميه'!$H:$H)</f>
        <v>0.0</v>
      </c>
      <c r="M1416" s="22">
        <f>+SUMIF('حركه المخزن الرئيسي اليوميه'!$F:$F,$H:$H,'حركه المخزن الرئيسي اليوميه'!$I:$I)</f>
        <v>0.0</v>
      </c>
      <c r="N1416" s="22">
        <f>+K1416+L1416-M1416</f>
        <v>1.0</v>
      </c>
      <c r="O1416" s="22">
        <f>+N1416</f>
        <v>1.0</v>
      </c>
      <c r="P1416" s="22">
        <f>+N1416-O1416</f>
        <v>0.0</v>
      </c>
      <c r="Q1416" s="57"/>
      <c r="R1416" s="58"/>
    </row>
    <row r="1417" spans="8:8" ht="15.0" customHeight="1">
      <c r="B1417" s="54">
        <v>1557.0</v>
      </c>
      <c r="C1417" s="8" t="s">
        <v>8351</v>
      </c>
      <c r="D1417" s="8" t="s">
        <v>765</v>
      </c>
      <c r="E1417" s="8" t="s">
        <v>3399</v>
      </c>
      <c r="F1417" s="8" t="s">
        <v>125</v>
      </c>
      <c r="G1417" s="8"/>
      <c r="H1417" s="8" t="s">
        <v>3399</v>
      </c>
      <c r="I1417" s="8" t="s">
        <v>767</v>
      </c>
      <c r="J1417" s="78" t="s">
        <v>5332</v>
      </c>
      <c r="K1417" s="22">
        <v>0.0</v>
      </c>
      <c r="L1417" s="22">
        <f>+SUMIF('حركه المخزن الرئيسي اليوميه'!$F:$F,$H:$H,'حركه المخزن الرئيسي اليوميه'!$H:$H)</f>
        <v>0.0</v>
      </c>
      <c r="M1417" s="22">
        <f>+SUMIF('حركه المخزن الرئيسي اليوميه'!$F:$F,$H:$H,'حركه المخزن الرئيسي اليوميه'!$I:$I)</f>
        <v>0.0</v>
      </c>
      <c r="N1417" s="22">
        <f>+K1417+L1417-M1417</f>
        <v>0.0</v>
      </c>
      <c r="O1417" s="22">
        <f>+N1417</f>
        <v>0.0</v>
      </c>
      <c r="P1417" s="22">
        <f>+N1417-O1417</f>
        <v>0.0</v>
      </c>
      <c r="Q1417" s="57"/>
      <c r="R1417" s="58"/>
    </row>
    <row r="1418" spans="8:8" ht="15.0" customHeight="1">
      <c r="B1418" s="54">
        <v>1558.0</v>
      </c>
      <c r="C1418" s="8" t="s">
        <v>8351</v>
      </c>
      <c r="D1418" s="8" t="s">
        <v>765</v>
      </c>
      <c r="E1418" s="8" t="s">
        <v>3400</v>
      </c>
      <c r="F1418" s="8" t="s">
        <v>1501</v>
      </c>
      <c r="G1418" s="8"/>
      <c r="H1418" s="8" t="s">
        <v>3406</v>
      </c>
      <c r="I1418" s="8" t="s">
        <v>818</v>
      </c>
      <c r="J1418" s="78" t="s">
        <v>5333</v>
      </c>
      <c r="K1418" s="22">
        <v>0.0</v>
      </c>
      <c r="L1418" s="22">
        <f>+SUMIF('حركه المخزن الرئيسي اليوميه'!$F:$F,$H:$H,'حركه المخزن الرئيسي اليوميه'!$H:$H)</f>
        <v>0.0</v>
      </c>
      <c r="M1418" s="22">
        <f>+SUMIF('حركه المخزن الرئيسي اليوميه'!$F:$F,$H:$H,'حركه المخزن الرئيسي اليوميه'!$I:$I)</f>
        <v>0.0</v>
      </c>
      <c r="N1418" s="22">
        <f>+K1418+L1418-M1418</f>
        <v>0.0</v>
      </c>
      <c r="O1418" s="22">
        <f>+N1418</f>
        <v>0.0</v>
      </c>
      <c r="P1418" s="22">
        <f>+N1418-O1418</f>
        <v>0.0</v>
      </c>
      <c r="Q1418" s="57"/>
      <c r="R1418" s="58"/>
    </row>
    <row r="1419" spans="8:8" ht="15.0" customHeight="1">
      <c r="B1419" s="54">
        <v>1559.0</v>
      </c>
      <c r="C1419" s="8" t="s">
        <v>8351</v>
      </c>
      <c r="D1419" s="8" t="s">
        <v>765</v>
      </c>
      <c r="E1419" s="8" t="s">
        <v>3401</v>
      </c>
      <c r="F1419" s="8" t="s">
        <v>1501</v>
      </c>
      <c r="G1419" s="8"/>
      <c r="H1419" s="8" t="s">
        <v>3407</v>
      </c>
      <c r="I1419" s="8" t="s">
        <v>818</v>
      </c>
      <c r="J1419" s="78" t="s">
        <v>5334</v>
      </c>
      <c r="K1419" s="22">
        <v>0.0</v>
      </c>
      <c r="L1419" s="22">
        <f>+SUMIF('حركه المخزن الرئيسي اليوميه'!$F:$F,$H:$H,'حركه المخزن الرئيسي اليوميه'!$H:$H)</f>
        <v>0.0</v>
      </c>
      <c r="M1419" s="22">
        <f>+SUMIF('حركه المخزن الرئيسي اليوميه'!$F:$F,$H:$H,'حركه المخزن الرئيسي اليوميه'!$I:$I)</f>
        <v>0.0</v>
      </c>
      <c r="N1419" s="22">
        <f>+K1419+L1419-M1419</f>
        <v>0.0</v>
      </c>
      <c r="O1419" s="22">
        <f>+N1419</f>
        <v>0.0</v>
      </c>
      <c r="P1419" s="22">
        <f>+N1419-O1419</f>
        <v>0.0</v>
      </c>
      <c r="Q1419" s="57"/>
      <c r="R1419" s="58"/>
    </row>
    <row r="1420" spans="8:8" ht="15.0" customHeight="1">
      <c r="B1420" s="54">
        <v>1560.0</v>
      </c>
      <c r="C1420" s="8" t="s">
        <v>8351</v>
      </c>
      <c r="D1420" s="8" t="s">
        <v>765</v>
      </c>
      <c r="E1420" s="8" t="s">
        <v>3402</v>
      </c>
      <c r="F1420" s="8" t="s">
        <v>1501</v>
      </c>
      <c r="G1420" s="8"/>
      <c r="H1420" s="8" t="s">
        <v>3402</v>
      </c>
      <c r="I1420" s="8" t="s">
        <v>8096</v>
      </c>
      <c r="J1420" s="78" t="s">
        <v>5335</v>
      </c>
      <c r="K1420" s="22">
        <v>2.0</v>
      </c>
      <c r="L1420" s="22">
        <f>+SUMIF('حركه المخزن الرئيسي اليوميه'!$F:$F,$H:$H,'حركه المخزن الرئيسي اليوميه'!$H:$H)</f>
        <v>0.0</v>
      </c>
      <c r="M1420" s="22">
        <f>+SUMIF('حركه المخزن الرئيسي اليوميه'!$F:$F,$H:$H,'حركه المخزن الرئيسي اليوميه'!$I:$I)</f>
        <v>0.0</v>
      </c>
      <c r="N1420" s="22">
        <f>+K1420+L1420-M1420</f>
        <v>2.0</v>
      </c>
      <c r="O1420" s="22">
        <f>+N1420</f>
        <v>2.0</v>
      </c>
      <c r="P1420" s="22">
        <f>+N1420-O1420</f>
        <v>0.0</v>
      </c>
      <c r="Q1420" s="57"/>
      <c r="R1420" s="58"/>
    </row>
    <row r="1421" spans="8:8" ht="15.0" customHeight="1">
      <c r="B1421" s="54">
        <v>1561.0</v>
      </c>
      <c r="C1421" s="8" t="s">
        <v>8351</v>
      </c>
      <c r="D1421" s="8" t="s">
        <v>765</v>
      </c>
      <c r="E1421" s="8" t="s">
        <v>3404</v>
      </c>
      <c r="F1421" s="8" t="s">
        <v>1586</v>
      </c>
      <c r="G1421" s="8"/>
      <c r="H1421" s="8" t="s">
        <v>3404</v>
      </c>
      <c r="I1421" s="8" t="s">
        <v>818</v>
      </c>
      <c r="J1421" s="78" t="s">
        <v>5336</v>
      </c>
      <c r="K1421" s="22">
        <v>0.0</v>
      </c>
      <c r="L1421" s="22">
        <f>+SUMIF('حركه المخزن الرئيسي اليوميه'!$F:$F,$H:$H,'حركه المخزن الرئيسي اليوميه'!$H:$H)</f>
        <v>0.0</v>
      </c>
      <c r="M1421" s="22">
        <f>+SUMIF('حركه المخزن الرئيسي اليوميه'!$F:$F,$H:$H,'حركه المخزن الرئيسي اليوميه'!$I:$I)</f>
        <v>0.0</v>
      </c>
      <c r="N1421" s="22">
        <f>+K1421+L1421-M1421</f>
        <v>0.0</v>
      </c>
      <c r="O1421" s="22">
        <f>+N1421</f>
        <v>0.0</v>
      </c>
      <c r="P1421" s="22">
        <f>+N1421-O1421</f>
        <v>0.0</v>
      </c>
      <c r="Q1421" s="57"/>
      <c r="R1421" s="58"/>
    </row>
    <row r="1422" spans="8:8" ht="15.0" customHeight="1">
      <c r="B1422" s="54">
        <v>1562.0</v>
      </c>
      <c r="C1422" s="8" t="s">
        <v>8351</v>
      </c>
      <c r="D1422" s="8" t="s">
        <v>765</v>
      </c>
      <c r="E1422" s="8" t="s">
        <v>3409</v>
      </c>
      <c r="F1422" s="8" t="s">
        <v>1501</v>
      </c>
      <c r="G1422" s="8"/>
      <c r="H1422" s="8" t="s">
        <v>3409</v>
      </c>
      <c r="I1422" s="8" t="s">
        <v>818</v>
      </c>
      <c r="J1422" s="78" t="s">
        <v>5337</v>
      </c>
      <c r="K1422" s="22">
        <v>0.0</v>
      </c>
      <c r="L1422" s="22">
        <f>+SUMIF('حركه المخزن الرئيسي اليوميه'!$F:$F,$H:$H,'حركه المخزن الرئيسي اليوميه'!$H:$H)</f>
        <v>0.0</v>
      </c>
      <c r="M1422" s="22">
        <f>+SUMIF('حركه المخزن الرئيسي اليوميه'!$F:$F,$H:$H,'حركه المخزن الرئيسي اليوميه'!$I:$I)</f>
        <v>0.0</v>
      </c>
      <c r="N1422" s="22">
        <f>+K1422+L1422-M1422</f>
        <v>0.0</v>
      </c>
      <c r="O1422" s="22">
        <f>+N1422</f>
        <v>0.0</v>
      </c>
      <c r="P1422" s="22">
        <f>+N1422-O1422</f>
        <v>0.0</v>
      </c>
      <c r="Q1422" s="57"/>
      <c r="R1422" s="58"/>
    </row>
    <row r="1423" spans="8:8" ht="15.0" customHeight="1">
      <c r="B1423" s="54">
        <v>1563.0</v>
      </c>
      <c r="C1423" s="8" t="s">
        <v>8351</v>
      </c>
      <c r="D1423" s="8" t="s">
        <v>765</v>
      </c>
      <c r="E1423" s="8" t="s">
        <v>3410</v>
      </c>
      <c r="F1423" s="8" t="s">
        <v>67</v>
      </c>
      <c r="G1423" s="8"/>
      <c r="H1423" s="8" t="s">
        <v>3410</v>
      </c>
      <c r="I1423" s="8" t="s">
        <v>767</v>
      </c>
      <c r="J1423" s="78" t="s">
        <v>5338</v>
      </c>
      <c r="K1423" s="22">
        <v>0.0</v>
      </c>
      <c r="L1423" s="22">
        <f>+SUMIF('حركه المخزن الرئيسي اليوميه'!$F:$F,$H:$H,'حركه المخزن الرئيسي اليوميه'!$H:$H)</f>
        <v>0.0</v>
      </c>
      <c r="M1423" s="22">
        <f>+SUMIF('حركه المخزن الرئيسي اليوميه'!$F:$F,$H:$H,'حركه المخزن الرئيسي اليوميه'!$I:$I)</f>
        <v>0.0</v>
      </c>
      <c r="N1423" s="22">
        <f>+K1423+L1423-M1423</f>
        <v>0.0</v>
      </c>
      <c r="O1423" s="22">
        <f>+N1423</f>
        <v>0.0</v>
      </c>
      <c r="P1423" s="22">
        <f>+N1423-O1423</f>
        <v>0.0</v>
      </c>
      <c r="Q1423" s="57"/>
      <c r="R1423" s="58"/>
    </row>
    <row r="1424" spans="8:8" ht="15.0" customHeight="1">
      <c r="B1424" s="54">
        <v>1564.0</v>
      </c>
      <c r="C1424" s="8" t="s">
        <v>8351</v>
      </c>
      <c r="D1424" s="8" t="s">
        <v>1018</v>
      </c>
      <c r="E1424" s="8" t="s">
        <v>3418</v>
      </c>
      <c r="F1424" s="8" t="s">
        <v>1501</v>
      </c>
      <c r="G1424" s="8"/>
      <c r="H1424" s="8" t="s">
        <v>3418</v>
      </c>
      <c r="I1424" s="8"/>
      <c r="J1424" s="78" t="s">
        <v>5339</v>
      </c>
      <c r="K1424" s="22">
        <v>0.0</v>
      </c>
      <c r="L1424" s="22">
        <f>+SUMIF('حركه المخزن الرئيسي اليوميه'!$F:$F,$H:$H,'حركه المخزن الرئيسي اليوميه'!$H:$H)</f>
        <v>0.0</v>
      </c>
      <c r="M1424" s="22">
        <f>+SUMIF('حركه المخزن الرئيسي اليوميه'!$F:$F,$H:$H,'حركه المخزن الرئيسي اليوميه'!$I:$I)</f>
        <v>0.0</v>
      </c>
      <c r="N1424" s="22">
        <f>+K1424+L1424-M1424</f>
        <v>0.0</v>
      </c>
      <c r="O1424" s="22">
        <f>+N1424</f>
        <v>0.0</v>
      </c>
      <c r="P1424" s="22">
        <f>+N1424-O1424</f>
        <v>0.0</v>
      </c>
      <c r="Q1424" s="57"/>
      <c r="R1424" s="58"/>
    </row>
    <row r="1425" spans="8:8" ht="15.0" customHeight="1">
      <c r="B1425" s="54">
        <v>1565.0</v>
      </c>
      <c r="C1425" s="8" t="s">
        <v>8351</v>
      </c>
      <c r="D1425" s="8" t="s">
        <v>765</v>
      </c>
      <c r="E1425" s="8"/>
      <c r="F1425" s="8"/>
      <c r="G1425" s="8"/>
      <c r="H1425" s="8"/>
      <c r="I1425" s="57"/>
      <c r="J1425" s="78" t="s">
        <v>5340</v>
      </c>
      <c r="K1425" s="22">
        <v>0.0</v>
      </c>
      <c r="L1425" s="22">
        <f>+SUMIF('حركه المخزن الرئيسي اليوميه'!$F:$F,$H:$H,'حركه المخزن الرئيسي اليوميه'!$H:$H)</f>
        <v>0.0</v>
      </c>
      <c r="M1425" s="22">
        <f>+SUMIF('حركه المخزن الرئيسي اليوميه'!$F:$F,$H:$H,'حركه المخزن الرئيسي اليوميه'!$I:$I)</f>
        <v>0.0</v>
      </c>
      <c r="N1425" s="22">
        <f>+K1425+L1425-M1425</f>
        <v>0.0</v>
      </c>
      <c r="O1425" s="22">
        <f>+N1425</f>
        <v>0.0</v>
      </c>
      <c r="P1425" s="22">
        <f>+N1425-O1425</f>
        <v>0.0</v>
      </c>
      <c r="Q1425" s="57"/>
      <c r="R1425" s="58"/>
    </row>
    <row r="1426" spans="8:8" ht="15.0" customHeight="1">
      <c r="B1426" s="54">
        <v>1566.0</v>
      </c>
      <c r="C1426" s="8" t="s">
        <v>8351</v>
      </c>
      <c r="D1426" s="8" t="s">
        <v>765</v>
      </c>
      <c r="E1426" s="8"/>
      <c r="F1426" s="8"/>
      <c r="G1426" s="8"/>
      <c r="H1426" s="8"/>
      <c r="I1426" s="57"/>
      <c r="J1426" s="78" t="s">
        <v>5341</v>
      </c>
      <c r="K1426" s="22">
        <v>0.0</v>
      </c>
      <c r="L1426" s="22">
        <f>+SUMIF('حركه المخزن الرئيسي اليوميه'!$F:$F,$H:$H,'حركه المخزن الرئيسي اليوميه'!$H:$H)</f>
        <v>0.0</v>
      </c>
      <c r="M1426" s="22">
        <f>+SUMIF('حركه المخزن الرئيسي اليوميه'!$F:$F,$H:$H,'حركه المخزن الرئيسي اليوميه'!$I:$I)</f>
        <v>0.0</v>
      </c>
      <c r="N1426" s="22">
        <f>+K1426+L1426-M1426</f>
        <v>0.0</v>
      </c>
      <c r="O1426" s="22">
        <f>+N1426</f>
        <v>0.0</v>
      </c>
      <c r="P1426" s="22">
        <f>+N1426-O1426</f>
        <v>0.0</v>
      </c>
      <c r="Q1426" s="57"/>
      <c r="R1426" s="58"/>
    </row>
    <row r="1427" spans="8:8" ht="15.0" customHeight="1">
      <c r="B1427" s="54">
        <v>1567.0</v>
      </c>
      <c r="C1427" s="8" t="s">
        <v>8351</v>
      </c>
      <c r="D1427" s="8" t="s">
        <v>1018</v>
      </c>
      <c r="E1427" s="8" t="s">
        <v>3413</v>
      </c>
      <c r="F1427" s="8" t="s">
        <v>1501</v>
      </c>
      <c r="G1427" s="8"/>
      <c r="H1427" s="8" t="s">
        <v>3413</v>
      </c>
      <c r="I1427" s="8" t="s">
        <v>818</v>
      </c>
      <c r="J1427" s="78" t="s">
        <v>5342</v>
      </c>
      <c r="K1427" s="22">
        <v>0.0</v>
      </c>
      <c r="L1427" s="22">
        <f>+SUMIF('حركه المخزن الرئيسي اليوميه'!$F:$F,$H:$H,'حركه المخزن الرئيسي اليوميه'!$H:$H)</f>
        <v>0.0</v>
      </c>
      <c r="M1427" s="22">
        <f>+SUMIF('حركه المخزن الرئيسي اليوميه'!$F:$F,$H:$H,'حركه المخزن الرئيسي اليوميه'!$I:$I)</f>
        <v>0.0</v>
      </c>
      <c r="N1427" s="22">
        <f>+K1427+L1427-M1427</f>
        <v>0.0</v>
      </c>
      <c r="O1427" s="22">
        <f>+N1427</f>
        <v>0.0</v>
      </c>
      <c r="P1427" s="22">
        <f>+N1427-O1427</f>
        <v>0.0</v>
      </c>
      <c r="Q1427" s="57"/>
      <c r="R1427" s="58"/>
    </row>
    <row r="1428" spans="8:8" ht="15.0" customHeight="1">
      <c r="B1428" s="54">
        <v>1568.0</v>
      </c>
      <c r="C1428" s="8" t="s">
        <v>8351</v>
      </c>
      <c r="D1428" s="8" t="s">
        <v>765</v>
      </c>
      <c r="E1428" s="8" t="s">
        <v>3414</v>
      </c>
      <c r="F1428" s="8" t="s">
        <v>1501</v>
      </c>
      <c r="G1428" s="8"/>
      <c r="H1428" s="8" t="s">
        <v>3414</v>
      </c>
      <c r="I1428" s="8" t="s">
        <v>818</v>
      </c>
      <c r="J1428" s="78" t="s">
        <v>5343</v>
      </c>
      <c r="K1428" s="22">
        <v>0.0</v>
      </c>
      <c r="L1428" s="22">
        <f>+SUMIF('حركه المخزن الرئيسي اليوميه'!$F:$F,$H:$H,'حركه المخزن الرئيسي اليوميه'!$H:$H)</f>
        <v>0.0</v>
      </c>
      <c r="M1428" s="22">
        <f>+SUMIF('حركه المخزن الرئيسي اليوميه'!$F:$F,$H:$H,'حركه المخزن الرئيسي اليوميه'!$I:$I)</f>
        <v>0.0</v>
      </c>
      <c r="N1428" s="22">
        <f>+K1428+L1428-M1428</f>
        <v>0.0</v>
      </c>
      <c r="O1428" s="22">
        <f>+N1428</f>
        <v>0.0</v>
      </c>
      <c r="P1428" s="22">
        <f>+N1428-O1428</f>
        <v>0.0</v>
      </c>
      <c r="Q1428" s="57"/>
      <c r="R1428" s="58"/>
    </row>
    <row r="1429" spans="8:8" ht="15.0" customHeight="1">
      <c r="B1429" s="54">
        <v>1569.0</v>
      </c>
      <c r="C1429" s="8" t="s">
        <v>8351</v>
      </c>
      <c r="D1429" s="8" t="s">
        <v>765</v>
      </c>
      <c r="E1429" s="8" t="s">
        <v>3415</v>
      </c>
      <c r="F1429" s="8" t="s">
        <v>1501</v>
      </c>
      <c r="G1429" s="8"/>
      <c r="H1429" s="8" t="s">
        <v>3415</v>
      </c>
      <c r="I1429" s="8" t="s">
        <v>818</v>
      </c>
      <c r="J1429" s="78" t="s">
        <v>5344</v>
      </c>
      <c r="K1429" s="22">
        <v>0.0</v>
      </c>
      <c r="L1429" s="22">
        <f>+SUMIF('حركه المخزن الرئيسي اليوميه'!$F:$F,$H:$H,'حركه المخزن الرئيسي اليوميه'!$H:$H)</f>
        <v>0.0</v>
      </c>
      <c r="M1429" s="22">
        <f>+SUMIF('حركه المخزن الرئيسي اليوميه'!$F:$F,$H:$H,'حركه المخزن الرئيسي اليوميه'!$I:$I)</f>
        <v>0.0</v>
      </c>
      <c r="N1429" s="22">
        <f>+K1429+L1429-M1429</f>
        <v>0.0</v>
      </c>
      <c r="O1429" s="22">
        <f>+N1429</f>
        <v>0.0</v>
      </c>
      <c r="P1429" s="22">
        <f>+N1429-O1429</f>
        <v>0.0</v>
      </c>
      <c r="Q1429" s="57"/>
      <c r="R1429" s="58"/>
    </row>
    <row r="1430" spans="8:8" ht="15.0" customHeight="1">
      <c r="B1430" s="54">
        <v>1570.0</v>
      </c>
      <c r="C1430" s="8" t="s">
        <v>8351</v>
      </c>
      <c r="D1430" s="8" t="s">
        <v>765</v>
      </c>
      <c r="E1430" s="8" t="s">
        <v>3416</v>
      </c>
      <c r="F1430" s="8" t="s">
        <v>1501</v>
      </c>
      <c r="G1430" s="8"/>
      <c r="H1430" s="8" t="s">
        <v>3416</v>
      </c>
      <c r="I1430" s="8" t="s">
        <v>818</v>
      </c>
      <c r="J1430" s="78" t="s">
        <v>5345</v>
      </c>
      <c r="K1430" s="22">
        <v>0.0</v>
      </c>
      <c r="L1430" s="22">
        <f>+SUMIF('حركه المخزن الرئيسي اليوميه'!$F:$F,$H:$H,'حركه المخزن الرئيسي اليوميه'!$H:$H)</f>
        <v>0.0</v>
      </c>
      <c r="M1430" s="22">
        <f>+SUMIF('حركه المخزن الرئيسي اليوميه'!$F:$F,$H:$H,'حركه المخزن الرئيسي اليوميه'!$I:$I)</f>
        <v>0.0</v>
      </c>
      <c r="N1430" s="22">
        <f>+K1430+L1430-M1430</f>
        <v>0.0</v>
      </c>
      <c r="O1430" s="22">
        <f>+N1430</f>
        <v>0.0</v>
      </c>
      <c r="P1430" s="22">
        <f>+N1430-O1430</f>
        <v>0.0</v>
      </c>
      <c r="Q1430" s="57"/>
      <c r="R1430" s="58"/>
    </row>
    <row r="1431" spans="8:8" ht="15.0" customHeight="1">
      <c r="B1431" s="54">
        <v>1571.0</v>
      </c>
      <c r="C1431" s="8" t="s">
        <v>8351</v>
      </c>
      <c r="D1431" s="8" t="s">
        <v>765</v>
      </c>
      <c r="E1431" s="8" t="s">
        <v>3417</v>
      </c>
      <c r="F1431" s="8" t="s">
        <v>1501</v>
      </c>
      <c r="G1431" s="8"/>
      <c r="H1431" s="8" t="s">
        <v>3417</v>
      </c>
      <c r="I1431" s="8" t="s">
        <v>818</v>
      </c>
      <c r="J1431" s="78" t="s">
        <v>5346</v>
      </c>
      <c r="K1431" s="22">
        <v>0.0</v>
      </c>
      <c r="L1431" s="22">
        <f>+SUMIF('حركه المخزن الرئيسي اليوميه'!$F:$F,$H:$H,'حركه المخزن الرئيسي اليوميه'!$H:$H)</f>
        <v>0.0</v>
      </c>
      <c r="M1431" s="22">
        <f>+SUMIF('حركه المخزن الرئيسي اليوميه'!$F:$F,$H:$H,'حركه المخزن الرئيسي اليوميه'!$I:$I)</f>
        <v>0.0</v>
      </c>
      <c r="N1431" s="22">
        <f>+K1431+L1431-M1431</f>
        <v>0.0</v>
      </c>
      <c r="O1431" s="22">
        <f>+N1431</f>
        <v>0.0</v>
      </c>
      <c r="P1431" s="22">
        <f>+N1431-O1431</f>
        <v>0.0</v>
      </c>
      <c r="Q1431" s="57"/>
      <c r="R1431" s="58"/>
    </row>
    <row r="1432" spans="8:8" ht="15.0" customHeight="1">
      <c r="B1432" s="54">
        <v>1572.0</v>
      </c>
      <c r="C1432" s="8" t="s">
        <v>8351</v>
      </c>
      <c r="D1432" s="8" t="s">
        <v>765</v>
      </c>
      <c r="E1432" s="8" t="s">
        <v>3419</v>
      </c>
      <c r="F1432" s="8" t="s">
        <v>1501</v>
      </c>
      <c r="G1432" s="8"/>
      <c r="H1432" s="8" t="s">
        <v>3419</v>
      </c>
      <c r="I1432" s="8" t="s">
        <v>767</v>
      </c>
      <c r="J1432" s="78" t="s">
        <v>5347</v>
      </c>
      <c r="K1432" s="22">
        <v>0.0</v>
      </c>
      <c r="L1432" s="22">
        <f>+SUMIF('حركه المخزن الرئيسي اليوميه'!$F:$F,$H:$H,'حركه المخزن الرئيسي اليوميه'!$H:$H)</f>
        <v>0.0</v>
      </c>
      <c r="M1432" s="22">
        <f>+SUMIF('حركه المخزن الرئيسي اليوميه'!$F:$F,$H:$H,'حركه المخزن الرئيسي اليوميه'!$I:$I)</f>
        <v>0.0</v>
      </c>
      <c r="N1432" s="22">
        <f>+K1432+L1432-M1432</f>
        <v>0.0</v>
      </c>
      <c r="O1432" s="22">
        <f>+N1432</f>
        <v>0.0</v>
      </c>
      <c r="P1432" s="22">
        <f>+N1432-O1432</f>
        <v>0.0</v>
      </c>
      <c r="Q1432" s="57"/>
      <c r="R1432" s="58"/>
    </row>
    <row r="1433" spans="8:8" ht="15.0" customHeight="1">
      <c r="B1433" s="54">
        <v>1573.0</v>
      </c>
      <c r="C1433" s="8" t="s">
        <v>8351</v>
      </c>
      <c r="D1433" s="8" t="s">
        <v>765</v>
      </c>
      <c r="E1433" s="8" t="s">
        <v>3423</v>
      </c>
      <c r="F1433" s="8" t="s">
        <v>3421</v>
      </c>
      <c r="G1433" s="8"/>
      <c r="H1433" s="8" t="s">
        <v>3423</v>
      </c>
      <c r="I1433" s="8" t="s">
        <v>3422</v>
      </c>
      <c r="J1433" s="78" t="s">
        <v>5348</v>
      </c>
      <c r="K1433" s="22">
        <v>0.0</v>
      </c>
      <c r="L1433" s="22">
        <f>+SUMIF('حركه المخزن الرئيسي اليوميه'!$F:$F,$H:$H,'حركه المخزن الرئيسي اليوميه'!$H:$H)</f>
        <v>0.0</v>
      </c>
      <c r="M1433" s="22">
        <f>+SUMIF('حركه المخزن الرئيسي اليوميه'!$F:$F,$H:$H,'حركه المخزن الرئيسي اليوميه'!$I:$I)</f>
        <v>0.0</v>
      </c>
      <c r="N1433" s="22">
        <f>+K1433+L1433-M1433</f>
        <v>0.0</v>
      </c>
      <c r="O1433" s="22">
        <f>+N1433</f>
        <v>0.0</v>
      </c>
      <c r="P1433" s="22">
        <f>+N1433-O1433</f>
        <v>0.0</v>
      </c>
      <c r="Q1433" s="57"/>
      <c r="R1433" s="58"/>
    </row>
    <row r="1434" spans="8:8" ht="15.0" customHeight="1">
      <c r="B1434" s="54">
        <v>1574.0</v>
      </c>
      <c r="C1434" s="8" t="s">
        <v>8351</v>
      </c>
      <c r="D1434" s="8" t="s">
        <v>765</v>
      </c>
      <c r="E1434" s="8" t="s">
        <v>3424</v>
      </c>
      <c r="F1434" s="8" t="s">
        <v>1501</v>
      </c>
      <c r="G1434" s="8"/>
      <c r="H1434" s="8" t="s">
        <v>3424</v>
      </c>
      <c r="I1434" s="8" t="s">
        <v>818</v>
      </c>
      <c r="J1434" s="78" t="s">
        <v>5349</v>
      </c>
      <c r="K1434" s="22">
        <v>0.0</v>
      </c>
      <c r="L1434" s="22">
        <f>+SUMIF('حركه المخزن الرئيسي اليوميه'!$F:$F,$H:$H,'حركه المخزن الرئيسي اليوميه'!$H:$H)</f>
        <v>0.0</v>
      </c>
      <c r="M1434" s="22">
        <f>+SUMIF('حركه المخزن الرئيسي اليوميه'!$F:$F,$H:$H,'حركه المخزن الرئيسي اليوميه'!$I:$I)</f>
        <v>0.0</v>
      </c>
      <c r="N1434" s="22">
        <f>+K1434+L1434-M1434</f>
        <v>0.0</v>
      </c>
      <c r="O1434" s="22">
        <f>+N1434</f>
        <v>0.0</v>
      </c>
      <c r="P1434" s="22">
        <f>+N1434-O1434</f>
        <v>0.0</v>
      </c>
      <c r="Q1434" s="57"/>
      <c r="R1434" s="58"/>
    </row>
    <row r="1435" spans="8:8" ht="15.0" customHeight="1">
      <c r="B1435" s="54">
        <v>1575.0</v>
      </c>
      <c r="C1435" s="8" t="s">
        <v>8351</v>
      </c>
      <c r="D1435" s="8" t="s">
        <v>765</v>
      </c>
      <c r="E1435" s="8" t="s">
        <v>3424</v>
      </c>
      <c r="F1435" s="8" t="s">
        <v>1501</v>
      </c>
      <c r="G1435" s="8"/>
      <c r="H1435" s="8" t="s">
        <v>3427</v>
      </c>
      <c r="I1435" s="8" t="s">
        <v>767</v>
      </c>
      <c r="J1435" s="78" t="s">
        <v>5350</v>
      </c>
      <c r="K1435" s="22">
        <v>0.0</v>
      </c>
      <c r="L1435" s="22">
        <f>+SUMIF('حركه المخزن الرئيسي اليوميه'!$F:$F,$H:$H,'حركه المخزن الرئيسي اليوميه'!$H:$H)</f>
        <v>0.0</v>
      </c>
      <c r="M1435" s="22">
        <f>+SUMIF('حركه المخزن الرئيسي اليوميه'!$F:$F,$H:$H,'حركه المخزن الرئيسي اليوميه'!$I:$I)</f>
        <v>0.0</v>
      </c>
      <c r="N1435" s="22">
        <f>+K1435+L1435-M1435</f>
        <v>0.0</v>
      </c>
      <c r="O1435" s="22">
        <f>+N1435</f>
        <v>0.0</v>
      </c>
      <c r="P1435" s="22">
        <f>+N1435-O1435</f>
        <v>0.0</v>
      </c>
      <c r="Q1435" s="57"/>
      <c r="R1435" s="58"/>
    </row>
    <row r="1436" spans="8:8" ht="15.0" customHeight="1">
      <c r="B1436" s="54">
        <v>1576.0</v>
      </c>
      <c r="C1436" s="8" t="s">
        <v>8351</v>
      </c>
      <c r="D1436" s="8" t="s">
        <v>765</v>
      </c>
      <c r="E1436" s="8" t="s">
        <v>3428</v>
      </c>
      <c r="F1436" s="8" t="s">
        <v>1501</v>
      </c>
      <c r="G1436" s="8"/>
      <c r="H1436" s="8" t="s">
        <v>3428</v>
      </c>
      <c r="I1436" s="8" t="s">
        <v>818</v>
      </c>
      <c r="J1436" s="78" t="s">
        <v>5351</v>
      </c>
      <c r="K1436" s="22">
        <v>0.0</v>
      </c>
      <c r="L1436" s="22">
        <f>+SUMIF('حركه المخزن الرئيسي اليوميه'!$F:$F,$H:$H,'حركه المخزن الرئيسي اليوميه'!$H:$H)</f>
        <v>0.0</v>
      </c>
      <c r="M1436" s="22">
        <f>+SUMIF('حركه المخزن الرئيسي اليوميه'!$F:$F,$H:$H,'حركه المخزن الرئيسي اليوميه'!$I:$I)</f>
        <v>0.0</v>
      </c>
      <c r="N1436" s="22">
        <f>+K1436+L1436-M1436</f>
        <v>0.0</v>
      </c>
      <c r="O1436" s="22">
        <f>+N1436</f>
        <v>0.0</v>
      </c>
      <c r="P1436" s="22">
        <f>+N1436-O1436</f>
        <v>0.0</v>
      </c>
      <c r="Q1436" s="57"/>
      <c r="R1436" s="58"/>
    </row>
    <row r="1437" spans="8:8" ht="15.0" customHeight="1">
      <c r="B1437" s="54">
        <v>1577.0</v>
      </c>
      <c r="C1437" s="8" t="s">
        <v>8351</v>
      </c>
      <c r="D1437" s="8" t="s">
        <v>765</v>
      </c>
      <c r="E1437" s="8" t="s">
        <v>3429</v>
      </c>
      <c r="F1437" s="8" t="s">
        <v>3430</v>
      </c>
      <c r="G1437" s="8"/>
      <c r="H1437" s="8" t="s">
        <v>3429</v>
      </c>
      <c r="I1437" s="8" t="s">
        <v>818</v>
      </c>
      <c r="J1437" s="78" t="s">
        <v>5352</v>
      </c>
      <c r="K1437" s="22">
        <v>0.0</v>
      </c>
      <c r="L1437" s="22">
        <f>+SUMIF('حركه المخزن الرئيسي اليوميه'!$F:$F,$H:$H,'حركه المخزن الرئيسي اليوميه'!$H:$H)</f>
        <v>0.0</v>
      </c>
      <c r="M1437" s="22">
        <f>+SUMIF('حركه المخزن الرئيسي اليوميه'!$F:$F,$H:$H,'حركه المخزن الرئيسي اليوميه'!$I:$I)</f>
        <v>0.0</v>
      </c>
      <c r="N1437" s="22">
        <f>+K1437+L1437-M1437</f>
        <v>0.0</v>
      </c>
      <c r="O1437" s="22">
        <f>+N1437</f>
        <v>0.0</v>
      </c>
      <c r="P1437" s="22">
        <f>+N1437-O1437</f>
        <v>0.0</v>
      </c>
      <c r="Q1437" s="57"/>
      <c r="R1437" s="58"/>
    </row>
    <row r="1438" spans="8:8" ht="15.0" customHeight="1">
      <c r="B1438" s="54">
        <v>1578.0</v>
      </c>
      <c r="C1438" s="8" t="s">
        <v>8351</v>
      </c>
      <c r="D1438" s="8" t="s">
        <v>765</v>
      </c>
      <c r="E1438" s="8" t="s">
        <v>3431</v>
      </c>
      <c r="F1438" s="8" t="s">
        <v>3430</v>
      </c>
      <c r="G1438" s="8"/>
      <c r="H1438" s="8" t="s">
        <v>3431</v>
      </c>
      <c r="I1438" s="8" t="s">
        <v>818</v>
      </c>
      <c r="J1438" s="78" t="s">
        <v>5353</v>
      </c>
      <c r="K1438" s="22">
        <v>0.0</v>
      </c>
      <c r="L1438" s="22">
        <f>+SUMIF('حركه المخزن الرئيسي اليوميه'!$F:$F,$H:$H,'حركه المخزن الرئيسي اليوميه'!$H:$H)</f>
        <v>0.0</v>
      </c>
      <c r="M1438" s="22">
        <f>+SUMIF('حركه المخزن الرئيسي اليوميه'!$F:$F,$H:$H,'حركه المخزن الرئيسي اليوميه'!$I:$I)</f>
        <v>0.0</v>
      </c>
      <c r="N1438" s="22">
        <f>+K1438+L1438-M1438</f>
        <v>0.0</v>
      </c>
      <c r="O1438" s="22">
        <f>+N1438</f>
        <v>0.0</v>
      </c>
      <c r="P1438" s="22">
        <f>+N1438-O1438</f>
        <v>0.0</v>
      </c>
      <c r="Q1438" s="57"/>
      <c r="R1438" s="58"/>
    </row>
    <row r="1439" spans="8:8" ht="15.0" customHeight="1">
      <c r="B1439" s="54">
        <v>1579.0</v>
      </c>
      <c r="C1439" s="8" t="s">
        <v>8351</v>
      </c>
      <c r="D1439" s="8" t="s">
        <v>765</v>
      </c>
      <c r="E1439" s="8" t="s">
        <v>3539</v>
      </c>
      <c r="F1439" s="8" t="s">
        <v>1501</v>
      </c>
      <c r="G1439" s="8"/>
      <c r="H1439" s="8" t="s">
        <v>3540</v>
      </c>
      <c r="I1439" s="8" t="s">
        <v>254</v>
      </c>
      <c r="J1439" s="78" t="s">
        <v>5354</v>
      </c>
      <c r="K1439" s="22">
        <v>2.0</v>
      </c>
      <c r="L1439" s="22">
        <f>+SUMIF('حركه المخزن الرئيسي اليوميه'!$F:$F,$H:$H,'حركه المخزن الرئيسي اليوميه'!$H:$H)</f>
        <v>0.0</v>
      </c>
      <c r="M1439" s="22">
        <f>+SUMIF('حركه المخزن الرئيسي اليوميه'!$F:$F,$H:$H,'حركه المخزن الرئيسي اليوميه'!$I:$I)</f>
        <v>0.0</v>
      </c>
      <c r="N1439" s="22">
        <f>+K1439+L1439-M1439</f>
        <v>2.0</v>
      </c>
      <c r="O1439" s="22">
        <f>+N1439</f>
        <v>2.0</v>
      </c>
      <c r="P1439" s="22">
        <f>+N1439-O1439</f>
        <v>0.0</v>
      </c>
      <c r="Q1439" s="57"/>
      <c r="R1439" s="58"/>
    </row>
    <row r="1440" spans="8:8" ht="15.0" customHeight="1">
      <c r="B1440" s="54">
        <v>1580.0</v>
      </c>
      <c r="C1440" s="8" t="s">
        <v>8351</v>
      </c>
      <c r="D1440" s="8" t="s">
        <v>765</v>
      </c>
      <c r="E1440" s="8" t="s">
        <v>3434</v>
      </c>
      <c r="F1440" s="8" t="s">
        <v>1573</v>
      </c>
      <c r="G1440" s="8"/>
      <c r="H1440" s="8" t="s">
        <v>3432</v>
      </c>
      <c r="I1440" s="8" t="s">
        <v>818</v>
      </c>
      <c r="J1440" s="78" t="s">
        <v>5355</v>
      </c>
      <c r="K1440" s="22">
        <v>0.0</v>
      </c>
      <c r="L1440" s="22">
        <f>+SUMIF('حركه المخزن الرئيسي اليوميه'!$F:$F,$H:$H,'حركه المخزن الرئيسي اليوميه'!$H:$H)</f>
        <v>0.0</v>
      </c>
      <c r="M1440" s="22">
        <f>+SUMIF('حركه المخزن الرئيسي اليوميه'!$F:$F,$H:$H,'حركه المخزن الرئيسي اليوميه'!$I:$I)</f>
        <v>0.0</v>
      </c>
      <c r="N1440" s="22">
        <f>+K1440+L1440-M1440</f>
        <v>0.0</v>
      </c>
      <c r="O1440" s="22">
        <f>+N1440</f>
        <v>0.0</v>
      </c>
      <c r="P1440" s="22">
        <f>+N1440-O1440</f>
        <v>0.0</v>
      </c>
      <c r="Q1440" s="57"/>
      <c r="R1440" s="58"/>
    </row>
    <row r="1441" spans="8:8" ht="15.0" customHeight="1">
      <c r="B1441" s="54">
        <v>1581.0</v>
      </c>
      <c r="C1441" s="8" t="s">
        <v>8351</v>
      </c>
      <c r="D1441" s="8" t="s">
        <v>765</v>
      </c>
      <c r="E1441" s="8" t="s">
        <v>3433</v>
      </c>
      <c r="F1441" s="8" t="s">
        <v>1501</v>
      </c>
      <c r="G1441" s="8"/>
      <c r="H1441" s="8">
        <v>63062.0</v>
      </c>
      <c r="I1441" s="8" t="s">
        <v>818</v>
      </c>
      <c r="J1441" s="78" t="s">
        <v>5356</v>
      </c>
      <c r="K1441" s="22">
        <v>0.0</v>
      </c>
      <c r="L1441" s="22">
        <f>+SUMIF('حركه المخزن الرئيسي اليوميه'!$F:$F,$H:$H,'حركه المخزن الرئيسي اليوميه'!$H:$H)</f>
        <v>0.0</v>
      </c>
      <c r="M1441" s="22">
        <f>+SUMIF('حركه المخزن الرئيسي اليوميه'!$F:$F,$H:$H,'حركه المخزن الرئيسي اليوميه'!$I:$I)</f>
        <v>0.0</v>
      </c>
      <c r="N1441" s="22">
        <f>+K1441+L1441-M1441</f>
        <v>0.0</v>
      </c>
      <c r="O1441" s="22">
        <f>+N1441</f>
        <v>0.0</v>
      </c>
      <c r="P1441" s="22">
        <f>+N1441-O1441</f>
        <v>0.0</v>
      </c>
      <c r="Q1441" s="57"/>
      <c r="R1441" s="58"/>
    </row>
    <row r="1442" spans="8:8" ht="15.0" customHeight="1">
      <c r="B1442" s="54">
        <v>1582.0</v>
      </c>
      <c r="C1442" s="8" t="s">
        <v>8351</v>
      </c>
      <c r="D1442" s="8" t="s">
        <v>765</v>
      </c>
      <c r="E1442" s="8" t="s">
        <v>3435</v>
      </c>
      <c r="F1442" s="8" t="s">
        <v>1501</v>
      </c>
      <c r="G1442" s="8"/>
      <c r="H1442" s="8" t="s">
        <v>3435</v>
      </c>
      <c r="I1442" s="8" t="s">
        <v>767</v>
      </c>
      <c r="J1442" s="78" t="s">
        <v>5357</v>
      </c>
      <c r="K1442" s="22">
        <v>0.0</v>
      </c>
      <c r="L1442" s="22">
        <f>+SUMIF('حركه المخزن الرئيسي اليوميه'!$F:$F,$H:$H,'حركه المخزن الرئيسي اليوميه'!$H:$H)</f>
        <v>0.0</v>
      </c>
      <c r="M1442" s="22">
        <f>+SUMIF('حركه المخزن الرئيسي اليوميه'!$F:$F,$H:$H,'حركه المخزن الرئيسي اليوميه'!$I:$I)</f>
        <v>0.0</v>
      </c>
      <c r="N1442" s="22">
        <f>+K1442+L1442-M1442</f>
        <v>0.0</v>
      </c>
      <c r="O1442" s="22">
        <f>+N1442</f>
        <v>0.0</v>
      </c>
      <c r="P1442" s="22">
        <f>+N1442-O1442</f>
        <v>0.0</v>
      </c>
      <c r="Q1442" s="57"/>
      <c r="R1442" s="58"/>
    </row>
    <row r="1443" spans="8:8" ht="15.0" customHeight="1">
      <c r="B1443" s="54">
        <v>1583.0</v>
      </c>
      <c r="C1443" s="8" t="s">
        <v>8351</v>
      </c>
      <c r="D1443" s="8" t="s">
        <v>765</v>
      </c>
      <c r="E1443" s="8" t="s">
        <v>3437</v>
      </c>
      <c r="F1443" s="8" t="s">
        <v>1501</v>
      </c>
      <c r="G1443" s="8"/>
      <c r="H1443" s="8" t="s">
        <v>3438</v>
      </c>
      <c r="I1443" s="8" t="s">
        <v>767</v>
      </c>
      <c r="J1443" s="78" t="s">
        <v>5358</v>
      </c>
      <c r="K1443" s="22">
        <v>0.0</v>
      </c>
      <c r="L1443" s="22">
        <f>+SUMIF('حركه المخزن الرئيسي اليوميه'!$F:$F,$H:$H,'حركه المخزن الرئيسي اليوميه'!$H:$H)</f>
        <v>0.0</v>
      </c>
      <c r="M1443" s="22">
        <f>+SUMIF('حركه المخزن الرئيسي اليوميه'!$F:$F,$H:$H,'حركه المخزن الرئيسي اليوميه'!$I:$I)</f>
        <v>0.0</v>
      </c>
      <c r="N1443" s="22">
        <f>+K1443+L1443-M1443</f>
        <v>0.0</v>
      </c>
      <c r="O1443" s="22">
        <f>+N1443</f>
        <v>0.0</v>
      </c>
      <c r="P1443" s="22">
        <f>+N1443-O1443</f>
        <v>0.0</v>
      </c>
      <c r="Q1443" s="57"/>
      <c r="R1443" s="58"/>
    </row>
    <row r="1444" spans="8:8" ht="15.0" customHeight="1">
      <c r="B1444" s="54">
        <v>1584.0</v>
      </c>
      <c r="C1444" s="8" t="s">
        <v>8351</v>
      </c>
      <c r="D1444" s="8" t="s">
        <v>765</v>
      </c>
      <c r="E1444" s="8" t="s">
        <v>3440</v>
      </c>
      <c r="F1444" s="8" t="s">
        <v>1501</v>
      </c>
      <c r="G1444" s="8"/>
      <c r="H1444" s="8" t="s">
        <v>3440</v>
      </c>
      <c r="I1444" s="8" t="s">
        <v>3264</v>
      </c>
      <c r="J1444" s="78" t="s">
        <v>5359</v>
      </c>
      <c r="K1444" s="22">
        <v>0.0</v>
      </c>
      <c r="L1444" s="22">
        <f>+SUMIF('حركه المخزن الرئيسي اليوميه'!$F:$F,$H:$H,'حركه المخزن الرئيسي اليوميه'!$H:$H)</f>
        <v>0.0</v>
      </c>
      <c r="M1444" s="22">
        <f>+SUMIF('حركه المخزن الرئيسي اليوميه'!$F:$F,$H:$H,'حركه المخزن الرئيسي اليوميه'!$I:$I)</f>
        <v>0.0</v>
      </c>
      <c r="N1444" s="22">
        <f>+K1444+L1444-M1444</f>
        <v>0.0</v>
      </c>
      <c r="O1444" s="22">
        <f>+N1444</f>
        <v>0.0</v>
      </c>
      <c r="P1444" s="22">
        <f>+N1444-O1444</f>
        <v>0.0</v>
      </c>
      <c r="Q1444" s="57"/>
      <c r="R1444" s="58"/>
    </row>
    <row r="1445" spans="8:8" ht="15.0" customHeight="1">
      <c r="B1445" s="54">
        <v>1585.0</v>
      </c>
      <c r="C1445" s="8" t="s">
        <v>8351</v>
      </c>
      <c r="D1445" s="8" t="s">
        <v>765</v>
      </c>
      <c r="E1445" s="8" t="s">
        <v>3444</v>
      </c>
      <c r="F1445" s="8" t="s">
        <v>67</v>
      </c>
      <c r="G1445" s="8"/>
      <c r="H1445" s="8" t="s">
        <v>3444</v>
      </c>
      <c r="I1445" s="8" t="s">
        <v>294</v>
      </c>
      <c r="J1445" s="78" t="s">
        <v>5360</v>
      </c>
      <c r="K1445" s="22">
        <v>283.0</v>
      </c>
      <c r="L1445" s="22">
        <f>+SUMIF('حركه المخزن الرئيسي اليوميه'!$F:$F,$H:$H,'حركه المخزن الرئيسي اليوميه'!$H:$H)</f>
        <v>0.0</v>
      </c>
      <c r="M1445" s="22">
        <f>+SUMIF('حركه المخزن الرئيسي اليوميه'!$F:$F,$H:$H,'حركه المخزن الرئيسي اليوميه'!$I:$I)</f>
        <v>1.0</v>
      </c>
      <c r="N1445" s="22">
        <f>+K1445+L1445-M1445</f>
        <v>282.0</v>
      </c>
      <c r="O1445" s="22">
        <f>+N1445</f>
        <v>282.0</v>
      </c>
      <c r="P1445" s="22">
        <f>+N1445-O1445</f>
        <v>0.0</v>
      </c>
      <c r="Q1445" s="57"/>
      <c r="R1445" s="58"/>
    </row>
    <row r="1446" spans="8:8" ht="15.0" customHeight="1">
      <c r="B1446" s="54">
        <v>1586.0</v>
      </c>
      <c r="C1446" s="8" t="s">
        <v>8351</v>
      </c>
      <c r="D1446" s="8" t="s">
        <v>765</v>
      </c>
      <c r="E1446" s="8" t="s">
        <v>3774</v>
      </c>
      <c r="F1446" s="8" t="s">
        <v>1501</v>
      </c>
      <c r="G1446" s="8"/>
      <c r="H1446" s="8" t="s">
        <v>3774</v>
      </c>
      <c r="I1446" s="8" t="s">
        <v>767</v>
      </c>
      <c r="J1446" s="78" t="s">
        <v>5361</v>
      </c>
      <c r="K1446" s="22">
        <v>0.0</v>
      </c>
      <c r="L1446" s="22">
        <f>+SUMIF('حركه المخزن الرئيسي اليوميه'!$F:$F,$H:$H,'حركه المخزن الرئيسي اليوميه'!$H:$H)</f>
        <v>0.0</v>
      </c>
      <c r="M1446" s="22">
        <f>+SUMIF('حركه المخزن الرئيسي اليوميه'!$F:$F,$H:$H,'حركه المخزن الرئيسي اليوميه'!$I:$I)</f>
        <v>0.0</v>
      </c>
      <c r="N1446" s="22">
        <f>+K1446+L1446-M1446</f>
        <v>0.0</v>
      </c>
      <c r="O1446" s="22">
        <f>+N1446</f>
        <v>0.0</v>
      </c>
      <c r="P1446" s="22">
        <f>+N1446-O1446</f>
        <v>0.0</v>
      </c>
      <c r="Q1446" s="57"/>
      <c r="R1446" s="58"/>
    </row>
    <row r="1447" spans="8:8" ht="15.0" customHeight="1">
      <c r="B1447" s="54">
        <v>1587.0</v>
      </c>
      <c r="C1447" s="8" t="s">
        <v>8351</v>
      </c>
      <c r="D1447" s="8" t="s">
        <v>765</v>
      </c>
      <c r="E1447" s="8" t="s">
        <v>3445</v>
      </c>
      <c r="F1447" s="8" t="s">
        <v>1501</v>
      </c>
      <c r="G1447" s="8"/>
      <c r="H1447" s="8" t="s">
        <v>3445</v>
      </c>
      <c r="I1447" s="8" t="s">
        <v>818</v>
      </c>
      <c r="J1447" s="78" t="s">
        <v>5362</v>
      </c>
      <c r="K1447" s="22">
        <v>0.0</v>
      </c>
      <c r="L1447" s="22">
        <f>+SUMIF('حركه المخزن الرئيسي اليوميه'!$F:$F,$H:$H,'حركه المخزن الرئيسي اليوميه'!$H:$H)</f>
        <v>0.0</v>
      </c>
      <c r="M1447" s="22">
        <f>+SUMIF('حركه المخزن الرئيسي اليوميه'!$F:$F,$H:$H,'حركه المخزن الرئيسي اليوميه'!$I:$I)</f>
        <v>0.0</v>
      </c>
      <c r="N1447" s="22">
        <f>+K1447+L1447-M1447</f>
        <v>0.0</v>
      </c>
      <c r="O1447" s="22">
        <f>+N1447</f>
        <v>0.0</v>
      </c>
      <c r="P1447" s="22">
        <f>+N1447-O1447</f>
        <v>0.0</v>
      </c>
      <c r="Q1447" s="57"/>
      <c r="R1447" s="58"/>
    </row>
    <row r="1448" spans="8:8" ht="15.0" customHeight="1">
      <c r="B1448" s="54">
        <v>1588.0</v>
      </c>
      <c r="C1448" s="8" t="s">
        <v>8351</v>
      </c>
      <c r="D1448" s="8" t="s">
        <v>765</v>
      </c>
      <c r="E1448" s="8" t="s">
        <v>3446</v>
      </c>
      <c r="F1448" s="8" t="s">
        <v>1501</v>
      </c>
      <c r="G1448" s="8"/>
      <c r="H1448" s="8" t="s">
        <v>3446</v>
      </c>
      <c r="I1448" s="8" t="s">
        <v>767</v>
      </c>
      <c r="J1448" s="78" t="s">
        <v>5363</v>
      </c>
      <c r="K1448" s="22">
        <v>0.0</v>
      </c>
      <c r="L1448" s="22">
        <f>+SUMIF('حركه المخزن الرئيسي اليوميه'!$F:$F,$H:$H,'حركه المخزن الرئيسي اليوميه'!$H:$H)</f>
        <v>0.0</v>
      </c>
      <c r="M1448" s="22">
        <f>+SUMIF('حركه المخزن الرئيسي اليوميه'!$F:$F,$H:$H,'حركه المخزن الرئيسي اليوميه'!$I:$I)</f>
        <v>0.0</v>
      </c>
      <c r="N1448" s="22">
        <f>+K1448+L1448-M1448</f>
        <v>0.0</v>
      </c>
      <c r="O1448" s="22">
        <f>+N1448</f>
        <v>0.0</v>
      </c>
      <c r="P1448" s="22">
        <f>+N1448-O1448</f>
        <v>0.0</v>
      </c>
      <c r="Q1448" s="57"/>
      <c r="R1448" s="58"/>
    </row>
    <row r="1449" spans="8:8" ht="15.0" customHeight="1">
      <c r="B1449" s="54">
        <v>1589.0</v>
      </c>
      <c r="C1449" s="8" t="s">
        <v>8351</v>
      </c>
      <c r="D1449" s="8" t="s">
        <v>765</v>
      </c>
      <c r="E1449" s="8" t="s">
        <v>3447</v>
      </c>
      <c r="F1449" s="8" t="s">
        <v>1501</v>
      </c>
      <c r="G1449" s="8"/>
      <c r="H1449" s="8" t="s">
        <v>3447</v>
      </c>
      <c r="I1449" s="8" t="s">
        <v>58</v>
      </c>
      <c r="J1449" s="78" t="s">
        <v>5364</v>
      </c>
      <c r="K1449" s="22">
        <v>5.0</v>
      </c>
      <c r="L1449" s="22">
        <f>+SUMIF('حركه المخزن الرئيسي اليوميه'!$F:$F,$H:$H,'حركه المخزن الرئيسي اليوميه'!$H:$H)</f>
        <v>0.0</v>
      </c>
      <c r="M1449" s="22">
        <f>+SUMIF('حركه المخزن الرئيسي اليوميه'!$F:$F,$H:$H,'حركه المخزن الرئيسي اليوميه'!$I:$I)</f>
        <v>0.0</v>
      </c>
      <c r="N1449" s="22">
        <f>+K1449+L1449-M1449</f>
        <v>5.0</v>
      </c>
      <c r="O1449" s="22">
        <f>+N1449</f>
        <v>5.0</v>
      </c>
      <c r="P1449" s="22">
        <f>+N1449-O1449</f>
        <v>0.0</v>
      </c>
      <c r="Q1449" s="57"/>
      <c r="R1449" s="58"/>
    </row>
    <row r="1450" spans="8:8" ht="15.0" customHeight="1">
      <c r="B1450" s="54">
        <v>1590.0</v>
      </c>
      <c r="C1450" s="8" t="s">
        <v>8351</v>
      </c>
      <c r="D1450" s="8" t="s">
        <v>765</v>
      </c>
      <c r="E1450" s="8" t="s">
        <v>3449</v>
      </c>
      <c r="F1450" s="8" t="s">
        <v>1501</v>
      </c>
      <c r="G1450" s="8"/>
      <c r="H1450" s="8" t="s">
        <v>3449</v>
      </c>
      <c r="I1450" s="8" t="s">
        <v>3450</v>
      </c>
      <c r="J1450" s="78" t="s">
        <v>5365</v>
      </c>
      <c r="K1450" s="22">
        <v>0.0</v>
      </c>
      <c r="L1450" s="22">
        <f>+SUMIF('حركه المخزن الرئيسي اليوميه'!$F:$F,$H:$H,'حركه المخزن الرئيسي اليوميه'!$H:$H)</f>
        <v>0.0</v>
      </c>
      <c r="M1450" s="22">
        <f>+SUMIF('حركه المخزن الرئيسي اليوميه'!$F:$F,$H:$H,'حركه المخزن الرئيسي اليوميه'!$I:$I)</f>
        <v>0.0</v>
      </c>
      <c r="N1450" s="22">
        <f>+K1450+L1450-M1450</f>
        <v>0.0</v>
      </c>
      <c r="O1450" s="22">
        <f>+N1450</f>
        <v>0.0</v>
      </c>
      <c r="P1450" s="22">
        <f>+N1450-O1450</f>
        <v>0.0</v>
      </c>
      <c r="Q1450" s="57"/>
      <c r="R1450" s="58"/>
    </row>
    <row r="1451" spans="8:8" ht="15.0" customHeight="1">
      <c r="B1451" s="54">
        <v>1591.0</v>
      </c>
      <c r="C1451" s="8" t="s">
        <v>8351</v>
      </c>
      <c r="D1451" s="8" t="s">
        <v>765</v>
      </c>
      <c r="E1451" s="8" t="s">
        <v>3451</v>
      </c>
      <c r="F1451" s="8" t="s">
        <v>1501</v>
      </c>
      <c r="G1451" s="8"/>
      <c r="H1451" s="8" t="s">
        <v>3451</v>
      </c>
      <c r="I1451" s="8"/>
      <c r="J1451" s="78" t="s">
        <v>5366</v>
      </c>
      <c r="K1451" s="22">
        <v>0.0</v>
      </c>
      <c r="L1451" s="22">
        <f>+SUMIF('حركه المخزن الرئيسي اليوميه'!$F:$F,$H:$H,'حركه المخزن الرئيسي اليوميه'!$H:$H)</f>
        <v>0.0</v>
      </c>
      <c r="M1451" s="22">
        <f>+SUMIF('حركه المخزن الرئيسي اليوميه'!$F:$F,$H:$H,'حركه المخزن الرئيسي اليوميه'!$I:$I)</f>
        <v>0.0</v>
      </c>
      <c r="N1451" s="22">
        <f>+K1451+L1451-M1451</f>
        <v>0.0</v>
      </c>
      <c r="O1451" s="22">
        <f>+N1451</f>
        <v>0.0</v>
      </c>
      <c r="P1451" s="22">
        <f>+N1451-O1451</f>
        <v>0.0</v>
      </c>
      <c r="Q1451" s="8"/>
      <c r="R1451" s="58"/>
    </row>
    <row r="1452" spans="8:8" ht="15.0" customHeight="1">
      <c r="B1452" s="54">
        <v>1592.0</v>
      </c>
      <c r="C1452" s="8" t="s">
        <v>8351</v>
      </c>
      <c r="D1452" s="8" t="s">
        <v>765</v>
      </c>
      <c r="E1452" s="8" t="s">
        <v>3454</v>
      </c>
      <c r="F1452" s="8" t="s">
        <v>1501</v>
      </c>
      <c r="G1452" s="8"/>
      <c r="H1452" s="8" t="s">
        <v>3454</v>
      </c>
      <c r="I1452" s="8" t="s">
        <v>818</v>
      </c>
      <c r="J1452" s="78" t="s">
        <v>5367</v>
      </c>
      <c r="K1452" s="22">
        <v>0.0</v>
      </c>
      <c r="L1452" s="22">
        <f>+SUMIF('حركه المخزن الرئيسي اليوميه'!$F:$F,$H:$H,'حركه المخزن الرئيسي اليوميه'!$H:$H)</f>
        <v>0.0</v>
      </c>
      <c r="M1452" s="22">
        <f>+SUMIF('حركه المخزن الرئيسي اليوميه'!$F:$F,$H:$H,'حركه المخزن الرئيسي اليوميه'!$I:$I)</f>
        <v>0.0</v>
      </c>
      <c r="N1452" s="22">
        <f>+K1452+L1452-M1452</f>
        <v>0.0</v>
      </c>
      <c r="O1452" s="22">
        <f>+N1452</f>
        <v>0.0</v>
      </c>
      <c r="P1452" s="22">
        <f>+N1452-O1452</f>
        <v>0.0</v>
      </c>
      <c r="Q1452" s="8"/>
      <c r="R1452" s="58"/>
    </row>
    <row r="1453" spans="8:8" ht="15.0" customHeight="1">
      <c r="B1453" s="54">
        <v>1593.0</v>
      </c>
      <c r="C1453" s="8" t="s">
        <v>8351</v>
      </c>
      <c r="D1453" s="8" t="s">
        <v>765</v>
      </c>
      <c r="E1453" s="8" t="s">
        <v>3594</v>
      </c>
      <c r="F1453" s="8" t="s">
        <v>1501</v>
      </c>
      <c r="G1453" s="8"/>
      <c r="H1453" s="8" t="s">
        <v>3594</v>
      </c>
      <c r="I1453" s="8" t="s">
        <v>283</v>
      </c>
      <c r="J1453" s="78" t="s">
        <v>5368</v>
      </c>
      <c r="K1453" s="22">
        <v>3.0</v>
      </c>
      <c r="L1453" s="22">
        <f>+SUMIF('حركه المخزن الرئيسي اليوميه'!$F:$F,$H:$H,'حركه المخزن الرئيسي اليوميه'!$H:$H)</f>
        <v>0.0</v>
      </c>
      <c r="M1453" s="22">
        <f>+SUMIF('حركه المخزن الرئيسي اليوميه'!$F:$F,$H:$H,'حركه المخزن الرئيسي اليوميه'!$I:$I)</f>
        <v>0.0</v>
      </c>
      <c r="N1453" s="22">
        <f>+K1453+L1453-M1453</f>
        <v>3.0</v>
      </c>
      <c r="O1453" s="22">
        <f>+N1453</f>
        <v>3.0</v>
      </c>
      <c r="P1453" s="22">
        <f>+N1453-O1453</f>
        <v>0.0</v>
      </c>
      <c r="Q1453" s="57"/>
      <c r="R1453" s="58"/>
    </row>
    <row r="1454" spans="8:8" ht="15.0" customHeight="1">
      <c r="B1454" s="54">
        <v>1594.0</v>
      </c>
      <c r="C1454" s="8" t="s">
        <v>8351</v>
      </c>
      <c r="D1454" s="8" t="s">
        <v>765</v>
      </c>
      <c r="E1454" s="8" t="s">
        <v>3455</v>
      </c>
      <c r="F1454" s="8" t="s">
        <v>1501</v>
      </c>
      <c r="G1454" s="8"/>
      <c r="H1454" s="8" t="s">
        <v>3455</v>
      </c>
      <c r="I1454" s="8" t="s">
        <v>8162</v>
      </c>
      <c r="J1454" s="78" t="s">
        <v>5369</v>
      </c>
      <c r="K1454" s="22">
        <v>2.0</v>
      </c>
      <c r="L1454" s="22">
        <f>+SUMIF('حركه المخزن الرئيسي اليوميه'!$F:$F,$H:$H,'حركه المخزن الرئيسي اليوميه'!$H:$H)</f>
        <v>0.0</v>
      </c>
      <c r="M1454" s="22">
        <f>+SUMIF('حركه المخزن الرئيسي اليوميه'!$F:$F,$H:$H,'حركه المخزن الرئيسي اليوميه'!$I:$I)</f>
        <v>0.0</v>
      </c>
      <c r="N1454" s="22">
        <f>+K1454+L1454-M1454</f>
        <v>2.0</v>
      </c>
      <c r="O1454" s="22">
        <f>+N1454</f>
        <v>2.0</v>
      </c>
      <c r="P1454" s="22">
        <f>+N1454-O1454</f>
        <v>0.0</v>
      </c>
      <c r="Q1454" s="57"/>
      <c r="R1454" s="58"/>
    </row>
    <row r="1455" spans="8:8" ht="15.0" customHeight="1">
      <c r="B1455" s="54">
        <v>1595.0</v>
      </c>
      <c r="C1455" s="8" t="s">
        <v>8351</v>
      </c>
      <c r="D1455" s="8" t="s">
        <v>765</v>
      </c>
      <c r="E1455" s="8" t="s">
        <v>3456</v>
      </c>
      <c r="F1455" s="8" t="s">
        <v>1501</v>
      </c>
      <c r="G1455" s="8"/>
      <c r="H1455" s="8" t="s">
        <v>3456</v>
      </c>
      <c r="I1455" s="8" t="s">
        <v>170</v>
      </c>
      <c r="J1455" s="78" t="s">
        <v>5370</v>
      </c>
      <c r="K1455" s="22">
        <v>4.0</v>
      </c>
      <c r="L1455" s="22">
        <f>+SUMIF('حركه المخزن الرئيسي اليوميه'!$F:$F,$H:$H,'حركه المخزن الرئيسي اليوميه'!$H:$H)</f>
        <v>0.0</v>
      </c>
      <c r="M1455" s="22">
        <f>+SUMIF('حركه المخزن الرئيسي اليوميه'!$F:$F,$H:$H,'حركه المخزن الرئيسي اليوميه'!$I:$I)</f>
        <v>0.0</v>
      </c>
      <c r="N1455" s="22">
        <f>+K1455+L1455-M1455</f>
        <v>4.0</v>
      </c>
      <c r="O1455" s="22">
        <f>+N1455</f>
        <v>4.0</v>
      </c>
      <c r="P1455" s="22">
        <f>+N1455-O1455</f>
        <v>0.0</v>
      </c>
      <c r="Q1455" s="57"/>
      <c r="R1455" s="58"/>
    </row>
    <row r="1456" spans="8:8" ht="15.0" customHeight="1">
      <c r="B1456" s="54">
        <v>1596.0</v>
      </c>
      <c r="C1456" s="8" t="s">
        <v>8351</v>
      </c>
      <c r="D1456" s="8" t="s">
        <v>765</v>
      </c>
      <c r="E1456" s="8" t="s">
        <v>3457</v>
      </c>
      <c r="F1456" s="8" t="s">
        <v>1501</v>
      </c>
      <c r="G1456" s="8"/>
      <c r="H1456" s="8" t="s">
        <v>3457</v>
      </c>
      <c r="I1456" s="8" t="s">
        <v>818</v>
      </c>
      <c r="J1456" s="78" t="s">
        <v>5371</v>
      </c>
      <c r="K1456" s="22">
        <v>0.0</v>
      </c>
      <c r="L1456" s="22">
        <f>+SUMIF('حركه المخزن الرئيسي اليوميه'!$F:$F,$H:$H,'حركه المخزن الرئيسي اليوميه'!$H:$H)</f>
        <v>0.0</v>
      </c>
      <c r="M1456" s="22">
        <f>+SUMIF('حركه المخزن الرئيسي اليوميه'!$F:$F,$H:$H,'حركه المخزن الرئيسي اليوميه'!$I:$I)</f>
        <v>0.0</v>
      </c>
      <c r="N1456" s="22">
        <f>+K1456+L1456-M1456</f>
        <v>0.0</v>
      </c>
      <c r="O1456" s="22">
        <f>+N1456</f>
        <v>0.0</v>
      </c>
      <c r="P1456" s="22">
        <f>+N1456-O1456</f>
        <v>0.0</v>
      </c>
      <c r="Q1456" s="57"/>
      <c r="R1456" s="58"/>
    </row>
    <row r="1457" spans="8:8" ht="15.0" customHeight="1">
      <c r="B1457" s="54">
        <v>1597.0</v>
      </c>
      <c r="C1457" s="8" t="s">
        <v>8351</v>
      </c>
      <c r="D1457" s="8" t="s">
        <v>765</v>
      </c>
      <c r="E1457" s="8"/>
      <c r="F1457" s="8"/>
      <c r="G1457" s="8"/>
      <c r="H1457" s="8"/>
      <c r="I1457" s="57"/>
      <c r="J1457" s="78" t="s">
        <v>5372</v>
      </c>
      <c r="K1457" s="22">
        <v>0.0</v>
      </c>
      <c r="L1457" s="22">
        <f>+SUMIF('حركه المخزن الرئيسي اليوميه'!$F:$F,$H:$H,'حركه المخزن الرئيسي اليوميه'!$H:$H)</f>
        <v>0.0</v>
      </c>
      <c r="M1457" s="22">
        <f>+SUMIF('حركه المخزن الرئيسي اليوميه'!$F:$F,$H:$H,'حركه المخزن الرئيسي اليوميه'!$I:$I)</f>
        <v>0.0</v>
      </c>
      <c r="N1457" s="22">
        <f>+K1457+L1457-M1457</f>
        <v>0.0</v>
      </c>
      <c r="O1457" s="22">
        <f>+N1457</f>
        <v>0.0</v>
      </c>
      <c r="P1457" s="22">
        <f>+N1457-O1457</f>
        <v>0.0</v>
      </c>
      <c r="Q1457" s="8"/>
      <c r="R1457" s="58"/>
    </row>
    <row r="1458" spans="8:8" ht="15.0" customHeight="1">
      <c r="B1458" s="54">
        <v>1598.0</v>
      </c>
      <c r="C1458" s="8" t="s">
        <v>8351</v>
      </c>
      <c r="D1458" s="8" t="s">
        <v>765</v>
      </c>
      <c r="E1458" s="8" t="s">
        <v>3459</v>
      </c>
      <c r="F1458" s="8" t="s">
        <v>1501</v>
      </c>
      <c r="G1458" s="8"/>
      <c r="H1458" s="8" t="s">
        <v>3459</v>
      </c>
      <c r="I1458" s="8" t="s">
        <v>818</v>
      </c>
      <c r="J1458" s="78" t="s">
        <v>5373</v>
      </c>
      <c r="K1458" s="22">
        <v>0.0</v>
      </c>
      <c r="L1458" s="22">
        <f>+SUMIF('حركه المخزن الرئيسي اليوميه'!$F:$F,$H:$H,'حركه المخزن الرئيسي اليوميه'!$H:$H)</f>
        <v>0.0</v>
      </c>
      <c r="M1458" s="22">
        <f>+SUMIF('حركه المخزن الرئيسي اليوميه'!$F:$F,$H:$H,'حركه المخزن الرئيسي اليوميه'!$I:$I)</f>
        <v>0.0</v>
      </c>
      <c r="N1458" s="22">
        <f>+K1458+L1458-M1458</f>
        <v>0.0</v>
      </c>
      <c r="O1458" s="22">
        <f>+N1458</f>
        <v>0.0</v>
      </c>
      <c r="P1458" s="22">
        <f>+N1458-O1458</f>
        <v>0.0</v>
      </c>
      <c r="Q1458" s="8"/>
      <c r="R1458" s="58"/>
    </row>
    <row r="1459" spans="8:8" ht="15.0" customHeight="1">
      <c r="B1459" s="54">
        <v>1599.0</v>
      </c>
      <c r="C1459" s="8" t="s">
        <v>8351</v>
      </c>
      <c r="D1459" s="8" t="s">
        <v>765</v>
      </c>
      <c r="E1459" s="8" t="s">
        <v>3460</v>
      </c>
      <c r="F1459" s="8" t="s">
        <v>1501</v>
      </c>
      <c r="G1459" s="8"/>
      <c r="H1459" s="8" t="s">
        <v>3460</v>
      </c>
      <c r="I1459" s="8" t="s">
        <v>818</v>
      </c>
      <c r="J1459" s="78" t="s">
        <v>5374</v>
      </c>
      <c r="K1459" s="22">
        <v>0.0</v>
      </c>
      <c r="L1459" s="22">
        <f>+SUMIF('حركه المخزن الرئيسي اليوميه'!$F:$F,$H:$H,'حركه المخزن الرئيسي اليوميه'!$H:$H)</f>
        <v>0.0</v>
      </c>
      <c r="M1459" s="22">
        <f>+SUMIF('حركه المخزن الرئيسي اليوميه'!$F:$F,$H:$H,'حركه المخزن الرئيسي اليوميه'!$I:$I)</f>
        <v>0.0</v>
      </c>
      <c r="N1459" s="22">
        <f>+K1459+L1459-M1459</f>
        <v>0.0</v>
      </c>
      <c r="O1459" s="22">
        <f>+N1459</f>
        <v>0.0</v>
      </c>
      <c r="P1459" s="22">
        <f>+N1459-O1459</f>
        <v>0.0</v>
      </c>
      <c r="Q1459" s="57"/>
      <c r="R1459" s="58"/>
    </row>
    <row r="1460" spans="8:8" ht="15.0" customHeight="1">
      <c r="B1460" s="54">
        <v>1600.0</v>
      </c>
      <c r="C1460" s="8" t="s">
        <v>8351</v>
      </c>
      <c r="D1460" s="8" t="s">
        <v>765</v>
      </c>
      <c r="E1460" s="8" t="s">
        <v>3461</v>
      </c>
      <c r="F1460" s="8" t="s">
        <v>1501</v>
      </c>
      <c r="G1460" s="8"/>
      <c r="H1460" s="8" t="s">
        <v>3461</v>
      </c>
      <c r="I1460" s="8" t="s">
        <v>818</v>
      </c>
      <c r="J1460" s="78" t="s">
        <v>5375</v>
      </c>
      <c r="K1460" s="22">
        <v>0.0</v>
      </c>
      <c r="L1460" s="22">
        <f>+SUMIF('حركه المخزن الرئيسي اليوميه'!$F:$F,$H:$H,'حركه المخزن الرئيسي اليوميه'!$H:$H)</f>
        <v>0.0</v>
      </c>
      <c r="M1460" s="22">
        <f>+SUMIF('حركه المخزن الرئيسي اليوميه'!$F:$F,$H:$H,'حركه المخزن الرئيسي اليوميه'!$I:$I)</f>
        <v>0.0</v>
      </c>
      <c r="N1460" s="22">
        <f>+K1460+L1460-M1460</f>
        <v>0.0</v>
      </c>
      <c r="O1460" s="22">
        <f>+N1460</f>
        <v>0.0</v>
      </c>
      <c r="P1460" s="22">
        <f>+N1460-O1460</f>
        <v>0.0</v>
      </c>
      <c r="Q1460" s="57"/>
      <c r="R1460" s="58"/>
    </row>
    <row r="1461" spans="8:8" ht="15.0" customHeight="1">
      <c r="B1461" s="54">
        <v>1601.0</v>
      </c>
      <c r="C1461" s="8" t="s">
        <v>8351</v>
      </c>
      <c r="D1461" s="8" t="s">
        <v>765</v>
      </c>
      <c r="E1461" s="8" t="s">
        <v>3462</v>
      </c>
      <c r="F1461" s="8" t="s">
        <v>1501</v>
      </c>
      <c r="G1461" s="8"/>
      <c r="H1461" s="8" t="s">
        <v>3462</v>
      </c>
      <c r="I1461" s="8" t="s">
        <v>2934</v>
      </c>
      <c r="J1461" s="78" t="s">
        <v>5376</v>
      </c>
      <c r="K1461" s="22">
        <v>1.0</v>
      </c>
      <c r="L1461" s="22">
        <f>+SUMIF('حركه المخزن الرئيسي اليوميه'!$F:$F,$H:$H,'حركه المخزن الرئيسي اليوميه'!$H:$H)</f>
        <v>0.0</v>
      </c>
      <c r="M1461" s="22">
        <f>+SUMIF('حركه المخزن الرئيسي اليوميه'!$F:$F,$H:$H,'حركه المخزن الرئيسي اليوميه'!$I:$I)</f>
        <v>0.0</v>
      </c>
      <c r="N1461" s="22">
        <f>+K1461+L1461-M1461</f>
        <v>1.0</v>
      </c>
      <c r="O1461" s="22">
        <f>+N1461</f>
        <v>1.0</v>
      </c>
      <c r="P1461" s="22">
        <f>+N1461-O1461</f>
        <v>0.0</v>
      </c>
      <c r="Q1461" s="57"/>
      <c r="R1461" s="58"/>
    </row>
    <row r="1462" spans="8:8" ht="15.0" customHeight="1">
      <c r="B1462" s="54">
        <v>1602.0</v>
      </c>
      <c r="C1462" s="8" t="s">
        <v>8351</v>
      </c>
      <c r="D1462" s="8" t="s">
        <v>765</v>
      </c>
      <c r="E1462" s="8" t="s">
        <v>3463</v>
      </c>
      <c r="F1462" s="8" t="s">
        <v>1027</v>
      </c>
      <c r="G1462" s="8"/>
      <c r="H1462" s="8" t="s">
        <v>3463</v>
      </c>
      <c r="I1462" s="8" t="s">
        <v>73</v>
      </c>
      <c r="J1462" s="78" t="s">
        <v>5377</v>
      </c>
      <c r="K1462" s="22">
        <v>3.0</v>
      </c>
      <c r="L1462" s="22">
        <f>+SUMIF('حركه المخزن الرئيسي اليوميه'!$F:$F,$H:$H,'حركه المخزن الرئيسي اليوميه'!$H:$H)</f>
        <v>0.0</v>
      </c>
      <c r="M1462" s="22">
        <f>+SUMIF('حركه المخزن الرئيسي اليوميه'!$F:$F,$H:$H,'حركه المخزن الرئيسي اليوميه'!$I:$I)</f>
        <v>0.0</v>
      </c>
      <c r="N1462" s="22">
        <f>+K1462+L1462-M1462</f>
        <v>3.0</v>
      </c>
      <c r="O1462" s="22">
        <f>+N1462</f>
        <v>3.0</v>
      </c>
      <c r="P1462" s="22">
        <f>+N1462-O1462</f>
        <v>0.0</v>
      </c>
      <c r="Q1462" s="57"/>
      <c r="R1462" s="58"/>
    </row>
    <row r="1463" spans="8:8" ht="15.0" customHeight="1">
      <c r="B1463" s="54">
        <v>1603.0</v>
      </c>
      <c r="C1463" s="8" t="s">
        <v>8351</v>
      </c>
      <c r="D1463" s="8" t="s">
        <v>765</v>
      </c>
      <c r="E1463" s="8" t="s">
        <v>3464</v>
      </c>
      <c r="F1463" s="8" t="s">
        <v>1501</v>
      </c>
      <c r="G1463" s="8"/>
      <c r="H1463" s="8" t="s">
        <v>3464</v>
      </c>
      <c r="I1463" s="8" t="s">
        <v>767</v>
      </c>
      <c r="J1463" s="78" t="s">
        <v>5378</v>
      </c>
      <c r="K1463" s="22">
        <v>0.0</v>
      </c>
      <c r="L1463" s="22">
        <f>+SUMIF('حركه المخزن الرئيسي اليوميه'!$F:$F,$H:$H,'حركه المخزن الرئيسي اليوميه'!$H:$H)</f>
        <v>0.0</v>
      </c>
      <c r="M1463" s="22">
        <f>+SUMIF('حركه المخزن الرئيسي اليوميه'!$F:$F,$H:$H,'حركه المخزن الرئيسي اليوميه'!$I:$I)</f>
        <v>0.0</v>
      </c>
      <c r="N1463" s="22">
        <f>+K1463+L1463-M1463</f>
        <v>0.0</v>
      </c>
      <c r="O1463" s="22">
        <f>+N1463</f>
        <v>0.0</v>
      </c>
      <c r="P1463" s="22">
        <f>+N1463-O1463</f>
        <v>0.0</v>
      </c>
      <c r="Q1463" s="57"/>
      <c r="R1463" s="58"/>
    </row>
    <row r="1464" spans="8:8" ht="15.0" customHeight="1">
      <c r="B1464" s="54">
        <v>1604.0</v>
      </c>
      <c r="C1464" s="8" t="s">
        <v>8351</v>
      </c>
      <c r="D1464" s="8" t="s">
        <v>765</v>
      </c>
      <c r="E1464" s="8" t="s">
        <v>3465</v>
      </c>
      <c r="F1464" s="8" t="s">
        <v>1501</v>
      </c>
      <c r="G1464" s="8"/>
      <c r="H1464" s="8" t="s">
        <v>3465</v>
      </c>
      <c r="I1464" s="8" t="s">
        <v>767</v>
      </c>
      <c r="J1464" s="78" t="s">
        <v>5379</v>
      </c>
      <c r="K1464" s="22">
        <v>1.0</v>
      </c>
      <c r="L1464" s="22">
        <f>+SUMIF('حركه المخزن الرئيسي اليوميه'!$F:$F,$H:$H,'حركه المخزن الرئيسي اليوميه'!$H:$H)</f>
        <v>0.0</v>
      </c>
      <c r="M1464" s="22">
        <f>+SUMIF('حركه المخزن الرئيسي اليوميه'!$F:$F,$H:$H,'حركه المخزن الرئيسي اليوميه'!$I:$I)</f>
        <v>0.0</v>
      </c>
      <c r="N1464" s="22">
        <f>+K1464+L1464-M1464</f>
        <v>1.0</v>
      </c>
      <c r="O1464" s="22">
        <f>+N1464</f>
        <v>1.0</v>
      </c>
      <c r="P1464" s="22">
        <f>+N1464-O1464</f>
        <v>0.0</v>
      </c>
      <c r="Q1464" s="57"/>
      <c r="R1464" s="58"/>
    </row>
    <row r="1465" spans="8:8" ht="15.0" customHeight="1">
      <c r="B1465" s="54">
        <v>1605.0</v>
      </c>
      <c r="C1465" s="8" t="s">
        <v>8351</v>
      </c>
      <c r="D1465" s="8" t="s">
        <v>765</v>
      </c>
      <c r="E1465" s="8" t="s">
        <v>3466</v>
      </c>
      <c r="F1465" s="8" t="s">
        <v>1501</v>
      </c>
      <c r="G1465" s="8"/>
      <c r="H1465" s="8" t="s">
        <v>3466</v>
      </c>
      <c r="I1465" s="8" t="s">
        <v>767</v>
      </c>
      <c r="J1465" s="78" t="s">
        <v>5380</v>
      </c>
      <c r="K1465" s="22">
        <v>0.0</v>
      </c>
      <c r="L1465" s="22">
        <f>+SUMIF('حركه المخزن الرئيسي اليوميه'!$F:$F,$H:$H,'حركه المخزن الرئيسي اليوميه'!$H:$H)</f>
        <v>0.0</v>
      </c>
      <c r="M1465" s="22">
        <f>+SUMIF('حركه المخزن الرئيسي اليوميه'!$F:$F,$H:$H,'حركه المخزن الرئيسي اليوميه'!$I:$I)</f>
        <v>0.0</v>
      </c>
      <c r="N1465" s="22">
        <f>+K1465+L1465-M1465</f>
        <v>0.0</v>
      </c>
      <c r="O1465" s="22">
        <f>+N1465</f>
        <v>0.0</v>
      </c>
      <c r="P1465" s="22">
        <f>+N1465-O1465</f>
        <v>0.0</v>
      </c>
      <c r="Q1465" s="57"/>
      <c r="R1465" s="58"/>
    </row>
    <row r="1466" spans="8:8" ht="15.0" customHeight="1">
      <c r="B1466" s="54">
        <v>1606.0</v>
      </c>
      <c r="C1466" s="8" t="s">
        <v>8351</v>
      </c>
      <c r="D1466" s="8" t="s">
        <v>765</v>
      </c>
      <c r="E1466" s="8" t="s">
        <v>3468</v>
      </c>
      <c r="F1466" s="8" t="s">
        <v>1501</v>
      </c>
      <c r="G1466" s="8"/>
      <c r="H1466" s="8" t="s">
        <v>3468</v>
      </c>
      <c r="I1466" s="8" t="s">
        <v>818</v>
      </c>
      <c r="J1466" s="78" t="s">
        <v>5381</v>
      </c>
      <c r="K1466" s="22">
        <v>0.0</v>
      </c>
      <c r="L1466" s="22">
        <f>+SUMIF('حركه المخزن الرئيسي اليوميه'!$F:$F,$H:$H,'حركه المخزن الرئيسي اليوميه'!$H:$H)</f>
        <v>0.0</v>
      </c>
      <c r="M1466" s="22">
        <f>+SUMIF('حركه المخزن الرئيسي اليوميه'!$F:$F,$H:$H,'حركه المخزن الرئيسي اليوميه'!$I:$I)</f>
        <v>0.0</v>
      </c>
      <c r="N1466" s="22">
        <f>+K1466+L1466-M1466</f>
        <v>0.0</v>
      </c>
      <c r="O1466" s="22">
        <f>+N1466</f>
        <v>0.0</v>
      </c>
      <c r="P1466" s="22">
        <f>+N1466-O1466</f>
        <v>0.0</v>
      </c>
      <c r="Q1466" s="57"/>
      <c r="R1466" s="58"/>
    </row>
    <row r="1467" spans="8:8" ht="15.0" customHeight="1">
      <c r="B1467" s="54">
        <v>1607.0</v>
      </c>
      <c r="C1467" s="8" t="s">
        <v>8351</v>
      </c>
      <c r="D1467" s="8" t="s">
        <v>765</v>
      </c>
      <c r="E1467" s="8" t="s">
        <v>3469</v>
      </c>
      <c r="F1467" s="8" t="s">
        <v>1501</v>
      </c>
      <c r="G1467" s="8"/>
      <c r="H1467" s="8" t="s">
        <v>3469</v>
      </c>
      <c r="I1467" s="8" t="s">
        <v>818</v>
      </c>
      <c r="J1467" s="78" t="s">
        <v>5382</v>
      </c>
      <c r="K1467" s="22">
        <v>0.0</v>
      </c>
      <c r="L1467" s="22">
        <f>+SUMIF('حركه المخزن الرئيسي اليوميه'!$F:$F,$H:$H,'حركه المخزن الرئيسي اليوميه'!$H:$H)</f>
        <v>0.0</v>
      </c>
      <c r="M1467" s="22">
        <f>+SUMIF('حركه المخزن الرئيسي اليوميه'!$F:$F,$H:$H,'حركه المخزن الرئيسي اليوميه'!$I:$I)</f>
        <v>0.0</v>
      </c>
      <c r="N1467" s="22">
        <f>+K1467+L1467-M1467</f>
        <v>0.0</v>
      </c>
      <c r="O1467" s="22">
        <f>+N1467</f>
        <v>0.0</v>
      </c>
      <c r="P1467" s="22">
        <f>+N1467-O1467</f>
        <v>0.0</v>
      </c>
      <c r="Q1467" s="57"/>
      <c r="R1467" s="58"/>
    </row>
    <row r="1468" spans="8:8" ht="15.0" customHeight="1">
      <c r="B1468" s="54">
        <v>1608.0</v>
      </c>
      <c r="C1468" s="8" t="s">
        <v>8351</v>
      </c>
      <c r="D1468" s="8" t="s">
        <v>765</v>
      </c>
      <c r="E1468" s="8" t="s">
        <v>3470</v>
      </c>
      <c r="F1468" s="8" t="s">
        <v>1501</v>
      </c>
      <c r="G1468" s="8"/>
      <c r="H1468" s="8" t="s">
        <v>3470</v>
      </c>
      <c r="I1468" s="8" t="s">
        <v>818</v>
      </c>
      <c r="J1468" s="78" t="s">
        <v>5383</v>
      </c>
      <c r="K1468" s="22">
        <v>0.0</v>
      </c>
      <c r="L1468" s="22">
        <f>+SUMIF('حركه المخزن الرئيسي اليوميه'!$F:$F,$H:$H,'حركه المخزن الرئيسي اليوميه'!$H:$H)</f>
        <v>0.0</v>
      </c>
      <c r="M1468" s="22">
        <f>+SUMIF('حركه المخزن الرئيسي اليوميه'!$F:$F,$H:$H,'حركه المخزن الرئيسي اليوميه'!$I:$I)</f>
        <v>0.0</v>
      </c>
      <c r="N1468" s="22">
        <f>+K1468+L1468-M1468</f>
        <v>0.0</v>
      </c>
      <c r="O1468" s="22">
        <f>+N1468</f>
        <v>0.0</v>
      </c>
      <c r="P1468" s="22">
        <f>+N1468-O1468</f>
        <v>0.0</v>
      </c>
      <c r="Q1468" s="57"/>
      <c r="R1468" s="58"/>
    </row>
    <row r="1469" spans="8:8" ht="15.0" customHeight="1">
      <c r="B1469" s="54">
        <v>1609.0</v>
      </c>
      <c r="C1469" s="8" t="s">
        <v>8351</v>
      </c>
      <c r="D1469" s="8" t="s">
        <v>765</v>
      </c>
      <c r="E1469" s="8" t="s">
        <v>3471</v>
      </c>
      <c r="F1469" s="8" t="s">
        <v>1501</v>
      </c>
      <c r="G1469" s="8"/>
      <c r="H1469" s="8" t="s">
        <v>3471</v>
      </c>
      <c r="I1469" s="8" t="s">
        <v>767</v>
      </c>
      <c r="J1469" s="78" t="s">
        <v>5384</v>
      </c>
      <c r="K1469" s="22">
        <v>0.0</v>
      </c>
      <c r="L1469" s="22">
        <f>+SUMIF('حركه المخزن الرئيسي اليوميه'!$F:$F,$H:$H,'حركه المخزن الرئيسي اليوميه'!$H:$H)</f>
        <v>0.0</v>
      </c>
      <c r="M1469" s="22">
        <f>+SUMIF('حركه المخزن الرئيسي اليوميه'!$F:$F,$H:$H,'حركه المخزن الرئيسي اليوميه'!$I:$I)</f>
        <v>0.0</v>
      </c>
      <c r="N1469" s="22">
        <f>+K1469+L1469-M1469</f>
        <v>0.0</v>
      </c>
      <c r="O1469" s="22">
        <f>+N1469</f>
        <v>0.0</v>
      </c>
      <c r="P1469" s="22">
        <f>+N1469-O1469</f>
        <v>0.0</v>
      </c>
      <c r="Q1469" s="57"/>
      <c r="R1469" s="58"/>
    </row>
    <row r="1470" spans="8:8" ht="15.0" customHeight="1">
      <c r="B1470" s="54">
        <v>1610.0</v>
      </c>
      <c r="C1470" s="8" t="s">
        <v>8351</v>
      </c>
      <c r="D1470" s="8" t="s">
        <v>765</v>
      </c>
      <c r="E1470" s="8" t="s">
        <v>3473</v>
      </c>
      <c r="F1470" s="8" t="s">
        <v>1501</v>
      </c>
      <c r="G1470" s="8"/>
      <c r="H1470" s="8" t="s">
        <v>3473</v>
      </c>
      <c r="I1470" s="8" t="s">
        <v>818</v>
      </c>
      <c r="J1470" s="78" t="s">
        <v>5385</v>
      </c>
      <c r="K1470" s="22">
        <v>0.0</v>
      </c>
      <c r="L1470" s="22">
        <f>+SUMIF('حركه المخزن الرئيسي اليوميه'!$F:$F,$H:$H,'حركه المخزن الرئيسي اليوميه'!$H:$H)</f>
        <v>0.0</v>
      </c>
      <c r="M1470" s="22">
        <f>+SUMIF('حركه المخزن الرئيسي اليوميه'!$F:$F,$H:$H,'حركه المخزن الرئيسي اليوميه'!$I:$I)</f>
        <v>0.0</v>
      </c>
      <c r="N1470" s="22">
        <f>+K1470+L1470-M1470</f>
        <v>0.0</v>
      </c>
      <c r="O1470" s="22">
        <f>+N1470</f>
        <v>0.0</v>
      </c>
      <c r="P1470" s="22">
        <f>+N1470-O1470</f>
        <v>0.0</v>
      </c>
      <c r="Q1470" s="57"/>
      <c r="R1470" s="58"/>
    </row>
    <row r="1471" spans="8:8" ht="15.0" customHeight="1">
      <c r="B1471" s="54">
        <v>1611.0</v>
      </c>
      <c r="C1471" s="8" t="s">
        <v>2045</v>
      </c>
      <c r="D1471" s="8" t="s">
        <v>3541</v>
      </c>
      <c r="E1471" s="8"/>
      <c r="F1471" s="8"/>
      <c r="G1471" s="8"/>
      <c r="H1471" s="8"/>
      <c r="I1471" s="8"/>
      <c r="J1471" s="78" t="s">
        <v>5386</v>
      </c>
      <c r="K1471" s="22">
        <v>0.0</v>
      </c>
      <c r="L1471" s="22">
        <f>+SUMIF('حركه المخزن الرئيسي اليوميه'!$F:$F,$H:$H,'حركه المخزن الرئيسي اليوميه'!$H:$H)</f>
        <v>0.0</v>
      </c>
      <c r="M1471" s="22">
        <f>+SUMIF('حركه المخزن الرئيسي اليوميه'!$F:$F,$H:$H,'حركه المخزن الرئيسي اليوميه'!$I:$I)</f>
        <v>0.0</v>
      </c>
      <c r="N1471" s="22">
        <f>+K1471+L1471-M1471</f>
        <v>0.0</v>
      </c>
      <c r="O1471" s="22">
        <f>+N1471</f>
        <v>0.0</v>
      </c>
      <c r="P1471" s="22">
        <f>+N1471-O1471</f>
        <v>0.0</v>
      </c>
      <c r="Q1471" s="8"/>
      <c r="R1471" s="58"/>
    </row>
    <row r="1472" spans="8:8" ht="15.0" customHeight="1">
      <c r="B1472" s="54">
        <v>1612.0</v>
      </c>
      <c r="C1472" s="8" t="s">
        <v>8351</v>
      </c>
      <c r="D1472" s="8" t="s">
        <v>765</v>
      </c>
      <c r="E1472" s="8" t="s">
        <v>3475</v>
      </c>
      <c r="F1472" s="8" t="s">
        <v>8199</v>
      </c>
      <c r="G1472" s="8"/>
      <c r="H1472" s="8" t="s">
        <v>3475</v>
      </c>
      <c r="I1472" s="8" t="s">
        <v>818</v>
      </c>
      <c r="J1472" s="78" t="s">
        <v>5387</v>
      </c>
      <c r="K1472" s="22">
        <v>100.0</v>
      </c>
      <c r="L1472" s="22">
        <f>+SUMIF('حركه المخزن الرئيسي اليوميه'!$F:$F,$H:$H,'حركه المخزن الرئيسي اليوميه'!$H:$H)</f>
        <v>0.0</v>
      </c>
      <c r="M1472" s="22">
        <f>+SUMIF('حركه المخزن الرئيسي اليوميه'!$F:$F,$H:$H,'حركه المخزن الرئيسي اليوميه'!$I:$I)</f>
        <v>100.0</v>
      </c>
      <c r="N1472" s="22">
        <f>+K1472+L1472-M1472</f>
        <v>0.0</v>
      </c>
      <c r="O1472" s="22">
        <f>+N1472</f>
        <v>0.0</v>
      </c>
      <c r="P1472" s="22">
        <f>+N1472-O1472</f>
        <v>0.0</v>
      </c>
      <c r="Q1472" s="57"/>
      <c r="R1472" s="58"/>
    </row>
    <row r="1473" spans="8:8" ht="15.0" customHeight="1">
      <c r="B1473" s="54">
        <v>1613.0</v>
      </c>
      <c r="C1473" s="8" t="s">
        <v>8351</v>
      </c>
      <c r="D1473" s="8" t="s">
        <v>765</v>
      </c>
      <c r="E1473" s="8" t="s">
        <v>3542</v>
      </c>
      <c r="F1473" s="8" t="s">
        <v>1501</v>
      </c>
      <c r="G1473" s="8"/>
      <c r="H1473" s="8" t="s">
        <v>3542</v>
      </c>
      <c r="I1473" s="8" t="s">
        <v>78</v>
      </c>
      <c r="J1473" s="78" t="s">
        <v>5388</v>
      </c>
      <c r="K1473" s="22">
        <v>10.0</v>
      </c>
      <c r="L1473" s="22">
        <f>+SUMIF('حركه المخزن الرئيسي اليوميه'!$F:$F,$H:$H,'حركه المخزن الرئيسي اليوميه'!$H:$H)</f>
        <v>0.0</v>
      </c>
      <c r="M1473" s="22">
        <f>+SUMIF('حركه المخزن الرئيسي اليوميه'!$F:$F,$H:$H,'حركه المخزن الرئيسي اليوميه'!$I:$I)</f>
        <v>0.0</v>
      </c>
      <c r="N1473" s="22">
        <f>+K1473+L1473-M1473</f>
        <v>10.0</v>
      </c>
      <c r="O1473" s="22">
        <f>+N1473</f>
        <v>10.0</v>
      </c>
      <c r="P1473" s="22">
        <f>+N1473-O1473</f>
        <v>0.0</v>
      </c>
      <c r="Q1473" s="57"/>
      <c r="R1473" s="58"/>
    </row>
    <row r="1474" spans="8:8" ht="15.0" customHeight="1">
      <c r="B1474" s="54">
        <v>1614.0</v>
      </c>
      <c r="C1474" s="8" t="s">
        <v>8351</v>
      </c>
      <c r="D1474" s="8" t="s">
        <v>765</v>
      </c>
      <c r="E1474" s="8" t="s">
        <v>3543</v>
      </c>
      <c r="F1474" s="8" t="s">
        <v>1501</v>
      </c>
      <c r="G1474" s="8"/>
      <c r="H1474" s="8" t="s">
        <v>3543</v>
      </c>
      <c r="I1474" s="8" t="s">
        <v>294</v>
      </c>
      <c r="J1474" s="78" t="s">
        <v>5389</v>
      </c>
      <c r="K1474" s="22">
        <v>3.0</v>
      </c>
      <c r="L1474" s="22">
        <f>+SUMIF('حركه المخزن الرئيسي اليوميه'!$F:$F,$H:$H,'حركه المخزن الرئيسي اليوميه'!$H:$H)</f>
        <v>0.0</v>
      </c>
      <c r="M1474" s="22">
        <f>+SUMIF('حركه المخزن الرئيسي اليوميه'!$F:$F,$H:$H,'حركه المخزن الرئيسي اليوميه'!$I:$I)</f>
        <v>0.0</v>
      </c>
      <c r="N1474" s="22">
        <f>+K1474+L1474-M1474</f>
        <v>3.0</v>
      </c>
      <c r="O1474" s="22">
        <f>+N1474</f>
        <v>3.0</v>
      </c>
      <c r="P1474" s="22">
        <f>+N1474-O1474</f>
        <v>0.0</v>
      </c>
      <c r="Q1474" s="57"/>
      <c r="R1474" s="58"/>
    </row>
    <row r="1475" spans="8:8" ht="15.0" customHeight="1">
      <c r="B1475" s="54">
        <v>1615.0</v>
      </c>
      <c r="C1475" s="8" t="s">
        <v>8351</v>
      </c>
      <c r="D1475" s="8" t="s">
        <v>765</v>
      </c>
      <c r="E1475" s="8" t="s">
        <v>3476</v>
      </c>
      <c r="F1475" s="8" t="s">
        <v>1501</v>
      </c>
      <c r="G1475" s="8"/>
      <c r="H1475" s="8" t="s">
        <v>3476</v>
      </c>
      <c r="I1475" s="8"/>
      <c r="J1475" s="78" t="s">
        <v>5390</v>
      </c>
      <c r="K1475" s="22">
        <v>0.0</v>
      </c>
      <c r="L1475" s="22">
        <f>+SUMIF('حركه المخزن الرئيسي اليوميه'!$F:$F,$H:$H,'حركه المخزن الرئيسي اليوميه'!$H:$H)</f>
        <v>0.0</v>
      </c>
      <c r="M1475" s="22">
        <f>+SUMIF('حركه المخزن الرئيسي اليوميه'!$F:$F,$H:$H,'حركه المخزن الرئيسي اليوميه'!$I:$I)</f>
        <v>0.0</v>
      </c>
      <c r="N1475" s="22">
        <f>+K1475+L1475-M1475</f>
        <v>0.0</v>
      </c>
      <c r="O1475" s="22">
        <f>+N1475</f>
        <v>0.0</v>
      </c>
      <c r="P1475" s="22">
        <f>+N1475-O1475</f>
        <v>0.0</v>
      </c>
      <c r="Q1475" s="57"/>
      <c r="R1475" s="58"/>
    </row>
    <row r="1476" spans="8:8" ht="15.0" customHeight="1">
      <c r="B1476" s="54">
        <v>1616.0</v>
      </c>
      <c r="C1476" s="8" t="s">
        <v>8351</v>
      </c>
      <c r="D1476" s="8" t="s">
        <v>765</v>
      </c>
      <c r="E1476" s="8" t="s">
        <v>3477</v>
      </c>
      <c r="F1476" s="8" t="s">
        <v>1501</v>
      </c>
      <c r="G1476" s="8"/>
      <c r="H1476" s="8" t="s">
        <v>3477</v>
      </c>
      <c r="I1476" s="8"/>
      <c r="J1476" s="78" t="s">
        <v>5391</v>
      </c>
      <c r="K1476" s="22">
        <v>0.0</v>
      </c>
      <c r="L1476" s="22">
        <f>+SUMIF('حركه المخزن الرئيسي اليوميه'!$F:$F,$H:$H,'حركه المخزن الرئيسي اليوميه'!$H:$H)</f>
        <v>0.0</v>
      </c>
      <c r="M1476" s="22">
        <f>+SUMIF('حركه المخزن الرئيسي اليوميه'!$F:$F,$H:$H,'حركه المخزن الرئيسي اليوميه'!$I:$I)</f>
        <v>0.0</v>
      </c>
      <c r="N1476" s="22">
        <f>+K1476+L1476-M1476</f>
        <v>0.0</v>
      </c>
      <c r="O1476" s="22">
        <f>+N1476</f>
        <v>0.0</v>
      </c>
      <c r="P1476" s="22">
        <f>+N1476-O1476</f>
        <v>0.0</v>
      </c>
      <c r="Q1476" s="57"/>
      <c r="R1476" s="58"/>
    </row>
    <row r="1477" spans="8:8" ht="15.0" customHeight="1">
      <c r="B1477" s="54">
        <v>1617.0</v>
      </c>
      <c r="C1477" s="8" t="s">
        <v>8351</v>
      </c>
      <c r="D1477" s="8" t="s">
        <v>765</v>
      </c>
      <c r="E1477" s="8" t="s">
        <v>3478</v>
      </c>
      <c r="F1477" s="8" t="s">
        <v>1501</v>
      </c>
      <c r="G1477" s="8"/>
      <c r="H1477" s="8" t="s">
        <v>3478</v>
      </c>
      <c r="I1477" s="8"/>
      <c r="J1477" s="78" t="s">
        <v>5392</v>
      </c>
      <c r="K1477" s="22">
        <v>0.0</v>
      </c>
      <c r="L1477" s="22">
        <f>+SUMIF('حركه المخزن الرئيسي اليوميه'!$F:$F,$H:$H,'حركه المخزن الرئيسي اليوميه'!$H:$H)</f>
        <v>0.0</v>
      </c>
      <c r="M1477" s="22">
        <f>+SUMIF('حركه المخزن الرئيسي اليوميه'!$F:$F,$H:$H,'حركه المخزن الرئيسي اليوميه'!$I:$I)</f>
        <v>0.0</v>
      </c>
      <c r="N1477" s="22">
        <f>+K1477+L1477-M1477</f>
        <v>0.0</v>
      </c>
      <c r="O1477" s="22">
        <f>+N1477</f>
        <v>0.0</v>
      </c>
      <c r="P1477" s="22">
        <f>+N1477-O1477</f>
        <v>0.0</v>
      </c>
      <c r="Q1477" s="57"/>
      <c r="R1477" s="58"/>
    </row>
    <row r="1478" spans="8:8" ht="15.0" customHeight="1">
      <c r="B1478" s="54">
        <v>1618.0</v>
      </c>
      <c r="C1478" s="8" t="s">
        <v>8351</v>
      </c>
      <c r="D1478" s="8" t="s">
        <v>765</v>
      </c>
      <c r="E1478" s="8" t="s">
        <v>8191</v>
      </c>
      <c r="F1478" s="8" t="s">
        <v>1501</v>
      </c>
      <c r="G1478" s="8"/>
      <c r="H1478" s="8" t="s">
        <v>8191</v>
      </c>
      <c r="I1478" s="8"/>
      <c r="J1478" s="78" t="s">
        <v>5393</v>
      </c>
      <c r="K1478" s="22">
        <v>1.0</v>
      </c>
      <c r="L1478" s="22">
        <f>+SUMIF('حركه المخزن الرئيسي اليوميه'!$F:$F,$H:$H,'حركه المخزن الرئيسي اليوميه'!$H:$H)</f>
        <v>0.0</v>
      </c>
      <c r="M1478" s="22">
        <f>+SUMIF('حركه المخزن الرئيسي اليوميه'!$F:$F,$H:$H,'حركه المخزن الرئيسي اليوميه'!$I:$I)</f>
        <v>0.0</v>
      </c>
      <c r="N1478" s="22">
        <f>+K1478+L1478-M1478</f>
        <v>1.0</v>
      </c>
      <c r="O1478" s="22">
        <f>+N1478</f>
        <v>1.0</v>
      </c>
      <c r="P1478" s="22">
        <f>+N1478-O1478</f>
        <v>0.0</v>
      </c>
      <c r="Q1478" s="57"/>
      <c r="R1478" s="58"/>
    </row>
    <row r="1479" spans="8:8" ht="15.0" customHeight="1">
      <c r="B1479" s="54">
        <v>1619.0</v>
      </c>
      <c r="C1479" s="8" t="s">
        <v>8351</v>
      </c>
      <c r="D1479" s="8" t="s">
        <v>765</v>
      </c>
      <c r="E1479" s="8" t="s">
        <v>1863</v>
      </c>
      <c r="F1479" s="8" t="s">
        <v>1501</v>
      </c>
      <c r="G1479" s="8"/>
      <c r="H1479" s="8" t="s">
        <v>3479</v>
      </c>
      <c r="I1479" s="8" t="s">
        <v>357</v>
      </c>
      <c r="J1479" s="78" t="s">
        <v>5394</v>
      </c>
      <c r="K1479" s="22">
        <v>435.0</v>
      </c>
      <c r="L1479" s="22">
        <f>+SUMIF('حركه المخزن الرئيسي اليوميه'!$F:$F,$H:$H,'حركه المخزن الرئيسي اليوميه'!$H:$H)</f>
        <v>0.0</v>
      </c>
      <c r="M1479" s="22">
        <f>+SUMIF('حركه المخزن الرئيسي اليوميه'!$F:$F,$H:$H,'حركه المخزن الرئيسي اليوميه'!$I:$I)</f>
        <v>0.0</v>
      </c>
      <c r="N1479" s="22">
        <f>+K1479+L1479-M1479</f>
        <v>435.0</v>
      </c>
      <c r="O1479" s="22">
        <f>+N1479</f>
        <v>435.0</v>
      </c>
      <c r="P1479" s="22">
        <f>+N1479-O1479</f>
        <v>0.0</v>
      </c>
      <c r="Q1479" s="57"/>
      <c r="R1479" s="58"/>
    </row>
    <row r="1480" spans="8:8" ht="15.0" customHeight="1">
      <c r="B1480" s="54">
        <v>1620.0</v>
      </c>
      <c r="C1480" s="8" t="s">
        <v>8351</v>
      </c>
      <c r="D1480" s="8" t="s">
        <v>765</v>
      </c>
      <c r="E1480" s="8" t="s">
        <v>3501</v>
      </c>
      <c r="F1480" s="8" t="s">
        <v>1501</v>
      </c>
      <c r="G1480" s="8"/>
      <c r="H1480" s="8" t="s">
        <v>3501</v>
      </c>
      <c r="I1480" s="8" t="s">
        <v>8100</v>
      </c>
      <c r="J1480" s="78" t="s">
        <v>5395</v>
      </c>
      <c r="K1480" s="22">
        <v>42.0</v>
      </c>
      <c r="L1480" s="22">
        <f>+SUMIF('حركه المخزن الرئيسي اليوميه'!$F:$F,$H:$H,'حركه المخزن الرئيسي اليوميه'!$H:$H)</f>
        <v>0.0</v>
      </c>
      <c r="M1480" s="22">
        <f>+SUMIF('حركه المخزن الرئيسي اليوميه'!$F:$F,$H:$H,'حركه المخزن الرئيسي اليوميه'!$I:$I)</f>
        <v>0.0</v>
      </c>
      <c r="N1480" s="22">
        <f>+K1480+L1480-M1480</f>
        <v>42.0</v>
      </c>
      <c r="O1480" s="22">
        <f>+N1480</f>
        <v>42.0</v>
      </c>
      <c r="P1480" s="22">
        <f>+N1480-O1480</f>
        <v>0.0</v>
      </c>
      <c r="Q1480" s="57"/>
      <c r="R1480" s="58"/>
    </row>
    <row r="1481" spans="8:8" ht="15.0" customHeight="1">
      <c r="B1481" s="54">
        <v>1621.0</v>
      </c>
      <c r="C1481" s="8" t="s">
        <v>8351</v>
      </c>
      <c r="D1481" s="8" t="s">
        <v>765</v>
      </c>
      <c r="E1481" s="8" t="s">
        <v>3502</v>
      </c>
      <c r="F1481" s="8" t="s">
        <v>1501</v>
      </c>
      <c r="G1481" s="8"/>
      <c r="H1481" s="8" t="s">
        <v>3502</v>
      </c>
      <c r="I1481" s="8" t="s">
        <v>8101</v>
      </c>
      <c r="J1481" s="78" t="s">
        <v>5396</v>
      </c>
      <c r="K1481" s="22">
        <v>7.0</v>
      </c>
      <c r="L1481" s="22">
        <f>+SUMIF('حركه المخزن الرئيسي اليوميه'!$F:$F,$H:$H,'حركه المخزن الرئيسي اليوميه'!$H:$H)</f>
        <v>0.0</v>
      </c>
      <c r="M1481" s="22">
        <f>+SUMIF('حركه المخزن الرئيسي اليوميه'!$F:$F,$H:$H,'حركه المخزن الرئيسي اليوميه'!$I:$I)</f>
        <v>0.0</v>
      </c>
      <c r="N1481" s="22">
        <f>+K1481+L1481-M1481</f>
        <v>7.0</v>
      </c>
      <c r="O1481" s="22">
        <f>+N1481</f>
        <v>7.0</v>
      </c>
      <c r="P1481" s="22">
        <f>+N1481-O1481</f>
        <v>0.0</v>
      </c>
      <c r="Q1481" s="57"/>
      <c r="R1481" s="58"/>
    </row>
    <row r="1482" spans="8:8" ht="15.0" customHeight="1">
      <c r="B1482" s="54">
        <v>1622.0</v>
      </c>
      <c r="C1482" s="8" t="s">
        <v>8351</v>
      </c>
      <c r="D1482" s="8" t="s">
        <v>765</v>
      </c>
      <c r="E1482" s="8" t="s">
        <v>3480</v>
      </c>
      <c r="F1482" s="8" t="s">
        <v>1573</v>
      </c>
      <c r="G1482" s="8"/>
      <c r="H1482" s="8" t="s">
        <v>3480</v>
      </c>
      <c r="I1482" s="8" t="s">
        <v>3604</v>
      </c>
      <c r="J1482" s="78" t="s">
        <v>5397</v>
      </c>
      <c r="K1482" s="22">
        <v>2.0</v>
      </c>
      <c r="L1482" s="22">
        <f>+SUMIF('حركه المخزن الرئيسي اليوميه'!$F:$F,$H:$H,'حركه المخزن الرئيسي اليوميه'!$H:$H)</f>
        <v>0.0</v>
      </c>
      <c r="M1482" s="22">
        <f>+SUMIF('حركه المخزن الرئيسي اليوميه'!$F:$F,$H:$H,'حركه المخزن الرئيسي اليوميه'!$I:$I)</f>
        <v>0.0</v>
      </c>
      <c r="N1482" s="22">
        <f>+K1482+L1482-M1482</f>
        <v>2.0</v>
      </c>
      <c r="O1482" s="22">
        <f>+N1482</f>
        <v>2.0</v>
      </c>
      <c r="P1482" s="22">
        <f>+N1482-O1482</f>
        <v>0.0</v>
      </c>
      <c r="Q1482" s="57"/>
      <c r="R1482" s="58"/>
    </row>
    <row r="1483" spans="8:8" ht="15.0" customHeight="1">
      <c r="B1483" s="54">
        <v>1623.0</v>
      </c>
      <c r="C1483" s="8" t="s">
        <v>8351</v>
      </c>
      <c r="D1483" s="8" t="s">
        <v>765</v>
      </c>
      <c r="E1483" s="8" t="s">
        <v>3481</v>
      </c>
      <c r="F1483" s="8" t="s">
        <v>1501</v>
      </c>
      <c r="G1483" s="8"/>
      <c r="H1483" s="8" t="s">
        <v>3481</v>
      </c>
      <c r="I1483" s="8" t="s">
        <v>818</v>
      </c>
      <c r="J1483" s="78" t="s">
        <v>5398</v>
      </c>
      <c r="K1483" s="22">
        <v>0.0</v>
      </c>
      <c r="L1483" s="22">
        <f>+SUMIF('حركه المخزن الرئيسي اليوميه'!$F:$F,$H:$H,'حركه المخزن الرئيسي اليوميه'!$H:$H)</f>
        <v>0.0</v>
      </c>
      <c r="M1483" s="22">
        <f>+SUMIF('حركه المخزن الرئيسي اليوميه'!$F:$F,$H:$H,'حركه المخزن الرئيسي اليوميه'!$I:$I)</f>
        <v>0.0</v>
      </c>
      <c r="N1483" s="22">
        <f>+K1483+L1483-M1483</f>
        <v>0.0</v>
      </c>
      <c r="O1483" s="22">
        <f>+N1483</f>
        <v>0.0</v>
      </c>
      <c r="P1483" s="22">
        <f>+N1483-O1483</f>
        <v>0.0</v>
      </c>
      <c r="Q1483" s="57"/>
      <c r="R1483" s="58"/>
    </row>
    <row r="1484" spans="8:8" ht="15.0" customHeight="1">
      <c r="B1484" s="54">
        <v>1624.0</v>
      </c>
      <c r="C1484" s="8" t="s">
        <v>8351</v>
      </c>
      <c r="D1484" s="8" t="s">
        <v>765</v>
      </c>
      <c r="E1484" s="8" t="s">
        <v>3482</v>
      </c>
      <c r="F1484" s="8" t="s">
        <v>1501</v>
      </c>
      <c r="G1484" s="8"/>
      <c r="H1484" s="8" t="s">
        <v>3482</v>
      </c>
      <c r="I1484" s="8"/>
      <c r="J1484" s="78" t="s">
        <v>5399</v>
      </c>
      <c r="K1484" s="22">
        <v>0.0</v>
      </c>
      <c r="L1484" s="22">
        <f>+SUMIF('حركه المخزن الرئيسي اليوميه'!$F:$F,$H:$H,'حركه المخزن الرئيسي اليوميه'!$H:$H)</f>
        <v>0.0</v>
      </c>
      <c r="M1484" s="22">
        <f>+SUMIF('حركه المخزن الرئيسي اليوميه'!$F:$F,$H:$H,'حركه المخزن الرئيسي اليوميه'!$I:$I)</f>
        <v>0.0</v>
      </c>
      <c r="N1484" s="22">
        <f>+K1484+L1484-M1484</f>
        <v>0.0</v>
      </c>
      <c r="O1484" s="22">
        <f>+N1484</f>
        <v>0.0</v>
      </c>
      <c r="P1484" s="22">
        <f>+N1484-O1484</f>
        <v>0.0</v>
      </c>
      <c r="Q1484" s="57"/>
      <c r="R1484" s="58"/>
    </row>
    <row r="1485" spans="8:8" ht="15.0" customHeight="1">
      <c r="B1485" s="54">
        <v>1625.0</v>
      </c>
      <c r="C1485" s="8" t="s">
        <v>8351</v>
      </c>
      <c r="D1485" s="8" t="s">
        <v>765</v>
      </c>
      <c r="E1485" s="8" t="s">
        <v>3483</v>
      </c>
      <c r="F1485" s="8" t="s">
        <v>1501</v>
      </c>
      <c r="G1485" s="8"/>
      <c r="H1485" s="8" t="s">
        <v>3485</v>
      </c>
      <c r="I1485" s="8"/>
      <c r="J1485" s="78" t="s">
        <v>5400</v>
      </c>
      <c r="K1485" s="22">
        <v>0.0</v>
      </c>
      <c r="L1485" s="22">
        <f>+SUMIF('حركه المخزن الرئيسي اليوميه'!$F:$F,$H:$H,'حركه المخزن الرئيسي اليوميه'!$H:$H)</f>
        <v>0.0</v>
      </c>
      <c r="M1485" s="22">
        <f>+SUMIF('حركه المخزن الرئيسي اليوميه'!$F:$F,$H:$H,'حركه المخزن الرئيسي اليوميه'!$I:$I)</f>
        <v>0.0</v>
      </c>
      <c r="N1485" s="22">
        <f>+K1485+L1485-M1485</f>
        <v>0.0</v>
      </c>
      <c r="O1485" s="22">
        <f>+N1485</f>
        <v>0.0</v>
      </c>
      <c r="P1485" s="22">
        <f>+N1485-O1485</f>
        <v>0.0</v>
      </c>
      <c r="Q1485" s="57"/>
      <c r="R1485" s="58"/>
    </row>
    <row r="1486" spans="8:8" ht="15.0" customHeight="1">
      <c r="B1486" s="54">
        <v>1626.0</v>
      </c>
      <c r="C1486" s="8" t="s">
        <v>8351</v>
      </c>
      <c r="D1486" s="8" t="s">
        <v>765</v>
      </c>
      <c r="E1486" s="8" t="s">
        <v>3484</v>
      </c>
      <c r="F1486" s="8" t="s">
        <v>1501</v>
      </c>
      <c r="G1486" s="8"/>
      <c r="H1486" s="8" t="s">
        <v>3484</v>
      </c>
      <c r="I1486" s="8"/>
      <c r="J1486" s="78" t="s">
        <v>5401</v>
      </c>
      <c r="K1486" s="22">
        <v>0.0</v>
      </c>
      <c r="L1486" s="22">
        <f>+SUMIF('حركه المخزن الرئيسي اليوميه'!$F:$F,$H:$H,'حركه المخزن الرئيسي اليوميه'!$H:$H)</f>
        <v>0.0</v>
      </c>
      <c r="M1486" s="22">
        <f>+SUMIF('حركه المخزن الرئيسي اليوميه'!$F:$F,$H:$H,'حركه المخزن الرئيسي اليوميه'!$I:$I)</f>
        <v>0.0</v>
      </c>
      <c r="N1486" s="22">
        <f>+K1486+L1486-M1486</f>
        <v>0.0</v>
      </c>
      <c r="O1486" s="22">
        <f>+N1486</f>
        <v>0.0</v>
      </c>
      <c r="P1486" s="22">
        <f>+N1486-O1486</f>
        <v>0.0</v>
      </c>
      <c r="Q1486" s="57"/>
      <c r="R1486" s="58"/>
    </row>
    <row r="1487" spans="8:8" ht="15.0" customHeight="1">
      <c r="B1487" s="54">
        <v>1627.0</v>
      </c>
      <c r="C1487" s="8" t="s">
        <v>8351</v>
      </c>
      <c r="D1487" s="8" t="s">
        <v>1019</v>
      </c>
      <c r="E1487" s="8" t="s">
        <v>3487</v>
      </c>
      <c r="F1487" s="8" t="s">
        <v>1501</v>
      </c>
      <c r="G1487" s="8"/>
      <c r="H1487" s="8" t="s">
        <v>3487</v>
      </c>
      <c r="I1487" s="8" t="s">
        <v>767</v>
      </c>
      <c r="J1487" s="78" t="s">
        <v>5402</v>
      </c>
      <c r="K1487" s="22">
        <v>0.0</v>
      </c>
      <c r="L1487" s="22">
        <f>+SUMIF('حركه المخزن الرئيسي اليوميه'!$F:$F,$H:$H,'حركه المخزن الرئيسي اليوميه'!$H:$H)</f>
        <v>0.0</v>
      </c>
      <c r="M1487" s="22">
        <f>+SUMIF('حركه المخزن الرئيسي اليوميه'!$F:$F,$H:$H,'حركه المخزن الرئيسي اليوميه'!$I:$I)</f>
        <v>0.0</v>
      </c>
      <c r="N1487" s="22">
        <f>+K1487+L1487-M1487</f>
        <v>0.0</v>
      </c>
      <c r="O1487" s="22">
        <f>+N1487</f>
        <v>0.0</v>
      </c>
      <c r="P1487" s="22">
        <f>+N1487-O1487</f>
        <v>0.0</v>
      </c>
      <c r="Q1487" s="57"/>
      <c r="R1487" s="58"/>
    </row>
    <row r="1488" spans="8:8" ht="15.0" customHeight="1">
      <c r="B1488" s="54">
        <v>1628.0</v>
      </c>
      <c r="C1488" s="8" t="s">
        <v>8351</v>
      </c>
      <c r="D1488" s="8" t="s">
        <v>1019</v>
      </c>
      <c r="E1488" s="8" t="s">
        <v>3488</v>
      </c>
      <c r="F1488" s="8" t="s">
        <v>1501</v>
      </c>
      <c r="G1488" s="8"/>
      <c r="H1488" s="8" t="s">
        <v>3488</v>
      </c>
      <c r="I1488" s="8" t="s">
        <v>767</v>
      </c>
      <c r="J1488" s="78" t="s">
        <v>5403</v>
      </c>
      <c r="K1488" s="22">
        <v>0.0</v>
      </c>
      <c r="L1488" s="22">
        <f>+SUMIF('حركه المخزن الرئيسي اليوميه'!$F:$F,$H:$H,'حركه المخزن الرئيسي اليوميه'!$H:$H)</f>
        <v>0.0</v>
      </c>
      <c r="M1488" s="22">
        <f>+SUMIF('حركه المخزن الرئيسي اليوميه'!$F:$F,$H:$H,'حركه المخزن الرئيسي اليوميه'!$I:$I)</f>
        <v>0.0</v>
      </c>
      <c r="N1488" s="22">
        <f>+K1488+L1488-M1488</f>
        <v>0.0</v>
      </c>
      <c r="O1488" s="22">
        <f>+N1488</f>
        <v>0.0</v>
      </c>
      <c r="P1488" s="22">
        <f>+N1488-O1488</f>
        <v>0.0</v>
      </c>
      <c r="Q1488" s="57"/>
      <c r="R1488" s="58"/>
    </row>
    <row r="1489" spans="8:8" ht="15.0" customHeight="1">
      <c r="B1489" s="54">
        <v>1629.0</v>
      </c>
      <c r="C1489" s="8" t="s">
        <v>8351</v>
      </c>
      <c r="D1489" s="8" t="s">
        <v>1019</v>
      </c>
      <c r="E1489" s="8" t="s">
        <v>3489</v>
      </c>
      <c r="F1489" s="8" t="s">
        <v>1501</v>
      </c>
      <c r="G1489" s="8"/>
      <c r="H1489" s="8" t="s">
        <v>3489</v>
      </c>
      <c r="I1489" s="8" t="s">
        <v>767</v>
      </c>
      <c r="J1489" s="78" t="s">
        <v>5404</v>
      </c>
      <c r="K1489" s="22">
        <v>0.0</v>
      </c>
      <c r="L1489" s="22">
        <f>+SUMIF('حركه المخزن الرئيسي اليوميه'!$F:$F,$H:$H,'حركه المخزن الرئيسي اليوميه'!$H:$H)</f>
        <v>0.0</v>
      </c>
      <c r="M1489" s="22">
        <f>+SUMIF('حركه المخزن الرئيسي اليوميه'!$F:$F,$H:$H,'حركه المخزن الرئيسي اليوميه'!$I:$I)</f>
        <v>0.0</v>
      </c>
      <c r="N1489" s="22">
        <f>+K1489+L1489-M1489</f>
        <v>0.0</v>
      </c>
      <c r="O1489" s="22">
        <f>+N1489</f>
        <v>0.0</v>
      </c>
      <c r="P1489" s="22">
        <f>+N1489-O1489</f>
        <v>0.0</v>
      </c>
      <c r="Q1489" s="57"/>
      <c r="R1489" s="58"/>
    </row>
    <row r="1490" spans="8:8" ht="15.0" customHeight="1">
      <c r="B1490" s="54">
        <v>1630.0</v>
      </c>
      <c r="C1490" s="8" t="s">
        <v>8351</v>
      </c>
      <c r="D1490" s="8" t="s">
        <v>1019</v>
      </c>
      <c r="E1490" s="8" t="s">
        <v>3490</v>
      </c>
      <c r="F1490" s="8" t="s">
        <v>1501</v>
      </c>
      <c r="G1490" s="8"/>
      <c r="H1490" s="8" t="s">
        <v>3490</v>
      </c>
      <c r="I1490" s="8" t="s">
        <v>767</v>
      </c>
      <c r="J1490" s="78" t="s">
        <v>5405</v>
      </c>
      <c r="K1490" s="22">
        <v>0.0</v>
      </c>
      <c r="L1490" s="22">
        <f>+SUMIF('حركه المخزن الرئيسي اليوميه'!$F:$F,$H:$H,'حركه المخزن الرئيسي اليوميه'!$H:$H)</f>
        <v>0.0</v>
      </c>
      <c r="M1490" s="22">
        <f>+SUMIF('حركه المخزن الرئيسي اليوميه'!$F:$F,$H:$H,'حركه المخزن الرئيسي اليوميه'!$I:$I)</f>
        <v>0.0</v>
      </c>
      <c r="N1490" s="22">
        <f>+K1490+L1490-M1490</f>
        <v>0.0</v>
      </c>
      <c r="O1490" s="22">
        <f>+N1490</f>
        <v>0.0</v>
      </c>
      <c r="P1490" s="22">
        <f>+N1490-O1490</f>
        <v>0.0</v>
      </c>
      <c r="Q1490" s="57"/>
      <c r="R1490" s="58"/>
    </row>
    <row r="1491" spans="8:8" ht="15.0" customHeight="1">
      <c r="B1491" s="54">
        <v>1631.0</v>
      </c>
      <c r="C1491" s="8" t="s">
        <v>8351</v>
      </c>
      <c r="D1491" s="8" t="s">
        <v>1019</v>
      </c>
      <c r="E1491" s="8" t="s">
        <v>3491</v>
      </c>
      <c r="F1491" s="8" t="s">
        <v>1501</v>
      </c>
      <c r="G1491" s="8"/>
      <c r="H1491" s="8" t="s">
        <v>3491</v>
      </c>
      <c r="I1491" s="8" t="s">
        <v>767</v>
      </c>
      <c r="J1491" s="78" t="s">
        <v>5406</v>
      </c>
      <c r="K1491" s="22">
        <v>0.0</v>
      </c>
      <c r="L1491" s="22">
        <f>+SUMIF('حركه المخزن الرئيسي اليوميه'!$F:$F,$H:$H,'حركه المخزن الرئيسي اليوميه'!$H:$H)</f>
        <v>0.0</v>
      </c>
      <c r="M1491" s="22">
        <f>+SUMIF('حركه المخزن الرئيسي اليوميه'!$F:$F,$H:$H,'حركه المخزن الرئيسي اليوميه'!$I:$I)</f>
        <v>0.0</v>
      </c>
      <c r="N1491" s="22">
        <f>+K1491+L1491-M1491</f>
        <v>0.0</v>
      </c>
      <c r="O1491" s="22">
        <f>+N1491</f>
        <v>0.0</v>
      </c>
      <c r="P1491" s="22">
        <f>+N1491-O1491</f>
        <v>0.0</v>
      </c>
      <c r="Q1491" s="57"/>
      <c r="R1491" s="58"/>
    </row>
    <row r="1492" spans="8:8" ht="15.0" customHeight="1">
      <c r="B1492" s="54">
        <v>1632.0</v>
      </c>
      <c r="C1492" s="8" t="s">
        <v>8351</v>
      </c>
      <c r="D1492" s="8" t="s">
        <v>3486</v>
      </c>
      <c r="E1492" s="8" t="s">
        <v>3492</v>
      </c>
      <c r="F1492" s="8" t="s">
        <v>1501</v>
      </c>
      <c r="G1492" s="8"/>
      <c r="H1492" s="8" t="s">
        <v>3492</v>
      </c>
      <c r="I1492" s="8" t="s">
        <v>818</v>
      </c>
      <c r="J1492" s="78" t="s">
        <v>5407</v>
      </c>
      <c r="K1492" s="22">
        <v>0.0</v>
      </c>
      <c r="L1492" s="22">
        <f>+SUMIF('حركه المخزن الرئيسي اليوميه'!$F:$F,$H:$H,'حركه المخزن الرئيسي اليوميه'!$H:$H)</f>
        <v>0.0</v>
      </c>
      <c r="M1492" s="22">
        <f>+SUMIF('حركه المخزن الرئيسي اليوميه'!$F:$F,$H:$H,'حركه المخزن الرئيسي اليوميه'!$I:$I)</f>
        <v>0.0</v>
      </c>
      <c r="N1492" s="22">
        <f>+K1492+L1492-M1492</f>
        <v>0.0</v>
      </c>
      <c r="O1492" s="22">
        <f>+N1492</f>
        <v>0.0</v>
      </c>
      <c r="P1492" s="22">
        <f>+N1492-O1492</f>
        <v>0.0</v>
      </c>
      <c r="Q1492" s="57"/>
      <c r="R1492" s="58"/>
    </row>
    <row r="1493" spans="8:8" ht="15.0" customHeight="1">
      <c r="B1493" s="54">
        <v>1633.0</v>
      </c>
      <c r="C1493" s="8" t="s">
        <v>8351</v>
      </c>
      <c r="D1493" s="8" t="s">
        <v>3486</v>
      </c>
      <c r="E1493" s="8" t="s">
        <v>3493</v>
      </c>
      <c r="F1493" s="8" t="s">
        <v>1501</v>
      </c>
      <c r="G1493" s="8"/>
      <c r="H1493" s="8" t="s">
        <v>3493</v>
      </c>
      <c r="I1493" s="8" t="s">
        <v>818</v>
      </c>
      <c r="J1493" s="78" t="s">
        <v>5408</v>
      </c>
      <c r="K1493" s="22">
        <v>0.0</v>
      </c>
      <c r="L1493" s="22">
        <f>+SUMIF('حركه المخزن الرئيسي اليوميه'!$F:$F,$H:$H,'حركه المخزن الرئيسي اليوميه'!$H:$H)</f>
        <v>0.0</v>
      </c>
      <c r="M1493" s="22">
        <f>+SUMIF('حركه المخزن الرئيسي اليوميه'!$F:$F,$H:$H,'حركه المخزن الرئيسي اليوميه'!$I:$I)</f>
        <v>0.0</v>
      </c>
      <c r="N1493" s="22">
        <f>+K1493+L1493-M1493</f>
        <v>0.0</v>
      </c>
      <c r="O1493" s="22">
        <f>+N1493</f>
        <v>0.0</v>
      </c>
      <c r="P1493" s="22">
        <f>+N1493-O1493</f>
        <v>0.0</v>
      </c>
      <c r="Q1493" s="57"/>
      <c r="R1493" s="58"/>
    </row>
    <row r="1494" spans="8:8" ht="15.0" customHeight="1">
      <c r="B1494" s="54">
        <v>1634.0</v>
      </c>
      <c r="C1494" s="8" t="s">
        <v>8351</v>
      </c>
      <c r="D1494" s="8" t="s">
        <v>1018</v>
      </c>
      <c r="E1494" s="8" t="s">
        <v>3494</v>
      </c>
      <c r="F1494" s="8" t="s">
        <v>1501</v>
      </c>
      <c r="G1494" s="8"/>
      <c r="H1494" s="8" t="s">
        <v>3494</v>
      </c>
      <c r="I1494" s="8" t="s">
        <v>224</v>
      </c>
      <c r="J1494" s="78" t="s">
        <v>5409</v>
      </c>
      <c r="K1494" s="22">
        <v>4.0</v>
      </c>
      <c r="L1494" s="22">
        <f>+SUMIF('حركه المخزن الرئيسي اليوميه'!$F:$F,$H:$H,'حركه المخزن الرئيسي اليوميه'!$H:$H)</f>
        <v>0.0</v>
      </c>
      <c r="M1494" s="22">
        <f>+SUMIF('حركه المخزن الرئيسي اليوميه'!$F:$F,$H:$H,'حركه المخزن الرئيسي اليوميه'!$I:$I)</f>
        <v>0.0</v>
      </c>
      <c r="N1494" s="22">
        <f>+K1494+L1494-M1494</f>
        <v>4.0</v>
      </c>
      <c r="O1494" s="22">
        <f>+N1494</f>
        <v>4.0</v>
      </c>
      <c r="P1494" s="22">
        <f>+N1494-O1494</f>
        <v>0.0</v>
      </c>
      <c r="Q1494" s="57"/>
      <c r="R1494" s="58"/>
    </row>
    <row r="1495" spans="8:8" ht="15.0" customHeight="1">
      <c r="B1495" s="54">
        <v>1635.0</v>
      </c>
      <c r="C1495" s="8" t="s">
        <v>8351</v>
      </c>
      <c r="D1495" s="8" t="s">
        <v>1013</v>
      </c>
      <c r="E1495" s="8" t="s">
        <v>3644</v>
      </c>
      <c r="F1495" s="8" t="s">
        <v>1501</v>
      </c>
      <c r="G1495" s="8"/>
      <c r="H1495" s="8" t="s">
        <v>3644</v>
      </c>
      <c r="I1495" s="8" t="s">
        <v>8183</v>
      </c>
      <c r="J1495" s="78" t="s">
        <v>5410</v>
      </c>
      <c r="K1495" s="22">
        <v>3.0</v>
      </c>
      <c r="L1495" s="22">
        <f>+SUMIF('حركه المخزن الرئيسي اليوميه'!$F:$F,$H:$H,'حركه المخزن الرئيسي اليوميه'!$H:$H)</f>
        <v>0.0</v>
      </c>
      <c r="M1495" s="22">
        <f>+SUMIF('حركه المخزن الرئيسي اليوميه'!$F:$F,$H:$H,'حركه المخزن الرئيسي اليوميه'!$I:$I)</f>
        <v>0.0</v>
      </c>
      <c r="N1495" s="22">
        <f>+K1495+L1495-M1495</f>
        <v>3.0</v>
      </c>
      <c r="O1495" s="22">
        <f>+N1495</f>
        <v>3.0</v>
      </c>
      <c r="P1495" s="22">
        <f>+N1495-O1495</f>
        <v>0.0</v>
      </c>
      <c r="Q1495" s="57"/>
      <c r="R1495" s="58"/>
    </row>
    <row r="1496" spans="8:8" ht="15.0" customHeight="1">
      <c r="B1496" s="54">
        <v>1636.0</v>
      </c>
      <c r="C1496" s="8" t="s">
        <v>8351</v>
      </c>
      <c r="D1496" s="8" t="s">
        <v>3497</v>
      </c>
      <c r="E1496" s="8" t="s">
        <v>3496</v>
      </c>
      <c r="F1496" s="8" t="s">
        <v>1501</v>
      </c>
      <c r="G1496" s="8"/>
      <c r="H1496" s="8" t="s">
        <v>3496</v>
      </c>
      <c r="I1496" s="55" t="s">
        <v>177</v>
      </c>
      <c r="J1496" s="78" t="s">
        <v>5411</v>
      </c>
      <c r="K1496" s="22">
        <v>7.0</v>
      </c>
      <c r="L1496" s="22">
        <f>+SUMIF('حركه المخزن الرئيسي اليوميه'!$F:$F,$H:$H,'حركه المخزن الرئيسي اليوميه'!$H:$H)</f>
        <v>0.0</v>
      </c>
      <c r="M1496" s="22">
        <f>+SUMIF('حركه المخزن الرئيسي اليوميه'!$F:$F,$H:$H,'حركه المخزن الرئيسي اليوميه'!$I:$I)</f>
        <v>0.0</v>
      </c>
      <c r="N1496" s="22">
        <f>+K1496+L1496-M1496</f>
        <v>7.0</v>
      </c>
      <c r="O1496" s="22">
        <f>+N1496</f>
        <v>7.0</v>
      </c>
      <c r="P1496" s="22">
        <f>+N1496-O1496</f>
        <v>0.0</v>
      </c>
      <c r="Q1496" s="57"/>
      <c r="R1496" s="58"/>
    </row>
    <row r="1497" spans="8:8" ht="15.0" customHeight="1">
      <c r="B1497" s="54">
        <v>1637.0</v>
      </c>
      <c r="C1497" s="8" t="s">
        <v>8351</v>
      </c>
      <c r="D1497" s="8" t="s">
        <v>1019</v>
      </c>
      <c r="E1497" s="8" t="s">
        <v>3498</v>
      </c>
      <c r="F1497" s="8" t="s">
        <v>1501</v>
      </c>
      <c r="G1497" s="8"/>
      <c r="H1497" s="8" t="s">
        <v>3498</v>
      </c>
      <c r="I1497" s="55" t="s">
        <v>767</v>
      </c>
      <c r="J1497" s="78" t="s">
        <v>5412</v>
      </c>
      <c r="K1497" s="22">
        <v>0.0</v>
      </c>
      <c r="L1497" s="22">
        <f>+SUMIF('حركه المخزن الرئيسي اليوميه'!$F:$F,$H:$H,'حركه المخزن الرئيسي اليوميه'!$H:$H)</f>
        <v>0.0</v>
      </c>
      <c r="M1497" s="22">
        <f>+SUMIF('حركه المخزن الرئيسي اليوميه'!$F:$F,$H:$H,'حركه المخزن الرئيسي اليوميه'!$I:$I)</f>
        <v>0.0</v>
      </c>
      <c r="N1497" s="22">
        <f>+K1497+L1497-M1497</f>
        <v>0.0</v>
      </c>
      <c r="O1497" s="22">
        <f>+N1497</f>
        <v>0.0</v>
      </c>
      <c r="P1497" s="22">
        <f>+N1497-O1497</f>
        <v>0.0</v>
      </c>
      <c r="Q1497" s="57"/>
      <c r="R1497" s="58"/>
    </row>
    <row r="1498" spans="8:8" ht="15.0" customHeight="1">
      <c r="B1498" s="54">
        <v>1638.0</v>
      </c>
      <c r="C1498" s="8" t="s">
        <v>8351</v>
      </c>
      <c r="D1498" s="8" t="s">
        <v>3500</v>
      </c>
      <c r="E1498" s="8" t="s">
        <v>3499</v>
      </c>
      <c r="F1498" s="8" t="s">
        <v>1501</v>
      </c>
      <c r="G1498" s="8"/>
      <c r="H1498" s="8" t="s">
        <v>3499</v>
      </c>
      <c r="I1498" s="55" t="s">
        <v>767</v>
      </c>
      <c r="J1498" s="78" t="s">
        <v>5413</v>
      </c>
      <c r="K1498" s="22">
        <v>0.0</v>
      </c>
      <c r="L1498" s="22">
        <f>+SUMIF('حركه المخزن الرئيسي اليوميه'!$F:$F,$H:$H,'حركه المخزن الرئيسي اليوميه'!$H:$H)</f>
        <v>0.0</v>
      </c>
      <c r="M1498" s="22">
        <f>+SUMIF('حركه المخزن الرئيسي اليوميه'!$F:$F,$H:$H,'حركه المخزن الرئيسي اليوميه'!$I:$I)</f>
        <v>0.0</v>
      </c>
      <c r="N1498" s="22">
        <f>+K1498+L1498-M1498</f>
        <v>0.0</v>
      </c>
      <c r="O1498" s="22">
        <f>+N1498</f>
        <v>0.0</v>
      </c>
      <c r="P1498" s="22">
        <f>+N1498-O1498</f>
        <v>0.0</v>
      </c>
      <c r="Q1498" s="57"/>
      <c r="R1498" s="58"/>
    </row>
    <row r="1499" spans="8:8" ht="15.0" customHeight="1">
      <c r="B1499" s="54">
        <v>1639.0</v>
      </c>
      <c r="C1499" s="8" t="s">
        <v>8351</v>
      </c>
      <c r="D1499" s="8" t="s">
        <v>765</v>
      </c>
      <c r="E1499" s="8" t="s">
        <v>3508</v>
      </c>
      <c r="F1499" s="8" t="s">
        <v>1501</v>
      </c>
      <c r="G1499" s="8"/>
      <c r="H1499" s="8" t="s">
        <v>3508</v>
      </c>
      <c r="I1499" s="55" t="s">
        <v>174</v>
      </c>
      <c r="J1499" s="78" t="s">
        <v>5414</v>
      </c>
      <c r="K1499" s="22">
        <v>0.0</v>
      </c>
      <c r="L1499" s="22">
        <f>+SUMIF('حركه المخزن الرئيسي اليوميه'!$F:$F,$H:$H,'حركه المخزن الرئيسي اليوميه'!$H:$H)</f>
        <v>0.0</v>
      </c>
      <c r="M1499" s="22">
        <f>+SUMIF('حركه المخزن الرئيسي اليوميه'!$F:$F,$H:$H,'حركه المخزن الرئيسي اليوميه'!$I:$I)</f>
        <v>0.0</v>
      </c>
      <c r="N1499" s="22">
        <f>+K1499+L1499-M1499</f>
        <v>0.0</v>
      </c>
      <c r="O1499" s="22">
        <f>+N1499</f>
        <v>0.0</v>
      </c>
      <c r="P1499" s="22">
        <f>+N1499-O1499</f>
        <v>0.0</v>
      </c>
      <c r="Q1499" s="57"/>
      <c r="R1499" s="58"/>
    </row>
    <row r="1500" spans="8:8" ht="15.0" customHeight="1">
      <c r="B1500" s="54">
        <v>1640.0</v>
      </c>
      <c r="C1500" s="8" t="s">
        <v>8351</v>
      </c>
      <c r="D1500" s="8" t="s">
        <v>765</v>
      </c>
      <c r="E1500" s="8" t="s">
        <v>3509</v>
      </c>
      <c r="F1500" s="8" t="s">
        <v>1501</v>
      </c>
      <c r="G1500" s="8"/>
      <c r="H1500" s="8" t="s">
        <v>3509</v>
      </c>
      <c r="I1500" s="8" t="s">
        <v>286</v>
      </c>
      <c r="J1500" s="78" t="s">
        <v>5415</v>
      </c>
      <c r="K1500" s="22">
        <v>0.0</v>
      </c>
      <c r="L1500" s="22">
        <f>+SUMIF('حركه المخزن الرئيسي اليوميه'!$F:$F,$H:$H,'حركه المخزن الرئيسي اليوميه'!$H:$H)</f>
        <v>0.0</v>
      </c>
      <c r="M1500" s="22">
        <f>+SUMIF('حركه المخزن الرئيسي اليوميه'!$F:$F,$H:$H,'حركه المخزن الرئيسي اليوميه'!$I:$I)</f>
        <v>0.0</v>
      </c>
      <c r="N1500" s="22">
        <f>+K1500+L1500-M1500</f>
        <v>0.0</v>
      </c>
      <c r="O1500" s="22">
        <f>+N1500</f>
        <v>0.0</v>
      </c>
      <c r="P1500" s="22">
        <f>+N1500-O1500</f>
        <v>0.0</v>
      </c>
      <c r="Q1500" s="57"/>
      <c r="R1500" s="58"/>
    </row>
    <row r="1501" spans="8:8" ht="15.0" customHeight="1">
      <c r="B1501" s="54">
        <v>1641.0</v>
      </c>
      <c r="C1501" s="8" t="s">
        <v>8351</v>
      </c>
      <c r="D1501" s="8" t="s">
        <v>765</v>
      </c>
      <c r="E1501" s="8" t="s">
        <v>3510</v>
      </c>
      <c r="F1501" s="8" t="s">
        <v>1501</v>
      </c>
      <c r="G1501" s="8"/>
      <c r="H1501" s="8" t="s">
        <v>3510</v>
      </c>
      <c r="I1501" s="8" t="s">
        <v>286</v>
      </c>
      <c r="J1501" s="78" t="s">
        <v>5416</v>
      </c>
      <c r="K1501" s="22">
        <v>11.0</v>
      </c>
      <c r="L1501" s="22">
        <f>+SUMIF('حركه المخزن الرئيسي اليوميه'!$F:$F,$H:$H,'حركه المخزن الرئيسي اليوميه'!$H:$H)</f>
        <v>0.0</v>
      </c>
      <c r="M1501" s="22">
        <f>+SUMIF('حركه المخزن الرئيسي اليوميه'!$F:$F,$H:$H,'حركه المخزن الرئيسي اليوميه'!$I:$I)</f>
        <v>0.0</v>
      </c>
      <c r="N1501" s="22">
        <f>+K1501+L1501-M1501</f>
        <v>11.0</v>
      </c>
      <c r="O1501" s="22">
        <f>+N1501</f>
        <v>11.0</v>
      </c>
      <c r="P1501" s="22">
        <f>+N1501-O1501</f>
        <v>0.0</v>
      </c>
      <c r="Q1501" s="57"/>
      <c r="R1501" s="58"/>
    </row>
    <row r="1502" spans="8:8" ht="15.0" customHeight="1">
      <c r="B1502" s="54">
        <v>1642.0</v>
      </c>
      <c r="C1502" s="8" t="s">
        <v>8351</v>
      </c>
      <c r="D1502" s="8" t="s">
        <v>765</v>
      </c>
      <c r="E1502" s="8" t="s">
        <v>3511</v>
      </c>
      <c r="F1502" s="8" t="s">
        <v>1501</v>
      </c>
      <c r="G1502" s="8"/>
      <c r="H1502" s="8" t="s">
        <v>3511</v>
      </c>
      <c r="I1502" s="8" t="s">
        <v>286</v>
      </c>
      <c r="J1502" s="78" t="s">
        <v>5417</v>
      </c>
      <c r="K1502" s="22">
        <v>10.0</v>
      </c>
      <c r="L1502" s="22">
        <f>+SUMIF('حركه المخزن الرئيسي اليوميه'!$F:$F,$H:$H,'حركه المخزن الرئيسي اليوميه'!$H:$H)</f>
        <v>0.0</v>
      </c>
      <c r="M1502" s="22">
        <f>+SUMIF('حركه المخزن الرئيسي اليوميه'!$F:$F,$H:$H,'حركه المخزن الرئيسي اليوميه'!$I:$I)</f>
        <v>0.0</v>
      </c>
      <c r="N1502" s="22">
        <f>+K1502+L1502-M1502</f>
        <v>10.0</v>
      </c>
      <c r="O1502" s="22">
        <f>+N1502</f>
        <v>10.0</v>
      </c>
      <c r="P1502" s="22">
        <f>+N1502-O1502</f>
        <v>0.0</v>
      </c>
      <c r="Q1502" s="57"/>
      <c r="R1502" s="58"/>
    </row>
    <row r="1503" spans="8:8" ht="15.0" customHeight="1">
      <c r="B1503" s="54">
        <v>1643.0</v>
      </c>
      <c r="C1503" s="8" t="s">
        <v>8351</v>
      </c>
      <c r="D1503" s="8" t="s">
        <v>765</v>
      </c>
      <c r="E1503" s="8" t="s">
        <v>3512</v>
      </c>
      <c r="F1503" s="8" t="s">
        <v>1573</v>
      </c>
      <c r="G1503" s="8"/>
      <c r="H1503" s="8" t="s">
        <v>3512</v>
      </c>
      <c r="I1503" s="55"/>
      <c r="J1503" s="78" t="s">
        <v>5418</v>
      </c>
      <c r="K1503" s="22">
        <v>0.0</v>
      </c>
      <c r="L1503" s="22">
        <f>+SUMIF('حركه المخزن الرئيسي اليوميه'!$F:$F,$H:$H,'حركه المخزن الرئيسي اليوميه'!$H:$H)</f>
        <v>0.0</v>
      </c>
      <c r="M1503" s="22">
        <f>+SUMIF('حركه المخزن الرئيسي اليوميه'!$F:$F,$H:$H,'حركه المخزن الرئيسي اليوميه'!$I:$I)</f>
        <v>0.0</v>
      </c>
      <c r="N1503" s="22">
        <f>+K1503+L1503-M1503</f>
        <v>0.0</v>
      </c>
      <c r="O1503" s="22">
        <f>+N1503</f>
        <v>0.0</v>
      </c>
      <c r="P1503" s="22">
        <f>+N1503-O1503</f>
        <v>0.0</v>
      </c>
      <c r="Q1503" s="57"/>
      <c r="R1503" s="58"/>
    </row>
    <row r="1504" spans="8:8" ht="15.0" customHeight="1">
      <c r="B1504" s="54">
        <v>1644.0</v>
      </c>
      <c r="C1504" s="8" t="s">
        <v>8351</v>
      </c>
      <c r="D1504" s="8" t="s">
        <v>765</v>
      </c>
      <c r="E1504" s="8" t="s">
        <v>3514</v>
      </c>
      <c r="F1504" s="8" t="s">
        <v>1501</v>
      </c>
      <c r="G1504" s="8"/>
      <c r="H1504" s="8" t="s">
        <v>3514</v>
      </c>
      <c r="I1504" s="55" t="s">
        <v>148</v>
      </c>
      <c r="J1504" s="78" t="s">
        <v>5419</v>
      </c>
      <c r="K1504" s="22">
        <v>3.0</v>
      </c>
      <c r="L1504" s="22">
        <f>+SUMIF('حركه المخزن الرئيسي اليوميه'!$F:$F,$H:$H,'حركه المخزن الرئيسي اليوميه'!$H:$H)</f>
        <v>0.0</v>
      </c>
      <c r="M1504" s="22">
        <f>+SUMIF('حركه المخزن الرئيسي اليوميه'!$F:$F,$H:$H,'حركه المخزن الرئيسي اليوميه'!$I:$I)</f>
        <v>0.0</v>
      </c>
      <c r="N1504" s="22">
        <f>+K1504+L1504-M1504</f>
        <v>3.0</v>
      </c>
      <c r="O1504" s="22">
        <f>+N1504</f>
        <v>3.0</v>
      </c>
      <c r="P1504" s="22">
        <f>+N1504-O1504</f>
        <v>0.0</v>
      </c>
      <c r="Q1504" s="57"/>
      <c r="R1504" s="59"/>
    </row>
    <row r="1505" spans="8:8" ht="15.0" customHeight="1">
      <c r="B1505" s="54">
        <v>1645.0</v>
      </c>
      <c r="C1505" s="8" t="s">
        <v>8351</v>
      </c>
      <c r="D1505" s="8" t="s">
        <v>765</v>
      </c>
      <c r="E1505" s="8" t="s">
        <v>8185</v>
      </c>
      <c r="F1505" s="8" t="s">
        <v>1501</v>
      </c>
      <c r="G1505" s="8"/>
      <c r="H1505" s="8" t="s">
        <v>8185</v>
      </c>
      <c r="I1505" s="8" t="s">
        <v>8160</v>
      </c>
      <c r="J1505" s="78" t="s">
        <v>5420</v>
      </c>
      <c r="K1505" s="22">
        <v>2.0</v>
      </c>
      <c r="L1505" s="22">
        <f>+SUMIF('حركه المخزن الرئيسي اليوميه'!$F:$F,$H:$H,'حركه المخزن الرئيسي اليوميه'!$H:$H)</f>
        <v>0.0</v>
      </c>
      <c r="M1505" s="22">
        <f>+SUMIF('حركه المخزن الرئيسي اليوميه'!$F:$F,$H:$H,'حركه المخزن الرئيسي اليوميه'!$I:$I)</f>
        <v>0.0</v>
      </c>
      <c r="N1505" s="22">
        <f>+K1505+L1505-M1505</f>
        <v>2.0</v>
      </c>
      <c r="O1505" s="22">
        <f>+N1505</f>
        <v>2.0</v>
      </c>
      <c r="P1505" s="22">
        <f>+N1505-O1505</f>
        <v>0.0</v>
      </c>
      <c r="Q1505" s="57"/>
      <c r="R1505" s="58"/>
    </row>
    <row r="1506" spans="8:8" ht="15.0" customHeight="1">
      <c r="B1506" s="54">
        <v>1646.0</v>
      </c>
      <c r="C1506" s="8" t="s">
        <v>8351</v>
      </c>
      <c r="D1506" s="8" t="s">
        <v>765</v>
      </c>
      <c r="E1506" s="8" t="s">
        <v>3891</v>
      </c>
      <c r="F1506" s="8" t="s">
        <v>1501</v>
      </c>
      <c r="G1506" s="8"/>
      <c r="H1506" s="8" t="s">
        <v>3891</v>
      </c>
      <c r="I1506" s="8" t="s">
        <v>286</v>
      </c>
      <c r="J1506" s="78" t="s">
        <v>5421</v>
      </c>
      <c r="K1506" s="22">
        <v>8.0</v>
      </c>
      <c r="L1506" s="22">
        <f>+SUMIF('حركه المخزن الرئيسي اليوميه'!$F:$F,$H:$H,'حركه المخزن الرئيسي اليوميه'!$H:$H)</f>
        <v>0.0</v>
      </c>
      <c r="M1506" s="22">
        <f>+SUMIF('حركه المخزن الرئيسي اليوميه'!$F:$F,$H:$H,'حركه المخزن الرئيسي اليوميه'!$I:$I)</f>
        <v>0.0</v>
      </c>
      <c r="N1506" s="22">
        <f>+K1506+L1506-M1506</f>
        <v>8.0</v>
      </c>
      <c r="O1506" s="22">
        <f>+N1506</f>
        <v>8.0</v>
      </c>
      <c r="P1506" s="22">
        <f>+N1506-O1506</f>
        <v>0.0</v>
      </c>
      <c r="Q1506" s="57"/>
      <c r="R1506" s="58"/>
    </row>
    <row r="1507" spans="8:8" ht="15.0" customHeight="1">
      <c r="B1507" s="54">
        <v>1647.0</v>
      </c>
      <c r="C1507" s="8" t="s">
        <v>8351</v>
      </c>
      <c r="D1507" s="8" t="s">
        <v>765</v>
      </c>
      <c r="E1507" s="8" t="s">
        <v>3554</v>
      </c>
      <c r="F1507" s="8" t="s">
        <v>1501</v>
      </c>
      <c r="G1507" s="8"/>
      <c r="H1507" s="8" t="s">
        <v>3554</v>
      </c>
      <c r="I1507" s="55"/>
      <c r="J1507" s="78" t="s">
        <v>5422</v>
      </c>
      <c r="K1507" s="22">
        <v>0.0</v>
      </c>
      <c r="L1507" s="22">
        <f>+SUMIF('حركه المخزن الرئيسي اليوميه'!$F:$F,$H:$H,'حركه المخزن الرئيسي اليوميه'!$H:$H)</f>
        <v>0.0</v>
      </c>
      <c r="M1507" s="22">
        <f>+SUMIF('حركه المخزن الرئيسي اليوميه'!$F:$F,$H:$H,'حركه المخزن الرئيسي اليوميه'!$I:$I)</f>
        <v>0.0</v>
      </c>
      <c r="N1507" s="22">
        <f>+K1507+L1507-M1507</f>
        <v>0.0</v>
      </c>
      <c r="O1507" s="22">
        <f>+N1507</f>
        <v>0.0</v>
      </c>
      <c r="P1507" s="22">
        <f>+N1507-O1507</f>
        <v>0.0</v>
      </c>
      <c r="Q1507" s="57"/>
      <c r="R1507" s="58"/>
    </row>
    <row r="1508" spans="8:8" ht="15.0" customHeight="1">
      <c r="B1508" s="54">
        <v>1648.0</v>
      </c>
      <c r="C1508" s="8" t="s">
        <v>8351</v>
      </c>
      <c r="D1508" s="8" t="s">
        <v>765</v>
      </c>
      <c r="E1508" s="8" t="s">
        <v>3555</v>
      </c>
      <c r="F1508" s="8" t="s">
        <v>1501</v>
      </c>
      <c r="G1508" s="8"/>
      <c r="H1508" s="8" t="s">
        <v>3555</v>
      </c>
      <c r="I1508" s="55"/>
      <c r="J1508" s="78" t="s">
        <v>5423</v>
      </c>
      <c r="K1508" s="22">
        <v>0.0</v>
      </c>
      <c r="L1508" s="22">
        <f>+SUMIF('حركه المخزن الرئيسي اليوميه'!$F:$F,$H:$H,'حركه المخزن الرئيسي اليوميه'!$H:$H)</f>
        <v>0.0</v>
      </c>
      <c r="M1508" s="22">
        <f>+SUMIF('حركه المخزن الرئيسي اليوميه'!$F:$F,$H:$H,'حركه المخزن الرئيسي اليوميه'!$I:$I)</f>
        <v>0.0</v>
      </c>
      <c r="N1508" s="22">
        <f>+K1508+L1508-M1508</f>
        <v>0.0</v>
      </c>
      <c r="O1508" s="22">
        <f>+N1508</f>
        <v>0.0</v>
      </c>
      <c r="P1508" s="22">
        <f>+N1508-O1508</f>
        <v>0.0</v>
      </c>
      <c r="Q1508" s="57"/>
      <c r="R1508" s="58"/>
    </row>
    <row r="1509" spans="8:8" ht="15.0" customHeight="1">
      <c r="B1509" s="54">
        <v>1649.0</v>
      </c>
      <c r="C1509" s="8" t="s">
        <v>8351</v>
      </c>
      <c r="D1509" s="8" t="s">
        <v>765</v>
      </c>
      <c r="E1509" s="8" t="s">
        <v>3556</v>
      </c>
      <c r="F1509" s="8" t="s">
        <v>1501</v>
      </c>
      <c r="G1509" s="8"/>
      <c r="H1509" s="8" t="s">
        <v>3556</v>
      </c>
      <c r="I1509" s="55"/>
      <c r="J1509" s="78" t="s">
        <v>5424</v>
      </c>
      <c r="K1509" s="22">
        <v>0.0</v>
      </c>
      <c r="L1509" s="22">
        <f>+SUMIF('حركه المخزن الرئيسي اليوميه'!$F:$F,$H:$H,'حركه المخزن الرئيسي اليوميه'!$H:$H)</f>
        <v>0.0</v>
      </c>
      <c r="M1509" s="22">
        <f>+SUMIF('حركه المخزن الرئيسي اليوميه'!$F:$F,$H:$H,'حركه المخزن الرئيسي اليوميه'!$I:$I)</f>
        <v>0.0</v>
      </c>
      <c r="N1509" s="22">
        <f>+K1509+L1509-M1509</f>
        <v>0.0</v>
      </c>
      <c r="O1509" s="22">
        <f>+N1509</f>
        <v>0.0</v>
      </c>
      <c r="P1509" s="22">
        <f>+N1509-O1509</f>
        <v>0.0</v>
      </c>
      <c r="Q1509" s="57"/>
      <c r="R1509" s="58"/>
    </row>
    <row r="1510" spans="8:8" ht="15.0" customHeight="1">
      <c r="B1510" s="54">
        <v>1650.0</v>
      </c>
      <c r="C1510" s="8" t="s">
        <v>8351</v>
      </c>
      <c r="D1510" s="8" t="s">
        <v>765</v>
      </c>
      <c r="E1510" s="8" t="s">
        <v>3557</v>
      </c>
      <c r="F1510" s="8" t="s">
        <v>1501</v>
      </c>
      <c r="G1510" s="8"/>
      <c r="H1510" s="8" t="s">
        <v>3557</v>
      </c>
      <c r="I1510" s="55"/>
      <c r="J1510" s="78" t="s">
        <v>5425</v>
      </c>
      <c r="K1510" s="22">
        <v>0.0</v>
      </c>
      <c r="L1510" s="22">
        <f>+SUMIF('حركه المخزن الرئيسي اليوميه'!$F:$F,$H:$H,'حركه المخزن الرئيسي اليوميه'!$H:$H)</f>
        <v>0.0</v>
      </c>
      <c r="M1510" s="22">
        <f>+SUMIF('حركه المخزن الرئيسي اليوميه'!$F:$F,$H:$H,'حركه المخزن الرئيسي اليوميه'!$I:$I)</f>
        <v>0.0</v>
      </c>
      <c r="N1510" s="22">
        <f>+K1510+L1510-M1510</f>
        <v>0.0</v>
      </c>
      <c r="O1510" s="22">
        <f>+N1510</f>
        <v>0.0</v>
      </c>
      <c r="P1510" s="22">
        <f>+N1510-O1510</f>
        <v>0.0</v>
      </c>
      <c r="Q1510" s="57"/>
      <c r="R1510" s="58"/>
    </row>
    <row r="1511" spans="8:8" ht="15.0" customHeight="1">
      <c r="B1511" s="54">
        <v>1651.0</v>
      </c>
      <c r="C1511" s="8" t="s">
        <v>8351</v>
      </c>
      <c r="D1511" s="8" t="s">
        <v>765</v>
      </c>
      <c r="E1511" s="8" t="s">
        <v>3558</v>
      </c>
      <c r="F1511" s="8" t="s">
        <v>1501</v>
      </c>
      <c r="G1511" s="8"/>
      <c r="H1511" s="8" t="s">
        <v>3558</v>
      </c>
      <c r="I1511" s="55"/>
      <c r="J1511" s="78" t="s">
        <v>5426</v>
      </c>
      <c r="K1511" s="22">
        <v>0.0</v>
      </c>
      <c r="L1511" s="22">
        <f>+SUMIF('حركه المخزن الرئيسي اليوميه'!$F:$F,$H:$H,'حركه المخزن الرئيسي اليوميه'!$H:$H)</f>
        <v>0.0</v>
      </c>
      <c r="M1511" s="22">
        <f>+SUMIF('حركه المخزن الرئيسي اليوميه'!$F:$F,$H:$H,'حركه المخزن الرئيسي اليوميه'!$I:$I)</f>
        <v>0.0</v>
      </c>
      <c r="N1511" s="22">
        <f>+K1511+L1511-M1511</f>
        <v>0.0</v>
      </c>
      <c r="O1511" s="22">
        <f>+N1511</f>
        <v>0.0</v>
      </c>
      <c r="P1511" s="22">
        <f>+N1511-O1511</f>
        <v>0.0</v>
      </c>
      <c r="Q1511" s="57"/>
      <c r="R1511" s="58"/>
    </row>
    <row r="1512" spans="8:8" ht="15.0" customHeight="1">
      <c r="B1512" s="54">
        <v>1652.0</v>
      </c>
      <c r="C1512" s="8" t="s">
        <v>8351</v>
      </c>
      <c r="D1512" s="8" t="s">
        <v>765</v>
      </c>
      <c r="E1512" s="8" t="s">
        <v>3559</v>
      </c>
      <c r="F1512" s="8" t="s">
        <v>1501</v>
      </c>
      <c r="G1512" s="8"/>
      <c r="H1512" s="8" t="s">
        <v>3559</v>
      </c>
      <c r="I1512" s="55"/>
      <c r="J1512" s="78" t="s">
        <v>5427</v>
      </c>
      <c r="K1512" s="22">
        <v>0.0</v>
      </c>
      <c r="L1512" s="22">
        <f>+SUMIF('حركه المخزن الرئيسي اليوميه'!$F:$F,$H:$H,'حركه المخزن الرئيسي اليوميه'!$H:$H)</f>
        <v>0.0</v>
      </c>
      <c r="M1512" s="22">
        <f>+SUMIF('حركه المخزن الرئيسي اليوميه'!$F:$F,$H:$H,'حركه المخزن الرئيسي اليوميه'!$I:$I)</f>
        <v>0.0</v>
      </c>
      <c r="N1512" s="22">
        <f>+K1512+L1512-M1512</f>
        <v>0.0</v>
      </c>
      <c r="O1512" s="22">
        <f>+N1512</f>
        <v>0.0</v>
      </c>
      <c r="P1512" s="22">
        <f>+N1512-O1512</f>
        <v>0.0</v>
      </c>
      <c r="Q1512" s="57"/>
      <c r="R1512" s="58"/>
    </row>
    <row r="1513" spans="8:8" ht="15.0" customHeight="1">
      <c r="B1513" s="54">
        <v>1653.0</v>
      </c>
      <c r="C1513" s="8" t="s">
        <v>8351</v>
      </c>
      <c r="D1513" s="8" t="s">
        <v>765</v>
      </c>
      <c r="E1513" s="8" t="s">
        <v>83</v>
      </c>
      <c r="F1513" s="8" t="s">
        <v>68</v>
      </c>
      <c r="G1513" s="8" t="s">
        <v>1905</v>
      </c>
      <c r="H1513" s="8" t="s">
        <v>3561</v>
      </c>
      <c r="I1513" s="55" t="s">
        <v>78</v>
      </c>
      <c r="J1513" s="78" t="s">
        <v>5428</v>
      </c>
      <c r="K1513" s="22">
        <v>0.0</v>
      </c>
      <c r="L1513" s="22">
        <f>+SUMIF('حركه المخزن الرئيسي اليوميه'!$F:$F,$H:$H,'حركه المخزن الرئيسي اليوميه'!$H:$H)</f>
        <v>0.0</v>
      </c>
      <c r="M1513" s="22">
        <f>+SUMIF('حركه المخزن الرئيسي اليوميه'!$F:$F,$H:$H,'حركه المخزن الرئيسي اليوميه'!$I:$I)</f>
        <v>0.0</v>
      </c>
      <c r="N1513" s="22">
        <f>+K1513+L1513-M1513</f>
        <v>0.0</v>
      </c>
      <c r="O1513" s="22">
        <f>+N1513</f>
        <v>0.0</v>
      </c>
      <c r="P1513" s="22">
        <f>+N1513-O1513</f>
        <v>0.0</v>
      </c>
      <c r="Q1513" s="57"/>
      <c r="R1513" s="58"/>
    </row>
    <row r="1514" spans="8:8" ht="15.0" customHeight="1">
      <c r="B1514" s="54">
        <v>1654.0</v>
      </c>
      <c r="C1514" s="8" t="s">
        <v>8351</v>
      </c>
      <c r="D1514" s="8" t="s">
        <v>765</v>
      </c>
      <c r="E1514" s="8" t="s">
        <v>3562</v>
      </c>
      <c r="F1514" s="8" t="s">
        <v>68</v>
      </c>
      <c r="G1514" s="8"/>
      <c r="H1514" s="8" t="s">
        <v>3562</v>
      </c>
      <c r="I1514" s="55" t="s">
        <v>8162</v>
      </c>
      <c r="J1514" s="78" t="s">
        <v>5429</v>
      </c>
      <c r="K1514" s="22">
        <v>1.0</v>
      </c>
      <c r="L1514" s="22">
        <f>+SUMIF('حركه المخزن الرئيسي اليوميه'!$F:$F,$H:$H,'حركه المخزن الرئيسي اليوميه'!$H:$H)</f>
        <v>0.0</v>
      </c>
      <c r="M1514" s="22">
        <f>+SUMIF('حركه المخزن الرئيسي اليوميه'!$F:$F,$H:$H,'حركه المخزن الرئيسي اليوميه'!$I:$I)</f>
        <v>0.0</v>
      </c>
      <c r="N1514" s="22">
        <f>+K1514+L1514-M1514</f>
        <v>1.0</v>
      </c>
      <c r="O1514" s="22">
        <f>+N1514</f>
        <v>1.0</v>
      </c>
      <c r="P1514" s="22">
        <f>+N1514-O1514</f>
        <v>0.0</v>
      </c>
      <c r="Q1514" s="57"/>
      <c r="R1514" s="58"/>
    </row>
    <row r="1515" spans="8:8" ht="15.0" customHeight="1">
      <c r="B1515" s="54">
        <v>1655.0</v>
      </c>
      <c r="C1515" s="8" t="s">
        <v>8351</v>
      </c>
      <c r="D1515" s="8" t="s">
        <v>765</v>
      </c>
      <c r="E1515" s="8" t="s">
        <v>3565</v>
      </c>
      <c r="F1515" s="8" t="s">
        <v>1139</v>
      </c>
      <c r="G1515" s="8"/>
      <c r="H1515" s="8" t="s">
        <v>3565</v>
      </c>
      <c r="I1515" s="55"/>
      <c r="J1515" s="78" t="s">
        <v>5430</v>
      </c>
      <c r="K1515" s="22">
        <v>0.0</v>
      </c>
      <c r="L1515" s="22">
        <f>+SUMIF('حركه المخزن الرئيسي اليوميه'!$F:$F,$H:$H,'حركه المخزن الرئيسي اليوميه'!$H:$H)</f>
        <v>0.0</v>
      </c>
      <c r="M1515" s="22">
        <f>+SUMIF('حركه المخزن الرئيسي اليوميه'!$F:$F,$H:$H,'حركه المخزن الرئيسي اليوميه'!$I:$I)</f>
        <v>0.0</v>
      </c>
      <c r="N1515" s="22">
        <f>+K1515+L1515-M1515</f>
        <v>0.0</v>
      </c>
      <c r="O1515" s="22">
        <f>+N1515</f>
        <v>0.0</v>
      </c>
      <c r="P1515" s="22">
        <f>+N1515-O1515</f>
        <v>0.0</v>
      </c>
      <c r="Q1515" s="57"/>
      <c r="R1515" s="58"/>
    </row>
    <row r="1516" spans="8:8" ht="15.0" customHeight="1">
      <c r="B1516" s="54">
        <v>1656.0</v>
      </c>
      <c r="C1516" s="8" t="s">
        <v>8351</v>
      </c>
      <c r="D1516" s="8" t="s">
        <v>765</v>
      </c>
      <c r="E1516" s="8" t="s">
        <v>3566</v>
      </c>
      <c r="F1516" s="8" t="s">
        <v>1443</v>
      </c>
      <c r="G1516" s="8"/>
      <c r="H1516" s="8" t="s">
        <v>3566</v>
      </c>
      <c r="I1516" s="8" t="s">
        <v>818</v>
      </c>
      <c r="J1516" s="78" t="s">
        <v>5431</v>
      </c>
      <c r="K1516" s="22">
        <v>0.0</v>
      </c>
      <c r="L1516" s="22">
        <f>+SUMIF('حركه المخزن الرئيسي اليوميه'!$F:$F,$H:$H,'حركه المخزن الرئيسي اليوميه'!$H:$H)</f>
        <v>0.0</v>
      </c>
      <c r="M1516" s="22">
        <f>+SUMIF('حركه المخزن الرئيسي اليوميه'!$F:$F,$H:$H,'حركه المخزن الرئيسي اليوميه'!$I:$I)</f>
        <v>0.0</v>
      </c>
      <c r="N1516" s="22">
        <f>+K1516+L1516-M1516</f>
        <v>0.0</v>
      </c>
      <c r="O1516" s="22">
        <f>+N1516</f>
        <v>0.0</v>
      </c>
      <c r="P1516" s="22">
        <f>+N1516-O1516</f>
        <v>0.0</v>
      </c>
      <c r="Q1516" s="57"/>
      <c r="R1516" s="58"/>
    </row>
    <row r="1517" spans="8:8" ht="15.0" customHeight="1">
      <c r="B1517" s="54">
        <v>1657.0</v>
      </c>
      <c r="C1517" s="8" t="s">
        <v>8351</v>
      </c>
      <c r="D1517" s="8" t="s">
        <v>765</v>
      </c>
      <c r="E1517" s="8" t="s">
        <v>8117</v>
      </c>
      <c r="F1517" s="8" t="s">
        <v>68</v>
      </c>
      <c r="G1517" s="8"/>
      <c r="H1517" s="8" t="s">
        <v>8117</v>
      </c>
      <c r="I1517" s="55"/>
      <c r="J1517" s="78" t="s">
        <v>5432</v>
      </c>
      <c r="K1517" s="22">
        <v>0.0</v>
      </c>
      <c r="L1517" s="22">
        <f>+SUMIF('حركه المخزن الرئيسي اليوميه'!$F:$F,$H:$H,'حركه المخزن الرئيسي اليوميه'!$H:$H)</f>
        <v>0.0</v>
      </c>
      <c r="M1517" s="22">
        <f>+SUMIF('حركه المخزن الرئيسي اليوميه'!$F:$F,$H:$H,'حركه المخزن الرئيسي اليوميه'!$I:$I)</f>
        <v>0.0</v>
      </c>
      <c r="N1517" s="22">
        <f>+K1517+L1517-M1517</f>
        <v>0.0</v>
      </c>
      <c r="O1517" s="22">
        <f>+N1517</f>
        <v>0.0</v>
      </c>
      <c r="P1517" s="22">
        <f>+N1517-O1517</f>
        <v>0.0</v>
      </c>
      <c r="Q1517" s="57"/>
      <c r="R1517" s="58"/>
    </row>
    <row r="1518" spans="8:8" ht="15.0" customHeight="1">
      <c r="B1518" s="54">
        <v>1658.0</v>
      </c>
      <c r="C1518" s="8" t="s">
        <v>8351</v>
      </c>
      <c r="D1518" s="8" t="s">
        <v>765</v>
      </c>
      <c r="E1518" s="8" t="s">
        <v>3569</v>
      </c>
      <c r="F1518" s="8" t="s">
        <v>68</v>
      </c>
      <c r="G1518" s="8"/>
      <c r="H1518" s="8" t="s">
        <v>3569</v>
      </c>
      <c r="I1518" s="8" t="s">
        <v>818</v>
      </c>
      <c r="J1518" s="78" t="s">
        <v>5433</v>
      </c>
      <c r="K1518" s="22">
        <v>1.0</v>
      </c>
      <c r="L1518" s="22">
        <f>+SUMIF('حركه المخزن الرئيسي اليوميه'!$F:$F,$H:$H,'حركه المخزن الرئيسي اليوميه'!$H:$H)</f>
        <v>0.0</v>
      </c>
      <c r="M1518" s="22">
        <f>+SUMIF('حركه المخزن الرئيسي اليوميه'!$F:$F,$H:$H,'حركه المخزن الرئيسي اليوميه'!$I:$I)</f>
        <v>0.0</v>
      </c>
      <c r="N1518" s="22">
        <f>+K1518+L1518-M1518</f>
        <v>1.0</v>
      </c>
      <c r="O1518" s="22">
        <f>+N1518</f>
        <v>1.0</v>
      </c>
      <c r="P1518" s="22">
        <f>+N1518-O1518</f>
        <v>0.0</v>
      </c>
      <c r="Q1518" s="57"/>
      <c r="R1518" s="58"/>
    </row>
    <row r="1519" spans="8:8" ht="15.0" customHeight="1">
      <c r="B1519" s="54">
        <v>1659.0</v>
      </c>
      <c r="C1519" s="8" t="s">
        <v>8351</v>
      </c>
      <c r="D1519" s="8" t="s">
        <v>765</v>
      </c>
      <c r="E1519" s="8" t="s">
        <v>3570</v>
      </c>
      <c r="F1519" s="8" t="s">
        <v>68</v>
      </c>
      <c r="G1519" s="8"/>
      <c r="H1519" s="8" t="s">
        <v>3570</v>
      </c>
      <c r="I1519" s="55" t="s">
        <v>371</v>
      </c>
      <c r="J1519" s="78" t="s">
        <v>5434</v>
      </c>
      <c r="K1519" s="22">
        <v>0.0</v>
      </c>
      <c r="L1519" s="22">
        <f>+SUMIF('حركه المخزن الرئيسي اليوميه'!$F:$F,$H:$H,'حركه المخزن الرئيسي اليوميه'!$H:$H)</f>
        <v>0.0</v>
      </c>
      <c r="M1519" s="22">
        <f>+SUMIF('حركه المخزن الرئيسي اليوميه'!$F:$F,$H:$H,'حركه المخزن الرئيسي اليوميه'!$I:$I)</f>
        <v>0.0</v>
      </c>
      <c r="N1519" s="22">
        <f>+K1519+L1519-M1519</f>
        <v>0.0</v>
      </c>
      <c r="O1519" s="22">
        <f>+N1519</f>
        <v>0.0</v>
      </c>
      <c r="P1519" s="22">
        <f>+N1519-O1519</f>
        <v>0.0</v>
      </c>
      <c r="Q1519" s="57"/>
      <c r="R1519" s="58"/>
    </row>
    <row r="1520" spans="8:8" ht="15.0" customHeight="1">
      <c r="B1520" s="54">
        <v>1660.0</v>
      </c>
      <c r="C1520" s="8" t="s">
        <v>8351</v>
      </c>
      <c r="D1520" s="8" t="s">
        <v>765</v>
      </c>
      <c r="E1520" s="8" t="s">
        <v>3571</v>
      </c>
      <c r="F1520" s="8" t="s">
        <v>68</v>
      </c>
      <c r="G1520" s="8"/>
      <c r="H1520" s="8" t="s">
        <v>3571</v>
      </c>
      <c r="I1520" s="55" t="s">
        <v>3605</v>
      </c>
      <c r="J1520" s="78" t="s">
        <v>5435</v>
      </c>
      <c r="K1520" s="22">
        <v>0.0</v>
      </c>
      <c r="L1520" s="22">
        <f>+SUMIF('حركه المخزن الرئيسي اليوميه'!$F:$F,$H:$H,'حركه المخزن الرئيسي اليوميه'!$H:$H)</f>
        <v>0.0</v>
      </c>
      <c r="M1520" s="22">
        <f>+SUMIF('حركه المخزن الرئيسي اليوميه'!$F:$F,$H:$H,'حركه المخزن الرئيسي اليوميه'!$I:$I)</f>
        <v>0.0</v>
      </c>
      <c r="N1520" s="22">
        <f>+K1520+L1520-M1520</f>
        <v>0.0</v>
      </c>
      <c r="O1520" s="22">
        <f>+N1520</f>
        <v>0.0</v>
      </c>
      <c r="P1520" s="22">
        <f>+N1520-O1520</f>
        <v>0.0</v>
      </c>
      <c r="Q1520" s="57"/>
      <c r="R1520" s="58"/>
    </row>
    <row r="1521" spans="8:8" ht="15.0" customHeight="1">
      <c r="B1521" s="54">
        <v>1661.0</v>
      </c>
      <c r="C1521" s="8" t="s">
        <v>8351</v>
      </c>
      <c r="D1521" s="8" t="s">
        <v>765</v>
      </c>
      <c r="E1521" s="8" t="s">
        <v>3578</v>
      </c>
      <c r="F1521" s="8" t="s">
        <v>68</v>
      </c>
      <c r="G1521" s="8"/>
      <c r="H1521" s="8" t="s">
        <v>3578</v>
      </c>
      <c r="I1521" s="55" t="s">
        <v>3605</v>
      </c>
      <c r="J1521" s="78" t="s">
        <v>5436</v>
      </c>
      <c r="K1521" s="22">
        <v>0.0</v>
      </c>
      <c r="L1521" s="22">
        <f>+SUMIF('حركه المخزن الرئيسي اليوميه'!$F:$F,$H:$H,'حركه المخزن الرئيسي اليوميه'!$H:$H)</f>
        <v>0.0</v>
      </c>
      <c r="M1521" s="22">
        <f>+SUMIF('حركه المخزن الرئيسي اليوميه'!$F:$F,$H:$H,'حركه المخزن الرئيسي اليوميه'!$I:$I)</f>
        <v>0.0</v>
      </c>
      <c r="N1521" s="22">
        <f>+K1521+L1521-M1521</f>
        <v>0.0</v>
      </c>
      <c r="O1521" s="22">
        <f>+N1521</f>
        <v>0.0</v>
      </c>
      <c r="P1521" s="22">
        <f>+N1521-O1521</f>
        <v>0.0</v>
      </c>
      <c r="Q1521" s="57"/>
      <c r="R1521" s="58"/>
    </row>
    <row r="1522" spans="8:8" ht="15.0" customHeight="1">
      <c r="B1522" s="54">
        <v>1662.0</v>
      </c>
      <c r="C1522" s="8" t="s">
        <v>8351</v>
      </c>
      <c r="D1522" s="8" t="s">
        <v>765</v>
      </c>
      <c r="E1522" s="8" t="s">
        <v>3572</v>
      </c>
      <c r="F1522" s="8" t="s">
        <v>68</v>
      </c>
      <c r="G1522" s="8"/>
      <c r="H1522" s="8" t="s">
        <v>3572</v>
      </c>
      <c r="I1522" s="55" t="s">
        <v>3605</v>
      </c>
      <c r="J1522" s="78" t="s">
        <v>5437</v>
      </c>
      <c r="K1522" s="22">
        <v>0.0</v>
      </c>
      <c r="L1522" s="22">
        <f>+SUMIF('حركه المخزن الرئيسي اليوميه'!$F:$F,$H:$H,'حركه المخزن الرئيسي اليوميه'!$H:$H)</f>
        <v>0.0</v>
      </c>
      <c r="M1522" s="22">
        <f>+SUMIF('حركه المخزن الرئيسي اليوميه'!$F:$F,$H:$H,'حركه المخزن الرئيسي اليوميه'!$I:$I)</f>
        <v>0.0</v>
      </c>
      <c r="N1522" s="22">
        <f>+K1522+L1522-M1522</f>
        <v>0.0</v>
      </c>
      <c r="O1522" s="22">
        <f>+N1522</f>
        <v>0.0</v>
      </c>
      <c r="P1522" s="22">
        <f>+N1522-O1522</f>
        <v>0.0</v>
      </c>
      <c r="Q1522" s="57"/>
      <c r="R1522" s="58"/>
    </row>
    <row r="1523" spans="8:8" ht="15.0" customHeight="1">
      <c r="B1523" s="54">
        <v>1663.0</v>
      </c>
      <c r="C1523" s="8" t="s">
        <v>8351</v>
      </c>
      <c r="D1523" s="8" t="s">
        <v>765</v>
      </c>
      <c r="E1523" s="8" t="s">
        <v>3573</v>
      </c>
      <c r="F1523" s="8" t="s">
        <v>68</v>
      </c>
      <c r="G1523" s="8"/>
      <c r="H1523" s="8" t="s">
        <v>3573</v>
      </c>
      <c r="I1523" s="55" t="s">
        <v>3605</v>
      </c>
      <c r="J1523" s="78" t="s">
        <v>5438</v>
      </c>
      <c r="K1523" s="22">
        <v>0.0</v>
      </c>
      <c r="L1523" s="22">
        <f>+SUMIF('حركه المخزن الرئيسي اليوميه'!$F:$F,$H:$H,'حركه المخزن الرئيسي اليوميه'!$H:$H)</f>
        <v>0.0</v>
      </c>
      <c r="M1523" s="22">
        <f>+SUMIF('حركه المخزن الرئيسي اليوميه'!$F:$F,$H:$H,'حركه المخزن الرئيسي اليوميه'!$I:$I)</f>
        <v>0.0</v>
      </c>
      <c r="N1523" s="22">
        <f>+K1523+L1523-M1523</f>
        <v>0.0</v>
      </c>
      <c r="O1523" s="22">
        <f>+N1523</f>
        <v>0.0</v>
      </c>
      <c r="P1523" s="22">
        <f>+N1523-O1523</f>
        <v>0.0</v>
      </c>
      <c r="Q1523" s="57"/>
      <c r="R1523" s="58"/>
    </row>
    <row r="1524" spans="8:8" ht="15.0" customHeight="1">
      <c r="B1524" s="54">
        <v>1664.0</v>
      </c>
      <c r="C1524" s="8" t="s">
        <v>8351</v>
      </c>
      <c r="D1524" s="8" t="s">
        <v>1018</v>
      </c>
      <c r="E1524" s="8" t="s">
        <v>3575</v>
      </c>
      <c r="F1524" s="8" t="s">
        <v>68</v>
      </c>
      <c r="G1524" s="8" t="s">
        <v>3575</v>
      </c>
      <c r="H1524" s="8" t="s">
        <v>3575</v>
      </c>
      <c r="I1524" s="8" t="s">
        <v>224</v>
      </c>
      <c r="J1524" s="78" t="s">
        <v>5439</v>
      </c>
      <c r="K1524" s="22">
        <v>15.0</v>
      </c>
      <c r="L1524" s="22">
        <f>+SUMIF('حركه المخزن الرئيسي اليوميه'!$F:$F,$H:$H,'حركه المخزن الرئيسي اليوميه'!$H:$H)</f>
        <v>0.0</v>
      </c>
      <c r="M1524" s="22">
        <f>+SUMIF('حركه المخزن الرئيسي اليوميه'!$F:$F,$H:$H,'حركه المخزن الرئيسي اليوميه'!$I:$I)</f>
        <v>0.0</v>
      </c>
      <c r="N1524" s="22">
        <f>+K1524+L1524-M1524</f>
        <v>15.0</v>
      </c>
      <c r="O1524" s="22">
        <f>+N1524</f>
        <v>15.0</v>
      </c>
      <c r="P1524" s="22">
        <f>+N1524-O1524</f>
        <v>0.0</v>
      </c>
      <c r="Q1524" s="57"/>
      <c r="R1524" s="58"/>
    </row>
    <row r="1525" spans="8:8" ht="15.0" customHeight="1">
      <c r="B1525" s="54">
        <v>1665.0</v>
      </c>
      <c r="C1525" s="8" t="s">
        <v>8351</v>
      </c>
      <c r="D1525" s="8" t="s">
        <v>765</v>
      </c>
      <c r="E1525" s="8" t="s">
        <v>3590</v>
      </c>
      <c r="F1525" s="8" t="s">
        <v>68</v>
      </c>
      <c r="G1525" s="8"/>
      <c r="H1525" s="8" t="s">
        <v>3590</v>
      </c>
      <c r="I1525" s="8" t="s">
        <v>294</v>
      </c>
      <c r="J1525" s="78" t="s">
        <v>5440</v>
      </c>
      <c r="K1525" s="22">
        <v>2.0</v>
      </c>
      <c r="L1525" s="22">
        <f>+SUMIF('حركه المخزن الرئيسي اليوميه'!$F:$F,$H:$H,'حركه المخزن الرئيسي اليوميه'!$H:$H)</f>
        <v>0.0</v>
      </c>
      <c r="M1525" s="22">
        <f>+SUMIF('حركه المخزن الرئيسي اليوميه'!$F:$F,$H:$H,'حركه المخزن الرئيسي اليوميه'!$I:$I)</f>
        <v>0.0</v>
      </c>
      <c r="N1525" s="22">
        <f>+K1525+L1525-M1525</f>
        <v>2.0</v>
      </c>
      <c r="O1525" s="22">
        <f>+N1525</f>
        <v>2.0</v>
      </c>
      <c r="P1525" s="22">
        <f>+N1525-O1525</f>
        <v>0.0</v>
      </c>
      <c r="Q1525" s="57"/>
      <c r="R1525" s="58"/>
    </row>
    <row r="1526" spans="8:8" ht="15.0" customHeight="1">
      <c r="B1526" s="54">
        <v>1666.0</v>
      </c>
      <c r="C1526" s="8" t="s">
        <v>8351</v>
      </c>
      <c r="D1526" s="8" t="s">
        <v>3606</v>
      </c>
      <c r="E1526" s="8" t="s">
        <v>2548</v>
      </c>
      <c r="F1526" s="8" t="s">
        <v>68</v>
      </c>
      <c r="G1526" s="55" t="s">
        <v>1813</v>
      </c>
      <c r="H1526" s="8" t="s">
        <v>2548</v>
      </c>
      <c r="I1526" s="8" t="s">
        <v>818</v>
      </c>
      <c r="J1526" s="78" t="s">
        <v>5441</v>
      </c>
      <c r="K1526" s="22">
        <v>2.0</v>
      </c>
      <c r="L1526" s="22">
        <f>+SUMIF('حركه المخزن الرئيسي اليوميه'!$F:$F,$H:$H,'حركه المخزن الرئيسي اليوميه'!$H:$H)</f>
        <v>0.0</v>
      </c>
      <c r="M1526" s="22">
        <f>+SUMIF('حركه المخزن الرئيسي اليوميه'!$F:$F,$H:$H,'حركه المخزن الرئيسي اليوميه'!$I:$I)</f>
        <v>0.0</v>
      </c>
      <c r="N1526" s="22">
        <f>+K1526+L1526-M1526</f>
        <v>2.0</v>
      </c>
      <c r="O1526" s="22">
        <f>+N1526</f>
        <v>2.0</v>
      </c>
      <c r="P1526" s="22">
        <f>+N1526-O1526</f>
        <v>0.0</v>
      </c>
      <c r="Q1526" s="57"/>
      <c r="R1526" s="58"/>
    </row>
    <row r="1527" spans="8:8" ht="15.0" customHeight="1">
      <c r="B1527" s="54">
        <v>1667.0</v>
      </c>
      <c r="C1527" s="8" t="s">
        <v>8351</v>
      </c>
      <c r="D1527" s="8" t="s">
        <v>3606</v>
      </c>
      <c r="E1527" s="8" t="s">
        <v>8113</v>
      </c>
      <c r="F1527" s="8" t="s">
        <v>68</v>
      </c>
      <c r="G1527" s="8"/>
      <c r="H1527" s="8" t="s">
        <v>8113</v>
      </c>
      <c r="I1527" s="8" t="s">
        <v>818</v>
      </c>
      <c r="J1527" s="78" t="s">
        <v>5442</v>
      </c>
      <c r="K1527" s="22">
        <v>1.0</v>
      </c>
      <c r="L1527" s="22">
        <f>+SUMIF('حركه المخزن الرئيسي اليوميه'!$F:$F,$H:$H,'حركه المخزن الرئيسي اليوميه'!$H:$H)</f>
        <v>0.0</v>
      </c>
      <c r="M1527" s="22">
        <f>+SUMIF('حركه المخزن الرئيسي اليوميه'!$F:$F,$H:$H,'حركه المخزن الرئيسي اليوميه'!$I:$I)</f>
        <v>0.0</v>
      </c>
      <c r="N1527" s="22">
        <f>+K1527+L1527-M1527</f>
        <v>1.0</v>
      </c>
      <c r="O1527" s="22">
        <f>+N1527</f>
        <v>1.0</v>
      </c>
      <c r="P1527" s="22">
        <f>+N1527-O1527</f>
        <v>0.0</v>
      </c>
      <c r="Q1527" s="57"/>
      <c r="R1527" s="58"/>
    </row>
    <row r="1528" spans="8:8" ht="15.0" customHeight="1">
      <c r="B1528" s="54">
        <v>1668.0</v>
      </c>
      <c r="C1528" s="8" t="s">
        <v>8351</v>
      </c>
      <c r="D1528" s="8" t="s">
        <v>765</v>
      </c>
      <c r="E1528" s="8" t="s">
        <v>2027</v>
      </c>
      <c r="F1528" s="8" t="s">
        <v>68</v>
      </c>
      <c r="G1528" s="8" t="s">
        <v>2180</v>
      </c>
      <c r="H1528" s="8" t="s">
        <v>2027</v>
      </c>
      <c r="I1528" s="8" t="s">
        <v>818</v>
      </c>
      <c r="J1528" s="78" t="s">
        <v>5443</v>
      </c>
      <c r="K1528" s="22">
        <v>3.0</v>
      </c>
      <c r="L1528" s="22">
        <f>+SUMIF('حركه المخزن الرئيسي اليوميه'!$F:$F,$H:$H,'حركه المخزن الرئيسي اليوميه'!$H:$H)</f>
        <v>0.0</v>
      </c>
      <c r="M1528" s="22">
        <f>+SUMIF('حركه المخزن الرئيسي اليوميه'!$F:$F,$H:$H,'حركه المخزن الرئيسي اليوميه'!$I:$I)</f>
        <v>0.0</v>
      </c>
      <c r="N1528" s="22">
        <f>+K1528+L1528-M1528</f>
        <v>3.0</v>
      </c>
      <c r="O1528" s="22">
        <f>+N1528</f>
        <v>3.0</v>
      </c>
      <c r="P1528" s="22">
        <f>+N1528-O1528</f>
        <v>0.0</v>
      </c>
      <c r="Q1528" s="57"/>
      <c r="R1528" s="58"/>
    </row>
    <row r="1529" spans="8:8" ht="15.0" customHeight="1">
      <c r="B1529" s="54">
        <v>1669.0</v>
      </c>
      <c r="C1529" s="8" t="s">
        <v>8351</v>
      </c>
      <c r="D1529" s="8" t="s">
        <v>765</v>
      </c>
      <c r="E1529" s="8"/>
      <c r="F1529" s="8"/>
      <c r="G1529" s="8"/>
      <c r="H1529" s="8"/>
      <c r="I1529" s="8"/>
      <c r="J1529" s="78" t="s">
        <v>5444</v>
      </c>
      <c r="K1529" s="22">
        <v>0.0</v>
      </c>
      <c r="L1529" s="22">
        <f>+SUMIF('حركه المخزن الرئيسي اليوميه'!$F:$F,$H:$H,'حركه المخزن الرئيسي اليوميه'!$H:$H)</f>
        <v>0.0</v>
      </c>
      <c r="M1529" s="22">
        <f>+SUMIF('حركه المخزن الرئيسي اليوميه'!$F:$F,$H:$H,'حركه المخزن الرئيسي اليوميه'!$I:$I)</f>
        <v>0.0</v>
      </c>
      <c r="N1529" s="22">
        <f>+K1529+L1529-M1529</f>
        <v>0.0</v>
      </c>
      <c r="O1529" s="22">
        <f>+N1529</f>
        <v>0.0</v>
      </c>
      <c r="P1529" s="22">
        <f>+N1529-O1529</f>
        <v>0.0</v>
      </c>
      <c r="Q1529" s="8"/>
      <c r="R1529" s="58"/>
    </row>
    <row r="1530" spans="8:8" ht="15.0" customHeight="1">
      <c r="B1530" s="54">
        <v>1670.0</v>
      </c>
      <c r="C1530" s="8"/>
      <c r="D1530" s="8"/>
      <c r="E1530" s="8"/>
      <c r="F1530" s="8"/>
      <c r="G1530" s="8"/>
      <c r="H1530" s="8"/>
      <c r="I1530" s="8"/>
      <c r="J1530" s="78" t="s">
        <v>5445</v>
      </c>
      <c r="K1530" s="22">
        <v>0.0</v>
      </c>
      <c r="L1530" s="22">
        <f>+SUMIF('حركه المخزن الرئيسي اليوميه'!$F:$F,$H:$H,'حركه المخزن الرئيسي اليوميه'!$H:$H)</f>
        <v>0.0</v>
      </c>
      <c r="M1530" s="22">
        <f>+SUMIF('حركه المخزن الرئيسي اليوميه'!$F:$F,$H:$H,'حركه المخزن الرئيسي اليوميه'!$I:$I)</f>
        <v>0.0</v>
      </c>
      <c r="N1530" s="22">
        <f>+K1530+L1530-M1530</f>
        <v>0.0</v>
      </c>
      <c r="O1530" s="22">
        <f>+N1530</f>
        <v>0.0</v>
      </c>
      <c r="P1530" s="22">
        <f>+N1530-O1530</f>
        <v>0.0</v>
      </c>
      <c r="Q1530" s="57"/>
      <c r="R1530" s="58"/>
    </row>
    <row r="1531" spans="8:8" ht="15.0" customHeight="1">
      <c r="B1531" s="54">
        <v>1671.0</v>
      </c>
      <c r="C1531" s="8"/>
      <c r="D1531" s="8"/>
      <c r="E1531" s="8"/>
      <c r="F1531" s="8"/>
      <c r="G1531" s="8"/>
      <c r="H1531" s="8"/>
      <c r="I1531" s="8"/>
      <c r="J1531" s="78" t="s">
        <v>5446</v>
      </c>
      <c r="K1531" s="22">
        <v>0.0</v>
      </c>
      <c r="L1531" s="22">
        <f>+SUMIF('حركه المخزن الرئيسي اليوميه'!$F:$F,$H:$H,'حركه المخزن الرئيسي اليوميه'!$H:$H)</f>
        <v>0.0</v>
      </c>
      <c r="M1531" s="22">
        <f>+SUMIF('حركه المخزن الرئيسي اليوميه'!$F:$F,$H:$H,'حركه المخزن الرئيسي اليوميه'!$I:$I)</f>
        <v>0.0</v>
      </c>
      <c r="N1531" s="22">
        <f>+K1531+L1531-M1531</f>
        <v>0.0</v>
      </c>
      <c r="O1531" s="22">
        <f>+N1531</f>
        <v>0.0</v>
      </c>
      <c r="P1531" s="22">
        <f>+N1531-O1531</f>
        <v>0.0</v>
      </c>
      <c r="Q1531" s="57"/>
      <c r="R1531" s="58"/>
    </row>
    <row r="1532" spans="8:8" ht="15.0" customHeight="1">
      <c r="B1532" s="54">
        <v>1672.0</v>
      </c>
      <c r="C1532" s="8" t="s">
        <v>8351</v>
      </c>
      <c r="D1532" s="8" t="s">
        <v>3541</v>
      </c>
      <c r="E1532" s="8" t="s">
        <v>3758</v>
      </c>
      <c r="F1532" s="8" t="s">
        <v>68</v>
      </c>
      <c r="G1532" s="8"/>
      <c r="H1532" s="8" t="s">
        <v>3758</v>
      </c>
      <c r="I1532" s="8" t="s">
        <v>221</v>
      </c>
      <c r="J1532" s="78" t="s">
        <v>5447</v>
      </c>
      <c r="K1532" s="22">
        <v>3.0</v>
      </c>
      <c r="L1532" s="22">
        <f>+SUMIF('حركه المخزن الرئيسي اليوميه'!$F:$F,$H:$H,'حركه المخزن الرئيسي اليوميه'!$H:$H)</f>
        <v>0.0</v>
      </c>
      <c r="M1532" s="22">
        <f>+SUMIF('حركه المخزن الرئيسي اليوميه'!$F:$F,$H:$H,'حركه المخزن الرئيسي اليوميه'!$I:$I)</f>
        <v>0.0</v>
      </c>
      <c r="N1532" s="22">
        <f>+K1532+L1532-M1532</f>
        <v>3.0</v>
      </c>
      <c r="O1532" s="22">
        <f>+N1532</f>
        <v>3.0</v>
      </c>
      <c r="P1532" s="22">
        <f>+N1532-O1532</f>
        <v>0.0</v>
      </c>
      <c r="Q1532" s="57"/>
      <c r="R1532" s="58"/>
    </row>
    <row r="1533" spans="8:8" ht="15.0" customHeight="1">
      <c r="B1533" s="54">
        <v>1673.0</v>
      </c>
      <c r="C1533" s="8" t="s">
        <v>8351</v>
      </c>
      <c r="D1533" s="8" t="s">
        <v>765</v>
      </c>
      <c r="E1533" s="8" t="s">
        <v>3640</v>
      </c>
      <c r="F1533" s="8" t="s">
        <v>68</v>
      </c>
      <c r="G1533" s="8"/>
      <c r="H1533" s="8" t="s">
        <v>3640</v>
      </c>
      <c r="I1533" s="8" t="s">
        <v>818</v>
      </c>
      <c r="J1533" s="78" t="s">
        <v>5448</v>
      </c>
      <c r="K1533" s="22">
        <v>1.0</v>
      </c>
      <c r="L1533" s="22">
        <f>+SUMIF('حركه المخزن الرئيسي اليوميه'!$F:$F,$H:$H,'حركه المخزن الرئيسي اليوميه'!$H:$H)</f>
        <v>0.0</v>
      </c>
      <c r="M1533" s="22">
        <f>+SUMIF('حركه المخزن الرئيسي اليوميه'!$F:$F,$H:$H,'حركه المخزن الرئيسي اليوميه'!$I:$I)</f>
        <v>0.0</v>
      </c>
      <c r="N1533" s="22">
        <f>+K1533+L1533-M1533</f>
        <v>1.0</v>
      </c>
      <c r="O1533" s="22">
        <f>+N1533</f>
        <v>1.0</v>
      </c>
      <c r="P1533" s="22">
        <f>+N1533-O1533</f>
        <v>0.0</v>
      </c>
      <c r="Q1533" s="57"/>
      <c r="R1533" s="58"/>
    </row>
    <row r="1534" spans="8:8" ht="15.0" customHeight="1">
      <c r="B1534" s="54">
        <v>1674.0</v>
      </c>
      <c r="C1534" s="8" t="s">
        <v>8351</v>
      </c>
      <c r="D1534" s="8" t="s">
        <v>765</v>
      </c>
      <c r="E1534" s="8" t="s">
        <v>3650</v>
      </c>
      <c r="F1534" s="8" t="s">
        <v>92</v>
      </c>
      <c r="G1534" s="8"/>
      <c r="H1534" s="8" t="s">
        <v>3650</v>
      </c>
      <c r="I1534" s="8"/>
      <c r="J1534" s="78" t="s">
        <v>5449</v>
      </c>
      <c r="K1534" s="22">
        <v>0.0</v>
      </c>
      <c r="L1534" s="22">
        <f>+SUMIF('حركه المخزن الرئيسي اليوميه'!$F:$F,$H:$H,'حركه المخزن الرئيسي اليوميه'!$H:$H)</f>
        <v>0.0</v>
      </c>
      <c r="M1534" s="22">
        <f>+SUMIF('حركه المخزن الرئيسي اليوميه'!$F:$F,$H:$H,'حركه المخزن الرئيسي اليوميه'!$I:$I)</f>
        <v>0.0</v>
      </c>
      <c r="N1534" s="22">
        <f>+K1534+L1534-M1534</f>
        <v>0.0</v>
      </c>
      <c r="O1534" s="22">
        <f>+N1534</f>
        <v>0.0</v>
      </c>
      <c r="P1534" s="22">
        <f>+N1534-O1534</f>
        <v>0.0</v>
      </c>
      <c r="Q1534" s="57"/>
      <c r="R1534" s="58"/>
    </row>
    <row r="1535" spans="8:8" ht="15.0" customHeight="1">
      <c r="B1535" s="54">
        <v>1675.0</v>
      </c>
      <c r="C1535" s="8" t="s">
        <v>8351</v>
      </c>
      <c r="D1535" s="8" t="s">
        <v>765</v>
      </c>
      <c r="E1535" s="8" t="s">
        <v>3651</v>
      </c>
      <c r="F1535" s="8" t="s">
        <v>68</v>
      </c>
      <c r="G1535" s="8"/>
      <c r="H1535" s="8" t="s">
        <v>3652</v>
      </c>
      <c r="I1535" s="55" t="s">
        <v>8179</v>
      </c>
      <c r="J1535" s="78" t="s">
        <v>5450</v>
      </c>
      <c r="K1535" s="22">
        <v>8.0</v>
      </c>
      <c r="L1535" s="22">
        <f>+SUMIF('حركه المخزن الرئيسي اليوميه'!$F:$F,$H:$H,'حركه المخزن الرئيسي اليوميه'!$H:$H)</f>
        <v>0.0</v>
      </c>
      <c r="M1535" s="22">
        <f>+SUMIF('حركه المخزن الرئيسي اليوميه'!$F:$F,$H:$H,'حركه المخزن الرئيسي اليوميه'!$I:$I)</f>
        <v>0.0</v>
      </c>
      <c r="N1535" s="22">
        <f>+K1535+L1535-M1535</f>
        <v>8.0</v>
      </c>
      <c r="O1535" s="22">
        <f>+N1535</f>
        <v>8.0</v>
      </c>
      <c r="P1535" s="22">
        <f>+N1535-O1535</f>
        <v>0.0</v>
      </c>
      <c r="Q1535" s="57"/>
      <c r="R1535" s="58"/>
    </row>
    <row r="1536" spans="8:8" ht="15.0" customHeight="1">
      <c r="B1536" s="54">
        <v>1676.0</v>
      </c>
      <c r="C1536" s="8" t="s">
        <v>8351</v>
      </c>
      <c r="D1536" s="8" t="s">
        <v>765</v>
      </c>
      <c r="E1536" s="8" t="s">
        <v>3655</v>
      </c>
      <c r="F1536" s="8" t="s">
        <v>68</v>
      </c>
      <c r="G1536" s="8"/>
      <c r="H1536" s="8" t="s">
        <v>3655</v>
      </c>
      <c r="I1536" s="55"/>
      <c r="J1536" s="78" t="s">
        <v>5451</v>
      </c>
      <c r="K1536" s="22">
        <v>0.0</v>
      </c>
      <c r="L1536" s="22">
        <f>+SUMIF('حركه المخزن الرئيسي اليوميه'!$F:$F,$H:$H,'حركه المخزن الرئيسي اليوميه'!$H:$H)</f>
        <v>0.0</v>
      </c>
      <c r="M1536" s="22">
        <f>+SUMIF('حركه المخزن الرئيسي اليوميه'!$F:$F,$H:$H,'حركه المخزن الرئيسي اليوميه'!$I:$I)</f>
        <v>0.0</v>
      </c>
      <c r="N1536" s="22">
        <f>+K1536+L1536-M1536</f>
        <v>0.0</v>
      </c>
      <c r="O1536" s="22">
        <f>+N1536</f>
        <v>0.0</v>
      </c>
      <c r="P1536" s="22">
        <f>+N1536-O1536</f>
        <v>0.0</v>
      </c>
      <c r="Q1536" s="57"/>
      <c r="R1536" s="58"/>
    </row>
    <row r="1537" spans="8:8" ht="15.0" customHeight="1">
      <c r="B1537" s="54">
        <v>1677.0</v>
      </c>
      <c r="C1537" s="8" t="s">
        <v>8351</v>
      </c>
      <c r="D1537" s="8" t="s">
        <v>765</v>
      </c>
      <c r="E1537" s="8" t="s">
        <v>3656</v>
      </c>
      <c r="F1537" s="8" t="s">
        <v>68</v>
      </c>
      <c r="G1537" s="8"/>
      <c r="H1537" s="8" t="s">
        <v>3656</v>
      </c>
      <c r="I1537" s="8" t="s">
        <v>160</v>
      </c>
      <c r="J1537" s="78" t="s">
        <v>5452</v>
      </c>
      <c r="K1537" s="22">
        <v>2.0</v>
      </c>
      <c r="L1537" s="22">
        <f>+SUMIF('حركه المخزن الرئيسي اليوميه'!$F:$F,$H:$H,'حركه المخزن الرئيسي اليوميه'!$H:$H)</f>
        <v>0.0</v>
      </c>
      <c r="M1537" s="22">
        <f>+SUMIF('حركه المخزن الرئيسي اليوميه'!$F:$F,$H:$H,'حركه المخزن الرئيسي اليوميه'!$I:$I)</f>
        <v>0.0</v>
      </c>
      <c r="N1537" s="22">
        <f>+K1537+L1537-M1537</f>
        <v>2.0</v>
      </c>
      <c r="O1537" s="22">
        <f>+N1537</f>
        <v>2.0</v>
      </c>
      <c r="P1537" s="22">
        <f>+N1537-O1537</f>
        <v>0.0</v>
      </c>
      <c r="Q1537" s="57"/>
      <c r="R1537" s="59"/>
    </row>
    <row r="1538" spans="8:8" ht="15.0" customHeight="1">
      <c r="B1538" s="54">
        <v>1678.0</v>
      </c>
      <c r="C1538" s="8" t="s">
        <v>8351</v>
      </c>
      <c r="D1538" s="8" t="s">
        <v>765</v>
      </c>
      <c r="E1538" s="8" t="s">
        <v>3657</v>
      </c>
      <c r="F1538" s="8" t="s">
        <v>68</v>
      </c>
      <c r="G1538" s="8"/>
      <c r="H1538" s="8" t="s">
        <v>3657</v>
      </c>
      <c r="I1538" s="8" t="s">
        <v>160</v>
      </c>
      <c r="J1538" s="78" t="s">
        <v>5453</v>
      </c>
      <c r="K1538" s="22">
        <v>5.0</v>
      </c>
      <c r="L1538" s="22">
        <f>+SUMIF('حركه المخزن الرئيسي اليوميه'!$F:$F,$H:$H,'حركه المخزن الرئيسي اليوميه'!$H:$H)</f>
        <v>0.0</v>
      </c>
      <c r="M1538" s="22">
        <f>+SUMIF('حركه المخزن الرئيسي اليوميه'!$F:$F,$H:$H,'حركه المخزن الرئيسي اليوميه'!$I:$I)</f>
        <v>0.0</v>
      </c>
      <c r="N1538" s="22">
        <f>+K1538+L1538-M1538</f>
        <v>5.0</v>
      </c>
      <c r="O1538" s="22">
        <f>+N1538</f>
        <v>5.0</v>
      </c>
      <c r="P1538" s="22">
        <f>+N1538-O1538</f>
        <v>0.0</v>
      </c>
      <c r="Q1538" s="57"/>
      <c r="R1538" s="59"/>
    </row>
    <row r="1539" spans="8:8" ht="15.0" customHeight="1">
      <c r="B1539" s="54">
        <v>1679.0</v>
      </c>
      <c r="C1539" s="8" t="s">
        <v>8351</v>
      </c>
      <c r="D1539" s="8" t="s">
        <v>765</v>
      </c>
      <c r="E1539" s="8" t="s">
        <v>3658</v>
      </c>
      <c r="F1539" s="8" t="s">
        <v>68</v>
      </c>
      <c r="G1539" s="8"/>
      <c r="H1539" s="8" t="s">
        <v>3658</v>
      </c>
      <c r="I1539" s="55" t="s">
        <v>3195</v>
      </c>
      <c r="J1539" s="78" t="s">
        <v>5454</v>
      </c>
      <c r="K1539" s="22">
        <v>10.0</v>
      </c>
      <c r="L1539" s="22">
        <f>+SUMIF('حركه المخزن الرئيسي اليوميه'!$F:$F,$H:$H,'حركه المخزن الرئيسي اليوميه'!$H:$H)</f>
        <v>0.0</v>
      </c>
      <c r="M1539" s="22">
        <f>+SUMIF('حركه المخزن الرئيسي اليوميه'!$F:$F,$H:$H,'حركه المخزن الرئيسي اليوميه'!$I:$I)</f>
        <v>0.0</v>
      </c>
      <c r="N1539" s="22">
        <f>+K1539+L1539-M1539</f>
        <v>10.0</v>
      </c>
      <c r="O1539" s="22">
        <f>+N1539</f>
        <v>10.0</v>
      </c>
      <c r="P1539" s="22">
        <f>+N1539-O1539</f>
        <v>0.0</v>
      </c>
      <c r="Q1539" s="57"/>
      <c r="R1539" s="58"/>
    </row>
    <row r="1540" spans="8:8" ht="15.0" customHeight="1">
      <c r="B1540" s="54">
        <v>1680.0</v>
      </c>
      <c r="C1540" s="8" t="s">
        <v>8351</v>
      </c>
      <c r="D1540" s="8" t="s">
        <v>765</v>
      </c>
      <c r="E1540" s="8" t="s">
        <v>8281</v>
      </c>
      <c r="F1540" s="8" t="s">
        <v>68</v>
      </c>
      <c r="G1540" s="8"/>
      <c r="H1540" s="8" t="s">
        <v>8281</v>
      </c>
      <c r="I1540" s="8" t="s">
        <v>375</v>
      </c>
      <c r="J1540" s="78" t="s">
        <v>5455</v>
      </c>
      <c r="K1540" s="22">
        <v>228.0</v>
      </c>
      <c r="L1540" s="22">
        <f>+SUMIF('حركه المخزن الرئيسي اليوميه'!$F:$F,$H:$H,'حركه المخزن الرئيسي اليوميه'!$H:$H)</f>
        <v>0.0</v>
      </c>
      <c r="M1540" s="22">
        <f>+SUMIF('حركه المخزن الرئيسي اليوميه'!$F:$F,$H:$H,'حركه المخزن الرئيسي اليوميه'!$I:$I)</f>
        <v>8.0</v>
      </c>
      <c r="N1540" s="22">
        <f>+K1540+L1540-M1540</f>
        <v>220.0</v>
      </c>
      <c r="O1540" s="22">
        <f>+N1540</f>
        <v>220.0</v>
      </c>
      <c r="P1540" s="22">
        <f>+N1540-O1540</f>
        <v>0.0</v>
      </c>
      <c r="Q1540" s="57"/>
      <c r="R1540" s="58"/>
    </row>
    <row r="1541" spans="8:8" ht="15.0" customHeight="1">
      <c r="B1541" s="54">
        <v>1681.0</v>
      </c>
      <c r="C1541" s="8" t="s">
        <v>8351</v>
      </c>
      <c r="D1541" s="8" t="s">
        <v>765</v>
      </c>
      <c r="E1541" s="8" t="s">
        <v>3672</v>
      </c>
      <c r="F1541" s="8" t="s">
        <v>68</v>
      </c>
      <c r="G1541" s="8"/>
      <c r="H1541" s="8" t="s">
        <v>3672</v>
      </c>
      <c r="I1541" s="55"/>
      <c r="J1541" s="78" t="s">
        <v>5456</v>
      </c>
      <c r="K1541" s="22">
        <v>0.0</v>
      </c>
      <c r="L1541" s="22">
        <f>+SUMIF('حركه المخزن الرئيسي اليوميه'!$F:$F,$H:$H,'حركه المخزن الرئيسي اليوميه'!$H:$H)</f>
        <v>0.0</v>
      </c>
      <c r="M1541" s="22">
        <f>+SUMIF('حركه المخزن الرئيسي اليوميه'!$F:$F,$H:$H,'حركه المخزن الرئيسي اليوميه'!$I:$I)</f>
        <v>0.0</v>
      </c>
      <c r="N1541" s="22">
        <f>+K1541+L1541-M1541</f>
        <v>0.0</v>
      </c>
      <c r="O1541" s="22">
        <f>+N1541</f>
        <v>0.0</v>
      </c>
      <c r="P1541" s="22">
        <f>+N1541-O1541</f>
        <v>0.0</v>
      </c>
      <c r="Q1541" s="57"/>
      <c r="R1541" s="58"/>
    </row>
    <row r="1542" spans="8:8" ht="15.0" customHeight="1">
      <c r="B1542" s="54">
        <v>1682.0</v>
      </c>
      <c r="C1542" s="8" t="s">
        <v>8351</v>
      </c>
      <c r="D1542" s="8" t="s">
        <v>765</v>
      </c>
      <c r="E1542" s="8" t="s">
        <v>3673</v>
      </c>
      <c r="F1542" s="8" t="s">
        <v>68</v>
      </c>
      <c r="G1542" s="8"/>
      <c r="H1542" s="8" t="s">
        <v>3673</v>
      </c>
      <c r="I1542" s="55"/>
      <c r="J1542" s="78" t="s">
        <v>5457</v>
      </c>
      <c r="K1542" s="22">
        <v>0.0</v>
      </c>
      <c r="L1542" s="22">
        <f>+SUMIF('حركه المخزن الرئيسي اليوميه'!$F:$F,$H:$H,'حركه المخزن الرئيسي اليوميه'!$H:$H)</f>
        <v>0.0</v>
      </c>
      <c r="M1542" s="22">
        <f>+SUMIF('حركه المخزن الرئيسي اليوميه'!$F:$F,$H:$H,'حركه المخزن الرئيسي اليوميه'!$I:$I)</f>
        <v>0.0</v>
      </c>
      <c r="N1542" s="22">
        <f>+K1542+L1542-M1542</f>
        <v>0.0</v>
      </c>
      <c r="O1542" s="22">
        <f>+N1542</f>
        <v>0.0</v>
      </c>
      <c r="P1542" s="22">
        <f>+N1542-O1542</f>
        <v>0.0</v>
      </c>
      <c r="Q1542" s="57"/>
      <c r="R1542" s="58"/>
    </row>
    <row r="1543" spans="8:8" ht="15.0" customHeight="1">
      <c r="B1543" s="54">
        <v>1683.0</v>
      </c>
      <c r="C1543" s="8" t="s">
        <v>8351</v>
      </c>
      <c r="D1543" s="8" t="s">
        <v>765</v>
      </c>
      <c r="E1543" s="8" t="s">
        <v>3678</v>
      </c>
      <c r="F1543" s="8" t="s">
        <v>68</v>
      </c>
      <c r="G1543" s="8"/>
      <c r="H1543" s="8" t="s">
        <v>3678</v>
      </c>
      <c r="I1543" s="8" t="s">
        <v>181</v>
      </c>
      <c r="J1543" s="78" t="s">
        <v>5458</v>
      </c>
      <c r="K1543" s="22">
        <v>2.0</v>
      </c>
      <c r="L1543" s="22">
        <f>+SUMIF('حركه المخزن الرئيسي اليوميه'!$F:$F,$H:$H,'حركه المخزن الرئيسي اليوميه'!$H:$H)</f>
        <v>0.0</v>
      </c>
      <c r="M1543" s="22">
        <f>+SUMIF('حركه المخزن الرئيسي اليوميه'!$F:$F,$H:$H,'حركه المخزن الرئيسي اليوميه'!$I:$I)</f>
        <v>0.0</v>
      </c>
      <c r="N1543" s="22">
        <f>+K1543+L1543-M1543</f>
        <v>2.0</v>
      </c>
      <c r="O1543" s="22">
        <f>+N1543</f>
        <v>2.0</v>
      </c>
      <c r="P1543" s="22">
        <f>+N1543-O1543</f>
        <v>0.0</v>
      </c>
      <c r="Q1543" s="57"/>
      <c r="R1543" s="58"/>
    </row>
    <row r="1544" spans="8:8" ht="15.0" customHeight="1">
      <c r="B1544" s="54">
        <v>1684.0</v>
      </c>
      <c r="C1544" s="8" t="s">
        <v>8351</v>
      </c>
      <c r="D1544" s="8" t="s">
        <v>765</v>
      </c>
      <c r="E1544" s="8" t="s">
        <v>3683</v>
      </c>
      <c r="F1544" s="8" t="s">
        <v>68</v>
      </c>
      <c r="G1544" s="8"/>
      <c r="H1544" s="8" t="s">
        <v>8107</v>
      </c>
      <c r="I1544" s="55" t="s">
        <v>8164</v>
      </c>
      <c r="J1544" s="78" t="s">
        <v>5459</v>
      </c>
      <c r="K1544" s="22">
        <v>6.0</v>
      </c>
      <c r="L1544" s="22">
        <f>+SUMIF('حركه المخزن الرئيسي اليوميه'!$F:$F,$H:$H,'حركه المخزن الرئيسي اليوميه'!$H:$H)</f>
        <v>0.0</v>
      </c>
      <c r="M1544" s="22">
        <f>+SUMIF('حركه المخزن الرئيسي اليوميه'!$F:$F,$H:$H,'حركه المخزن الرئيسي اليوميه'!$I:$I)</f>
        <v>0.0</v>
      </c>
      <c r="N1544" s="22">
        <f>+K1544+L1544-M1544</f>
        <v>6.0</v>
      </c>
      <c r="O1544" s="22">
        <f>+N1544</f>
        <v>6.0</v>
      </c>
      <c r="P1544" s="22">
        <f>+N1544-O1544</f>
        <v>0.0</v>
      </c>
      <c r="Q1544" s="57"/>
      <c r="R1544" s="58"/>
    </row>
    <row r="1545" spans="8:8" ht="15.0" customHeight="1">
      <c r="B1545" s="54">
        <v>1685.0</v>
      </c>
      <c r="C1545" s="8" t="s">
        <v>8351</v>
      </c>
      <c r="D1545" s="8" t="s">
        <v>765</v>
      </c>
      <c r="E1545" s="8" t="s">
        <v>3686</v>
      </c>
      <c r="F1545" s="8" t="s">
        <v>68</v>
      </c>
      <c r="G1545" s="8"/>
      <c r="H1545" s="8" t="s">
        <v>3686</v>
      </c>
      <c r="I1545" s="55"/>
      <c r="J1545" s="78" t="s">
        <v>5460</v>
      </c>
      <c r="K1545" s="22">
        <v>0.0</v>
      </c>
      <c r="L1545" s="22">
        <f>+SUMIF('حركه المخزن الرئيسي اليوميه'!$F:$F,$H:$H,'حركه المخزن الرئيسي اليوميه'!$H:$H)</f>
        <v>0.0</v>
      </c>
      <c r="M1545" s="22">
        <f>+SUMIF('حركه المخزن الرئيسي اليوميه'!$F:$F,$H:$H,'حركه المخزن الرئيسي اليوميه'!$I:$I)</f>
        <v>0.0</v>
      </c>
      <c r="N1545" s="22">
        <f>+K1545+L1545-M1545</f>
        <v>0.0</v>
      </c>
      <c r="O1545" s="22">
        <f>+N1545</f>
        <v>0.0</v>
      </c>
      <c r="P1545" s="22">
        <f>+N1545-O1545</f>
        <v>0.0</v>
      </c>
      <c r="Q1545" s="57"/>
      <c r="R1545" s="58"/>
    </row>
    <row r="1546" spans="8:8" ht="15.0" customHeight="1">
      <c r="B1546" s="54">
        <v>1686.0</v>
      </c>
      <c r="C1546" s="8" t="s">
        <v>8351</v>
      </c>
      <c r="D1546" s="8" t="s">
        <v>765</v>
      </c>
      <c r="E1546" s="8" t="s">
        <v>3687</v>
      </c>
      <c r="F1546" s="8" t="s">
        <v>68</v>
      </c>
      <c r="G1546" s="8"/>
      <c r="H1546" s="8" t="s">
        <v>3687</v>
      </c>
      <c r="I1546" s="55"/>
      <c r="J1546" s="78" t="s">
        <v>5461</v>
      </c>
      <c r="K1546" s="22">
        <v>0.0</v>
      </c>
      <c r="L1546" s="22">
        <f>+SUMIF('حركه المخزن الرئيسي اليوميه'!$F:$F,$H:$H,'حركه المخزن الرئيسي اليوميه'!$H:$H)</f>
        <v>0.0</v>
      </c>
      <c r="M1546" s="22">
        <f>+SUMIF('حركه المخزن الرئيسي اليوميه'!$F:$F,$H:$H,'حركه المخزن الرئيسي اليوميه'!$I:$I)</f>
        <v>0.0</v>
      </c>
      <c r="N1546" s="22">
        <f>+K1546+L1546-M1546</f>
        <v>0.0</v>
      </c>
      <c r="O1546" s="22">
        <f>+N1546</f>
        <v>0.0</v>
      </c>
      <c r="P1546" s="22">
        <f>+N1546-O1546</f>
        <v>0.0</v>
      </c>
      <c r="Q1546" s="57"/>
      <c r="R1546" s="58"/>
    </row>
    <row r="1547" spans="8:8" ht="15.0" customHeight="1">
      <c r="B1547" s="54">
        <v>1687.0</v>
      </c>
      <c r="C1547" s="8" t="s">
        <v>8351</v>
      </c>
      <c r="D1547" s="8" t="s">
        <v>765</v>
      </c>
      <c r="E1547" s="8" t="s">
        <v>3689</v>
      </c>
      <c r="F1547" s="8" t="s">
        <v>68</v>
      </c>
      <c r="G1547" s="8"/>
      <c r="H1547" s="8" t="s">
        <v>3689</v>
      </c>
      <c r="I1547" s="55"/>
      <c r="J1547" s="78" t="s">
        <v>5462</v>
      </c>
      <c r="K1547" s="22">
        <v>0.0</v>
      </c>
      <c r="L1547" s="22">
        <f>+SUMIF('حركه المخزن الرئيسي اليوميه'!$F:$F,$H:$H,'حركه المخزن الرئيسي اليوميه'!$H:$H)</f>
        <v>0.0</v>
      </c>
      <c r="M1547" s="22">
        <f>+SUMIF('حركه المخزن الرئيسي اليوميه'!$F:$F,$H:$H,'حركه المخزن الرئيسي اليوميه'!$I:$I)</f>
        <v>0.0</v>
      </c>
      <c r="N1547" s="22">
        <f>+K1547+L1547-M1547</f>
        <v>0.0</v>
      </c>
      <c r="O1547" s="22">
        <f>+N1547</f>
        <v>0.0</v>
      </c>
      <c r="P1547" s="22">
        <f>+N1547-O1547</f>
        <v>0.0</v>
      </c>
      <c r="Q1547" s="57"/>
      <c r="R1547" s="58"/>
    </row>
    <row r="1548" spans="8:8" ht="15.0" customHeight="1">
      <c r="B1548" s="54">
        <v>1688.0</v>
      </c>
      <c r="C1548" s="8" t="s">
        <v>8351</v>
      </c>
      <c r="D1548" s="8" t="s">
        <v>765</v>
      </c>
      <c r="E1548" s="8" t="s">
        <v>3691</v>
      </c>
      <c r="F1548" s="8" t="s">
        <v>68</v>
      </c>
      <c r="G1548" s="8"/>
      <c r="H1548" s="8" t="s">
        <v>3691</v>
      </c>
      <c r="I1548" s="8" t="s">
        <v>160</v>
      </c>
      <c r="J1548" s="78" t="s">
        <v>5463</v>
      </c>
      <c r="K1548" s="22">
        <v>0.0</v>
      </c>
      <c r="L1548" s="22">
        <f>+SUMIF('حركه المخزن الرئيسي اليوميه'!$F:$F,$H:$H,'حركه المخزن الرئيسي اليوميه'!$H:$H)</f>
        <v>0.0</v>
      </c>
      <c r="M1548" s="22">
        <f>+SUMIF('حركه المخزن الرئيسي اليوميه'!$F:$F,$H:$H,'حركه المخزن الرئيسي اليوميه'!$I:$I)</f>
        <v>0.0</v>
      </c>
      <c r="N1548" s="22">
        <f>+K1548+L1548-M1548</f>
        <v>0.0</v>
      </c>
      <c r="O1548" s="22">
        <f>+N1548</f>
        <v>0.0</v>
      </c>
      <c r="P1548" s="22">
        <f>+N1548-O1548</f>
        <v>0.0</v>
      </c>
      <c r="Q1548" s="57"/>
      <c r="R1548" s="59"/>
    </row>
    <row r="1549" spans="8:8" ht="15.0" customHeight="1">
      <c r="B1549" s="54">
        <v>1689.0</v>
      </c>
      <c r="C1549" s="8" t="s">
        <v>8351</v>
      </c>
      <c r="D1549" s="8" t="s">
        <v>765</v>
      </c>
      <c r="E1549" s="8" t="s">
        <v>3692</v>
      </c>
      <c r="F1549" s="8" t="s">
        <v>68</v>
      </c>
      <c r="G1549" s="8"/>
      <c r="H1549" s="8" t="s">
        <v>3692</v>
      </c>
      <c r="I1549" s="55"/>
      <c r="J1549" s="78" t="s">
        <v>5464</v>
      </c>
      <c r="K1549" s="22">
        <v>0.0</v>
      </c>
      <c r="L1549" s="22">
        <f>+SUMIF('حركه المخزن الرئيسي اليوميه'!$F:$F,$H:$H,'حركه المخزن الرئيسي اليوميه'!$H:$H)</f>
        <v>0.0</v>
      </c>
      <c r="M1549" s="22">
        <f>+SUMIF('حركه المخزن الرئيسي اليوميه'!$F:$F,$H:$H,'حركه المخزن الرئيسي اليوميه'!$I:$I)</f>
        <v>0.0</v>
      </c>
      <c r="N1549" s="22">
        <f>+K1549+L1549-M1549</f>
        <v>0.0</v>
      </c>
      <c r="O1549" s="22">
        <f>+N1549</f>
        <v>0.0</v>
      </c>
      <c r="P1549" s="22">
        <f>+N1549-O1549</f>
        <v>0.0</v>
      </c>
      <c r="Q1549" s="57"/>
      <c r="R1549" s="58"/>
    </row>
    <row r="1550" spans="8:8" ht="15.0" customHeight="1">
      <c r="B1550" s="54">
        <v>1690.0</v>
      </c>
      <c r="C1550" s="8" t="s">
        <v>8351</v>
      </c>
      <c r="D1550" s="8" t="s">
        <v>765</v>
      </c>
      <c r="E1550" s="8" t="s">
        <v>3693</v>
      </c>
      <c r="F1550" s="8" t="s">
        <v>92</v>
      </c>
      <c r="G1550" s="8"/>
      <c r="H1550" s="8" t="s">
        <v>3693</v>
      </c>
      <c r="I1550" s="55"/>
      <c r="J1550" s="78" t="s">
        <v>5465</v>
      </c>
      <c r="K1550" s="22">
        <v>0.0</v>
      </c>
      <c r="L1550" s="22">
        <f>+SUMIF('حركه المخزن الرئيسي اليوميه'!$F:$F,$H:$H,'حركه المخزن الرئيسي اليوميه'!$H:$H)</f>
        <v>0.0</v>
      </c>
      <c r="M1550" s="22">
        <f>+SUMIF('حركه المخزن الرئيسي اليوميه'!$F:$F,$H:$H,'حركه المخزن الرئيسي اليوميه'!$I:$I)</f>
        <v>0.0</v>
      </c>
      <c r="N1550" s="22">
        <f>+K1550+L1550-M1550</f>
        <v>0.0</v>
      </c>
      <c r="O1550" s="22">
        <f>+N1550</f>
        <v>0.0</v>
      </c>
      <c r="P1550" s="22">
        <f>+N1550-O1550</f>
        <v>0.0</v>
      </c>
      <c r="Q1550" s="57"/>
      <c r="R1550" s="58"/>
    </row>
    <row r="1551" spans="8:8" ht="15.0" customHeight="1">
      <c r="B1551" s="54">
        <v>1691.0</v>
      </c>
      <c r="C1551" s="8" t="s">
        <v>8351</v>
      </c>
      <c r="D1551" s="8" t="s">
        <v>765</v>
      </c>
      <c r="E1551" s="8" t="s">
        <v>3697</v>
      </c>
      <c r="F1551" s="8" t="s">
        <v>68</v>
      </c>
      <c r="G1551" s="8"/>
      <c r="H1551" s="8" t="s">
        <v>3697</v>
      </c>
      <c r="I1551" s="8" t="s">
        <v>174</v>
      </c>
      <c r="J1551" s="78" t="s">
        <v>5466</v>
      </c>
      <c r="K1551" s="22">
        <v>5.0</v>
      </c>
      <c r="L1551" s="22">
        <f>+SUMIF('حركه المخزن الرئيسي اليوميه'!$F:$F,$H:$H,'حركه المخزن الرئيسي اليوميه'!$H:$H)</f>
        <v>0.0</v>
      </c>
      <c r="M1551" s="22">
        <f>+SUMIF('حركه المخزن الرئيسي اليوميه'!$F:$F,$H:$H,'حركه المخزن الرئيسي اليوميه'!$I:$I)</f>
        <v>0.0</v>
      </c>
      <c r="N1551" s="22">
        <f>+K1551+L1551-M1551</f>
        <v>5.0</v>
      </c>
      <c r="O1551" s="22">
        <f>+N1551</f>
        <v>5.0</v>
      </c>
      <c r="P1551" s="22">
        <f>+N1551-O1551</f>
        <v>0.0</v>
      </c>
      <c r="Q1551" s="57"/>
      <c r="R1551" s="58"/>
    </row>
    <row r="1552" spans="8:8" ht="15.0" customHeight="1">
      <c r="B1552" s="54">
        <v>1692.0</v>
      </c>
      <c r="C1552" s="8" t="s">
        <v>8351</v>
      </c>
      <c r="D1552" s="8" t="s">
        <v>765</v>
      </c>
      <c r="E1552" s="8" t="s">
        <v>3698</v>
      </c>
      <c r="F1552" s="8" t="s">
        <v>68</v>
      </c>
      <c r="G1552" s="8"/>
      <c r="H1552" s="8" t="s">
        <v>3698</v>
      </c>
      <c r="I1552" s="55" t="s">
        <v>818</v>
      </c>
      <c r="J1552" s="78" t="s">
        <v>5467</v>
      </c>
      <c r="K1552" s="22">
        <v>2.0</v>
      </c>
      <c r="L1552" s="22">
        <f>+SUMIF('حركه المخزن الرئيسي اليوميه'!$F:$F,$H:$H,'حركه المخزن الرئيسي اليوميه'!$H:$H)</f>
        <v>0.0</v>
      </c>
      <c r="M1552" s="22">
        <f>+SUMIF('حركه المخزن الرئيسي اليوميه'!$F:$F,$H:$H,'حركه المخزن الرئيسي اليوميه'!$I:$I)</f>
        <v>0.0</v>
      </c>
      <c r="N1552" s="22">
        <f>+K1552+L1552-M1552</f>
        <v>2.0</v>
      </c>
      <c r="O1552" s="22">
        <f>+N1552</f>
        <v>2.0</v>
      </c>
      <c r="P1552" s="22">
        <f>+N1552-O1552</f>
        <v>0.0</v>
      </c>
      <c r="Q1552" s="57"/>
      <c r="R1552" s="58"/>
    </row>
    <row r="1553" spans="8:8" ht="15.0" customHeight="1">
      <c r="B1553" s="54">
        <v>1694.0</v>
      </c>
      <c r="C1553" s="8" t="s">
        <v>8351</v>
      </c>
      <c r="D1553" s="8" t="s">
        <v>765</v>
      </c>
      <c r="E1553" s="8" t="s">
        <v>3703</v>
      </c>
      <c r="F1553" s="8" t="s">
        <v>68</v>
      </c>
      <c r="G1553" s="8"/>
      <c r="H1553" s="8" t="s">
        <v>3703</v>
      </c>
      <c r="I1553" s="55" t="s">
        <v>3205</v>
      </c>
      <c r="J1553" s="78" t="s">
        <v>5468</v>
      </c>
      <c r="K1553" s="22">
        <v>168.0</v>
      </c>
      <c r="L1553" s="22">
        <f>+SUMIF('حركه المخزن الرئيسي اليوميه'!$F:$F,$H:$H,'حركه المخزن الرئيسي اليوميه'!$H:$H)</f>
        <v>0.0</v>
      </c>
      <c r="M1553" s="22">
        <f>+SUMIF('حركه المخزن الرئيسي اليوميه'!$F:$F,$H:$H,'حركه المخزن الرئيسي اليوميه'!$I:$I)</f>
        <v>0.0</v>
      </c>
      <c r="N1553" s="22">
        <f>+K1553+L1553-M1553</f>
        <v>168.0</v>
      </c>
      <c r="O1553" s="22">
        <f>+N1553</f>
        <v>168.0</v>
      </c>
      <c r="P1553" s="22">
        <f>+N1553-O1553</f>
        <v>0.0</v>
      </c>
      <c r="Q1553" s="57"/>
      <c r="R1553" s="58"/>
    </row>
    <row r="1554" spans="8:8" ht="15.0" customHeight="1">
      <c r="B1554" s="54">
        <v>1695.0</v>
      </c>
      <c r="C1554" s="8" t="s">
        <v>8351</v>
      </c>
      <c r="D1554" s="8" t="s">
        <v>765</v>
      </c>
      <c r="E1554" s="8" t="s">
        <v>3704</v>
      </c>
      <c r="F1554" s="8" t="s">
        <v>68</v>
      </c>
      <c r="G1554" s="8"/>
      <c r="H1554" s="8" t="s">
        <v>3704</v>
      </c>
      <c r="I1554" s="8" t="s">
        <v>1365</v>
      </c>
      <c r="J1554" s="78" t="s">
        <v>5469</v>
      </c>
      <c r="K1554" s="22">
        <v>283.0</v>
      </c>
      <c r="L1554" s="22">
        <f>+SUMIF('حركه المخزن الرئيسي اليوميه'!$F:$F,$H:$H,'حركه المخزن الرئيسي اليوميه'!$H:$H)</f>
        <v>0.0</v>
      </c>
      <c r="M1554" s="22">
        <f>+SUMIF('حركه المخزن الرئيسي اليوميه'!$F:$F,$H:$H,'حركه المخزن الرئيسي اليوميه'!$I:$I)</f>
        <v>0.0</v>
      </c>
      <c r="N1554" s="22">
        <f>+K1554+L1554-M1554</f>
        <v>283.0</v>
      </c>
      <c r="O1554" s="22">
        <f>+N1554</f>
        <v>283.0</v>
      </c>
      <c r="P1554" s="22">
        <f>+N1554-O1554</f>
        <v>0.0</v>
      </c>
      <c r="Q1554" s="57"/>
      <c r="R1554" s="55"/>
    </row>
    <row r="1555" spans="8:8" ht="15.0" customHeight="1">
      <c r="B1555" s="54">
        <v>1696.0</v>
      </c>
      <c r="C1555" s="8" t="s">
        <v>8351</v>
      </c>
      <c r="D1555" s="8" t="s">
        <v>765</v>
      </c>
      <c r="E1555" s="8" t="s">
        <v>3705</v>
      </c>
      <c r="F1555" s="8" t="s">
        <v>68</v>
      </c>
      <c r="G1555" s="8"/>
      <c r="H1555" s="8" t="s">
        <v>3705</v>
      </c>
      <c r="I1555" s="55" t="s">
        <v>3205</v>
      </c>
      <c r="J1555" s="78" t="s">
        <v>5470</v>
      </c>
      <c r="K1555" s="22">
        <v>150.0</v>
      </c>
      <c r="L1555" s="22">
        <f>+SUMIF('حركه المخزن الرئيسي اليوميه'!$F:$F,$H:$H,'حركه المخزن الرئيسي اليوميه'!$H:$H)</f>
        <v>0.0</v>
      </c>
      <c r="M1555" s="22">
        <f>+SUMIF('حركه المخزن الرئيسي اليوميه'!$F:$F,$H:$H,'حركه المخزن الرئيسي اليوميه'!$I:$I)</f>
        <v>14.0</v>
      </c>
      <c r="N1555" s="22">
        <f>+K1555+L1555-M1555</f>
        <v>136.0</v>
      </c>
      <c r="O1555" s="22">
        <f>+N1555</f>
        <v>136.0</v>
      </c>
      <c r="P1555" s="22">
        <f>+N1555-O1555</f>
        <v>0.0</v>
      </c>
      <c r="Q1555" s="57"/>
      <c r="R1555" s="58"/>
    </row>
    <row r="1556" spans="8:8" ht="15.0" customHeight="1">
      <c r="B1556" s="54">
        <v>1697.0</v>
      </c>
      <c r="C1556" s="8" t="s">
        <v>8351</v>
      </c>
      <c r="D1556" s="8" t="s">
        <v>765</v>
      </c>
      <c r="E1556" s="8" t="s">
        <v>3706</v>
      </c>
      <c r="F1556" s="8" t="s">
        <v>68</v>
      </c>
      <c r="G1556" s="8"/>
      <c r="H1556" s="8" t="s">
        <v>3706</v>
      </c>
      <c r="I1556" s="55" t="s">
        <v>3205</v>
      </c>
      <c r="J1556" s="78" t="s">
        <v>5471</v>
      </c>
      <c r="K1556" s="22">
        <v>76.0</v>
      </c>
      <c r="L1556" s="22">
        <f>+SUMIF('حركه المخزن الرئيسي اليوميه'!$F:$F,$H:$H,'حركه المخزن الرئيسي اليوميه'!$H:$H)</f>
        <v>0.0</v>
      </c>
      <c r="M1556" s="22">
        <f>+SUMIF('حركه المخزن الرئيسي اليوميه'!$F:$F,$H:$H,'حركه المخزن الرئيسي اليوميه'!$I:$I)</f>
        <v>4.0</v>
      </c>
      <c r="N1556" s="22">
        <f>+K1556+L1556-M1556</f>
        <v>72.0</v>
      </c>
      <c r="O1556" s="22">
        <f>+N1556</f>
        <v>72.0</v>
      </c>
      <c r="P1556" s="22">
        <f>+N1556-O1556</f>
        <v>0.0</v>
      </c>
      <c r="Q1556" s="57"/>
      <c r="R1556" s="58"/>
    </row>
    <row r="1557" spans="8:8" ht="15.0" customHeight="1">
      <c r="B1557" s="54">
        <v>1698.0</v>
      </c>
      <c r="C1557" s="8" t="s">
        <v>8351</v>
      </c>
      <c r="D1557" s="8" t="s">
        <v>765</v>
      </c>
      <c r="E1557" s="8" t="s">
        <v>3726</v>
      </c>
      <c r="F1557" s="8" t="s">
        <v>68</v>
      </c>
      <c r="G1557" s="8"/>
      <c r="H1557" s="8" t="s">
        <v>3726</v>
      </c>
      <c r="I1557" s="55" t="s">
        <v>818</v>
      </c>
      <c r="J1557" s="78" t="s">
        <v>5472</v>
      </c>
      <c r="K1557" s="22">
        <v>0.0</v>
      </c>
      <c r="L1557" s="22">
        <f>+SUMIF('حركه المخزن الرئيسي اليوميه'!$F:$F,$H:$H,'حركه المخزن الرئيسي اليوميه'!$H:$H)</f>
        <v>0.0</v>
      </c>
      <c r="M1557" s="22">
        <f>+SUMIF('حركه المخزن الرئيسي اليوميه'!$F:$F,$H:$H,'حركه المخزن الرئيسي اليوميه'!$I:$I)</f>
        <v>0.0</v>
      </c>
      <c r="N1557" s="22">
        <f>+K1557+L1557-M1557</f>
        <v>0.0</v>
      </c>
      <c r="O1557" s="22">
        <f>+N1557</f>
        <v>0.0</v>
      </c>
      <c r="P1557" s="22">
        <f>+N1557-O1557</f>
        <v>0.0</v>
      </c>
      <c r="Q1557" s="57"/>
      <c r="R1557" s="58"/>
    </row>
    <row r="1558" spans="8:8" ht="15.0" customHeight="1">
      <c r="B1558" s="54">
        <v>1699.0</v>
      </c>
      <c r="C1558" s="8" t="s">
        <v>8351</v>
      </c>
      <c r="D1558" s="8" t="s">
        <v>765</v>
      </c>
      <c r="E1558" s="8" t="s">
        <v>3727</v>
      </c>
      <c r="F1558" s="8" t="s">
        <v>68</v>
      </c>
      <c r="G1558" s="8"/>
      <c r="H1558" s="8" t="s">
        <v>3727</v>
      </c>
      <c r="I1558" s="55"/>
      <c r="J1558" s="78" t="s">
        <v>5473</v>
      </c>
      <c r="K1558" s="22">
        <v>0.0</v>
      </c>
      <c r="L1558" s="22">
        <f>+SUMIF('حركه المخزن الرئيسي اليوميه'!$F:$F,$H:$H,'حركه المخزن الرئيسي اليوميه'!$H:$H)</f>
        <v>0.0</v>
      </c>
      <c r="M1558" s="22">
        <f>+SUMIF('حركه المخزن الرئيسي اليوميه'!$F:$F,$H:$H,'حركه المخزن الرئيسي اليوميه'!$I:$I)</f>
        <v>0.0</v>
      </c>
      <c r="N1558" s="22">
        <f>+K1558+L1558-M1558</f>
        <v>0.0</v>
      </c>
      <c r="O1558" s="22">
        <f>+N1558</f>
        <v>0.0</v>
      </c>
      <c r="P1558" s="22">
        <f>+N1558-O1558</f>
        <v>0.0</v>
      </c>
      <c r="Q1558" s="57"/>
      <c r="R1558" s="58"/>
    </row>
    <row r="1559" spans="8:8" ht="15.0" customHeight="1">
      <c r="B1559" s="54">
        <v>1700.0</v>
      </c>
      <c r="C1559" s="8" t="s">
        <v>8351</v>
      </c>
      <c r="D1559" s="8" t="s">
        <v>765</v>
      </c>
      <c r="E1559" s="8" t="s">
        <v>3729</v>
      </c>
      <c r="F1559" s="8" t="s">
        <v>68</v>
      </c>
      <c r="G1559" s="8"/>
      <c r="H1559" s="8" t="s">
        <v>3729</v>
      </c>
      <c r="I1559" s="55"/>
      <c r="J1559" s="78" t="s">
        <v>5474</v>
      </c>
      <c r="K1559" s="22">
        <v>0.0</v>
      </c>
      <c r="L1559" s="22">
        <f>+SUMIF('حركه المخزن الرئيسي اليوميه'!$F:$F,$H:$H,'حركه المخزن الرئيسي اليوميه'!$H:$H)</f>
        <v>0.0</v>
      </c>
      <c r="M1559" s="22">
        <f>+SUMIF('حركه المخزن الرئيسي اليوميه'!$F:$F,$H:$H,'حركه المخزن الرئيسي اليوميه'!$I:$I)</f>
        <v>0.0</v>
      </c>
      <c r="N1559" s="22">
        <f>+K1559+L1559-M1559</f>
        <v>0.0</v>
      </c>
      <c r="O1559" s="22">
        <f>+N1559</f>
        <v>0.0</v>
      </c>
      <c r="P1559" s="22">
        <f>+N1559-O1559</f>
        <v>0.0</v>
      </c>
      <c r="Q1559" s="57"/>
      <c r="R1559" s="58"/>
    </row>
    <row r="1560" spans="8:8" ht="15.0" customHeight="1">
      <c r="B1560" s="54">
        <v>1702.0</v>
      </c>
      <c r="C1560" s="8" t="s">
        <v>8351</v>
      </c>
      <c r="D1560" s="8" t="s">
        <v>765</v>
      </c>
      <c r="E1560" s="8" t="s">
        <v>3736</v>
      </c>
      <c r="F1560" s="8" t="s">
        <v>389</v>
      </c>
      <c r="G1560" s="8"/>
      <c r="H1560" s="8" t="s">
        <v>3736</v>
      </c>
      <c r="I1560" s="55" t="s">
        <v>818</v>
      </c>
      <c r="J1560" s="78" t="s">
        <v>5475</v>
      </c>
      <c r="K1560" s="22">
        <v>250.0</v>
      </c>
      <c r="L1560" s="22">
        <f>+SUMIF('حركه المخزن الرئيسي اليوميه'!$F:$F,$H:$H,'حركه المخزن الرئيسي اليوميه'!$H:$H)</f>
        <v>0.0</v>
      </c>
      <c r="M1560" s="22">
        <f>+SUMIF('حركه المخزن الرئيسي اليوميه'!$F:$F,$H:$H,'حركه المخزن الرئيسي اليوميه'!$I:$I)</f>
        <v>0.0</v>
      </c>
      <c r="N1560" s="22">
        <f>+K1560+L1560-M1560</f>
        <v>250.0</v>
      </c>
      <c r="O1560" s="22">
        <f>+N1560</f>
        <v>250.0</v>
      </c>
      <c r="P1560" s="22">
        <f>+N1560-O1560</f>
        <v>0.0</v>
      </c>
      <c r="Q1560" s="57"/>
      <c r="R1560" s="58"/>
    </row>
    <row r="1561" spans="8:8" ht="15.0" customHeight="1">
      <c r="B1561" s="54">
        <v>1703.0</v>
      </c>
      <c r="C1561" s="8" t="s">
        <v>8351</v>
      </c>
      <c r="D1561" s="8" t="s">
        <v>765</v>
      </c>
      <c r="E1561" s="8" t="s">
        <v>3738</v>
      </c>
      <c r="F1561" s="8" t="s">
        <v>68</v>
      </c>
      <c r="G1561" s="8"/>
      <c r="H1561" s="8" t="s">
        <v>3738</v>
      </c>
      <c r="I1561" s="55"/>
      <c r="J1561" s="78" t="s">
        <v>5476</v>
      </c>
      <c r="K1561" s="22">
        <v>0.0</v>
      </c>
      <c r="L1561" s="22">
        <f>+SUMIF('حركه المخزن الرئيسي اليوميه'!$F:$F,$H:$H,'حركه المخزن الرئيسي اليوميه'!$H:$H)</f>
        <v>0.0</v>
      </c>
      <c r="M1561" s="22">
        <f>+SUMIF('حركه المخزن الرئيسي اليوميه'!$F:$F,$H:$H,'حركه المخزن الرئيسي اليوميه'!$I:$I)</f>
        <v>0.0</v>
      </c>
      <c r="N1561" s="22">
        <f>+K1561+L1561-M1561</f>
        <v>0.0</v>
      </c>
      <c r="O1561" s="22">
        <f>+N1561</f>
        <v>0.0</v>
      </c>
      <c r="P1561" s="22">
        <f>+N1561-O1561</f>
        <v>0.0</v>
      </c>
      <c r="Q1561" s="57"/>
      <c r="R1561" s="58"/>
    </row>
    <row r="1562" spans="8:8" ht="15.0" customHeight="1">
      <c r="B1562" s="54">
        <v>1704.0</v>
      </c>
      <c r="C1562" s="8" t="s">
        <v>8351</v>
      </c>
      <c r="D1562" s="8" t="s">
        <v>765</v>
      </c>
      <c r="E1562" s="8" t="s">
        <v>3739</v>
      </c>
      <c r="F1562" s="8" t="s">
        <v>68</v>
      </c>
      <c r="G1562" s="8"/>
      <c r="H1562" s="8" t="s">
        <v>3739</v>
      </c>
      <c r="I1562" s="55"/>
      <c r="J1562" s="78" t="s">
        <v>5477</v>
      </c>
      <c r="K1562" s="22">
        <v>0.0</v>
      </c>
      <c r="L1562" s="22">
        <f>+SUMIF('حركه المخزن الرئيسي اليوميه'!$F:$F,$H:$H,'حركه المخزن الرئيسي اليوميه'!$H:$H)</f>
        <v>0.0</v>
      </c>
      <c r="M1562" s="22">
        <f>+SUMIF('حركه المخزن الرئيسي اليوميه'!$F:$F,$H:$H,'حركه المخزن الرئيسي اليوميه'!$I:$I)</f>
        <v>0.0</v>
      </c>
      <c r="N1562" s="22">
        <f>+K1562+L1562-M1562</f>
        <v>0.0</v>
      </c>
      <c r="O1562" s="22">
        <f>+N1562</f>
        <v>0.0</v>
      </c>
      <c r="P1562" s="22">
        <f>+N1562-O1562</f>
        <v>0.0</v>
      </c>
      <c r="Q1562" s="57"/>
      <c r="R1562" s="58"/>
    </row>
    <row r="1563" spans="8:8" ht="15.0" customHeight="1">
      <c r="B1563" s="54">
        <v>1705.0</v>
      </c>
      <c r="C1563" s="8" t="s">
        <v>8351</v>
      </c>
      <c r="D1563" s="8" t="s">
        <v>765</v>
      </c>
      <c r="E1563" s="8" t="s">
        <v>1230</v>
      </c>
      <c r="F1563" s="8" t="s">
        <v>68</v>
      </c>
      <c r="G1563" s="8" t="s">
        <v>1859</v>
      </c>
      <c r="H1563" s="8" t="s">
        <v>3740</v>
      </c>
      <c r="I1563" s="55" t="s">
        <v>8102</v>
      </c>
      <c r="J1563" s="78" t="s">
        <v>5478</v>
      </c>
      <c r="K1563" s="22">
        <v>0.0</v>
      </c>
      <c r="L1563" s="22">
        <f>+SUMIF('حركه المخزن الرئيسي اليوميه'!$F:$F,$H:$H,'حركه المخزن الرئيسي اليوميه'!$H:$H)</f>
        <v>0.0</v>
      </c>
      <c r="M1563" s="22">
        <f>+SUMIF('حركه المخزن الرئيسي اليوميه'!$F:$F,$H:$H,'حركه المخزن الرئيسي اليوميه'!$I:$I)</f>
        <v>0.0</v>
      </c>
      <c r="N1563" s="22">
        <f>+K1563+L1563-M1563</f>
        <v>0.0</v>
      </c>
      <c r="O1563" s="22">
        <f>+N1563</f>
        <v>0.0</v>
      </c>
      <c r="P1563" s="22">
        <f>+N1563-O1563</f>
        <v>0.0</v>
      </c>
      <c r="Q1563" s="57"/>
      <c r="R1563" s="58"/>
    </row>
    <row r="1564" spans="8:8" ht="15.0" customHeight="1">
      <c r="B1564" s="54">
        <v>1706.0</v>
      </c>
      <c r="C1564" s="8" t="s">
        <v>8351</v>
      </c>
      <c r="D1564" s="8" t="s">
        <v>765</v>
      </c>
      <c r="E1564" s="8" t="s">
        <v>1230</v>
      </c>
      <c r="F1564" s="8" t="s">
        <v>68</v>
      </c>
      <c r="G1564" s="8" t="s">
        <v>1859</v>
      </c>
      <c r="H1564" s="8" t="s">
        <v>3741</v>
      </c>
      <c r="I1564" s="55" t="s">
        <v>2908</v>
      </c>
      <c r="J1564" s="78" t="s">
        <v>5479</v>
      </c>
      <c r="K1564" s="22">
        <v>0.0</v>
      </c>
      <c r="L1564" s="22">
        <f>+SUMIF('حركه المخزن الرئيسي اليوميه'!$F:$F,$H:$H,'حركه المخزن الرئيسي اليوميه'!$H:$H)</f>
        <v>0.0</v>
      </c>
      <c r="M1564" s="22">
        <f>+SUMIF('حركه المخزن الرئيسي اليوميه'!$F:$F,$H:$H,'حركه المخزن الرئيسي اليوميه'!$I:$I)</f>
        <v>0.0</v>
      </c>
      <c r="N1564" s="22">
        <f>+K1564+L1564-M1564</f>
        <v>0.0</v>
      </c>
      <c r="O1564" s="22">
        <f>+N1564</f>
        <v>0.0</v>
      </c>
      <c r="P1564" s="22">
        <f>+N1564-O1564</f>
        <v>0.0</v>
      </c>
      <c r="Q1564" s="57"/>
      <c r="R1564" s="58"/>
    </row>
    <row r="1565" spans="8:8" ht="15.0" customHeight="1">
      <c r="B1565" s="54">
        <v>1707.0</v>
      </c>
      <c r="C1565" s="8" t="s">
        <v>8351</v>
      </c>
      <c r="D1565" s="8" t="s">
        <v>765</v>
      </c>
      <c r="E1565" s="8" t="s">
        <v>3742</v>
      </c>
      <c r="F1565" s="8" t="s">
        <v>68</v>
      </c>
      <c r="G1565" s="8"/>
      <c r="H1565" s="8" t="s">
        <v>3742</v>
      </c>
      <c r="I1565" s="55" t="s">
        <v>78</v>
      </c>
      <c r="J1565" s="78" t="s">
        <v>5480</v>
      </c>
      <c r="K1565" s="22">
        <v>2.0</v>
      </c>
      <c r="L1565" s="22">
        <f>+SUMIF('حركه المخزن الرئيسي اليوميه'!$F:$F,$H:$H,'حركه المخزن الرئيسي اليوميه'!$H:$H)</f>
        <v>0.0</v>
      </c>
      <c r="M1565" s="22">
        <f>+SUMIF('حركه المخزن الرئيسي اليوميه'!$F:$F,$H:$H,'حركه المخزن الرئيسي اليوميه'!$I:$I)</f>
        <v>0.0</v>
      </c>
      <c r="N1565" s="22">
        <f>+K1565+L1565-M1565</f>
        <v>2.0</v>
      </c>
      <c r="O1565" s="22">
        <f>+N1565</f>
        <v>2.0</v>
      </c>
      <c r="P1565" s="22">
        <f>+N1565-O1565</f>
        <v>0.0</v>
      </c>
      <c r="Q1565" s="57"/>
      <c r="R1565" s="58"/>
    </row>
    <row r="1566" spans="8:8" ht="15.0" customHeight="1">
      <c r="B1566" s="54">
        <v>1708.0</v>
      </c>
      <c r="C1566" s="8" t="s">
        <v>8351</v>
      </c>
      <c r="D1566" s="8" t="s">
        <v>765</v>
      </c>
      <c r="E1566" s="8" t="s">
        <v>1230</v>
      </c>
      <c r="F1566" s="8" t="s">
        <v>389</v>
      </c>
      <c r="G1566" s="8"/>
      <c r="H1566" s="8" t="s">
        <v>3743</v>
      </c>
      <c r="I1566" s="55"/>
      <c r="J1566" s="78" t="s">
        <v>5481</v>
      </c>
      <c r="K1566" s="22">
        <v>0.0</v>
      </c>
      <c r="L1566" s="22">
        <f>+SUMIF('حركه المخزن الرئيسي اليوميه'!$F:$F,$H:$H,'حركه المخزن الرئيسي اليوميه'!$H:$H)</f>
        <v>0.0</v>
      </c>
      <c r="M1566" s="22">
        <f>+SUMIF('حركه المخزن الرئيسي اليوميه'!$F:$F,$H:$H,'حركه المخزن الرئيسي اليوميه'!$I:$I)</f>
        <v>0.0</v>
      </c>
      <c r="N1566" s="22">
        <f>+K1566+L1566-M1566</f>
        <v>0.0</v>
      </c>
      <c r="O1566" s="22">
        <f>+N1566</f>
        <v>0.0</v>
      </c>
      <c r="P1566" s="22">
        <f>+N1566-O1566</f>
        <v>0.0</v>
      </c>
      <c r="Q1566" s="57"/>
      <c r="R1566" s="58"/>
    </row>
    <row r="1567" spans="8:8" ht="15.0" customHeight="1">
      <c r="B1567" s="54">
        <v>1709.0</v>
      </c>
      <c r="C1567" s="8" t="s">
        <v>8351</v>
      </c>
      <c r="D1567" s="8" t="s">
        <v>765</v>
      </c>
      <c r="E1567" s="8" t="s">
        <v>3744</v>
      </c>
      <c r="F1567" s="8" t="s">
        <v>68</v>
      </c>
      <c r="G1567" s="8"/>
      <c r="H1567" s="8" t="s">
        <v>3744</v>
      </c>
      <c r="I1567" s="55"/>
      <c r="J1567" s="78" t="s">
        <v>5482</v>
      </c>
      <c r="K1567" s="22">
        <v>0.0</v>
      </c>
      <c r="L1567" s="22">
        <f>+SUMIF('حركه المخزن الرئيسي اليوميه'!$F:$F,$H:$H,'حركه المخزن الرئيسي اليوميه'!$H:$H)</f>
        <v>0.0</v>
      </c>
      <c r="M1567" s="22">
        <f>+SUMIF('حركه المخزن الرئيسي اليوميه'!$F:$F,$H:$H,'حركه المخزن الرئيسي اليوميه'!$I:$I)</f>
        <v>0.0</v>
      </c>
      <c r="N1567" s="22">
        <f>+K1567+L1567-M1567</f>
        <v>0.0</v>
      </c>
      <c r="O1567" s="22">
        <f>+N1567</f>
        <v>0.0</v>
      </c>
      <c r="P1567" s="22">
        <f>+N1567-O1567</f>
        <v>0.0</v>
      </c>
      <c r="Q1567" s="57"/>
      <c r="R1567" s="58"/>
    </row>
    <row r="1568" spans="8:8" ht="15.0" customHeight="1">
      <c r="B1568" s="54">
        <v>1710.0</v>
      </c>
      <c r="C1568" s="8" t="s">
        <v>8351</v>
      </c>
      <c r="D1568" s="8" t="s">
        <v>765</v>
      </c>
      <c r="E1568" s="8" t="s">
        <v>3746</v>
      </c>
      <c r="F1568" s="8" t="s">
        <v>68</v>
      </c>
      <c r="G1568" s="8"/>
      <c r="H1568" s="8" t="s">
        <v>3746</v>
      </c>
      <c r="I1568" s="55"/>
      <c r="J1568" s="78" t="s">
        <v>5483</v>
      </c>
      <c r="K1568" s="22">
        <v>0.0</v>
      </c>
      <c r="L1568" s="22">
        <f>+SUMIF('حركه المخزن الرئيسي اليوميه'!$F:$F,$H:$H,'حركه المخزن الرئيسي اليوميه'!$H:$H)</f>
        <v>0.0</v>
      </c>
      <c r="M1568" s="22">
        <f>+SUMIF('حركه المخزن الرئيسي اليوميه'!$F:$F,$H:$H,'حركه المخزن الرئيسي اليوميه'!$I:$I)</f>
        <v>0.0</v>
      </c>
      <c r="N1568" s="22">
        <f>+K1568+L1568-M1568</f>
        <v>0.0</v>
      </c>
      <c r="O1568" s="22">
        <f>+N1568</f>
        <v>0.0</v>
      </c>
      <c r="P1568" s="22">
        <f>+N1568-O1568</f>
        <v>0.0</v>
      </c>
      <c r="Q1568" s="57"/>
      <c r="R1568" s="58"/>
    </row>
    <row r="1569" spans="8:8" ht="15.0" customHeight="1">
      <c r="B1569" s="54">
        <v>1713.0</v>
      </c>
      <c r="C1569" s="8" t="s">
        <v>8351</v>
      </c>
      <c r="D1569" s="8" t="s">
        <v>820</v>
      </c>
      <c r="E1569" s="8" t="s">
        <v>3761</v>
      </c>
      <c r="F1569" s="8" t="s">
        <v>68</v>
      </c>
      <c r="G1569" s="8" t="s">
        <v>1664</v>
      </c>
      <c r="H1569" s="8" t="s">
        <v>3761</v>
      </c>
      <c r="I1569" s="8" t="s">
        <v>8101</v>
      </c>
      <c r="J1569" s="78" t="s">
        <v>5484</v>
      </c>
      <c r="K1569" s="22">
        <v>8.0</v>
      </c>
      <c r="L1569" s="22">
        <f>+SUMIF('حركه المخزن الرئيسي اليوميه'!$F:$F,$H:$H,'حركه المخزن الرئيسي اليوميه'!$H:$H)</f>
        <v>0.0</v>
      </c>
      <c r="M1569" s="22">
        <f>+SUMIF('حركه المخزن الرئيسي اليوميه'!$F:$F,$H:$H,'حركه المخزن الرئيسي اليوميه'!$I:$I)</f>
        <v>0.0</v>
      </c>
      <c r="N1569" s="22">
        <f>+K1569+L1569-M1569</f>
        <v>8.0</v>
      </c>
      <c r="O1569" s="22">
        <f>+N1569</f>
        <v>8.0</v>
      </c>
      <c r="P1569" s="22">
        <f>+N1569-O1569</f>
        <v>0.0</v>
      </c>
      <c r="Q1569" s="57"/>
      <c r="R1569" s="58"/>
    </row>
    <row r="1570" spans="8:8" ht="15.0" customHeight="1">
      <c r="B1570" s="54">
        <v>1714.0</v>
      </c>
      <c r="C1570" s="8" t="s">
        <v>8351</v>
      </c>
      <c r="D1570" s="8" t="s">
        <v>820</v>
      </c>
      <c r="E1570" s="8" t="s">
        <v>3762</v>
      </c>
      <c r="F1570" s="8" t="s">
        <v>68</v>
      </c>
      <c r="G1570" s="8" t="s">
        <v>3763</v>
      </c>
      <c r="H1570" s="8" t="s">
        <v>3762</v>
      </c>
      <c r="I1570" s="8" t="s">
        <v>384</v>
      </c>
      <c r="J1570" s="78" t="s">
        <v>5485</v>
      </c>
      <c r="K1570" s="22">
        <v>288.0</v>
      </c>
      <c r="L1570" s="22">
        <f>+SUMIF('حركه المخزن الرئيسي اليوميه'!$F:$F,$H:$H,'حركه المخزن الرئيسي اليوميه'!$H:$H)</f>
        <v>0.0</v>
      </c>
      <c r="M1570" s="22">
        <f>+SUMIF('حركه المخزن الرئيسي اليوميه'!$F:$F,$H:$H,'حركه المخزن الرئيسي اليوميه'!$I:$I)</f>
        <v>16.0</v>
      </c>
      <c r="N1570" s="22">
        <f>+K1570+L1570-M1570</f>
        <v>272.0</v>
      </c>
      <c r="O1570" s="22">
        <f>+N1570</f>
        <v>272.0</v>
      </c>
      <c r="P1570" s="22">
        <f>+N1570-O1570</f>
        <v>0.0</v>
      </c>
      <c r="Q1570" s="57"/>
      <c r="R1570" s="58"/>
    </row>
    <row r="1571" spans="8:8" ht="15.0" customHeight="1">
      <c r="B1571" s="54">
        <v>1715.0</v>
      </c>
      <c r="C1571" s="8" t="s">
        <v>8351</v>
      </c>
      <c r="D1571" s="8" t="s">
        <v>828</v>
      </c>
      <c r="E1571" s="8" t="s">
        <v>8119</v>
      </c>
      <c r="F1571" s="8" t="s">
        <v>68</v>
      </c>
      <c r="G1571" s="8"/>
      <c r="H1571" s="8" t="s">
        <v>8119</v>
      </c>
      <c r="I1571" s="55" t="s">
        <v>818</v>
      </c>
      <c r="J1571" s="78" t="s">
        <v>5486</v>
      </c>
      <c r="K1571" s="22">
        <v>2.0</v>
      </c>
      <c r="L1571" s="22">
        <f>+SUMIF('حركه المخزن الرئيسي اليوميه'!$F:$F,$H:$H,'حركه المخزن الرئيسي اليوميه'!$H:$H)</f>
        <v>0.0</v>
      </c>
      <c r="M1571" s="22">
        <f>+SUMIF('حركه المخزن الرئيسي اليوميه'!$F:$F,$H:$H,'حركه المخزن الرئيسي اليوميه'!$I:$I)</f>
        <v>0.0</v>
      </c>
      <c r="N1571" s="22">
        <f>+K1571+L1571-M1571</f>
        <v>2.0</v>
      </c>
      <c r="O1571" s="22">
        <f>+N1571</f>
        <v>2.0</v>
      </c>
      <c r="P1571" s="22">
        <f>+N1571-O1571</f>
        <v>0.0</v>
      </c>
      <c r="Q1571" s="57"/>
      <c r="R1571" s="58"/>
    </row>
    <row r="1572" spans="8:8" ht="15.0" customHeight="1">
      <c r="B1572" s="54">
        <v>1716.0</v>
      </c>
      <c r="C1572" s="8" t="s">
        <v>8351</v>
      </c>
      <c r="D1572" s="8" t="s">
        <v>820</v>
      </c>
      <c r="E1572" s="8" t="s">
        <v>8120</v>
      </c>
      <c r="F1572" s="8" t="s">
        <v>68</v>
      </c>
      <c r="G1572" s="8"/>
      <c r="H1572" s="8" t="s">
        <v>8120</v>
      </c>
      <c r="I1572" s="8" t="s">
        <v>58</v>
      </c>
      <c r="J1572" s="78" t="s">
        <v>5487</v>
      </c>
      <c r="K1572" s="22">
        <v>1.0</v>
      </c>
      <c r="L1572" s="22">
        <f>+SUMIF('حركه المخزن الرئيسي اليوميه'!$F:$F,$H:$H,'حركه المخزن الرئيسي اليوميه'!$H:$H)</f>
        <v>0.0</v>
      </c>
      <c r="M1572" s="22">
        <f>+SUMIF('حركه المخزن الرئيسي اليوميه'!$F:$F,$H:$H,'حركه المخزن الرئيسي اليوميه'!$I:$I)</f>
        <v>0.0</v>
      </c>
      <c r="N1572" s="22">
        <f>+K1572+L1572-M1572</f>
        <v>1.0</v>
      </c>
      <c r="O1572" s="22">
        <f>+N1572</f>
        <v>1.0</v>
      </c>
      <c r="P1572" s="22">
        <f>+N1572-O1572</f>
        <v>0.0</v>
      </c>
      <c r="Q1572" s="57"/>
      <c r="R1572" s="58"/>
    </row>
    <row r="1573" spans="8:8" ht="15.0" customHeight="1">
      <c r="B1573" s="54">
        <v>1717.0</v>
      </c>
      <c r="C1573" s="8" t="s">
        <v>8351</v>
      </c>
      <c r="D1573" s="8" t="s">
        <v>820</v>
      </c>
      <c r="E1573" s="8" t="s">
        <v>8134</v>
      </c>
      <c r="F1573" s="8" t="s">
        <v>68</v>
      </c>
      <c r="G1573" s="8"/>
      <c r="H1573" s="8" t="s">
        <v>8134</v>
      </c>
      <c r="I1573" s="55" t="s">
        <v>45</v>
      </c>
      <c r="J1573" s="78" t="s">
        <v>5488</v>
      </c>
      <c r="K1573" s="22">
        <v>10.0</v>
      </c>
      <c r="L1573" s="22">
        <f>+SUMIF('حركه المخزن الرئيسي اليوميه'!$F:$F,$H:$H,'حركه المخزن الرئيسي اليوميه'!$H:$H)</f>
        <v>0.0</v>
      </c>
      <c r="M1573" s="22">
        <f>+SUMIF('حركه المخزن الرئيسي اليوميه'!$F:$F,$H:$H,'حركه المخزن الرئيسي اليوميه'!$I:$I)</f>
        <v>0.0</v>
      </c>
      <c r="N1573" s="22">
        <f>+K1573+L1573-M1573</f>
        <v>10.0</v>
      </c>
      <c r="O1573" s="22">
        <f>+N1573</f>
        <v>10.0</v>
      </c>
      <c r="P1573" s="22">
        <f>+N1573-O1573</f>
        <v>0.0</v>
      </c>
      <c r="Q1573" s="57"/>
      <c r="R1573" s="58"/>
    </row>
    <row r="1574" spans="8:8" ht="15.0" customHeight="1">
      <c r="B1574" s="54">
        <v>1718.0</v>
      </c>
      <c r="C1574" s="8"/>
      <c r="D1574" s="8"/>
      <c r="E1574" s="8"/>
      <c r="F1574" s="8"/>
      <c r="G1574" s="8"/>
      <c r="H1574" s="8"/>
      <c r="I1574" s="8"/>
      <c r="J1574" s="78" t="s">
        <v>5489</v>
      </c>
      <c r="K1574" s="22">
        <v>0.0</v>
      </c>
      <c r="L1574" s="22">
        <f>+SUMIF('حركه المخزن الرئيسي اليوميه'!$F:$F,$H:$H,'حركه المخزن الرئيسي اليوميه'!$H:$H)</f>
        <v>0.0</v>
      </c>
      <c r="M1574" s="22">
        <f>+SUMIF('حركه المخزن الرئيسي اليوميه'!$F:$F,$H:$H,'حركه المخزن الرئيسي اليوميه'!$I:$I)</f>
        <v>0.0</v>
      </c>
      <c r="N1574" s="22">
        <f>+K1574+L1574-M1574</f>
        <v>0.0</v>
      </c>
      <c r="O1574" s="22">
        <f>+N1574</f>
        <v>0.0</v>
      </c>
      <c r="P1574" s="22">
        <f>+N1574-O1574</f>
        <v>0.0</v>
      </c>
      <c r="Q1574" s="57"/>
      <c r="R1574" s="58"/>
    </row>
    <row r="1575" spans="8:8" ht="15.0" customHeight="1">
      <c r="B1575" s="54">
        <v>1719.0</v>
      </c>
      <c r="C1575" s="8" t="s">
        <v>8351</v>
      </c>
      <c r="D1575" s="8" t="s">
        <v>765</v>
      </c>
      <c r="E1575" s="8" t="s">
        <v>3768</v>
      </c>
      <c r="F1575" s="8" t="s">
        <v>1501</v>
      </c>
      <c r="G1575" s="8"/>
      <c r="H1575" s="8" t="s">
        <v>3768</v>
      </c>
      <c r="I1575" s="55"/>
      <c r="J1575" s="78" t="s">
        <v>5490</v>
      </c>
      <c r="K1575" s="22">
        <v>0.0</v>
      </c>
      <c r="L1575" s="22">
        <f>+SUMIF('حركه المخزن الرئيسي اليوميه'!$F:$F,$H:$H,'حركه المخزن الرئيسي اليوميه'!$H:$H)</f>
        <v>0.0</v>
      </c>
      <c r="M1575" s="22">
        <f>+SUMIF('حركه المخزن الرئيسي اليوميه'!$F:$F,$H:$H,'حركه المخزن الرئيسي اليوميه'!$I:$I)</f>
        <v>0.0</v>
      </c>
      <c r="N1575" s="22">
        <f>+K1575+L1575-M1575</f>
        <v>0.0</v>
      </c>
      <c r="O1575" s="22">
        <f>+N1575</f>
        <v>0.0</v>
      </c>
      <c r="P1575" s="22">
        <f>+N1575-O1575</f>
        <v>0.0</v>
      </c>
      <c r="Q1575" s="57"/>
      <c r="R1575" s="58"/>
    </row>
    <row r="1576" spans="8:8" ht="15.0" customHeight="1">
      <c r="B1576" s="54">
        <v>1720.0</v>
      </c>
      <c r="C1576" s="8" t="s">
        <v>8351</v>
      </c>
      <c r="D1576" s="8" t="s">
        <v>765</v>
      </c>
      <c r="E1576" s="8" t="s">
        <v>3769</v>
      </c>
      <c r="F1576" s="8" t="s">
        <v>1501</v>
      </c>
      <c r="G1576" s="8"/>
      <c r="H1576" s="8" t="s">
        <v>3769</v>
      </c>
      <c r="I1576" s="55"/>
      <c r="J1576" s="78" t="s">
        <v>5491</v>
      </c>
      <c r="K1576" s="22">
        <v>0.0</v>
      </c>
      <c r="L1576" s="22">
        <f>+SUMIF('حركه المخزن الرئيسي اليوميه'!$F:$F,$H:$H,'حركه المخزن الرئيسي اليوميه'!$H:$H)</f>
        <v>0.0</v>
      </c>
      <c r="M1576" s="22">
        <f>+SUMIF('حركه المخزن الرئيسي اليوميه'!$F:$F,$H:$H,'حركه المخزن الرئيسي اليوميه'!$I:$I)</f>
        <v>0.0</v>
      </c>
      <c r="N1576" s="22">
        <f>+K1576+L1576-M1576</f>
        <v>0.0</v>
      </c>
      <c r="O1576" s="22">
        <f>+N1576</f>
        <v>0.0</v>
      </c>
      <c r="P1576" s="22">
        <f>+N1576-O1576</f>
        <v>0.0</v>
      </c>
      <c r="Q1576" s="57"/>
      <c r="R1576" s="58"/>
    </row>
    <row r="1577" spans="8:8" ht="15.0" customHeight="1">
      <c r="B1577" s="54">
        <v>1721.0</v>
      </c>
      <c r="C1577" s="8" t="s">
        <v>8351</v>
      </c>
      <c r="D1577" s="8" t="s">
        <v>765</v>
      </c>
      <c r="E1577" s="8" t="s">
        <v>3770</v>
      </c>
      <c r="F1577" s="8" t="s">
        <v>1501</v>
      </c>
      <c r="G1577" s="8"/>
      <c r="H1577" s="8" t="s">
        <v>3770</v>
      </c>
      <c r="I1577" s="55"/>
      <c r="J1577" s="78" t="s">
        <v>5492</v>
      </c>
      <c r="K1577" s="22">
        <v>0.0</v>
      </c>
      <c r="L1577" s="22">
        <f>+SUMIF('حركه المخزن الرئيسي اليوميه'!$F:$F,$H:$H,'حركه المخزن الرئيسي اليوميه'!$H:$H)</f>
        <v>0.0</v>
      </c>
      <c r="M1577" s="22">
        <f>+SUMIF('حركه المخزن الرئيسي اليوميه'!$F:$F,$H:$H,'حركه المخزن الرئيسي اليوميه'!$I:$I)</f>
        <v>0.0</v>
      </c>
      <c r="N1577" s="22">
        <f>+K1577+L1577-M1577</f>
        <v>0.0</v>
      </c>
      <c r="O1577" s="22">
        <f>+N1577</f>
        <v>0.0</v>
      </c>
      <c r="P1577" s="22">
        <f>+N1577-O1577</f>
        <v>0.0</v>
      </c>
      <c r="Q1577" s="57"/>
      <c r="R1577" s="58"/>
    </row>
    <row r="1578" spans="8:8" ht="15.0" customHeight="1">
      <c r="B1578" s="54">
        <v>1722.0</v>
      </c>
      <c r="C1578" s="8" t="s">
        <v>8351</v>
      </c>
      <c r="D1578" s="8" t="s">
        <v>765</v>
      </c>
      <c r="E1578" s="8" t="s">
        <v>3771</v>
      </c>
      <c r="F1578" s="8" t="s">
        <v>1501</v>
      </c>
      <c r="G1578" s="8"/>
      <c r="H1578" s="8" t="s">
        <v>3771</v>
      </c>
      <c r="I1578" s="55"/>
      <c r="J1578" s="78" t="s">
        <v>5493</v>
      </c>
      <c r="K1578" s="22">
        <v>0.0</v>
      </c>
      <c r="L1578" s="22">
        <f>+SUMIF('حركه المخزن الرئيسي اليوميه'!$F:$F,$H:$H,'حركه المخزن الرئيسي اليوميه'!$H:$H)</f>
        <v>0.0</v>
      </c>
      <c r="M1578" s="22">
        <f>+SUMIF('حركه المخزن الرئيسي اليوميه'!$F:$F,$H:$H,'حركه المخزن الرئيسي اليوميه'!$I:$I)</f>
        <v>0.0</v>
      </c>
      <c r="N1578" s="22">
        <f>+K1578+L1578-M1578</f>
        <v>0.0</v>
      </c>
      <c r="O1578" s="22">
        <f>+N1578</f>
        <v>0.0</v>
      </c>
      <c r="P1578" s="22">
        <f>+N1578-O1578</f>
        <v>0.0</v>
      </c>
      <c r="Q1578" s="57"/>
      <c r="R1578" s="58"/>
    </row>
    <row r="1579" spans="8:8" ht="15.0" customHeight="1">
      <c r="B1579" s="54">
        <v>1723.0</v>
      </c>
      <c r="C1579" s="8" t="s">
        <v>8351</v>
      </c>
      <c r="D1579" s="8" t="s">
        <v>765</v>
      </c>
      <c r="E1579" s="8" t="s">
        <v>3772</v>
      </c>
      <c r="F1579" s="8" t="s">
        <v>1501</v>
      </c>
      <c r="G1579" s="8"/>
      <c r="H1579" s="8" t="s">
        <v>3772</v>
      </c>
      <c r="I1579" s="55"/>
      <c r="J1579" s="78" t="s">
        <v>5494</v>
      </c>
      <c r="K1579" s="22">
        <v>0.0</v>
      </c>
      <c r="L1579" s="22">
        <f>+SUMIF('حركه المخزن الرئيسي اليوميه'!$F:$F,$H:$H,'حركه المخزن الرئيسي اليوميه'!$H:$H)</f>
        <v>0.0</v>
      </c>
      <c r="M1579" s="22">
        <f>+SUMIF('حركه المخزن الرئيسي اليوميه'!$F:$F,$H:$H,'حركه المخزن الرئيسي اليوميه'!$I:$I)</f>
        <v>0.0</v>
      </c>
      <c r="N1579" s="22">
        <f>+K1579+L1579-M1579</f>
        <v>0.0</v>
      </c>
      <c r="O1579" s="22">
        <f>+N1579</f>
        <v>0.0</v>
      </c>
      <c r="P1579" s="22">
        <f>+N1579-O1579</f>
        <v>0.0</v>
      </c>
      <c r="Q1579" s="57"/>
      <c r="R1579" s="58"/>
    </row>
    <row r="1580" spans="8:8" ht="15.0" customHeight="1">
      <c r="B1580" s="54">
        <v>1724.0</v>
      </c>
      <c r="C1580" s="8" t="s">
        <v>8351</v>
      </c>
      <c r="D1580" s="8" t="s">
        <v>765</v>
      </c>
      <c r="E1580" s="8" t="s">
        <v>3773</v>
      </c>
      <c r="F1580" s="8" t="s">
        <v>1501</v>
      </c>
      <c r="G1580" s="8"/>
      <c r="H1580" s="8" t="s">
        <v>3773</v>
      </c>
      <c r="I1580" s="55"/>
      <c r="J1580" s="78" t="s">
        <v>5495</v>
      </c>
      <c r="K1580" s="22">
        <v>0.0</v>
      </c>
      <c r="L1580" s="22">
        <f>+SUMIF('حركه المخزن الرئيسي اليوميه'!$F:$F,$H:$H,'حركه المخزن الرئيسي اليوميه'!$H:$H)</f>
        <v>0.0</v>
      </c>
      <c r="M1580" s="22">
        <f>+SUMIF('حركه المخزن الرئيسي اليوميه'!$F:$F,$H:$H,'حركه المخزن الرئيسي اليوميه'!$I:$I)</f>
        <v>0.0</v>
      </c>
      <c r="N1580" s="22">
        <f>+K1580+L1580-M1580</f>
        <v>0.0</v>
      </c>
      <c r="O1580" s="22">
        <f>+N1580</f>
        <v>0.0</v>
      </c>
      <c r="P1580" s="22">
        <f>+N1580-O1580</f>
        <v>0.0</v>
      </c>
      <c r="Q1580" s="57"/>
      <c r="R1580" s="58"/>
    </row>
    <row r="1581" spans="8:8" ht="15.0" customHeight="1">
      <c r="B1581" s="54">
        <v>1725.0</v>
      </c>
      <c r="C1581" s="8" t="s">
        <v>8351</v>
      </c>
      <c r="D1581" s="8" t="s">
        <v>765</v>
      </c>
      <c r="E1581" s="8" t="s">
        <v>3775</v>
      </c>
      <c r="F1581" s="8" t="s">
        <v>1501</v>
      </c>
      <c r="G1581" s="8"/>
      <c r="H1581" s="8" t="s">
        <v>3775</v>
      </c>
      <c r="I1581" s="8" t="s">
        <v>767</v>
      </c>
      <c r="J1581" s="78" t="s">
        <v>5496</v>
      </c>
      <c r="K1581" s="22">
        <v>0.0</v>
      </c>
      <c r="L1581" s="22">
        <f>+SUMIF('حركه المخزن الرئيسي اليوميه'!$F:$F,$H:$H,'حركه المخزن الرئيسي اليوميه'!$H:$H)</f>
        <v>0.0</v>
      </c>
      <c r="M1581" s="22">
        <f>+SUMIF('حركه المخزن الرئيسي اليوميه'!$F:$F,$H:$H,'حركه المخزن الرئيسي اليوميه'!$I:$I)</f>
        <v>0.0</v>
      </c>
      <c r="N1581" s="22">
        <f>+K1581+L1581-M1581</f>
        <v>0.0</v>
      </c>
      <c r="O1581" s="22">
        <f>+N1581</f>
        <v>0.0</v>
      </c>
      <c r="P1581" s="22">
        <f>+N1581-O1581</f>
        <v>0.0</v>
      </c>
      <c r="Q1581" s="57"/>
      <c r="R1581" s="58"/>
    </row>
    <row r="1582" spans="8:8" ht="15.0" customHeight="1">
      <c r="B1582" s="54">
        <v>1726.0</v>
      </c>
      <c r="C1582" s="8" t="s">
        <v>8351</v>
      </c>
      <c r="D1582" s="8" t="s">
        <v>820</v>
      </c>
      <c r="E1582" s="8" t="s">
        <v>3776</v>
      </c>
      <c r="F1582" s="8" t="s">
        <v>68</v>
      </c>
      <c r="G1582" s="8"/>
      <c r="H1582" s="8" t="s">
        <v>3776</v>
      </c>
      <c r="I1582" s="8" t="s">
        <v>8109</v>
      </c>
      <c r="J1582" s="78" t="s">
        <v>5497</v>
      </c>
      <c r="K1582" s="22">
        <v>2.0</v>
      </c>
      <c r="L1582" s="22">
        <f>+SUMIF('حركه المخزن الرئيسي اليوميه'!$F:$F,$H:$H,'حركه المخزن الرئيسي اليوميه'!$H:$H)</f>
        <v>0.0</v>
      </c>
      <c r="M1582" s="22">
        <f>+SUMIF('حركه المخزن الرئيسي اليوميه'!$F:$F,$H:$H,'حركه المخزن الرئيسي اليوميه'!$I:$I)</f>
        <v>1.0</v>
      </c>
      <c r="N1582" s="22">
        <f>+K1582+L1582-M1582</f>
        <v>1.0</v>
      </c>
      <c r="O1582" s="22">
        <f>+N1582</f>
        <v>1.0</v>
      </c>
      <c r="P1582" s="22">
        <f>+N1582-O1582</f>
        <v>0.0</v>
      </c>
      <c r="Q1582" s="57"/>
      <c r="R1582" s="58"/>
    </row>
    <row r="1583" spans="8:8" ht="15.0" customHeight="1">
      <c r="B1583" s="54">
        <v>1727.0</v>
      </c>
      <c r="C1583" s="8" t="s">
        <v>8351</v>
      </c>
      <c r="D1583" s="8" t="s">
        <v>820</v>
      </c>
      <c r="E1583" s="8" t="s">
        <v>3777</v>
      </c>
      <c r="F1583" s="8" t="s">
        <v>68</v>
      </c>
      <c r="G1583" s="8"/>
      <c r="H1583" s="8" t="s">
        <v>3777</v>
      </c>
      <c r="I1583" s="8" t="s">
        <v>8109</v>
      </c>
      <c r="J1583" s="78" t="s">
        <v>5498</v>
      </c>
      <c r="K1583" s="22">
        <v>1.0</v>
      </c>
      <c r="L1583" s="22">
        <f>+SUMIF('حركه المخزن الرئيسي اليوميه'!$F:$F,$H:$H,'حركه المخزن الرئيسي اليوميه'!$H:$H)</f>
        <v>0.0</v>
      </c>
      <c r="M1583" s="22">
        <f>+SUMIF('حركه المخزن الرئيسي اليوميه'!$F:$F,$H:$H,'حركه المخزن الرئيسي اليوميه'!$I:$I)</f>
        <v>0.0</v>
      </c>
      <c r="N1583" s="22">
        <f>+K1583+L1583-M1583</f>
        <v>1.0</v>
      </c>
      <c r="O1583" s="22">
        <f>+N1583</f>
        <v>1.0</v>
      </c>
      <c r="P1583" s="22">
        <f>+N1583-O1583</f>
        <v>0.0</v>
      </c>
      <c r="Q1583" s="57"/>
      <c r="R1583" s="58"/>
    </row>
    <row r="1584" spans="8:8" ht="15.0" customHeight="1">
      <c r="B1584" s="54">
        <v>1728.0</v>
      </c>
      <c r="C1584" s="8" t="s">
        <v>8351</v>
      </c>
      <c r="D1584" s="8" t="s">
        <v>820</v>
      </c>
      <c r="E1584" s="8" t="s">
        <v>3778</v>
      </c>
      <c r="F1584" s="8" t="s">
        <v>1501</v>
      </c>
      <c r="G1584" s="8"/>
      <c r="H1584" s="8" t="s">
        <v>3778</v>
      </c>
      <c r="I1584" s="55" t="s">
        <v>58</v>
      </c>
      <c r="J1584" s="78" t="s">
        <v>5499</v>
      </c>
      <c r="K1584" s="22">
        <v>4.0</v>
      </c>
      <c r="L1584" s="22">
        <f>+SUMIF('حركه المخزن الرئيسي اليوميه'!$F:$F,$H:$H,'حركه المخزن الرئيسي اليوميه'!$H:$H)</f>
        <v>0.0</v>
      </c>
      <c r="M1584" s="22">
        <f>+SUMIF('حركه المخزن الرئيسي اليوميه'!$F:$F,$H:$H,'حركه المخزن الرئيسي اليوميه'!$I:$I)</f>
        <v>0.0</v>
      </c>
      <c r="N1584" s="22">
        <f>+K1584+L1584-M1584</f>
        <v>4.0</v>
      </c>
      <c r="O1584" s="22">
        <f>+N1584</f>
        <v>4.0</v>
      </c>
      <c r="P1584" s="22">
        <f>+N1584-O1584</f>
        <v>0.0</v>
      </c>
      <c r="Q1584" s="57"/>
      <c r="R1584" s="58"/>
    </row>
    <row r="1585" spans="8:8" ht="15.0" customHeight="1">
      <c r="B1585" s="54">
        <v>1729.0</v>
      </c>
      <c r="C1585" s="8" t="s">
        <v>8351</v>
      </c>
      <c r="D1585" s="8" t="s">
        <v>1013</v>
      </c>
      <c r="E1585" s="8" t="s">
        <v>395</v>
      </c>
      <c r="F1585" s="8" t="s">
        <v>68</v>
      </c>
      <c r="G1585" s="8"/>
      <c r="H1585" s="8" t="s">
        <v>3779</v>
      </c>
      <c r="I1585" s="8" t="s">
        <v>190</v>
      </c>
      <c r="J1585" s="78" t="s">
        <v>5500</v>
      </c>
      <c r="K1585" s="22">
        <v>8.0</v>
      </c>
      <c r="L1585" s="22">
        <f>+SUMIF('حركه المخزن الرئيسي اليوميه'!$F:$F,$H:$H,'حركه المخزن الرئيسي اليوميه'!$H:$H)</f>
        <v>0.0</v>
      </c>
      <c r="M1585" s="22">
        <f>+SUMIF('حركه المخزن الرئيسي اليوميه'!$F:$F,$H:$H,'حركه المخزن الرئيسي اليوميه'!$I:$I)</f>
        <v>0.0</v>
      </c>
      <c r="N1585" s="22">
        <f>+K1585+L1585-M1585</f>
        <v>8.0</v>
      </c>
      <c r="O1585" s="22">
        <f>+N1585</f>
        <v>8.0</v>
      </c>
      <c r="P1585" s="22">
        <f>+N1585-O1585</f>
        <v>0.0</v>
      </c>
      <c r="Q1585" s="57"/>
      <c r="R1585" s="58"/>
    </row>
    <row r="1586" spans="8:8" ht="15.0" customHeight="1">
      <c r="B1586" s="54">
        <v>1730.0</v>
      </c>
      <c r="C1586" s="8" t="s">
        <v>8351</v>
      </c>
      <c r="D1586" s="8" t="s">
        <v>1013</v>
      </c>
      <c r="E1586" s="8" t="s">
        <v>3781</v>
      </c>
      <c r="F1586" s="8" t="s">
        <v>1501</v>
      </c>
      <c r="G1586" s="8"/>
      <c r="H1586" s="8" t="s">
        <v>3781</v>
      </c>
      <c r="I1586" s="55" t="s">
        <v>3198</v>
      </c>
      <c r="J1586" s="78" t="s">
        <v>5501</v>
      </c>
      <c r="K1586" s="22">
        <v>6.0</v>
      </c>
      <c r="L1586" s="22">
        <f>+SUMIF('حركه المخزن الرئيسي اليوميه'!$F:$F,$H:$H,'حركه المخزن الرئيسي اليوميه'!$H:$H)</f>
        <v>0.0</v>
      </c>
      <c r="M1586" s="22">
        <f>+SUMIF('حركه المخزن الرئيسي اليوميه'!$F:$F,$H:$H,'حركه المخزن الرئيسي اليوميه'!$I:$I)</f>
        <v>0.0</v>
      </c>
      <c r="N1586" s="22">
        <f>+K1586+L1586-M1586</f>
        <v>6.0</v>
      </c>
      <c r="O1586" s="22">
        <f>+N1586</f>
        <v>6.0</v>
      </c>
      <c r="P1586" s="22">
        <f>+N1586-O1586</f>
        <v>0.0</v>
      </c>
      <c r="Q1586" s="57"/>
      <c r="R1586" s="58"/>
    </row>
    <row r="1587" spans="8:8" ht="15.0" customHeight="1">
      <c r="B1587" s="54">
        <v>1731.0</v>
      </c>
      <c r="C1587" s="8" t="s">
        <v>8351</v>
      </c>
      <c r="D1587" s="8" t="s">
        <v>1013</v>
      </c>
      <c r="E1587" s="8" t="s">
        <v>3782</v>
      </c>
      <c r="F1587" s="8" t="s">
        <v>1501</v>
      </c>
      <c r="G1587" s="8"/>
      <c r="H1587" s="8" t="s">
        <v>3782</v>
      </c>
      <c r="I1587" s="55" t="s">
        <v>3195</v>
      </c>
      <c r="J1587" s="78" t="s">
        <v>5502</v>
      </c>
      <c r="K1587" s="22">
        <v>10.0</v>
      </c>
      <c r="L1587" s="22">
        <f>+SUMIF('حركه المخزن الرئيسي اليوميه'!$F:$F,$H:$H,'حركه المخزن الرئيسي اليوميه'!$H:$H)</f>
        <v>0.0</v>
      </c>
      <c r="M1587" s="22">
        <f>+SUMIF('حركه المخزن الرئيسي اليوميه'!$F:$F,$H:$H,'حركه المخزن الرئيسي اليوميه'!$I:$I)</f>
        <v>0.0</v>
      </c>
      <c r="N1587" s="22">
        <f>+K1587+L1587-M1587</f>
        <v>10.0</v>
      </c>
      <c r="O1587" s="22">
        <f>+N1587</f>
        <v>10.0</v>
      </c>
      <c r="P1587" s="22">
        <f>+N1587-O1587</f>
        <v>0.0</v>
      </c>
      <c r="Q1587" s="57"/>
      <c r="R1587" s="58"/>
    </row>
    <row r="1588" spans="8:8" ht="15.0" customHeight="1">
      <c r="B1588" s="54">
        <v>1732.0</v>
      </c>
      <c r="C1588" s="8" t="s">
        <v>8351</v>
      </c>
      <c r="D1588" s="8" t="s">
        <v>1013</v>
      </c>
      <c r="E1588" s="8"/>
      <c r="F1588" s="8"/>
      <c r="G1588" s="8"/>
      <c r="H1588" s="8"/>
      <c r="I1588" s="55"/>
      <c r="J1588" s="78" t="s">
        <v>5503</v>
      </c>
      <c r="K1588" s="22">
        <v>0.0</v>
      </c>
      <c r="L1588" s="22">
        <f>+SUMIF('حركه المخزن الرئيسي اليوميه'!$F:$F,$H:$H,'حركه المخزن الرئيسي اليوميه'!$H:$H)</f>
        <v>0.0</v>
      </c>
      <c r="M1588" s="22">
        <f>+SUMIF('حركه المخزن الرئيسي اليوميه'!$F:$F,$H:$H,'حركه المخزن الرئيسي اليوميه'!$I:$I)</f>
        <v>0.0</v>
      </c>
      <c r="N1588" s="22">
        <f>+K1588+L1588-M1588</f>
        <v>0.0</v>
      </c>
      <c r="O1588" s="22">
        <f>+N1588</f>
        <v>0.0</v>
      </c>
      <c r="P1588" s="22">
        <f>+N1588-O1588</f>
        <v>0.0</v>
      </c>
      <c r="Q1588" s="55"/>
      <c r="R1588" s="58"/>
    </row>
    <row r="1589" spans="8:8" ht="15.0" customHeight="1">
      <c r="B1589" s="54">
        <v>1733.0</v>
      </c>
      <c r="C1589" s="8" t="s">
        <v>8352</v>
      </c>
      <c r="D1589" s="8" t="s">
        <v>568</v>
      </c>
      <c r="E1589" s="8" t="s">
        <v>3798</v>
      </c>
      <c r="F1589" s="8" t="s">
        <v>3799</v>
      </c>
      <c r="G1589" s="8"/>
      <c r="H1589" s="8" t="s">
        <v>3798</v>
      </c>
      <c r="I1589" s="55" t="s">
        <v>3204</v>
      </c>
      <c r="J1589" s="78" t="s">
        <v>5504</v>
      </c>
      <c r="K1589" s="22">
        <v>4.0</v>
      </c>
      <c r="L1589" s="22">
        <f>+SUMIF('حركه المخزن الرئيسي اليوميه'!$F:$F,$H:$H,'حركه المخزن الرئيسي اليوميه'!$H:$H)</f>
        <v>0.0</v>
      </c>
      <c r="M1589" s="22">
        <f>+SUMIF('حركه المخزن الرئيسي اليوميه'!$F:$F,$H:$H,'حركه المخزن الرئيسي اليوميه'!$I:$I)</f>
        <v>0.0</v>
      </c>
      <c r="N1589" s="22">
        <f>+K1589+L1589-M1589</f>
        <v>4.0</v>
      </c>
      <c r="O1589" s="22">
        <f>+N1589</f>
        <v>4.0</v>
      </c>
      <c r="P1589" s="22">
        <f>+N1589-O1589</f>
        <v>0.0</v>
      </c>
      <c r="Q1589" s="57"/>
      <c r="R1589" s="58"/>
    </row>
    <row r="1590" spans="8:8" ht="15.0" customHeight="1">
      <c r="B1590" s="54">
        <v>1734.0</v>
      </c>
      <c r="C1590" s="8" t="s">
        <v>8352</v>
      </c>
      <c r="D1590" s="8" t="s">
        <v>820</v>
      </c>
      <c r="E1590" s="8" t="s">
        <v>3800</v>
      </c>
      <c r="F1590" s="8" t="s">
        <v>68</v>
      </c>
      <c r="G1590" s="8"/>
      <c r="H1590" s="8" t="s">
        <v>3800</v>
      </c>
      <c r="I1590" s="8" t="s">
        <v>286</v>
      </c>
      <c r="J1590" s="78" t="s">
        <v>5505</v>
      </c>
      <c r="K1590" s="22">
        <v>10.0</v>
      </c>
      <c r="L1590" s="22">
        <f>+SUMIF('حركه المخزن الرئيسي اليوميه'!$F:$F,$H:$H,'حركه المخزن الرئيسي اليوميه'!$H:$H)</f>
        <v>0.0</v>
      </c>
      <c r="M1590" s="22">
        <f>+SUMIF('حركه المخزن الرئيسي اليوميه'!$F:$F,$H:$H,'حركه المخزن الرئيسي اليوميه'!$I:$I)</f>
        <v>0.0</v>
      </c>
      <c r="N1590" s="22">
        <f>+K1590+L1590-M1590</f>
        <v>10.0</v>
      </c>
      <c r="O1590" s="22">
        <f>+N1590</f>
        <v>10.0</v>
      </c>
      <c r="P1590" s="22">
        <f>+N1590-O1590</f>
        <v>0.0</v>
      </c>
      <c r="Q1590" s="57"/>
      <c r="R1590" s="58"/>
    </row>
    <row r="1591" spans="8:8" ht="15.0" customHeight="1">
      <c r="B1591" s="54">
        <v>1735.0</v>
      </c>
      <c r="C1591" s="8" t="s">
        <v>8352</v>
      </c>
      <c r="D1591" s="8" t="s">
        <v>568</v>
      </c>
      <c r="E1591" s="8"/>
      <c r="F1591" s="8"/>
      <c r="G1591" s="8"/>
      <c r="H1591" s="8"/>
      <c r="I1591" s="55"/>
      <c r="J1591" s="78" t="s">
        <v>5506</v>
      </c>
      <c r="K1591" s="22">
        <v>0.0</v>
      </c>
      <c r="L1591" s="22">
        <f>+SUMIF('حركه المخزن الرئيسي اليوميه'!$F:$F,$H:$H,'حركه المخزن الرئيسي اليوميه'!$H:$H)</f>
        <v>0.0</v>
      </c>
      <c r="M1591" s="22">
        <f>+SUMIF('حركه المخزن الرئيسي اليوميه'!$F:$F,$H:$H,'حركه المخزن الرئيسي اليوميه'!$I:$I)</f>
        <v>0.0</v>
      </c>
      <c r="N1591" s="22">
        <f>+K1591+L1591-M1591</f>
        <v>0.0</v>
      </c>
      <c r="O1591" s="22">
        <f>+N1591</f>
        <v>0.0</v>
      </c>
      <c r="P1591" s="22">
        <f>+N1591-O1591</f>
        <v>0.0</v>
      </c>
      <c r="Q1591" s="57"/>
      <c r="R1591" s="58"/>
    </row>
    <row r="1592" spans="8:8" ht="15.0" customHeight="1">
      <c r="B1592" s="54">
        <v>1736.0</v>
      </c>
      <c r="C1592" s="8" t="s">
        <v>8352</v>
      </c>
      <c r="D1592" s="8" t="s">
        <v>820</v>
      </c>
      <c r="E1592" s="8" t="s">
        <v>3810</v>
      </c>
      <c r="F1592" s="8" t="s">
        <v>1046</v>
      </c>
      <c r="G1592" s="8"/>
      <c r="H1592" s="8" t="s">
        <v>3810</v>
      </c>
      <c r="I1592" s="55"/>
      <c r="J1592" s="78" t="s">
        <v>5507</v>
      </c>
      <c r="K1592" s="22">
        <v>0.0</v>
      </c>
      <c r="L1592" s="22">
        <f>+SUMIF('حركه المخزن الرئيسي اليوميه'!$F:$F,$H:$H,'حركه المخزن الرئيسي اليوميه'!$H:$H)</f>
        <v>0.0</v>
      </c>
      <c r="M1592" s="22">
        <f>+SUMIF('حركه المخزن الرئيسي اليوميه'!$F:$F,$H:$H,'حركه المخزن الرئيسي اليوميه'!$I:$I)</f>
        <v>0.0</v>
      </c>
      <c r="N1592" s="22">
        <f>+K1592+L1592-M1592</f>
        <v>0.0</v>
      </c>
      <c r="O1592" s="22">
        <f>+N1592</f>
        <v>0.0</v>
      </c>
      <c r="P1592" s="22">
        <f>+N1592-O1592</f>
        <v>0.0</v>
      </c>
      <c r="Q1592" s="57"/>
      <c r="R1592" s="58"/>
    </row>
    <row r="1593" spans="8:8" ht="15.0" customHeight="1">
      <c r="B1593" s="54">
        <v>1737.0</v>
      </c>
      <c r="C1593" s="8" t="s">
        <v>8351</v>
      </c>
      <c r="D1593" s="8" t="s">
        <v>820</v>
      </c>
      <c r="E1593" s="8" t="s">
        <v>3812</v>
      </c>
      <c r="F1593" s="8" t="s">
        <v>68</v>
      </c>
      <c r="G1593" s="8"/>
      <c r="H1593" s="8" t="s">
        <v>3812</v>
      </c>
      <c r="I1593" s="55" t="s">
        <v>58</v>
      </c>
      <c r="J1593" s="78" t="s">
        <v>5508</v>
      </c>
      <c r="K1593" s="22">
        <v>4.0</v>
      </c>
      <c r="L1593" s="22">
        <f>+SUMIF('حركه المخزن الرئيسي اليوميه'!$F:$F,$H:$H,'حركه المخزن الرئيسي اليوميه'!$H:$H)</f>
        <v>0.0</v>
      </c>
      <c r="M1593" s="22">
        <f>+SUMIF('حركه المخزن الرئيسي اليوميه'!$F:$F,$H:$H,'حركه المخزن الرئيسي اليوميه'!$I:$I)</f>
        <v>0.0</v>
      </c>
      <c r="N1593" s="22">
        <f>+K1593+L1593-M1593</f>
        <v>4.0</v>
      </c>
      <c r="O1593" s="22">
        <f>+N1593</f>
        <v>4.0</v>
      </c>
      <c r="P1593" s="22">
        <f>+N1593-O1593</f>
        <v>0.0</v>
      </c>
      <c r="Q1593" s="57"/>
      <c r="R1593" s="58"/>
    </row>
    <row r="1594" spans="8:8" ht="15.0" customHeight="1">
      <c r="B1594" s="54">
        <v>1738.0</v>
      </c>
      <c r="C1594" s="8" t="s">
        <v>3813</v>
      </c>
      <c r="D1594" s="8" t="s">
        <v>820</v>
      </c>
      <c r="E1594" s="8" t="s">
        <v>8180</v>
      </c>
      <c r="F1594" s="8" t="s">
        <v>68</v>
      </c>
      <c r="G1594" s="8"/>
      <c r="H1594" s="8" t="s">
        <v>8180</v>
      </c>
      <c r="I1594" s="55" t="s">
        <v>818</v>
      </c>
      <c r="J1594" s="78" t="s">
        <v>5509</v>
      </c>
      <c r="K1594" s="22">
        <v>2.0</v>
      </c>
      <c r="L1594" s="22">
        <f>+SUMIF('حركه المخزن الرئيسي اليوميه'!$F:$F,$H:$H,'حركه المخزن الرئيسي اليوميه'!$H:$H)</f>
        <v>0.0</v>
      </c>
      <c r="M1594" s="22">
        <f>+SUMIF('حركه المخزن الرئيسي اليوميه'!$F:$F,$H:$H,'حركه المخزن الرئيسي اليوميه'!$I:$I)</f>
        <v>0.0</v>
      </c>
      <c r="N1594" s="22">
        <f>+K1594+L1594-M1594</f>
        <v>2.0</v>
      </c>
      <c r="O1594" s="22">
        <f>+N1594</f>
        <v>2.0</v>
      </c>
      <c r="P1594" s="22">
        <f>+N1594-O1594</f>
        <v>0.0</v>
      </c>
      <c r="Q1594" s="57"/>
      <c r="R1594" s="58"/>
    </row>
    <row r="1595" spans="8:8" ht="15.0" customHeight="1">
      <c r="B1595" s="54">
        <v>1739.0</v>
      </c>
      <c r="C1595" s="8" t="s">
        <v>8351</v>
      </c>
      <c r="D1595" s="8" t="s">
        <v>828</v>
      </c>
      <c r="E1595" s="8" t="s">
        <v>415</v>
      </c>
      <c r="F1595" s="8" t="s">
        <v>68</v>
      </c>
      <c r="G1595" s="8" t="s">
        <v>1693</v>
      </c>
      <c r="H1595" s="8" t="s">
        <v>3820</v>
      </c>
      <c r="I1595" s="8" t="s">
        <v>818</v>
      </c>
      <c r="J1595" s="78" t="s">
        <v>5510</v>
      </c>
      <c r="K1595" s="22">
        <v>0.0</v>
      </c>
      <c r="L1595" s="22">
        <f>+SUMIF('حركه المخزن الرئيسي اليوميه'!$F:$F,$H:$H,'حركه المخزن الرئيسي اليوميه'!$H:$H)</f>
        <v>0.0</v>
      </c>
      <c r="M1595" s="22">
        <f>+SUMIF('حركه المخزن الرئيسي اليوميه'!$F:$F,$H:$H,'حركه المخزن الرئيسي اليوميه'!$I:$I)</f>
        <v>0.0</v>
      </c>
      <c r="N1595" s="22">
        <f>+K1595+L1595-M1595</f>
        <v>0.0</v>
      </c>
      <c r="O1595" s="22">
        <f>+N1595</f>
        <v>0.0</v>
      </c>
      <c r="P1595" s="22">
        <f>+N1595-O1595</f>
        <v>0.0</v>
      </c>
      <c r="Q1595" s="57"/>
      <c r="R1595" s="58"/>
    </row>
    <row r="1596" spans="8:8" ht="15.0" customHeight="1">
      <c r="B1596" s="54">
        <v>1740.0</v>
      </c>
      <c r="C1596" s="8" t="s">
        <v>8351</v>
      </c>
      <c r="D1596" s="8" t="s">
        <v>1019</v>
      </c>
      <c r="E1596" s="8" t="s">
        <v>3825</v>
      </c>
      <c r="F1596" s="8" t="s">
        <v>68</v>
      </c>
      <c r="G1596" s="8"/>
      <c r="H1596" s="8" t="s">
        <v>3825</v>
      </c>
      <c r="I1596" s="55"/>
      <c r="J1596" s="78" t="s">
        <v>5511</v>
      </c>
      <c r="K1596" s="22">
        <v>0.0</v>
      </c>
      <c r="L1596" s="22">
        <f>+SUMIF('حركه المخزن الرئيسي اليوميه'!$F:$F,$H:$H,'حركه المخزن الرئيسي اليوميه'!$H:$H)</f>
        <v>0.0</v>
      </c>
      <c r="M1596" s="22">
        <f>+SUMIF('حركه المخزن الرئيسي اليوميه'!$F:$F,$H:$H,'حركه المخزن الرئيسي اليوميه'!$I:$I)</f>
        <v>0.0</v>
      </c>
      <c r="N1596" s="22">
        <f>+K1596+L1596-M1596</f>
        <v>0.0</v>
      </c>
      <c r="O1596" s="22">
        <f>+N1596</f>
        <v>0.0</v>
      </c>
      <c r="P1596" s="22">
        <f>+N1596-O1596</f>
        <v>0.0</v>
      </c>
      <c r="Q1596" s="57"/>
      <c r="R1596" s="58"/>
    </row>
    <row r="1597" spans="8:8" ht="15.0" customHeight="1">
      <c r="B1597" s="54">
        <v>1741.0</v>
      </c>
      <c r="C1597" s="8" t="s">
        <v>8351</v>
      </c>
      <c r="D1597" s="8" t="s">
        <v>1019</v>
      </c>
      <c r="E1597" s="8" t="s">
        <v>3826</v>
      </c>
      <c r="F1597" s="8" t="s">
        <v>68</v>
      </c>
      <c r="G1597" s="8"/>
      <c r="H1597" s="8" t="s">
        <v>3826</v>
      </c>
      <c r="I1597" s="55"/>
      <c r="J1597" s="78" t="s">
        <v>5512</v>
      </c>
      <c r="K1597" s="22">
        <v>0.0</v>
      </c>
      <c r="L1597" s="22">
        <f>+SUMIF('حركه المخزن الرئيسي اليوميه'!$F:$F,$H:$H,'حركه المخزن الرئيسي اليوميه'!$H:$H)</f>
        <v>0.0</v>
      </c>
      <c r="M1597" s="22">
        <f>+SUMIF('حركه المخزن الرئيسي اليوميه'!$F:$F,$H:$H,'حركه المخزن الرئيسي اليوميه'!$I:$I)</f>
        <v>0.0</v>
      </c>
      <c r="N1597" s="22">
        <f>+K1597+L1597-M1597</f>
        <v>0.0</v>
      </c>
      <c r="O1597" s="22">
        <f>+N1597</f>
        <v>0.0</v>
      </c>
      <c r="P1597" s="22">
        <f>+N1597-O1597</f>
        <v>0.0</v>
      </c>
      <c r="Q1597" s="57"/>
      <c r="R1597" s="58"/>
    </row>
    <row r="1598" spans="8:8" ht="15.0" customHeight="1">
      <c r="B1598" s="54">
        <v>1742.0</v>
      </c>
      <c r="C1598" s="8" t="s">
        <v>8351</v>
      </c>
      <c r="D1598" s="8" t="s">
        <v>820</v>
      </c>
      <c r="E1598" s="8" t="s">
        <v>3827</v>
      </c>
      <c r="F1598" s="8" t="s">
        <v>1586</v>
      </c>
      <c r="G1598" s="8"/>
      <c r="H1598" s="8" t="s">
        <v>3827</v>
      </c>
      <c r="I1598" s="55" t="s">
        <v>767</v>
      </c>
      <c r="J1598" s="78" t="s">
        <v>5513</v>
      </c>
      <c r="K1598" s="22">
        <v>0.0</v>
      </c>
      <c r="L1598" s="22">
        <f>+SUMIF('حركه المخزن الرئيسي اليوميه'!$F:$F,$H:$H,'حركه المخزن الرئيسي اليوميه'!$H:$H)</f>
        <v>0.0</v>
      </c>
      <c r="M1598" s="22">
        <f>+SUMIF('حركه المخزن الرئيسي اليوميه'!$F:$F,$H:$H,'حركه المخزن الرئيسي اليوميه'!$I:$I)</f>
        <v>0.0</v>
      </c>
      <c r="N1598" s="22">
        <f>+K1598+L1598-M1598</f>
        <v>0.0</v>
      </c>
      <c r="O1598" s="22">
        <f>+N1598</f>
        <v>0.0</v>
      </c>
      <c r="P1598" s="22">
        <f>+N1598-O1598</f>
        <v>0.0</v>
      </c>
      <c r="Q1598" s="57"/>
      <c r="R1598" s="58"/>
    </row>
    <row r="1599" spans="8:8" ht="15.0" customHeight="1">
      <c r="B1599" s="54">
        <v>1743.0</v>
      </c>
      <c r="C1599" s="8" t="s">
        <v>8351</v>
      </c>
      <c r="D1599" s="8" t="s">
        <v>1486</v>
      </c>
      <c r="E1599" s="8" t="s">
        <v>3829</v>
      </c>
      <c r="F1599" s="8" t="s">
        <v>68</v>
      </c>
      <c r="G1599" s="8"/>
      <c r="H1599" s="8" t="s">
        <v>3829</v>
      </c>
      <c r="I1599" s="55" t="s">
        <v>767</v>
      </c>
      <c r="J1599" s="78" t="s">
        <v>5514</v>
      </c>
      <c r="K1599" s="22">
        <v>1.0</v>
      </c>
      <c r="L1599" s="22">
        <f>+SUMIF('حركه المخزن الرئيسي اليوميه'!$F:$F,$H:$H,'حركه المخزن الرئيسي اليوميه'!$H:$H)</f>
        <v>0.0</v>
      </c>
      <c r="M1599" s="22">
        <f>+SUMIF('حركه المخزن الرئيسي اليوميه'!$F:$F,$H:$H,'حركه المخزن الرئيسي اليوميه'!$I:$I)</f>
        <v>0.0</v>
      </c>
      <c r="N1599" s="22">
        <f>+K1599+L1599-M1599</f>
        <v>1.0</v>
      </c>
      <c r="O1599" s="22">
        <f>+N1599</f>
        <v>1.0</v>
      </c>
      <c r="P1599" s="22">
        <f>+N1599-O1599</f>
        <v>0.0</v>
      </c>
      <c r="Q1599" s="57"/>
      <c r="R1599" s="58"/>
    </row>
    <row r="1600" spans="8:8" ht="15.0" customHeight="1">
      <c r="B1600" s="54">
        <v>1744.0</v>
      </c>
      <c r="C1600" s="8" t="s">
        <v>8351</v>
      </c>
      <c r="D1600" s="8" t="s">
        <v>3828</v>
      </c>
      <c r="E1600" s="8" t="s">
        <v>3830</v>
      </c>
      <c r="F1600" s="8" t="s">
        <v>68</v>
      </c>
      <c r="G1600" s="8"/>
      <c r="H1600" s="8" t="s">
        <v>3830</v>
      </c>
      <c r="I1600" s="55" t="s">
        <v>224</v>
      </c>
      <c r="J1600" s="78" t="s">
        <v>5515</v>
      </c>
      <c r="K1600" s="22">
        <v>0.0</v>
      </c>
      <c r="L1600" s="22">
        <f>+SUMIF('حركه المخزن الرئيسي اليوميه'!$F:$F,$H:$H,'حركه المخزن الرئيسي اليوميه'!$H:$H)</f>
        <v>0.0</v>
      </c>
      <c r="M1600" s="22">
        <f>+SUMIF('حركه المخزن الرئيسي اليوميه'!$F:$F,$H:$H,'حركه المخزن الرئيسي اليوميه'!$I:$I)</f>
        <v>0.0</v>
      </c>
      <c r="N1600" s="22">
        <f>+K1600+L1600-M1600</f>
        <v>0.0</v>
      </c>
      <c r="O1600" s="22">
        <f>+N1600</f>
        <v>0.0</v>
      </c>
      <c r="P1600" s="22">
        <f>+N1600-O1600</f>
        <v>0.0</v>
      </c>
      <c r="Q1600" s="57"/>
      <c r="R1600" s="58"/>
    </row>
    <row r="1601" spans="8:8" ht="15.0" customHeight="1">
      <c r="B1601" s="54">
        <v>1745.0</v>
      </c>
      <c r="C1601" s="8" t="s">
        <v>8351</v>
      </c>
      <c r="D1601" s="8" t="s">
        <v>820</v>
      </c>
      <c r="E1601" s="8" t="s">
        <v>3831</v>
      </c>
      <c r="F1601" s="8" t="s">
        <v>92</v>
      </c>
      <c r="G1601" s="8"/>
      <c r="H1601" s="8" t="s">
        <v>3831</v>
      </c>
      <c r="I1601" s="55"/>
      <c r="J1601" s="78" t="s">
        <v>5516</v>
      </c>
      <c r="K1601" s="22">
        <v>0.0</v>
      </c>
      <c r="L1601" s="22">
        <f>+SUMIF('حركه المخزن الرئيسي اليوميه'!$F:$F,$H:$H,'حركه المخزن الرئيسي اليوميه'!$H:$H)</f>
        <v>0.0</v>
      </c>
      <c r="M1601" s="22">
        <f>+SUMIF('حركه المخزن الرئيسي اليوميه'!$F:$F,$H:$H,'حركه المخزن الرئيسي اليوميه'!$I:$I)</f>
        <v>0.0</v>
      </c>
      <c r="N1601" s="22">
        <f>+K1601+L1601-M1601</f>
        <v>0.0</v>
      </c>
      <c r="O1601" s="22">
        <f>+N1601</f>
        <v>0.0</v>
      </c>
      <c r="P1601" s="22">
        <f>+N1601-O1601</f>
        <v>0.0</v>
      </c>
      <c r="Q1601" s="57"/>
      <c r="R1601" s="58"/>
    </row>
    <row r="1602" spans="8:8" ht="15.0" customHeight="1">
      <c r="B1602" s="54">
        <v>1746.0</v>
      </c>
      <c r="C1602" s="8" t="s">
        <v>8351</v>
      </c>
      <c r="D1602" s="8" t="s">
        <v>820</v>
      </c>
      <c r="E1602" s="8" t="s">
        <v>3832</v>
      </c>
      <c r="F1602" s="8" t="s">
        <v>92</v>
      </c>
      <c r="G1602" s="8"/>
      <c r="H1602" s="8" t="s">
        <v>3832</v>
      </c>
      <c r="I1602" s="55"/>
      <c r="J1602" s="78" t="s">
        <v>5517</v>
      </c>
      <c r="K1602" s="22">
        <v>0.0</v>
      </c>
      <c r="L1602" s="22">
        <f>+SUMIF('حركه المخزن الرئيسي اليوميه'!$F:$F,$H:$H,'حركه المخزن الرئيسي اليوميه'!$H:$H)</f>
        <v>0.0</v>
      </c>
      <c r="M1602" s="22">
        <f>+SUMIF('حركه المخزن الرئيسي اليوميه'!$F:$F,$H:$H,'حركه المخزن الرئيسي اليوميه'!$I:$I)</f>
        <v>0.0</v>
      </c>
      <c r="N1602" s="22">
        <f>+K1602+L1602-M1602</f>
        <v>0.0</v>
      </c>
      <c r="O1602" s="22">
        <f>+N1602</f>
        <v>0.0</v>
      </c>
      <c r="P1602" s="22">
        <f>+N1602-O1602</f>
        <v>0.0</v>
      </c>
      <c r="Q1602" s="57"/>
      <c r="R1602" s="58"/>
    </row>
    <row r="1603" spans="8:8" ht="15.0" customHeight="1">
      <c r="B1603" s="54">
        <v>1747.0</v>
      </c>
      <c r="C1603" s="8" t="s">
        <v>8351</v>
      </c>
      <c r="D1603" s="8" t="s">
        <v>828</v>
      </c>
      <c r="E1603" s="8" t="s">
        <v>3833</v>
      </c>
      <c r="F1603" s="8" t="s">
        <v>68</v>
      </c>
      <c r="G1603" s="8"/>
      <c r="H1603" s="8" t="s">
        <v>3833</v>
      </c>
      <c r="I1603" s="55"/>
      <c r="J1603" s="78" t="s">
        <v>5518</v>
      </c>
      <c r="K1603" s="22">
        <v>0.0</v>
      </c>
      <c r="L1603" s="22">
        <f>+SUMIF('حركه المخزن الرئيسي اليوميه'!$F:$F,$H:$H,'حركه المخزن الرئيسي اليوميه'!$H:$H)</f>
        <v>0.0</v>
      </c>
      <c r="M1603" s="22">
        <f>+SUMIF('حركه المخزن الرئيسي اليوميه'!$F:$F,$H:$H,'حركه المخزن الرئيسي اليوميه'!$I:$I)</f>
        <v>0.0</v>
      </c>
      <c r="N1603" s="22">
        <f>+K1603+L1603-M1603</f>
        <v>0.0</v>
      </c>
      <c r="O1603" s="22">
        <f>+N1603</f>
        <v>0.0</v>
      </c>
      <c r="P1603" s="22">
        <f>+N1603-O1603</f>
        <v>0.0</v>
      </c>
      <c r="Q1603" s="57"/>
      <c r="R1603" s="58"/>
    </row>
    <row r="1604" spans="8:8" ht="15.0" customHeight="1">
      <c r="B1604" s="54">
        <v>1748.0</v>
      </c>
      <c r="C1604" s="8" t="s">
        <v>8351</v>
      </c>
      <c r="D1604" s="8" t="s">
        <v>820</v>
      </c>
      <c r="E1604" s="8" t="s">
        <v>3834</v>
      </c>
      <c r="F1604" s="8" t="s">
        <v>68</v>
      </c>
      <c r="G1604" s="8"/>
      <c r="H1604" s="8" t="s">
        <v>3834</v>
      </c>
      <c r="I1604" s="8" t="s">
        <v>3605</v>
      </c>
      <c r="J1604" s="78" t="s">
        <v>5519</v>
      </c>
      <c r="K1604" s="22">
        <v>2.0</v>
      </c>
      <c r="L1604" s="22">
        <f>+SUMIF('حركه المخزن الرئيسي اليوميه'!$F:$F,$H:$H,'حركه المخزن الرئيسي اليوميه'!$H:$H)</f>
        <v>0.0</v>
      </c>
      <c r="M1604" s="22">
        <f>+SUMIF('حركه المخزن الرئيسي اليوميه'!$F:$F,$H:$H,'حركه المخزن الرئيسي اليوميه'!$I:$I)</f>
        <v>0.0</v>
      </c>
      <c r="N1604" s="22">
        <f>+K1604+L1604-M1604</f>
        <v>2.0</v>
      </c>
      <c r="O1604" s="22">
        <f>+N1604</f>
        <v>2.0</v>
      </c>
      <c r="P1604" s="22">
        <f>+N1604-O1604</f>
        <v>0.0</v>
      </c>
      <c r="Q1604" s="57"/>
      <c r="R1604" s="58"/>
    </row>
    <row r="1605" spans="8:8" ht="15.0" customHeight="1">
      <c r="B1605" s="54">
        <v>1749.0</v>
      </c>
      <c r="C1605" s="8" t="s">
        <v>8351</v>
      </c>
      <c r="D1605" s="8" t="s">
        <v>3828</v>
      </c>
      <c r="E1605" s="8" t="s">
        <v>305</v>
      </c>
      <c r="F1605" s="8" t="s">
        <v>68</v>
      </c>
      <c r="G1605" s="8" t="s">
        <v>1817</v>
      </c>
      <c r="H1605" s="8" t="s">
        <v>3839</v>
      </c>
      <c r="I1605" s="55"/>
      <c r="J1605" s="78" t="s">
        <v>5520</v>
      </c>
      <c r="K1605" s="22">
        <v>0.0</v>
      </c>
      <c r="L1605" s="22">
        <f>+SUMIF('حركه المخزن الرئيسي اليوميه'!$F:$F,$H:$H,'حركه المخزن الرئيسي اليوميه'!$H:$H)</f>
        <v>0.0</v>
      </c>
      <c r="M1605" s="22">
        <f>+SUMIF('حركه المخزن الرئيسي اليوميه'!$F:$F,$H:$H,'حركه المخزن الرئيسي اليوميه'!$I:$I)</f>
        <v>0.0</v>
      </c>
      <c r="N1605" s="22">
        <f>+K1605+L1605-M1605</f>
        <v>0.0</v>
      </c>
      <c r="O1605" s="22">
        <f>+N1605</f>
        <v>0.0</v>
      </c>
      <c r="P1605" s="22">
        <f>+N1605-O1605</f>
        <v>0.0</v>
      </c>
      <c r="Q1605" s="57"/>
      <c r="R1605" s="58"/>
    </row>
    <row r="1606" spans="8:8" ht="15.0" customHeight="1">
      <c r="B1606" s="54">
        <v>1750.0</v>
      </c>
      <c r="C1606" s="8" t="s">
        <v>8351</v>
      </c>
      <c r="D1606" s="8" t="s">
        <v>3828</v>
      </c>
      <c r="E1606" s="8" t="s">
        <v>3840</v>
      </c>
      <c r="F1606" s="8" t="s">
        <v>68</v>
      </c>
      <c r="G1606" s="8"/>
      <c r="H1606" s="8" t="s">
        <v>3840</v>
      </c>
      <c r="I1606" s="55" t="s">
        <v>8169</v>
      </c>
      <c r="J1606" s="78" t="s">
        <v>5521</v>
      </c>
      <c r="K1606" s="22">
        <v>300.0</v>
      </c>
      <c r="L1606" s="22">
        <f>+SUMIF('حركه المخزن الرئيسي اليوميه'!$F:$F,$H:$H,'حركه المخزن الرئيسي اليوميه'!$H:$H)</f>
        <v>0.0</v>
      </c>
      <c r="M1606" s="22">
        <f>+SUMIF('حركه المخزن الرئيسي اليوميه'!$F:$F,$H:$H,'حركه المخزن الرئيسي اليوميه'!$I:$I)</f>
        <v>0.0</v>
      </c>
      <c r="N1606" s="22">
        <f>+K1606+L1606-M1606</f>
        <v>300.0</v>
      </c>
      <c r="O1606" s="22">
        <f>+N1606</f>
        <v>300.0</v>
      </c>
      <c r="P1606" s="22">
        <f>+N1606-O1606</f>
        <v>0.0</v>
      </c>
      <c r="Q1606" s="57"/>
      <c r="R1606" s="58"/>
    </row>
    <row r="1607" spans="8:8" ht="15.0" customHeight="1">
      <c r="B1607" s="54">
        <v>1751.0</v>
      </c>
      <c r="C1607" s="8" t="s">
        <v>8351</v>
      </c>
      <c r="D1607" s="8" t="s">
        <v>3842</v>
      </c>
      <c r="E1607" s="8" t="s">
        <v>3841</v>
      </c>
      <c r="F1607" s="8" t="s">
        <v>68</v>
      </c>
      <c r="G1607" s="8"/>
      <c r="H1607" s="8" t="s">
        <v>3841</v>
      </c>
      <c r="I1607" s="8" t="s">
        <v>818</v>
      </c>
      <c r="J1607" s="78" t="s">
        <v>5522</v>
      </c>
      <c r="K1607" s="22">
        <v>1.0</v>
      </c>
      <c r="L1607" s="22">
        <f>+SUMIF('حركه المخزن الرئيسي اليوميه'!$F:$F,$H:$H,'حركه المخزن الرئيسي اليوميه'!$H:$H)</f>
        <v>0.0</v>
      </c>
      <c r="M1607" s="22">
        <f>+SUMIF('حركه المخزن الرئيسي اليوميه'!$F:$F,$H:$H,'حركه المخزن الرئيسي اليوميه'!$I:$I)</f>
        <v>1.0</v>
      </c>
      <c r="N1607" s="22">
        <f>+K1607+L1607-M1607</f>
        <v>0.0</v>
      </c>
      <c r="O1607" s="22">
        <f>+N1607</f>
        <v>0.0</v>
      </c>
      <c r="P1607" s="22">
        <f>+N1607-O1607</f>
        <v>0.0</v>
      </c>
      <c r="Q1607" s="57"/>
      <c r="R1607" s="58"/>
    </row>
    <row r="1608" spans="8:8" ht="15.0" customHeight="1">
      <c r="B1608" s="54">
        <v>1752.0</v>
      </c>
      <c r="C1608" s="8" t="s">
        <v>8351</v>
      </c>
      <c r="D1608" s="8" t="s">
        <v>3842</v>
      </c>
      <c r="E1608" s="8" t="s">
        <v>3843</v>
      </c>
      <c r="F1608" s="8" t="s">
        <v>68</v>
      </c>
      <c r="G1608" s="8"/>
      <c r="H1608" s="8" t="s">
        <v>3843</v>
      </c>
      <c r="I1608" s="8" t="s">
        <v>224</v>
      </c>
      <c r="J1608" s="78" t="s">
        <v>5523</v>
      </c>
      <c r="K1608" s="22">
        <v>2.0</v>
      </c>
      <c r="L1608" s="22">
        <f>+SUMIF('حركه المخزن الرئيسي اليوميه'!$F:$F,$H:$H,'حركه المخزن الرئيسي اليوميه'!$H:$H)</f>
        <v>0.0</v>
      </c>
      <c r="M1608" s="22">
        <f>+SUMIF('حركه المخزن الرئيسي اليوميه'!$F:$F,$H:$H,'حركه المخزن الرئيسي اليوميه'!$I:$I)</f>
        <v>0.0</v>
      </c>
      <c r="N1608" s="22">
        <f>+K1608+L1608-M1608</f>
        <v>2.0</v>
      </c>
      <c r="O1608" s="22">
        <f>+N1608</f>
        <v>2.0</v>
      </c>
      <c r="P1608" s="22">
        <f>+N1608-O1608</f>
        <v>0.0</v>
      </c>
      <c r="Q1608" s="57"/>
      <c r="R1608" s="58"/>
    </row>
    <row r="1609" spans="8:8" ht="15.0" customHeight="1">
      <c r="B1609" s="54">
        <v>1753.0</v>
      </c>
      <c r="C1609" s="8" t="s">
        <v>8351</v>
      </c>
      <c r="D1609" s="8" t="s">
        <v>1019</v>
      </c>
      <c r="E1609" s="8" t="s">
        <v>3844</v>
      </c>
      <c r="F1609" s="8" t="s">
        <v>68</v>
      </c>
      <c r="G1609" s="8"/>
      <c r="H1609" s="8" t="s">
        <v>3844</v>
      </c>
      <c r="I1609" s="55"/>
      <c r="J1609" s="78" t="s">
        <v>5524</v>
      </c>
      <c r="K1609" s="22">
        <v>0.0</v>
      </c>
      <c r="L1609" s="22">
        <f>+SUMIF('حركه المخزن الرئيسي اليوميه'!$F:$F,$H:$H,'حركه المخزن الرئيسي اليوميه'!$H:$H)</f>
        <v>0.0</v>
      </c>
      <c r="M1609" s="22">
        <f>+SUMIF('حركه المخزن الرئيسي اليوميه'!$F:$F,$H:$H,'حركه المخزن الرئيسي اليوميه'!$I:$I)</f>
        <v>0.0</v>
      </c>
      <c r="N1609" s="22">
        <f>+K1609+L1609-M1609</f>
        <v>0.0</v>
      </c>
      <c r="O1609" s="22">
        <f>+N1609</f>
        <v>0.0</v>
      </c>
      <c r="P1609" s="22">
        <f>+N1609-O1609</f>
        <v>0.0</v>
      </c>
      <c r="Q1609" s="57"/>
      <c r="R1609" s="58"/>
    </row>
    <row r="1610" spans="8:8" ht="15.0" customHeight="1">
      <c r="B1610" s="54">
        <v>1754.0</v>
      </c>
      <c r="C1610" s="8" t="s">
        <v>8351</v>
      </c>
      <c r="D1610" s="8" t="s">
        <v>1018</v>
      </c>
      <c r="E1610" s="8" t="s">
        <v>3845</v>
      </c>
      <c r="F1610" s="8" t="s">
        <v>68</v>
      </c>
      <c r="G1610" s="8"/>
      <c r="H1610" s="8" t="s">
        <v>3845</v>
      </c>
      <c r="I1610" s="8" t="s">
        <v>222</v>
      </c>
      <c r="J1610" s="78" t="s">
        <v>5525</v>
      </c>
      <c r="K1610" s="22">
        <v>5.0</v>
      </c>
      <c r="L1610" s="22">
        <f>+SUMIF('حركه المخزن الرئيسي اليوميه'!$F:$F,$H:$H,'حركه المخزن الرئيسي اليوميه'!$H:$H)</f>
        <v>0.0</v>
      </c>
      <c r="M1610" s="22">
        <f>+SUMIF('حركه المخزن الرئيسي اليوميه'!$F:$F,$H:$H,'حركه المخزن الرئيسي اليوميه'!$I:$I)</f>
        <v>0.0</v>
      </c>
      <c r="N1610" s="22">
        <f>+K1610+L1610-M1610</f>
        <v>5.0</v>
      </c>
      <c r="O1610" s="22">
        <f>+N1610</f>
        <v>5.0</v>
      </c>
      <c r="P1610" s="22">
        <f>+N1610-O1610</f>
        <v>0.0</v>
      </c>
      <c r="Q1610" s="57"/>
      <c r="R1610" s="58"/>
    </row>
    <row r="1611" spans="8:8" ht="15.0" customHeight="1">
      <c r="B1611" s="54">
        <v>1755.0</v>
      </c>
      <c r="C1611" s="8" t="s">
        <v>8351</v>
      </c>
      <c r="D1611" s="8" t="s">
        <v>820</v>
      </c>
      <c r="E1611" s="8"/>
      <c r="F1611" s="8" t="s">
        <v>68</v>
      </c>
      <c r="G1611" s="8"/>
      <c r="H1611" s="8"/>
      <c r="I1611" s="55"/>
      <c r="J1611" s="78" t="s">
        <v>5526</v>
      </c>
      <c r="K1611" s="22">
        <v>0.0</v>
      </c>
      <c r="L1611" s="22">
        <f>+SUMIF('حركه المخزن الرئيسي اليوميه'!$F:$F,$H:$H,'حركه المخزن الرئيسي اليوميه'!$H:$H)</f>
        <v>0.0</v>
      </c>
      <c r="M1611" s="22">
        <f>+SUMIF('حركه المخزن الرئيسي اليوميه'!$F:$F,$H:$H,'حركه المخزن الرئيسي اليوميه'!$I:$I)</f>
        <v>0.0</v>
      </c>
      <c r="N1611" s="22">
        <f>+K1611+L1611-M1611</f>
        <v>0.0</v>
      </c>
      <c r="O1611" s="22">
        <f>+N1611</f>
        <v>0.0</v>
      </c>
      <c r="P1611" s="22">
        <f>+N1611-O1611</f>
        <v>0.0</v>
      </c>
      <c r="Q1611" s="55"/>
      <c r="R1611" s="58"/>
    </row>
    <row r="1612" spans="8:8" ht="15.0" customHeight="1">
      <c r="B1612" s="54">
        <v>1756.0</v>
      </c>
      <c r="C1612" s="8" t="s">
        <v>8351</v>
      </c>
      <c r="D1612" s="8" t="s">
        <v>1019</v>
      </c>
      <c r="E1612" s="8" t="s">
        <v>3847</v>
      </c>
      <c r="F1612" s="8" t="s">
        <v>3430</v>
      </c>
      <c r="G1612" s="8"/>
      <c r="H1612" s="8" t="s">
        <v>3847</v>
      </c>
      <c r="I1612" s="55"/>
      <c r="J1612" s="78" t="s">
        <v>5527</v>
      </c>
      <c r="K1612" s="22">
        <v>0.0</v>
      </c>
      <c r="L1612" s="22">
        <f>+SUMIF('حركه المخزن الرئيسي اليوميه'!$F:$F,$H:$H,'حركه المخزن الرئيسي اليوميه'!$H:$H)</f>
        <v>0.0</v>
      </c>
      <c r="M1612" s="22">
        <f>+SUMIF('حركه المخزن الرئيسي اليوميه'!$F:$F,$H:$H,'حركه المخزن الرئيسي اليوميه'!$I:$I)</f>
        <v>0.0</v>
      </c>
      <c r="N1612" s="22">
        <f>+K1612+L1612-M1612</f>
        <v>0.0</v>
      </c>
      <c r="O1612" s="22">
        <f>+N1612</f>
        <v>0.0</v>
      </c>
      <c r="P1612" s="22">
        <f>+N1612-O1612</f>
        <v>0.0</v>
      </c>
      <c r="Q1612" s="57"/>
      <c r="R1612" s="58"/>
    </row>
    <row r="1613" spans="8:8" ht="15.0" customHeight="1">
      <c r="B1613" s="54">
        <v>1757.0</v>
      </c>
      <c r="C1613" s="8" t="s">
        <v>8351</v>
      </c>
      <c r="D1613" s="8" t="s">
        <v>828</v>
      </c>
      <c r="E1613" s="8" t="s">
        <v>8166</v>
      </c>
      <c r="F1613" s="8" t="s">
        <v>68</v>
      </c>
      <c r="G1613" s="8"/>
      <c r="H1613" s="8" t="s">
        <v>8166</v>
      </c>
      <c r="I1613" s="55" t="s">
        <v>8104</v>
      </c>
      <c r="J1613" s="78" t="s">
        <v>5528</v>
      </c>
      <c r="K1613" s="22">
        <v>3.0</v>
      </c>
      <c r="L1613" s="22">
        <f>+SUMIF('حركه المخزن الرئيسي اليوميه'!$F:$F,$H:$H,'حركه المخزن الرئيسي اليوميه'!$H:$H)</f>
        <v>0.0</v>
      </c>
      <c r="M1613" s="22">
        <f>+SUMIF('حركه المخزن الرئيسي اليوميه'!$F:$F,$H:$H,'حركه المخزن الرئيسي اليوميه'!$I:$I)</f>
        <v>0.0</v>
      </c>
      <c r="N1613" s="22">
        <f>+K1613+L1613-M1613</f>
        <v>3.0</v>
      </c>
      <c r="O1613" s="22">
        <f>+N1613</f>
        <v>3.0</v>
      </c>
      <c r="P1613" s="22">
        <f>+N1613-O1613</f>
        <v>0.0</v>
      </c>
      <c r="Q1613" s="57"/>
      <c r="R1613" s="58"/>
    </row>
    <row r="1614" spans="8:8" ht="15.0" customHeight="1">
      <c r="B1614" s="54">
        <v>1758.0</v>
      </c>
      <c r="C1614" s="8" t="s">
        <v>8351</v>
      </c>
      <c r="D1614" s="8" t="s">
        <v>765</v>
      </c>
      <c r="E1614" s="8" t="s">
        <v>3852</v>
      </c>
      <c r="F1614" s="8" t="s">
        <v>68</v>
      </c>
      <c r="G1614" s="8"/>
      <c r="H1614" s="8" t="s">
        <v>3852</v>
      </c>
      <c r="I1614" s="8" t="s">
        <v>174</v>
      </c>
      <c r="J1614" s="78" t="s">
        <v>5529</v>
      </c>
      <c r="K1614" s="22">
        <v>8.0</v>
      </c>
      <c r="L1614" s="22">
        <f>+SUMIF('حركه المخزن الرئيسي اليوميه'!$F:$F,$H:$H,'حركه المخزن الرئيسي اليوميه'!$H:$H)</f>
        <v>0.0</v>
      </c>
      <c r="M1614" s="22">
        <f>+SUMIF('حركه المخزن الرئيسي اليوميه'!$F:$F,$H:$H,'حركه المخزن الرئيسي اليوميه'!$I:$I)</f>
        <v>0.0</v>
      </c>
      <c r="N1614" s="22">
        <f>+K1614+L1614-M1614</f>
        <v>8.0</v>
      </c>
      <c r="O1614" s="22">
        <f>+N1614</f>
        <v>8.0</v>
      </c>
      <c r="P1614" s="22">
        <f>+N1614-O1614</f>
        <v>0.0</v>
      </c>
      <c r="Q1614" s="57"/>
      <c r="R1614" s="58"/>
    </row>
    <row r="1615" spans="8:8" ht="15.0" customHeight="1">
      <c r="B1615" s="54">
        <v>1759.0</v>
      </c>
      <c r="C1615" s="8" t="s">
        <v>8351</v>
      </c>
      <c r="D1615" s="8" t="s">
        <v>765</v>
      </c>
      <c r="E1615" s="8" t="s">
        <v>3854</v>
      </c>
      <c r="F1615" s="8" t="s">
        <v>68</v>
      </c>
      <c r="G1615" s="8"/>
      <c r="H1615" s="8" t="s">
        <v>3854</v>
      </c>
      <c r="I1615" s="55"/>
      <c r="J1615" s="78" t="s">
        <v>5530</v>
      </c>
      <c r="K1615" s="22">
        <v>0.0</v>
      </c>
      <c r="L1615" s="22">
        <f>+SUMIF('حركه المخزن الرئيسي اليوميه'!$F:$F,$H:$H,'حركه المخزن الرئيسي اليوميه'!$H:$H)</f>
        <v>0.0</v>
      </c>
      <c r="M1615" s="22">
        <f>+SUMIF('حركه المخزن الرئيسي اليوميه'!$F:$F,$H:$H,'حركه المخزن الرئيسي اليوميه'!$I:$I)</f>
        <v>0.0</v>
      </c>
      <c r="N1615" s="22">
        <f>+K1615+L1615-M1615</f>
        <v>0.0</v>
      </c>
      <c r="O1615" s="22">
        <f>+N1615</f>
        <v>0.0</v>
      </c>
      <c r="P1615" s="22">
        <f>+N1615-O1615</f>
        <v>0.0</v>
      </c>
      <c r="Q1615" s="57"/>
      <c r="R1615" s="58"/>
    </row>
    <row r="1616" spans="8:8" ht="15.0" customHeight="1">
      <c r="B1616" s="54">
        <v>1760.0</v>
      </c>
      <c r="C1616" s="8" t="s">
        <v>8351</v>
      </c>
      <c r="D1616" s="8" t="s">
        <v>765</v>
      </c>
      <c r="E1616" s="8" t="s">
        <v>3855</v>
      </c>
      <c r="F1616" s="8" t="s">
        <v>68</v>
      </c>
      <c r="G1616" s="8"/>
      <c r="H1616" s="8" t="s">
        <v>3855</v>
      </c>
      <c r="I1616" s="55"/>
      <c r="J1616" s="78" t="s">
        <v>5531</v>
      </c>
      <c r="K1616" s="22">
        <v>0.0</v>
      </c>
      <c r="L1616" s="22">
        <f>+SUMIF('حركه المخزن الرئيسي اليوميه'!$F:$F,$H:$H,'حركه المخزن الرئيسي اليوميه'!$H:$H)</f>
        <v>0.0</v>
      </c>
      <c r="M1616" s="22">
        <f>+SUMIF('حركه المخزن الرئيسي اليوميه'!$F:$F,$H:$H,'حركه المخزن الرئيسي اليوميه'!$I:$I)</f>
        <v>0.0</v>
      </c>
      <c r="N1616" s="22">
        <f>+K1616+L1616-M1616</f>
        <v>0.0</v>
      </c>
      <c r="O1616" s="22">
        <f>+N1616</f>
        <v>0.0</v>
      </c>
      <c r="P1616" s="22">
        <f>+N1616-O1616</f>
        <v>0.0</v>
      </c>
      <c r="Q1616" s="57"/>
      <c r="R1616" s="58"/>
    </row>
    <row r="1617" spans="8:8" ht="15.0" customHeight="1">
      <c r="B1617" s="54">
        <v>1761.0</v>
      </c>
      <c r="C1617" s="8" t="s">
        <v>8351</v>
      </c>
      <c r="D1617" s="8" t="s">
        <v>765</v>
      </c>
      <c r="E1617" s="8" t="s">
        <v>3856</v>
      </c>
      <c r="F1617" s="8" t="s">
        <v>68</v>
      </c>
      <c r="G1617" s="8"/>
      <c r="H1617" s="8" t="s">
        <v>3856</v>
      </c>
      <c r="I1617" s="55"/>
      <c r="J1617" s="78" t="s">
        <v>5532</v>
      </c>
      <c r="K1617" s="22">
        <v>0.0</v>
      </c>
      <c r="L1617" s="22">
        <f>+SUMIF('حركه المخزن الرئيسي اليوميه'!$F:$F,$H:$H,'حركه المخزن الرئيسي اليوميه'!$H:$H)</f>
        <v>0.0</v>
      </c>
      <c r="M1617" s="22">
        <f>+SUMIF('حركه المخزن الرئيسي اليوميه'!$F:$F,$H:$H,'حركه المخزن الرئيسي اليوميه'!$I:$I)</f>
        <v>0.0</v>
      </c>
      <c r="N1617" s="22">
        <f>+K1617+L1617-M1617</f>
        <v>0.0</v>
      </c>
      <c r="O1617" s="22">
        <f>+N1617</f>
        <v>0.0</v>
      </c>
      <c r="P1617" s="22">
        <f>+N1617-O1617</f>
        <v>0.0</v>
      </c>
      <c r="Q1617" s="57"/>
      <c r="R1617" s="58"/>
    </row>
    <row r="1618" spans="8:8" ht="15.0" customHeight="1">
      <c r="B1618" s="54">
        <v>1762.0</v>
      </c>
      <c r="C1618" s="8" t="s">
        <v>8351</v>
      </c>
      <c r="D1618" s="8" t="s">
        <v>765</v>
      </c>
      <c r="E1618" s="8" t="s">
        <v>3857</v>
      </c>
      <c r="F1618" s="8" t="s">
        <v>68</v>
      </c>
      <c r="G1618" s="8"/>
      <c r="H1618" s="8" t="s">
        <v>3857</v>
      </c>
      <c r="I1618" s="55"/>
      <c r="J1618" s="78" t="s">
        <v>5533</v>
      </c>
      <c r="K1618" s="22">
        <v>0.0</v>
      </c>
      <c r="L1618" s="22">
        <f>+SUMIF('حركه المخزن الرئيسي اليوميه'!$F:$F,$H:$H,'حركه المخزن الرئيسي اليوميه'!$H:$H)</f>
        <v>0.0</v>
      </c>
      <c r="M1618" s="22">
        <f>+SUMIF('حركه المخزن الرئيسي اليوميه'!$F:$F,$H:$H,'حركه المخزن الرئيسي اليوميه'!$I:$I)</f>
        <v>0.0</v>
      </c>
      <c r="N1618" s="22">
        <f>+K1618+L1618-M1618</f>
        <v>0.0</v>
      </c>
      <c r="O1618" s="22">
        <f>+N1618</f>
        <v>0.0</v>
      </c>
      <c r="P1618" s="22">
        <f>+N1618-O1618</f>
        <v>0.0</v>
      </c>
      <c r="Q1618" s="57"/>
      <c r="R1618" s="58"/>
    </row>
    <row r="1619" spans="8:8" ht="15.0" customHeight="1">
      <c r="B1619" s="54">
        <v>1763.0</v>
      </c>
      <c r="C1619" s="8" t="s">
        <v>8351</v>
      </c>
      <c r="D1619" s="8" t="s">
        <v>765</v>
      </c>
      <c r="E1619" s="8" t="s">
        <v>3861</v>
      </c>
      <c r="F1619" s="8" t="s">
        <v>68</v>
      </c>
      <c r="G1619" s="8"/>
      <c r="H1619" s="8" t="s">
        <v>3861</v>
      </c>
      <c r="I1619" s="55"/>
      <c r="J1619" s="78" t="s">
        <v>5534</v>
      </c>
      <c r="K1619" s="22">
        <v>0.0</v>
      </c>
      <c r="L1619" s="22">
        <f>+SUMIF('حركه المخزن الرئيسي اليوميه'!$F:$F,$H:$H,'حركه المخزن الرئيسي اليوميه'!$H:$H)</f>
        <v>0.0</v>
      </c>
      <c r="M1619" s="22">
        <f>+SUMIF('حركه المخزن الرئيسي اليوميه'!$F:$F,$H:$H,'حركه المخزن الرئيسي اليوميه'!$I:$I)</f>
        <v>0.0</v>
      </c>
      <c r="N1619" s="22">
        <f>+K1619+L1619-M1619</f>
        <v>0.0</v>
      </c>
      <c r="O1619" s="22">
        <f>+N1619</f>
        <v>0.0</v>
      </c>
      <c r="P1619" s="22">
        <f>+N1619-O1619</f>
        <v>0.0</v>
      </c>
      <c r="Q1619" s="57"/>
      <c r="R1619" s="58"/>
    </row>
    <row r="1620" spans="8:8" ht="15.0" customHeight="1">
      <c r="B1620" s="54">
        <v>1764.0</v>
      </c>
      <c r="C1620" s="8" t="s">
        <v>8351</v>
      </c>
      <c r="D1620" s="8" t="s">
        <v>820</v>
      </c>
      <c r="E1620" s="8" t="s">
        <v>3873</v>
      </c>
      <c r="F1620" s="8" t="s">
        <v>120</v>
      </c>
      <c r="G1620" s="8"/>
      <c r="H1620" s="8" t="s">
        <v>3873</v>
      </c>
      <c r="I1620" s="55"/>
      <c r="J1620" s="78" t="s">
        <v>5535</v>
      </c>
      <c r="K1620" s="22">
        <v>0.0</v>
      </c>
      <c r="L1620" s="22">
        <f>+SUMIF('حركه المخزن الرئيسي اليوميه'!$F:$F,$H:$H,'حركه المخزن الرئيسي اليوميه'!$H:$H)</f>
        <v>0.0</v>
      </c>
      <c r="M1620" s="22">
        <f>+SUMIF('حركه المخزن الرئيسي اليوميه'!$F:$F,$H:$H,'حركه المخزن الرئيسي اليوميه'!$I:$I)</f>
        <v>0.0</v>
      </c>
      <c r="N1620" s="22">
        <f>+K1620+L1620-M1620</f>
        <v>0.0</v>
      </c>
      <c r="O1620" s="22">
        <f>+N1620</f>
        <v>0.0</v>
      </c>
      <c r="P1620" s="22">
        <f>+N1620-O1620</f>
        <v>0.0</v>
      </c>
      <c r="Q1620" s="57"/>
      <c r="R1620" s="58"/>
    </row>
    <row r="1621" spans="8:8" ht="15.0" customHeight="1">
      <c r="B1621" s="54">
        <v>1765.0</v>
      </c>
      <c r="C1621" s="8" t="s">
        <v>8351</v>
      </c>
      <c r="D1621" s="8" t="s">
        <v>820</v>
      </c>
      <c r="E1621" s="8" t="s">
        <v>3874</v>
      </c>
      <c r="F1621" s="8" t="s">
        <v>120</v>
      </c>
      <c r="G1621" s="8"/>
      <c r="H1621" s="8" t="s">
        <v>3874</v>
      </c>
      <c r="I1621" s="55"/>
      <c r="J1621" s="78" t="s">
        <v>5536</v>
      </c>
      <c r="K1621" s="22">
        <v>0.0</v>
      </c>
      <c r="L1621" s="22">
        <f>+SUMIF('حركه المخزن الرئيسي اليوميه'!$F:$F,$H:$H,'حركه المخزن الرئيسي اليوميه'!$H:$H)</f>
        <v>0.0</v>
      </c>
      <c r="M1621" s="22">
        <f>+SUMIF('حركه المخزن الرئيسي اليوميه'!$F:$F,$H:$H,'حركه المخزن الرئيسي اليوميه'!$I:$I)</f>
        <v>0.0</v>
      </c>
      <c r="N1621" s="22">
        <f>+K1621+L1621-M1621</f>
        <v>0.0</v>
      </c>
      <c r="O1621" s="22">
        <f>+N1621</f>
        <v>0.0</v>
      </c>
      <c r="P1621" s="22">
        <f>+N1621-O1621</f>
        <v>0.0</v>
      </c>
      <c r="Q1621" s="57"/>
      <c r="R1621" s="58"/>
    </row>
    <row r="1622" spans="8:8" ht="15.0" customHeight="1">
      <c r="B1622" s="54">
        <v>1766.0</v>
      </c>
      <c r="C1622" s="8" t="s">
        <v>8351</v>
      </c>
      <c r="D1622" s="8" t="s">
        <v>820</v>
      </c>
      <c r="E1622" s="8" t="s">
        <v>3875</v>
      </c>
      <c r="F1622" s="8" t="s">
        <v>1501</v>
      </c>
      <c r="G1622" s="8"/>
      <c r="H1622" s="8" t="s">
        <v>3875</v>
      </c>
      <c r="I1622" s="55"/>
      <c r="J1622" s="78" t="s">
        <v>5537</v>
      </c>
      <c r="K1622" s="22">
        <v>0.0</v>
      </c>
      <c r="L1622" s="22">
        <f>+SUMIF('حركه المخزن الرئيسي اليوميه'!$F:$F,$H:$H,'حركه المخزن الرئيسي اليوميه'!$H:$H)</f>
        <v>0.0</v>
      </c>
      <c r="M1622" s="22">
        <f>+SUMIF('حركه المخزن الرئيسي اليوميه'!$F:$F,$H:$H,'حركه المخزن الرئيسي اليوميه'!$I:$I)</f>
        <v>0.0</v>
      </c>
      <c r="N1622" s="22">
        <f>+K1622+L1622-M1622</f>
        <v>0.0</v>
      </c>
      <c r="O1622" s="22">
        <f>+N1622</f>
        <v>0.0</v>
      </c>
      <c r="P1622" s="22">
        <f>+N1622-O1622</f>
        <v>0.0</v>
      </c>
      <c r="Q1622" s="57"/>
      <c r="R1622" s="58"/>
    </row>
    <row r="1623" spans="8:8" ht="15.0" customHeight="1">
      <c r="B1623" s="54">
        <v>1767.0</v>
      </c>
      <c r="C1623" s="8" t="s">
        <v>8351</v>
      </c>
      <c r="D1623" s="8" t="s">
        <v>820</v>
      </c>
      <c r="E1623" s="8" t="s">
        <v>3877</v>
      </c>
      <c r="F1623" s="8" t="s">
        <v>68</v>
      </c>
      <c r="G1623" s="8"/>
      <c r="H1623" s="8" t="s">
        <v>3877</v>
      </c>
      <c r="I1623" s="55" t="s">
        <v>8165</v>
      </c>
      <c r="J1623" s="78" t="s">
        <v>5538</v>
      </c>
      <c r="K1623" s="22">
        <v>0.0</v>
      </c>
      <c r="L1623" s="22">
        <f>+SUMIF('حركه المخزن الرئيسي اليوميه'!$F:$F,$H:$H,'حركه المخزن الرئيسي اليوميه'!$H:$H)</f>
        <v>0.0</v>
      </c>
      <c r="M1623" s="22">
        <f>+SUMIF('حركه المخزن الرئيسي اليوميه'!$F:$F,$H:$H,'حركه المخزن الرئيسي اليوميه'!$I:$I)</f>
        <v>0.0</v>
      </c>
      <c r="N1623" s="22">
        <f>+K1623+L1623-M1623</f>
        <v>0.0</v>
      </c>
      <c r="O1623" s="22">
        <f>+N1623</f>
        <v>0.0</v>
      </c>
      <c r="P1623" s="22">
        <f>+N1623-O1623</f>
        <v>0.0</v>
      </c>
      <c r="Q1623" s="57"/>
      <c r="R1623" s="58"/>
    </row>
    <row r="1624" spans="8:8" ht="15.0" customHeight="1">
      <c r="B1624" s="54">
        <v>1768.0</v>
      </c>
      <c r="C1624" s="8" t="s">
        <v>8351</v>
      </c>
      <c r="D1624" s="8" t="s">
        <v>820</v>
      </c>
      <c r="E1624" s="8" t="s">
        <v>3878</v>
      </c>
      <c r="F1624" s="8" t="s">
        <v>68</v>
      </c>
      <c r="G1624" s="8"/>
      <c r="H1624" s="8" t="s">
        <v>3878</v>
      </c>
      <c r="I1624" s="8" t="s">
        <v>43</v>
      </c>
      <c r="J1624" s="78" t="s">
        <v>5539</v>
      </c>
      <c r="K1624" s="22">
        <v>4.0</v>
      </c>
      <c r="L1624" s="22">
        <f>+SUMIF('حركه المخزن الرئيسي اليوميه'!$F:$F,$H:$H,'حركه المخزن الرئيسي اليوميه'!$H:$H)</f>
        <v>0.0</v>
      </c>
      <c r="M1624" s="22">
        <f>+SUMIF('حركه المخزن الرئيسي اليوميه'!$F:$F,$H:$H,'حركه المخزن الرئيسي اليوميه'!$I:$I)</f>
        <v>0.0</v>
      </c>
      <c r="N1624" s="22">
        <f>+K1624+L1624-M1624</f>
        <v>4.0</v>
      </c>
      <c r="O1624" s="22">
        <f>+N1624</f>
        <v>4.0</v>
      </c>
      <c r="P1624" s="22">
        <f>+N1624-O1624</f>
        <v>0.0</v>
      </c>
      <c r="Q1624" s="57"/>
      <c r="R1624" s="58"/>
    </row>
    <row r="1625" spans="8:8" ht="15.0" customHeight="1">
      <c r="B1625" s="54">
        <v>1769.0</v>
      </c>
      <c r="C1625" s="8" t="s">
        <v>8351</v>
      </c>
      <c r="D1625" s="8" t="s">
        <v>820</v>
      </c>
      <c r="E1625" s="8" t="s">
        <v>3879</v>
      </c>
      <c r="F1625" s="8" t="s">
        <v>68</v>
      </c>
      <c r="G1625" s="8"/>
      <c r="H1625" s="8" t="s">
        <v>3879</v>
      </c>
      <c r="I1625" s="55" t="s">
        <v>8165</v>
      </c>
      <c r="J1625" s="78" t="s">
        <v>5540</v>
      </c>
      <c r="K1625" s="22">
        <v>0.0</v>
      </c>
      <c r="L1625" s="22">
        <f>+SUMIF('حركه المخزن الرئيسي اليوميه'!$F:$F,$H:$H,'حركه المخزن الرئيسي اليوميه'!$H:$H)</f>
        <v>0.0</v>
      </c>
      <c r="M1625" s="22">
        <f>+SUMIF('حركه المخزن الرئيسي اليوميه'!$F:$F,$H:$H,'حركه المخزن الرئيسي اليوميه'!$I:$I)</f>
        <v>0.0</v>
      </c>
      <c r="N1625" s="22">
        <f>+K1625+L1625-M1625</f>
        <v>0.0</v>
      </c>
      <c r="O1625" s="22">
        <f>+N1625</f>
        <v>0.0</v>
      </c>
      <c r="P1625" s="22">
        <f>+N1625-O1625</f>
        <v>0.0</v>
      </c>
      <c r="Q1625" s="57"/>
      <c r="R1625" s="58"/>
    </row>
    <row r="1626" spans="8:8" ht="15.0" customHeight="1">
      <c r="B1626" s="54">
        <v>1770.0</v>
      </c>
      <c r="C1626" s="8" t="s">
        <v>8351</v>
      </c>
      <c r="D1626" s="8" t="s">
        <v>820</v>
      </c>
      <c r="E1626" s="8" t="s">
        <v>3892</v>
      </c>
      <c r="F1626" s="8" t="s">
        <v>68</v>
      </c>
      <c r="G1626" s="8"/>
      <c r="H1626" s="8" t="s">
        <v>3892</v>
      </c>
      <c r="I1626" s="55"/>
      <c r="J1626" s="78" t="s">
        <v>5541</v>
      </c>
      <c r="K1626" s="22">
        <v>0.0</v>
      </c>
      <c r="L1626" s="22">
        <f>+SUMIF('حركه المخزن الرئيسي اليوميه'!$F:$F,$H:$H,'حركه المخزن الرئيسي اليوميه'!$H:$H)</f>
        <v>0.0</v>
      </c>
      <c r="M1626" s="22">
        <f>+SUMIF('حركه المخزن الرئيسي اليوميه'!$F:$F,$H:$H,'حركه المخزن الرئيسي اليوميه'!$I:$I)</f>
        <v>0.0</v>
      </c>
      <c r="N1626" s="22">
        <f>+K1626+L1626-M1626</f>
        <v>0.0</v>
      </c>
      <c r="O1626" s="22">
        <f>+N1626</f>
        <v>0.0</v>
      </c>
      <c r="P1626" s="22">
        <f>+N1626-O1626</f>
        <v>0.0</v>
      </c>
      <c r="Q1626" s="57"/>
      <c r="R1626" s="58"/>
    </row>
    <row r="1627" spans="8:8" ht="15.0" customHeight="1">
      <c r="B1627" s="54">
        <v>1771.0</v>
      </c>
      <c r="C1627" s="8" t="s">
        <v>8351</v>
      </c>
      <c r="D1627" s="8" t="s">
        <v>820</v>
      </c>
      <c r="E1627" s="8" t="s">
        <v>3893</v>
      </c>
      <c r="F1627" s="8" t="s">
        <v>68</v>
      </c>
      <c r="G1627" s="8"/>
      <c r="H1627" s="8" t="s">
        <v>3893</v>
      </c>
      <c r="I1627" s="8" t="s">
        <v>45</v>
      </c>
      <c r="J1627" s="78" t="s">
        <v>5542</v>
      </c>
      <c r="K1627" s="22">
        <v>5.0</v>
      </c>
      <c r="L1627" s="22">
        <f>+SUMIF('حركه المخزن الرئيسي اليوميه'!$F:$F,$H:$H,'حركه المخزن الرئيسي اليوميه'!$H:$H)</f>
        <v>0.0</v>
      </c>
      <c r="M1627" s="22">
        <f>+SUMIF('حركه المخزن الرئيسي اليوميه'!$F:$F,$H:$H,'حركه المخزن الرئيسي اليوميه'!$I:$I)</f>
        <v>3.0</v>
      </c>
      <c r="N1627" s="22">
        <f>+K1627+L1627-M1627</f>
        <v>2.0</v>
      </c>
      <c r="O1627" s="22">
        <f>+N1627</f>
        <v>2.0</v>
      </c>
      <c r="P1627" s="22">
        <f>+N1627-O1627</f>
        <v>0.0</v>
      </c>
      <c r="Q1627" s="57"/>
      <c r="R1627" s="58"/>
    </row>
    <row r="1628" spans="8:8" ht="15.0" customHeight="1">
      <c r="B1628" s="54">
        <v>1772.0</v>
      </c>
      <c r="C1628" s="8" t="s">
        <v>8351</v>
      </c>
      <c r="D1628" s="8" t="s">
        <v>820</v>
      </c>
      <c r="E1628" s="8" t="s">
        <v>3894</v>
      </c>
      <c r="F1628" s="8" t="s">
        <v>68</v>
      </c>
      <c r="G1628" s="8"/>
      <c r="H1628" s="8" t="s">
        <v>3894</v>
      </c>
      <c r="I1628" s="8" t="s">
        <v>139</v>
      </c>
      <c r="J1628" s="78" t="s">
        <v>5543</v>
      </c>
      <c r="K1628" s="22">
        <v>5.0</v>
      </c>
      <c r="L1628" s="22">
        <f>+SUMIF('حركه المخزن الرئيسي اليوميه'!$F:$F,$H:$H,'حركه المخزن الرئيسي اليوميه'!$H:$H)</f>
        <v>0.0</v>
      </c>
      <c r="M1628" s="22">
        <f>+SUMIF('حركه المخزن الرئيسي اليوميه'!$F:$F,$H:$H,'حركه المخزن الرئيسي اليوميه'!$I:$I)</f>
        <v>2.0</v>
      </c>
      <c r="N1628" s="22">
        <f>+K1628+L1628-M1628</f>
        <v>3.0</v>
      </c>
      <c r="O1628" s="22">
        <f>+N1628</f>
        <v>3.0</v>
      </c>
      <c r="P1628" s="22">
        <f>+N1628-O1628</f>
        <v>0.0</v>
      </c>
      <c r="Q1628" s="57"/>
      <c r="R1628" s="58"/>
    </row>
    <row r="1629" spans="8:8" ht="15.0" customHeight="1">
      <c r="B1629" s="54">
        <v>1773.0</v>
      </c>
      <c r="C1629" s="8" t="s">
        <v>8351</v>
      </c>
      <c r="D1629" s="8" t="s">
        <v>820</v>
      </c>
      <c r="E1629" s="8" t="s">
        <v>3895</v>
      </c>
      <c r="F1629" s="8" t="s">
        <v>68</v>
      </c>
      <c r="G1629" s="8"/>
      <c r="H1629" s="8" t="s">
        <v>3895</v>
      </c>
      <c r="I1629" s="55"/>
      <c r="J1629" s="78" t="s">
        <v>5544</v>
      </c>
      <c r="K1629" s="22">
        <v>0.0</v>
      </c>
      <c r="L1629" s="22">
        <f>+SUMIF('حركه المخزن الرئيسي اليوميه'!$F:$F,$H:$H,'حركه المخزن الرئيسي اليوميه'!$H:$H)</f>
        <v>0.0</v>
      </c>
      <c r="M1629" s="22">
        <f>+SUMIF('حركه المخزن الرئيسي اليوميه'!$F:$F,$H:$H,'حركه المخزن الرئيسي اليوميه'!$I:$I)</f>
        <v>0.0</v>
      </c>
      <c r="N1629" s="22">
        <f>+K1629+L1629-M1629</f>
        <v>0.0</v>
      </c>
      <c r="O1629" s="22">
        <f>+N1629</f>
        <v>0.0</v>
      </c>
      <c r="P1629" s="22">
        <f>+N1629-O1629</f>
        <v>0.0</v>
      </c>
      <c r="Q1629" s="57"/>
      <c r="R1629" s="58"/>
    </row>
    <row r="1630" spans="8:8" ht="15.0" customHeight="1">
      <c r="B1630" s="54">
        <v>1774.0</v>
      </c>
      <c r="C1630" s="8" t="s">
        <v>8351</v>
      </c>
      <c r="D1630" s="8" t="s">
        <v>820</v>
      </c>
      <c r="E1630" s="8" t="s">
        <v>3897</v>
      </c>
      <c r="F1630" s="8" t="s">
        <v>68</v>
      </c>
      <c r="G1630" s="8"/>
      <c r="H1630" s="8" t="s">
        <v>3897</v>
      </c>
      <c r="I1630" s="55"/>
      <c r="J1630" s="78" t="s">
        <v>5545</v>
      </c>
      <c r="K1630" s="22">
        <v>0.0</v>
      </c>
      <c r="L1630" s="22">
        <f>+SUMIF('حركه المخزن الرئيسي اليوميه'!$F:$F,$H:$H,'حركه المخزن الرئيسي اليوميه'!$H:$H)</f>
        <v>0.0</v>
      </c>
      <c r="M1630" s="22">
        <f>+SUMIF('حركه المخزن الرئيسي اليوميه'!$F:$F,$H:$H,'حركه المخزن الرئيسي اليوميه'!$I:$I)</f>
        <v>0.0</v>
      </c>
      <c r="N1630" s="22">
        <f>+K1630+L1630-M1630</f>
        <v>0.0</v>
      </c>
      <c r="O1630" s="22">
        <f>+N1630</f>
        <v>0.0</v>
      </c>
      <c r="P1630" s="22">
        <f>+N1630-O1630</f>
        <v>0.0</v>
      </c>
      <c r="Q1630" s="57"/>
      <c r="R1630" s="58"/>
    </row>
    <row r="1631" spans="8:8" ht="15.0" customHeight="1">
      <c r="B1631" s="54">
        <v>1775.0</v>
      </c>
      <c r="C1631" s="8" t="s">
        <v>8351</v>
      </c>
      <c r="D1631" s="8" t="s">
        <v>1019</v>
      </c>
      <c r="E1631" s="8" t="s">
        <v>3902</v>
      </c>
      <c r="F1631" s="8" t="s">
        <v>68</v>
      </c>
      <c r="G1631" s="8"/>
      <c r="H1631" s="8" t="s">
        <v>3902</v>
      </c>
      <c r="I1631" s="55"/>
      <c r="J1631" s="78" t="s">
        <v>5546</v>
      </c>
      <c r="K1631" s="22">
        <v>0.0</v>
      </c>
      <c r="L1631" s="22">
        <f>+SUMIF('حركه المخزن الرئيسي اليوميه'!$F:$F,$H:$H,'حركه المخزن الرئيسي اليوميه'!$H:$H)</f>
        <v>0.0</v>
      </c>
      <c r="M1631" s="22">
        <f>+SUMIF('حركه المخزن الرئيسي اليوميه'!$F:$F,$H:$H,'حركه المخزن الرئيسي اليوميه'!$I:$I)</f>
        <v>0.0</v>
      </c>
      <c r="N1631" s="22">
        <f>+K1631+L1631-M1631</f>
        <v>0.0</v>
      </c>
      <c r="O1631" s="22">
        <f>+N1631</f>
        <v>0.0</v>
      </c>
      <c r="P1631" s="22">
        <f>+N1631-O1631</f>
        <v>0.0</v>
      </c>
      <c r="Q1631" s="57"/>
      <c r="R1631" s="58"/>
    </row>
    <row r="1632" spans="8:8" ht="15.0" customHeight="1">
      <c r="B1632" s="54">
        <v>1776.0</v>
      </c>
      <c r="C1632" s="8"/>
      <c r="D1632" s="8"/>
      <c r="E1632" s="8"/>
      <c r="F1632" s="8"/>
      <c r="G1632" s="8"/>
      <c r="H1632" s="8"/>
      <c r="I1632" s="55"/>
      <c r="J1632" s="78" t="s">
        <v>5547</v>
      </c>
      <c r="K1632" s="22">
        <v>0.0</v>
      </c>
      <c r="L1632" s="22">
        <f>+SUMIF('حركه المخزن الرئيسي اليوميه'!$F:$F,$H:$H,'حركه المخزن الرئيسي اليوميه'!$H:$H)</f>
        <v>0.0</v>
      </c>
      <c r="M1632" s="22">
        <f>+SUMIF('حركه المخزن الرئيسي اليوميه'!$F:$F,$H:$H,'حركه المخزن الرئيسي اليوميه'!$I:$I)</f>
        <v>0.0</v>
      </c>
      <c r="N1632" s="22">
        <f>+K1632+L1632-M1632</f>
        <v>0.0</v>
      </c>
      <c r="O1632" s="22">
        <f>+N1632</f>
        <v>0.0</v>
      </c>
      <c r="P1632" s="22">
        <f>+N1632-O1632</f>
        <v>0.0</v>
      </c>
      <c r="Q1632" s="57"/>
      <c r="R1632" s="58"/>
    </row>
    <row r="1633" spans="8:8" ht="15.0" customHeight="1">
      <c r="B1633" s="54">
        <v>1777.0</v>
      </c>
      <c r="C1633" s="8" t="s">
        <v>8351</v>
      </c>
      <c r="D1633" s="8" t="s">
        <v>820</v>
      </c>
      <c r="E1633" s="8" t="s">
        <v>3905</v>
      </c>
      <c r="F1633" s="8" t="s">
        <v>68</v>
      </c>
      <c r="G1633" s="8"/>
      <c r="H1633" s="8" t="s">
        <v>3905</v>
      </c>
      <c r="I1633" s="8" t="s">
        <v>8165</v>
      </c>
      <c r="J1633" s="78" t="s">
        <v>5548</v>
      </c>
      <c r="K1633" s="22">
        <v>0.0</v>
      </c>
      <c r="L1633" s="22">
        <f>+SUMIF('حركه المخزن الرئيسي اليوميه'!$F:$F,$H:$H,'حركه المخزن الرئيسي اليوميه'!$H:$H)</f>
        <v>0.0</v>
      </c>
      <c r="M1633" s="22">
        <f>+SUMIF('حركه المخزن الرئيسي اليوميه'!$F:$F,$H:$H,'حركه المخزن الرئيسي اليوميه'!$I:$I)</f>
        <v>0.0</v>
      </c>
      <c r="N1633" s="22">
        <f>+K1633+L1633-M1633</f>
        <v>0.0</v>
      </c>
      <c r="O1633" s="22">
        <f>+N1633</f>
        <v>0.0</v>
      </c>
      <c r="P1633" s="22">
        <f>+N1633-O1633</f>
        <v>0.0</v>
      </c>
      <c r="Q1633" s="57"/>
      <c r="R1633" s="59"/>
    </row>
    <row r="1634" spans="8:8" ht="15.0" customHeight="1">
      <c r="B1634" s="54">
        <v>1778.0</v>
      </c>
      <c r="C1634" s="8" t="s">
        <v>8351</v>
      </c>
      <c r="D1634" s="8" t="s">
        <v>820</v>
      </c>
      <c r="E1634" s="8" t="s">
        <v>3906</v>
      </c>
      <c r="F1634" s="8" t="s">
        <v>68</v>
      </c>
      <c r="G1634" s="8"/>
      <c r="H1634" s="8" t="s">
        <v>3906</v>
      </c>
      <c r="I1634" s="8" t="s">
        <v>174</v>
      </c>
      <c r="J1634" s="78" t="s">
        <v>5549</v>
      </c>
      <c r="K1634" s="22">
        <v>6.0</v>
      </c>
      <c r="L1634" s="22">
        <f>+SUMIF('حركه المخزن الرئيسي اليوميه'!$F:$F,$H:$H,'حركه المخزن الرئيسي اليوميه'!$H:$H)</f>
        <v>0.0</v>
      </c>
      <c r="M1634" s="22">
        <f>+SUMIF('حركه المخزن الرئيسي اليوميه'!$F:$F,$H:$H,'حركه المخزن الرئيسي اليوميه'!$I:$I)</f>
        <v>0.0</v>
      </c>
      <c r="N1634" s="22">
        <f>+K1634+L1634-M1634</f>
        <v>6.0</v>
      </c>
      <c r="O1634" s="22">
        <f>+N1634</f>
        <v>6.0</v>
      </c>
      <c r="P1634" s="22">
        <f>+N1634-O1634</f>
        <v>0.0</v>
      </c>
      <c r="Q1634" s="57"/>
      <c r="R1634" s="59"/>
    </row>
    <row r="1635" spans="8:8" ht="15.0" customHeight="1">
      <c r="B1635" s="54">
        <v>1779.0</v>
      </c>
      <c r="C1635" s="8" t="s">
        <v>8351</v>
      </c>
      <c r="D1635" s="8" t="s">
        <v>820</v>
      </c>
      <c r="E1635" s="8" t="s">
        <v>3907</v>
      </c>
      <c r="F1635" s="8" t="s">
        <v>68</v>
      </c>
      <c r="G1635" s="8"/>
      <c r="H1635" s="8" t="s">
        <v>3907</v>
      </c>
      <c r="I1635" s="8" t="s">
        <v>170</v>
      </c>
      <c r="J1635" s="78" t="s">
        <v>5550</v>
      </c>
      <c r="K1635" s="22">
        <v>1.0</v>
      </c>
      <c r="L1635" s="22">
        <f>+SUMIF('حركه المخزن الرئيسي اليوميه'!$F:$F,$H:$H,'حركه المخزن الرئيسي اليوميه'!$H:$H)</f>
        <v>0.0</v>
      </c>
      <c r="M1635" s="22">
        <f>+SUMIF('حركه المخزن الرئيسي اليوميه'!$F:$F,$H:$H,'حركه المخزن الرئيسي اليوميه'!$I:$I)</f>
        <v>0.0</v>
      </c>
      <c r="N1635" s="22">
        <f>+K1635+L1635-M1635</f>
        <v>1.0</v>
      </c>
      <c r="O1635" s="22">
        <f>+N1635</f>
        <v>1.0</v>
      </c>
      <c r="P1635" s="22">
        <f>+N1635-O1635</f>
        <v>0.0</v>
      </c>
      <c r="Q1635" s="57"/>
      <c r="R1635" s="58"/>
    </row>
    <row r="1636" spans="8:8" ht="15.0" customHeight="1">
      <c r="B1636" s="54">
        <v>1780.0</v>
      </c>
      <c r="C1636" s="8" t="s">
        <v>8351</v>
      </c>
      <c r="D1636" s="8" t="s">
        <v>828</v>
      </c>
      <c r="E1636" s="8" t="s">
        <v>3679</v>
      </c>
      <c r="F1636" s="8" t="s">
        <v>68</v>
      </c>
      <c r="G1636" s="8"/>
      <c r="H1636" s="8" t="s">
        <v>3679</v>
      </c>
      <c r="I1636" s="8" t="s">
        <v>166</v>
      </c>
      <c r="J1636" s="78" t="s">
        <v>5551</v>
      </c>
      <c r="K1636" s="22">
        <v>10.0</v>
      </c>
      <c r="L1636" s="22">
        <f>+SUMIF('حركه المخزن الرئيسي اليوميه'!$F:$F,$H:$H,'حركه المخزن الرئيسي اليوميه'!$H:$H)</f>
        <v>0.0</v>
      </c>
      <c r="M1636" s="22">
        <f>+SUMIF('حركه المخزن الرئيسي اليوميه'!$F:$F,$H:$H,'حركه المخزن الرئيسي اليوميه'!$I:$I)</f>
        <v>0.0</v>
      </c>
      <c r="N1636" s="22">
        <f>+K1636+L1636-M1636</f>
        <v>10.0</v>
      </c>
      <c r="O1636" s="22">
        <f>+N1636</f>
        <v>10.0</v>
      </c>
      <c r="P1636" s="22">
        <f>+N1636-O1636</f>
        <v>0.0</v>
      </c>
      <c r="Q1636" s="57"/>
      <c r="R1636" s="58"/>
    </row>
    <row r="1637" spans="8:8" ht="15.0" customHeight="1">
      <c r="B1637" s="54">
        <v>1781.0</v>
      </c>
      <c r="C1637" s="8" t="s">
        <v>8351</v>
      </c>
      <c r="D1637" s="8" t="s">
        <v>828</v>
      </c>
      <c r="E1637" s="8" t="s">
        <v>3680</v>
      </c>
      <c r="F1637" s="8" t="s">
        <v>68</v>
      </c>
      <c r="G1637" s="8"/>
      <c r="H1637" s="8" t="s">
        <v>3680</v>
      </c>
      <c r="I1637" s="8" t="s">
        <v>181</v>
      </c>
      <c r="J1637" s="78" t="s">
        <v>5552</v>
      </c>
      <c r="K1637" s="22">
        <v>3.0</v>
      </c>
      <c r="L1637" s="22">
        <f>+SUMIF('حركه المخزن الرئيسي اليوميه'!$F:$F,$H:$H,'حركه المخزن الرئيسي اليوميه'!$H:$H)</f>
        <v>0.0</v>
      </c>
      <c r="M1637" s="22">
        <f>+SUMIF('حركه المخزن الرئيسي اليوميه'!$F:$F,$H:$H,'حركه المخزن الرئيسي اليوميه'!$I:$I)</f>
        <v>0.0</v>
      </c>
      <c r="N1637" s="22">
        <f>+K1637+L1637-M1637</f>
        <v>3.0</v>
      </c>
      <c r="O1637" s="22">
        <f>+N1637</f>
        <v>3.0</v>
      </c>
      <c r="P1637" s="22">
        <f>+N1637-O1637</f>
        <v>0.0</v>
      </c>
      <c r="Q1637" s="57"/>
      <c r="R1637" s="58"/>
    </row>
    <row r="1638" spans="8:8" ht="15.0" customHeight="1">
      <c r="B1638" s="54">
        <v>1782.0</v>
      </c>
      <c r="C1638" s="8" t="s">
        <v>8351</v>
      </c>
      <c r="D1638" s="8" t="s">
        <v>828</v>
      </c>
      <c r="E1638" s="8" t="s">
        <v>3677</v>
      </c>
      <c r="F1638" s="8" t="s">
        <v>68</v>
      </c>
      <c r="G1638" s="8"/>
      <c r="H1638" s="8" t="s">
        <v>3677</v>
      </c>
      <c r="I1638" s="8" t="s">
        <v>181</v>
      </c>
      <c r="J1638" s="78" t="s">
        <v>5553</v>
      </c>
      <c r="K1638" s="22">
        <v>3.0</v>
      </c>
      <c r="L1638" s="22">
        <f>+SUMIF('حركه المخزن الرئيسي اليوميه'!$F:$F,$H:$H,'حركه المخزن الرئيسي اليوميه'!$H:$H)</f>
        <v>0.0</v>
      </c>
      <c r="M1638" s="22">
        <f>+SUMIF('حركه المخزن الرئيسي اليوميه'!$F:$F,$H:$H,'حركه المخزن الرئيسي اليوميه'!$I:$I)</f>
        <v>0.0</v>
      </c>
      <c r="N1638" s="22">
        <f>+K1638+L1638-M1638</f>
        <v>3.0</v>
      </c>
      <c r="O1638" s="22">
        <f>+N1638</f>
        <v>3.0</v>
      </c>
      <c r="P1638" s="22">
        <f>+N1638-O1638</f>
        <v>0.0</v>
      </c>
      <c r="Q1638" s="57"/>
      <c r="R1638" s="58"/>
    </row>
    <row r="1639" spans="8:8" ht="15.0" customHeight="1">
      <c r="B1639" s="54">
        <v>1783.0</v>
      </c>
      <c r="C1639" s="8" t="s">
        <v>8351</v>
      </c>
      <c r="D1639" s="8" t="s">
        <v>828</v>
      </c>
      <c r="E1639" s="8" t="s">
        <v>3714</v>
      </c>
      <c r="F1639" s="8" t="s">
        <v>68</v>
      </c>
      <c r="G1639" s="8"/>
      <c r="H1639" s="8" t="s">
        <v>3714</v>
      </c>
      <c r="I1639" s="8" t="s">
        <v>181</v>
      </c>
      <c r="J1639" s="78" t="s">
        <v>5554</v>
      </c>
      <c r="K1639" s="22">
        <v>1.0</v>
      </c>
      <c r="L1639" s="22">
        <f>+SUMIF('حركه المخزن الرئيسي اليوميه'!$F:$F,$H:$H,'حركه المخزن الرئيسي اليوميه'!$H:$H)</f>
        <v>0.0</v>
      </c>
      <c r="M1639" s="22">
        <f>+SUMIF('حركه المخزن الرئيسي اليوميه'!$F:$F,$H:$H,'حركه المخزن الرئيسي اليوميه'!$I:$I)</f>
        <v>0.0</v>
      </c>
      <c r="N1639" s="22">
        <f>+K1639+L1639-M1639</f>
        <v>1.0</v>
      </c>
      <c r="O1639" s="22">
        <f>+N1639</f>
        <v>1.0</v>
      </c>
      <c r="P1639" s="22">
        <f>+N1639-O1639</f>
        <v>0.0</v>
      </c>
      <c r="Q1639" s="57"/>
      <c r="R1639" s="58"/>
    </row>
    <row r="1640" spans="8:8" ht="15.0" customHeight="1">
      <c r="B1640" s="54">
        <v>1784.0</v>
      </c>
      <c r="C1640" s="8" t="s">
        <v>8351</v>
      </c>
      <c r="D1640" s="8" t="s">
        <v>828</v>
      </c>
      <c r="E1640" s="8" t="s">
        <v>3715</v>
      </c>
      <c r="F1640" s="8" t="s">
        <v>68</v>
      </c>
      <c r="G1640" s="8"/>
      <c r="H1640" s="8" t="s">
        <v>3715</v>
      </c>
      <c r="I1640" s="8" t="s">
        <v>181</v>
      </c>
      <c r="J1640" s="78" t="s">
        <v>5555</v>
      </c>
      <c r="K1640" s="22">
        <v>1.0</v>
      </c>
      <c r="L1640" s="22">
        <f>+SUMIF('حركه المخزن الرئيسي اليوميه'!$F:$F,$H:$H,'حركه المخزن الرئيسي اليوميه'!$H:$H)</f>
        <v>0.0</v>
      </c>
      <c r="M1640" s="22">
        <f>+SUMIF('حركه المخزن الرئيسي اليوميه'!$F:$F,$H:$H,'حركه المخزن الرئيسي اليوميه'!$I:$I)</f>
        <v>0.0</v>
      </c>
      <c r="N1640" s="22">
        <f>+K1640+L1640-M1640</f>
        <v>1.0</v>
      </c>
      <c r="O1640" s="22">
        <f>+N1640</f>
        <v>1.0</v>
      </c>
      <c r="P1640" s="22">
        <f>+N1640-O1640</f>
        <v>0.0</v>
      </c>
      <c r="Q1640" s="57"/>
      <c r="R1640" s="58"/>
    </row>
    <row r="1641" spans="8:8" ht="15.0" customHeight="1">
      <c r="B1641" s="54">
        <v>1785.0</v>
      </c>
      <c r="C1641" s="8" t="s">
        <v>8351</v>
      </c>
      <c r="D1641" s="8" t="s">
        <v>828</v>
      </c>
      <c r="E1641" s="8" t="s">
        <v>3712</v>
      </c>
      <c r="F1641" s="8" t="s">
        <v>68</v>
      </c>
      <c r="G1641" s="8"/>
      <c r="H1641" s="8" t="s">
        <v>3712</v>
      </c>
      <c r="I1641" s="55" t="s">
        <v>2815</v>
      </c>
      <c r="J1641" s="78" t="s">
        <v>5556</v>
      </c>
      <c r="K1641" s="22">
        <v>1.0</v>
      </c>
      <c r="L1641" s="22">
        <f>+SUMIF('حركه المخزن الرئيسي اليوميه'!$F:$F,$H:$H,'حركه المخزن الرئيسي اليوميه'!$H:$H)</f>
        <v>0.0</v>
      </c>
      <c r="M1641" s="22">
        <f>+SUMIF('حركه المخزن الرئيسي اليوميه'!$F:$F,$H:$H,'حركه المخزن الرئيسي اليوميه'!$I:$I)</f>
        <v>0.0</v>
      </c>
      <c r="N1641" s="22">
        <f>+K1641+L1641-M1641</f>
        <v>1.0</v>
      </c>
      <c r="O1641" s="22">
        <f>+N1641</f>
        <v>1.0</v>
      </c>
      <c r="P1641" s="22">
        <f>+N1641-O1641</f>
        <v>0.0</v>
      </c>
      <c r="Q1641" s="57"/>
      <c r="R1641" s="58"/>
    </row>
    <row r="1642" spans="8:8" ht="15.0" customHeight="1">
      <c r="B1642" s="54">
        <v>1786.0</v>
      </c>
      <c r="C1642" s="8" t="s">
        <v>8351</v>
      </c>
      <c r="D1642" s="8" t="s">
        <v>828</v>
      </c>
      <c r="E1642" s="8" t="s">
        <v>3684</v>
      </c>
      <c r="F1642" s="8" t="s">
        <v>68</v>
      </c>
      <c r="G1642" s="8"/>
      <c r="H1642" s="8" t="s">
        <v>3684</v>
      </c>
      <c r="I1642" s="55" t="s">
        <v>2815</v>
      </c>
      <c r="J1642" s="78" t="s">
        <v>5557</v>
      </c>
      <c r="K1642" s="22">
        <v>2.0</v>
      </c>
      <c r="L1642" s="22">
        <f>+SUMIF('حركه المخزن الرئيسي اليوميه'!$F:$F,$H:$H,'حركه المخزن الرئيسي اليوميه'!$H:$H)</f>
        <v>0.0</v>
      </c>
      <c r="M1642" s="22">
        <f>+SUMIF('حركه المخزن الرئيسي اليوميه'!$F:$F,$H:$H,'حركه المخزن الرئيسي اليوميه'!$I:$I)</f>
        <v>0.0</v>
      </c>
      <c r="N1642" s="22">
        <f>+K1642+L1642-M1642</f>
        <v>2.0</v>
      </c>
      <c r="O1642" s="22">
        <f>+N1642</f>
        <v>2.0</v>
      </c>
      <c r="P1642" s="22">
        <f>+N1642-O1642</f>
        <v>0.0</v>
      </c>
      <c r="Q1642" s="57"/>
      <c r="R1642" s="58"/>
    </row>
    <row r="1643" spans="8:8" ht="15.0" customHeight="1">
      <c r="B1643" s="54">
        <v>1787.0</v>
      </c>
      <c r="C1643" s="8" t="s">
        <v>8351</v>
      </c>
      <c r="D1643" s="8" t="s">
        <v>828</v>
      </c>
      <c r="E1643" s="8" t="s">
        <v>3681</v>
      </c>
      <c r="F1643" s="8" t="s">
        <v>68</v>
      </c>
      <c r="G1643" s="8"/>
      <c r="H1643" s="8" t="s">
        <v>3681</v>
      </c>
      <c r="I1643" s="55" t="s">
        <v>2815</v>
      </c>
      <c r="J1643" s="78" t="s">
        <v>5558</v>
      </c>
      <c r="K1643" s="22">
        <v>2.0</v>
      </c>
      <c r="L1643" s="22">
        <f>+SUMIF('حركه المخزن الرئيسي اليوميه'!$F:$F,$H:$H,'حركه المخزن الرئيسي اليوميه'!$H:$H)</f>
        <v>0.0</v>
      </c>
      <c r="M1643" s="22">
        <f>+SUMIF('حركه المخزن الرئيسي اليوميه'!$F:$F,$H:$H,'حركه المخزن الرئيسي اليوميه'!$I:$I)</f>
        <v>0.0</v>
      </c>
      <c r="N1643" s="22">
        <f>+K1643+L1643-M1643</f>
        <v>2.0</v>
      </c>
      <c r="O1643" s="22">
        <f>+N1643</f>
        <v>2.0</v>
      </c>
      <c r="P1643" s="22">
        <f>+N1643-O1643</f>
        <v>0.0</v>
      </c>
      <c r="Q1643" s="57"/>
      <c r="R1643" s="58"/>
    </row>
    <row r="1644" spans="8:8" ht="15.0" customHeight="1">
      <c r="B1644" s="54">
        <v>1788.0</v>
      </c>
      <c r="C1644" s="8" t="s">
        <v>8351</v>
      </c>
      <c r="D1644" s="8" t="s">
        <v>828</v>
      </c>
      <c r="E1644" s="8" t="s">
        <v>3838</v>
      </c>
      <c r="F1644" s="8" t="s">
        <v>68</v>
      </c>
      <c r="G1644" s="8"/>
      <c r="H1644" s="8" t="s">
        <v>3838</v>
      </c>
      <c r="I1644" s="55" t="s">
        <v>287</v>
      </c>
      <c r="J1644" s="78" t="s">
        <v>5559</v>
      </c>
      <c r="K1644" s="22">
        <v>1.0</v>
      </c>
      <c r="L1644" s="22">
        <f>+SUMIF('حركه المخزن الرئيسي اليوميه'!$F:$F,$H:$H,'حركه المخزن الرئيسي اليوميه'!$H:$H)</f>
        <v>0.0</v>
      </c>
      <c r="M1644" s="22">
        <f>+SUMIF('حركه المخزن الرئيسي اليوميه'!$F:$F,$H:$H,'حركه المخزن الرئيسي اليوميه'!$I:$I)</f>
        <v>0.0</v>
      </c>
      <c r="N1644" s="22">
        <f>+K1644+L1644-M1644</f>
        <v>1.0</v>
      </c>
      <c r="O1644" s="22">
        <f>+N1644</f>
        <v>1.0</v>
      </c>
      <c r="P1644" s="22">
        <f>+N1644-O1644</f>
        <v>0.0</v>
      </c>
      <c r="Q1644" s="57"/>
      <c r="R1644" s="58"/>
    </row>
    <row r="1645" spans="8:8" ht="15.0" customHeight="1">
      <c r="B1645" s="54">
        <v>1789.0</v>
      </c>
      <c r="C1645" s="8" t="s">
        <v>8351</v>
      </c>
      <c r="D1645" s="8" t="s">
        <v>828</v>
      </c>
      <c r="E1645" s="8" t="s">
        <v>3713</v>
      </c>
      <c r="F1645" s="8" t="s">
        <v>68</v>
      </c>
      <c r="G1645" s="8"/>
      <c r="H1645" s="8" t="s">
        <v>3713</v>
      </c>
      <c r="I1645" s="55" t="s">
        <v>287</v>
      </c>
      <c r="J1645" s="78" t="s">
        <v>5560</v>
      </c>
      <c r="K1645" s="22">
        <v>2.0</v>
      </c>
      <c r="L1645" s="22">
        <f>+SUMIF('حركه المخزن الرئيسي اليوميه'!$F:$F,$H:$H,'حركه المخزن الرئيسي اليوميه'!$H:$H)</f>
        <v>0.0</v>
      </c>
      <c r="M1645" s="22">
        <f>+SUMIF('حركه المخزن الرئيسي اليوميه'!$F:$F,$H:$H,'حركه المخزن الرئيسي اليوميه'!$I:$I)</f>
        <v>0.0</v>
      </c>
      <c r="N1645" s="22">
        <f>+K1645+L1645-M1645</f>
        <v>2.0</v>
      </c>
      <c r="O1645" s="22">
        <f>+N1645</f>
        <v>2.0</v>
      </c>
      <c r="P1645" s="22">
        <f>+N1645-O1645</f>
        <v>0.0</v>
      </c>
      <c r="Q1645" s="57"/>
      <c r="R1645" s="58"/>
    </row>
    <row r="1646" spans="8:8" ht="15.0" customHeight="1">
      <c r="B1646" s="54">
        <v>1790.0</v>
      </c>
      <c r="C1646" s="8" t="s">
        <v>764</v>
      </c>
      <c r="D1646" s="8" t="s">
        <v>713</v>
      </c>
      <c r="E1646" s="8" t="s">
        <v>789</v>
      </c>
      <c r="F1646" s="8" t="s">
        <v>68</v>
      </c>
      <c r="G1646" s="8" t="s">
        <v>2163</v>
      </c>
      <c r="H1646" s="8" t="s">
        <v>784</v>
      </c>
      <c r="I1646" s="55" t="s">
        <v>292</v>
      </c>
      <c r="J1646" s="78" t="s">
        <v>5561</v>
      </c>
      <c r="K1646" s="22">
        <v>4.0</v>
      </c>
      <c r="L1646" s="22">
        <f>+SUMIF('حركه المخزن الرئيسي اليوميه'!$F:$F,$H:$H,'حركه المخزن الرئيسي اليوميه'!$H:$H)</f>
        <v>0.0</v>
      </c>
      <c r="M1646" s="22">
        <f>+SUMIF('حركه المخزن الرئيسي اليوميه'!$F:$F,$H:$H,'حركه المخزن الرئيسي اليوميه'!$I:$I)</f>
        <v>0.0</v>
      </c>
      <c r="N1646" s="22">
        <f>+K1646+L1646-M1646</f>
        <v>4.0</v>
      </c>
      <c r="O1646" s="22">
        <f>+N1646</f>
        <v>4.0</v>
      </c>
      <c r="P1646" s="22">
        <f>+N1646-O1646</f>
        <v>0.0</v>
      </c>
      <c r="Q1646" s="57"/>
      <c r="R1646" s="58"/>
    </row>
    <row r="1647" spans="8:8" ht="15.0" customHeight="1">
      <c r="B1647" s="54">
        <v>1791.0</v>
      </c>
      <c r="C1647" s="8" t="s">
        <v>764</v>
      </c>
      <c r="D1647" s="8" t="s">
        <v>713</v>
      </c>
      <c r="E1647" s="8" t="s">
        <v>789</v>
      </c>
      <c r="F1647" s="8" t="s">
        <v>68</v>
      </c>
      <c r="G1647" s="8" t="s">
        <v>2163</v>
      </c>
      <c r="H1647" s="8" t="s">
        <v>783</v>
      </c>
      <c r="I1647" s="55" t="s">
        <v>292</v>
      </c>
      <c r="J1647" s="78" t="s">
        <v>5562</v>
      </c>
      <c r="K1647" s="22">
        <v>4.0</v>
      </c>
      <c r="L1647" s="22">
        <f>+SUMIF('حركه المخزن الرئيسي اليوميه'!$F:$F,$H:$H,'حركه المخزن الرئيسي اليوميه'!$H:$H)</f>
        <v>0.0</v>
      </c>
      <c r="M1647" s="22">
        <f>+SUMIF('حركه المخزن الرئيسي اليوميه'!$F:$F,$H:$H,'حركه المخزن الرئيسي اليوميه'!$I:$I)</f>
        <v>0.0</v>
      </c>
      <c r="N1647" s="22">
        <f>+K1647+L1647-M1647</f>
        <v>4.0</v>
      </c>
      <c r="O1647" s="22">
        <f>+N1647</f>
        <v>4.0</v>
      </c>
      <c r="P1647" s="22">
        <f>+N1647-O1647</f>
        <v>0.0</v>
      </c>
      <c r="Q1647" s="57"/>
      <c r="R1647" s="58"/>
    </row>
    <row r="1648" spans="8:8" ht="15.0" customHeight="1">
      <c r="B1648" s="54">
        <v>1792.0</v>
      </c>
      <c r="C1648" s="8" t="s">
        <v>764</v>
      </c>
      <c r="D1648" s="8" t="s">
        <v>713</v>
      </c>
      <c r="E1648" s="8" t="s">
        <v>789</v>
      </c>
      <c r="F1648" s="8" t="s">
        <v>68</v>
      </c>
      <c r="G1648" s="8" t="s">
        <v>2163</v>
      </c>
      <c r="H1648" s="8" t="s">
        <v>777</v>
      </c>
      <c r="I1648" s="55" t="s">
        <v>292</v>
      </c>
      <c r="J1648" s="78" t="s">
        <v>5563</v>
      </c>
      <c r="K1648" s="22">
        <v>24.0</v>
      </c>
      <c r="L1648" s="22">
        <f>+SUMIF('حركه المخزن الرئيسي اليوميه'!$F:$F,$H:$H,'حركه المخزن الرئيسي اليوميه'!$H:$H)</f>
        <v>0.0</v>
      </c>
      <c r="M1648" s="22">
        <f>+SUMIF('حركه المخزن الرئيسي اليوميه'!$F:$F,$H:$H,'حركه المخزن الرئيسي اليوميه'!$I:$I)</f>
        <v>0.0</v>
      </c>
      <c r="N1648" s="22">
        <f>+K1648+L1648-M1648</f>
        <v>24.0</v>
      </c>
      <c r="O1648" s="22">
        <f>+N1648</f>
        <v>24.0</v>
      </c>
      <c r="P1648" s="22">
        <f>+N1648-O1648</f>
        <v>0.0</v>
      </c>
      <c r="Q1648" s="57"/>
      <c r="R1648" s="58"/>
    </row>
    <row r="1649" spans="8:8" ht="15.0" customHeight="1">
      <c r="B1649" s="54">
        <v>1793.0</v>
      </c>
      <c r="C1649" s="8" t="s">
        <v>764</v>
      </c>
      <c r="D1649" s="8" t="s">
        <v>713</v>
      </c>
      <c r="E1649" s="8" t="s">
        <v>789</v>
      </c>
      <c r="F1649" s="8" t="s">
        <v>68</v>
      </c>
      <c r="G1649" s="8" t="s">
        <v>2163</v>
      </c>
      <c r="H1649" s="8" t="s">
        <v>780</v>
      </c>
      <c r="I1649" s="55" t="s">
        <v>292</v>
      </c>
      <c r="J1649" s="78" t="s">
        <v>5564</v>
      </c>
      <c r="K1649" s="22">
        <v>12.0</v>
      </c>
      <c r="L1649" s="22">
        <f>+SUMIF('حركه المخزن الرئيسي اليوميه'!$F:$F,$H:$H,'حركه المخزن الرئيسي اليوميه'!$H:$H)</f>
        <v>0.0</v>
      </c>
      <c r="M1649" s="22">
        <f>+SUMIF('حركه المخزن الرئيسي اليوميه'!$F:$F,$H:$H,'حركه المخزن الرئيسي اليوميه'!$I:$I)</f>
        <v>0.0</v>
      </c>
      <c r="N1649" s="22">
        <f>+K1649+L1649-M1649</f>
        <v>12.0</v>
      </c>
      <c r="O1649" s="22">
        <f>+N1649</f>
        <v>12.0</v>
      </c>
      <c r="P1649" s="22">
        <f>+N1649-O1649</f>
        <v>0.0</v>
      </c>
      <c r="Q1649" s="57"/>
      <c r="R1649" s="58"/>
    </row>
    <row r="1650" spans="8:8" ht="15.0" customHeight="1">
      <c r="B1650" s="54">
        <v>1794.0</v>
      </c>
      <c r="C1650" s="8" t="s">
        <v>764</v>
      </c>
      <c r="D1650" s="8" t="s">
        <v>713</v>
      </c>
      <c r="E1650" s="8" t="s">
        <v>789</v>
      </c>
      <c r="F1650" s="8" t="s">
        <v>68</v>
      </c>
      <c r="G1650" s="8" t="s">
        <v>2163</v>
      </c>
      <c r="H1650" s="8" t="s">
        <v>778</v>
      </c>
      <c r="I1650" s="55" t="s">
        <v>292</v>
      </c>
      <c r="J1650" s="78" t="s">
        <v>5565</v>
      </c>
      <c r="K1650" s="22">
        <v>12.0</v>
      </c>
      <c r="L1650" s="22">
        <f>+SUMIF('حركه المخزن الرئيسي اليوميه'!$F:$F,$H:$H,'حركه المخزن الرئيسي اليوميه'!$H:$H)</f>
        <v>0.0</v>
      </c>
      <c r="M1650" s="22">
        <f>+SUMIF('حركه المخزن الرئيسي اليوميه'!$F:$F,$H:$H,'حركه المخزن الرئيسي اليوميه'!$I:$I)</f>
        <v>0.0</v>
      </c>
      <c r="N1650" s="22">
        <f>+K1650+L1650-M1650</f>
        <v>12.0</v>
      </c>
      <c r="O1650" s="22">
        <f>+N1650</f>
        <v>12.0</v>
      </c>
      <c r="P1650" s="22">
        <f>+N1650-O1650</f>
        <v>0.0</v>
      </c>
      <c r="Q1650" s="57"/>
      <c r="R1650" s="58"/>
    </row>
    <row r="1651" spans="8:8" ht="15.0" customHeight="1">
      <c r="B1651" s="54">
        <v>1795.0</v>
      </c>
      <c r="C1651" s="8" t="s">
        <v>764</v>
      </c>
      <c r="D1651" s="8" t="s">
        <v>713</v>
      </c>
      <c r="E1651" s="8" t="s">
        <v>789</v>
      </c>
      <c r="F1651" s="8" t="s">
        <v>68</v>
      </c>
      <c r="G1651" s="8" t="s">
        <v>2163</v>
      </c>
      <c r="H1651" s="8" t="s">
        <v>781</v>
      </c>
      <c r="I1651" s="55" t="s">
        <v>292</v>
      </c>
      <c r="J1651" s="78" t="s">
        <v>5566</v>
      </c>
      <c r="K1651" s="22">
        <v>6.0</v>
      </c>
      <c r="L1651" s="22">
        <f>+SUMIF('حركه المخزن الرئيسي اليوميه'!$F:$F,$H:$H,'حركه المخزن الرئيسي اليوميه'!$H:$H)</f>
        <v>0.0</v>
      </c>
      <c r="M1651" s="22">
        <f>+SUMIF('حركه المخزن الرئيسي اليوميه'!$F:$F,$H:$H,'حركه المخزن الرئيسي اليوميه'!$I:$I)</f>
        <v>0.0</v>
      </c>
      <c r="N1651" s="22">
        <f>+K1651+L1651-M1651</f>
        <v>6.0</v>
      </c>
      <c r="O1651" s="22">
        <f>+N1651</f>
        <v>6.0</v>
      </c>
      <c r="P1651" s="22">
        <f>+N1651-O1651</f>
        <v>0.0</v>
      </c>
      <c r="Q1651" s="57"/>
      <c r="R1651" s="58"/>
    </row>
    <row r="1652" spans="8:8" ht="15.0" customHeight="1">
      <c r="B1652" s="54">
        <v>1796.0</v>
      </c>
      <c r="C1652" s="8" t="s">
        <v>764</v>
      </c>
      <c r="D1652" s="8" t="s">
        <v>713</v>
      </c>
      <c r="E1652" s="8" t="s">
        <v>789</v>
      </c>
      <c r="F1652" s="8" t="s">
        <v>68</v>
      </c>
      <c r="G1652" s="8" t="s">
        <v>2163</v>
      </c>
      <c r="H1652" s="8" t="s">
        <v>782</v>
      </c>
      <c r="I1652" s="55" t="s">
        <v>292</v>
      </c>
      <c r="J1652" s="78" t="s">
        <v>5567</v>
      </c>
      <c r="K1652" s="22">
        <v>6.0</v>
      </c>
      <c r="L1652" s="22">
        <f>+SUMIF('حركه المخزن الرئيسي اليوميه'!$F:$F,$H:$H,'حركه المخزن الرئيسي اليوميه'!$H:$H)</f>
        <v>0.0</v>
      </c>
      <c r="M1652" s="22">
        <f>+SUMIF('حركه المخزن الرئيسي اليوميه'!$F:$F,$H:$H,'حركه المخزن الرئيسي اليوميه'!$I:$I)</f>
        <v>0.0</v>
      </c>
      <c r="N1652" s="22">
        <f>+K1652+L1652-M1652</f>
        <v>6.0</v>
      </c>
      <c r="O1652" s="22">
        <f>+N1652</f>
        <v>6.0</v>
      </c>
      <c r="P1652" s="22">
        <f>+N1652-O1652</f>
        <v>0.0</v>
      </c>
      <c r="Q1652" s="57"/>
      <c r="R1652" s="58"/>
    </row>
    <row r="1653" spans="8:8" ht="15.0" customHeight="1">
      <c r="B1653" s="54">
        <v>1797.0</v>
      </c>
      <c r="C1653" s="8" t="s">
        <v>8351</v>
      </c>
      <c r="D1653" s="55" t="s">
        <v>820</v>
      </c>
      <c r="E1653" s="8" t="s">
        <v>3803</v>
      </c>
      <c r="F1653" s="8" t="s">
        <v>68</v>
      </c>
      <c r="G1653" s="8"/>
      <c r="H1653" s="8" t="s">
        <v>3803</v>
      </c>
      <c r="I1653" s="55" t="s">
        <v>818</v>
      </c>
      <c r="J1653" s="78" t="s">
        <v>5568</v>
      </c>
      <c r="K1653" s="22">
        <v>3.0</v>
      </c>
      <c r="L1653" s="22">
        <f>+SUMIF('حركه المخزن الرئيسي اليوميه'!$F:$F,$H:$H,'حركه المخزن الرئيسي اليوميه'!$H:$H)</f>
        <v>0.0</v>
      </c>
      <c r="M1653" s="22">
        <f>+SUMIF('حركه المخزن الرئيسي اليوميه'!$F:$F,$H:$H,'حركه المخزن الرئيسي اليوميه'!$I:$I)</f>
        <v>0.0</v>
      </c>
      <c r="N1653" s="22">
        <f>+K1653+L1653-M1653</f>
        <v>3.0</v>
      </c>
      <c r="O1653" s="22">
        <f>+N1653</f>
        <v>3.0</v>
      </c>
      <c r="P1653" s="22">
        <f>+N1653-O1653</f>
        <v>0.0</v>
      </c>
      <c r="Q1653" s="57"/>
      <c r="R1653" s="58"/>
    </row>
    <row r="1654" spans="8:8" ht="15.0" customHeight="1">
      <c r="B1654" s="54">
        <v>1798.0</v>
      </c>
      <c r="C1654" s="8" t="s">
        <v>8351</v>
      </c>
      <c r="D1654" s="55" t="s">
        <v>820</v>
      </c>
      <c r="E1654" s="8" t="s">
        <v>3811</v>
      </c>
      <c r="F1654" s="8" t="s">
        <v>68</v>
      </c>
      <c r="G1654" s="8"/>
      <c r="H1654" s="8" t="s">
        <v>3811</v>
      </c>
      <c r="I1654" s="55" t="s">
        <v>818</v>
      </c>
      <c r="J1654" s="78" t="s">
        <v>5569</v>
      </c>
      <c r="K1654" s="22">
        <v>2.0</v>
      </c>
      <c r="L1654" s="22">
        <f>+SUMIF('حركه المخزن الرئيسي اليوميه'!$F:$F,$H:$H,'حركه المخزن الرئيسي اليوميه'!$H:$H)</f>
        <v>0.0</v>
      </c>
      <c r="M1654" s="22">
        <f>+SUMIF('حركه المخزن الرئيسي اليوميه'!$F:$F,$H:$H,'حركه المخزن الرئيسي اليوميه'!$I:$I)</f>
        <v>0.0</v>
      </c>
      <c r="N1654" s="22">
        <f>+K1654+L1654-M1654</f>
        <v>2.0</v>
      </c>
      <c r="O1654" s="22">
        <f>+N1654</f>
        <v>2.0</v>
      </c>
      <c r="P1654" s="22">
        <f>+N1654-O1654</f>
        <v>0.0</v>
      </c>
      <c r="Q1654" s="57"/>
      <c r="R1654" s="58"/>
    </row>
    <row r="1655" spans="8:8" ht="15.0" customHeight="1">
      <c r="B1655" s="54">
        <v>1799.0</v>
      </c>
      <c r="C1655" s="8" t="s">
        <v>8351</v>
      </c>
      <c r="D1655" s="55" t="s">
        <v>820</v>
      </c>
      <c r="E1655" s="8" t="s">
        <v>2674</v>
      </c>
      <c r="F1655" s="8" t="s">
        <v>68</v>
      </c>
      <c r="G1655" s="8"/>
      <c r="H1655" s="8" t="s">
        <v>2674</v>
      </c>
      <c r="I1655" s="55" t="s">
        <v>818</v>
      </c>
      <c r="J1655" s="78" t="s">
        <v>5570</v>
      </c>
      <c r="K1655" s="22">
        <v>2.0</v>
      </c>
      <c r="L1655" s="22">
        <f>+SUMIF('حركه المخزن الرئيسي اليوميه'!$F:$F,$H:$H,'حركه المخزن الرئيسي اليوميه'!$H:$H)</f>
        <v>0.0</v>
      </c>
      <c r="M1655" s="22">
        <f>+SUMIF('حركه المخزن الرئيسي اليوميه'!$F:$F,$H:$H,'حركه المخزن الرئيسي اليوميه'!$I:$I)</f>
        <v>0.0</v>
      </c>
      <c r="N1655" s="22">
        <f>+K1655+L1655-M1655</f>
        <v>2.0</v>
      </c>
      <c r="O1655" s="22">
        <f>+N1655</f>
        <v>2.0</v>
      </c>
      <c r="P1655" s="22">
        <f>+N1655-O1655</f>
        <v>0.0</v>
      </c>
      <c r="Q1655" s="57"/>
      <c r="R1655" s="58"/>
    </row>
    <row r="1656" spans="8:8" ht="15.0" customHeight="1">
      <c r="B1656" s="54">
        <v>1800.0</v>
      </c>
      <c r="C1656" s="8"/>
      <c r="D1656" s="8"/>
      <c r="E1656" s="8"/>
      <c r="F1656" s="8"/>
      <c r="G1656" s="8"/>
      <c r="H1656" s="8"/>
      <c r="I1656" s="55"/>
      <c r="J1656" s="78" t="s">
        <v>5571</v>
      </c>
      <c r="K1656" s="22">
        <v>0.0</v>
      </c>
      <c r="L1656" s="22">
        <f>+SUMIF('حركه المخزن الرئيسي اليوميه'!$F:$F,$H:$H,'حركه المخزن الرئيسي اليوميه'!$H:$H)</f>
        <v>0.0</v>
      </c>
      <c r="M1656" s="22">
        <f>+SUMIF('حركه المخزن الرئيسي اليوميه'!$F:$F,$H:$H,'حركه المخزن الرئيسي اليوميه'!$I:$I)</f>
        <v>0.0</v>
      </c>
      <c r="N1656" s="22">
        <f>+K1656+L1656-M1656</f>
        <v>0.0</v>
      </c>
      <c r="O1656" s="22">
        <f>+N1656</f>
        <v>0.0</v>
      </c>
      <c r="P1656" s="22">
        <f>+N1656-O1656</f>
        <v>0.0</v>
      </c>
      <c r="Q1656" s="57"/>
      <c r="R1656" s="58"/>
    </row>
    <row r="1657" spans="8:8" ht="15.0" customHeight="1">
      <c r="B1657" s="54">
        <v>1801.0</v>
      </c>
      <c r="C1657" s="8"/>
      <c r="D1657" s="8"/>
      <c r="E1657" s="8"/>
      <c r="F1657" s="8"/>
      <c r="G1657" s="8"/>
      <c r="H1657" s="8"/>
      <c r="I1657" s="55"/>
      <c r="J1657" s="78" t="s">
        <v>5572</v>
      </c>
      <c r="K1657" s="22">
        <v>0.0</v>
      </c>
      <c r="L1657" s="22">
        <f>+SUMIF('حركه المخزن الرئيسي اليوميه'!$F:$F,$H:$H,'حركه المخزن الرئيسي اليوميه'!$H:$H)</f>
        <v>0.0</v>
      </c>
      <c r="M1657" s="22">
        <f>+SUMIF('حركه المخزن الرئيسي اليوميه'!$F:$F,$H:$H,'حركه المخزن الرئيسي اليوميه'!$I:$I)</f>
        <v>0.0</v>
      </c>
      <c r="N1657" s="22">
        <f>+K1657+L1657-M1657</f>
        <v>0.0</v>
      </c>
      <c r="O1657" s="22">
        <f>+N1657</f>
        <v>0.0</v>
      </c>
      <c r="P1657" s="22">
        <f>+N1657-O1657</f>
        <v>0.0</v>
      </c>
      <c r="Q1657" s="57"/>
      <c r="R1657" s="58"/>
    </row>
    <row r="1658" spans="8:8" ht="15.0" customHeight="1">
      <c r="B1658" s="54">
        <v>1802.0</v>
      </c>
      <c r="C1658" s="8"/>
      <c r="D1658" s="8"/>
      <c r="E1658" s="8"/>
      <c r="F1658" s="8"/>
      <c r="G1658" s="8"/>
      <c r="H1658" s="8"/>
      <c r="I1658" s="55"/>
      <c r="J1658" s="78" t="s">
        <v>5573</v>
      </c>
      <c r="K1658" s="22">
        <v>0.0</v>
      </c>
      <c r="L1658" s="22">
        <f>+SUMIF('حركه المخزن الرئيسي اليوميه'!$F:$F,$H:$H,'حركه المخزن الرئيسي اليوميه'!$H:$H)</f>
        <v>0.0</v>
      </c>
      <c r="M1658" s="22">
        <f>+SUMIF('حركه المخزن الرئيسي اليوميه'!$F:$F,$H:$H,'حركه المخزن الرئيسي اليوميه'!$I:$I)</f>
        <v>0.0</v>
      </c>
      <c r="N1658" s="22">
        <f>+K1658+L1658-M1658</f>
        <v>0.0</v>
      </c>
      <c r="O1658" s="22">
        <f>+N1658</f>
        <v>0.0</v>
      </c>
      <c r="P1658" s="22">
        <f>+N1658-O1658</f>
        <v>0.0</v>
      </c>
      <c r="Q1658" s="57"/>
      <c r="R1658" s="58"/>
    </row>
    <row r="1659" spans="8:8" ht="15.0" customHeight="1">
      <c r="B1659" s="54">
        <v>1803.0</v>
      </c>
      <c r="C1659" s="8"/>
      <c r="D1659" s="8"/>
      <c r="E1659" s="8"/>
      <c r="F1659" s="8"/>
      <c r="G1659" s="8"/>
      <c r="H1659" s="8"/>
      <c r="I1659" s="55"/>
      <c r="J1659" s="78" t="s">
        <v>5574</v>
      </c>
      <c r="K1659" s="22">
        <v>0.0</v>
      </c>
      <c r="L1659" s="22">
        <f>+SUMIF('حركه المخزن الرئيسي اليوميه'!$F:$F,$H:$H,'حركه المخزن الرئيسي اليوميه'!$H:$H)</f>
        <v>0.0</v>
      </c>
      <c r="M1659" s="22">
        <f>+SUMIF('حركه المخزن الرئيسي اليوميه'!$F:$F,$H:$H,'حركه المخزن الرئيسي اليوميه'!$I:$I)</f>
        <v>0.0</v>
      </c>
      <c r="N1659" s="22">
        <f>+K1659+L1659-M1659</f>
        <v>0.0</v>
      </c>
      <c r="O1659" s="22">
        <f>+N1659</f>
        <v>0.0</v>
      </c>
      <c r="P1659" s="22">
        <f>+N1659-O1659</f>
        <v>0.0</v>
      </c>
      <c r="Q1659" s="57"/>
      <c r="R1659" s="58"/>
    </row>
    <row r="1660" spans="8:8" ht="15.0" customHeight="1">
      <c r="B1660" s="54">
        <v>1804.0</v>
      </c>
      <c r="C1660" s="8"/>
      <c r="D1660" s="8"/>
      <c r="E1660" s="8"/>
      <c r="F1660" s="8"/>
      <c r="G1660" s="8"/>
      <c r="H1660" s="8"/>
      <c r="I1660" s="55"/>
      <c r="J1660" s="78" t="s">
        <v>5575</v>
      </c>
      <c r="K1660" s="22">
        <v>0.0</v>
      </c>
      <c r="L1660" s="22">
        <f>+SUMIF('حركه المخزن الرئيسي اليوميه'!$F:$F,$H:$H,'حركه المخزن الرئيسي اليوميه'!$H:$H)</f>
        <v>0.0</v>
      </c>
      <c r="M1660" s="22">
        <f>+SUMIF('حركه المخزن الرئيسي اليوميه'!$F:$F,$H:$H,'حركه المخزن الرئيسي اليوميه'!$I:$I)</f>
        <v>0.0</v>
      </c>
      <c r="N1660" s="22">
        <f>+K1660+L1660-M1660</f>
        <v>0.0</v>
      </c>
      <c r="O1660" s="22">
        <f>+N1660</f>
        <v>0.0</v>
      </c>
      <c r="P1660" s="22">
        <f>+N1660-O1660</f>
        <v>0.0</v>
      </c>
      <c r="Q1660" s="57"/>
      <c r="R1660" s="58"/>
    </row>
    <row r="1661" spans="8:8" ht="15.0" customHeight="1">
      <c r="B1661" s="54">
        <v>1805.0</v>
      </c>
      <c r="C1661" s="8"/>
      <c r="D1661" s="8"/>
      <c r="E1661" s="8"/>
      <c r="F1661" s="8"/>
      <c r="G1661" s="8"/>
      <c r="H1661" s="8"/>
      <c r="I1661" s="55"/>
      <c r="J1661" s="78" t="s">
        <v>5576</v>
      </c>
      <c r="K1661" s="22">
        <v>0.0</v>
      </c>
      <c r="L1661" s="22">
        <f>+SUMIF('حركه المخزن الرئيسي اليوميه'!$F:$F,$H:$H,'حركه المخزن الرئيسي اليوميه'!$H:$H)</f>
        <v>0.0</v>
      </c>
      <c r="M1661" s="22">
        <f>+SUMIF('حركه المخزن الرئيسي اليوميه'!$F:$F,$H:$H,'حركه المخزن الرئيسي اليوميه'!$I:$I)</f>
        <v>0.0</v>
      </c>
      <c r="N1661" s="22">
        <f>+K1661+L1661-M1661</f>
        <v>0.0</v>
      </c>
      <c r="O1661" s="22">
        <f>+N1661</f>
        <v>0.0</v>
      </c>
      <c r="P1661" s="22">
        <f>+N1661-O1661</f>
        <v>0.0</v>
      </c>
      <c r="Q1661" s="57"/>
      <c r="R1661" s="58"/>
    </row>
    <row r="1662" spans="8:8" ht="15.0" customHeight="1">
      <c r="B1662" s="54">
        <v>1806.0</v>
      </c>
      <c r="C1662" s="8"/>
      <c r="D1662" s="8"/>
      <c r="E1662" s="8"/>
      <c r="F1662" s="8"/>
      <c r="G1662" s="8"/>
      <c r="H1662" s="8"/>
      <c r="I1662" s="55"/>
      <c r="J1662" s="78" t="s">
        <v>5577</v>
      </c>
      <c r="K1662" s="22">
        <v>0.0</v>
      </c>
      <c r="L1662" s="22">
        <f>+SUMIF('حركه المخزن الرئيسي اليوميه'!$F:$F,$H:$H,'حركه المخزن الرئيسي اليوميه'!$H:$H)</f>
        <v>0.0</v>
      </c>
      <c r="M1662" s="22">
        <f>+SUMIF('حركه المخزن الرئيسي اليوميه'!$F:$F,$H:$H,'حركه المخزن الرئيسي اليوميه'!$I:$I)</f>
        <v>0.0</v>
      </c>
      <c r="N1662" s="22">
        <f>+K1662+L1662-M1662</f>
        <v>0.0</v>
      </c>
      <c r="O1662" s="22">
        <f>+N1662</f>
        <v>0.0</v>
      </c>
      <c r="P1662" s="22">
        <f>+N1662-O1662</f>
        <v>0.0</v>
      </c>
      <c r="Q1662" s="57"/>
      <c r="R1662" s="58"/>
    </row>
    <row r="1663" spans="8:8" ht="15.0" customHeight="1">
      <c r="B1663" s="54">
        <v>1807.0</v>
      </c>
      <c r="C1663" s="8"/>
      <c r="D1663" s="8"/>
      <c r="E1663" s="8"/>
      <c r="F1663" s="8"/>
      <c r="G1663" s="8"/>
      <c r="H1663" s="8"/>
      <c r="I1663" s="55"/>
      <c r="J1663" s="78" t="s">
        <v>5578</v>
      </c>
      <c r="K1663" s="22">
        <v>0.0</v>
      </c>
      <c r="L1663" s="22">
        <f>+SUMIF('حركه المخزن الرئيسي اليوميه'!$F:$F,$H:$H,'حركه المخزن الرئيسي اليوميه'!$H:$H)</f>
        <v>0.0</v>
      </c>
      <c r="M1663" s="22">
        <f>+SUMIF('حركه المخزن الرئيسي اليوميه'!$F:$F,$H:$H,'حركه المخزن الرئيسي اليوميه'!$I:$I)</f>
        <v>0.0</v>
      </c>
      <c r="N1663" s="22">
        <f>+K1663+L1663-M1663</f>
        <v>0.0</v>
      </c>
      <c r="O1663" s="22">
        <f>+N1663</f>
        <v>0.0</v>
      </c>
      <c r="P1663" s="22">
        <f>+N1663-O1663</f>
        <v>0.0</v>
      </c>
      <c r="Q1663" s="57"/>
      <c r="R1663" s="58"/>
    </row>
    <row r="1664" spans="8:8" ht="15.0" customHeight="1">
      <c r="B1664" s="54">
        <v>1808.0</v>
      </c>
      <c r="C1664" s="8"/>
      <c r="D1664" s="8"/>
      <c r="E1664" s="8"/>
      <c r="F1664" s="8"/>
      <c r="G1664" s="8"/>
      <c r="H1664" s="8"/>
      <c r="I1664" s="55"/>
      <c r="J1664" s="78" t="s">
        <v>5579</v>
      </c>
      <c r="K1664" s="22">
        <v>0.0</v>
      </c>
      <c r="L1664" s="22">
        <f>+SUMIF('حركه المخزن الرئيسي اليوميه'!$F:$F,$H:$H,'حركه المخزن الرئيسي اليوميه'!$H:$H)</f>
        <v>0.0</v>
      </c>
      <c r="M1664" s="22">
        <f>+SUMIF('حركه المخزن الرئيسي اليوميه'!$F:$F,$H:$H,'حركه المخزن الرئيسي اليوميه'!$I:$I)</f>
        <v>0.0</v>
      </c>
      <c r="N1664" s="22">
        <f>+K1664+L1664-M1664</f>
        <v>0.0</v>
      </c>
      <c r="O1664" s="22">
        <f>+N1664</f>
        <v>0.0</v>
      </c>
      <c r="P1664" s="22">
        <f>+N1664-O1664</f>
        <v>0.0</v>
      </c>
      <c r="Q1664" s="57"/>
      <c r="R1664" s="58"/>
    </row>
    <row r="1665" spans="8:8" ht="15.0" customHeight="1">
      <c r="B1665" s="54">
        <v>1809.0</v>
      </c>
      <c r="C1665" s="8"/>
      <c r="D1665" s="8"/>
      <c r="E1665" s="8"/>
      <c r="F1665" s="8"/>
      <c r="G1665" s="8"/>
      <c r="H1665" s="8"/>
      <c r="I1665" s="55"/>
      <c r="J1665" s="78" t="s">
        <v>5580</v>
      </c>
      <c r="K1665" s="22">
        <v>0.0</v>
      </c>
      <c r="L1665" s="22">
        <f>+SUMIF('حركه المخزن الرئيسي اليوميه'!$F:$F,$H:$H,'حركه المخزن الرئيسي اليوميه'!$H:$H)</f>
        <v>0.0</v>
      </c>
      <c r="M1665" s="22">
        <f>+SUMIF('حركه المخزن الرئيسي اليوميه'!$F:$F,$H:$H,'حركه المخزن الرئيسي اليوميه'!$I:$I)</f>
        <v>0.0</v>
      </c>
      <c r="N1665" s="22">
        <f>+K1665+L1665-M1665</f>
        <v>0.0</v>
      </c>
      <c r="O1665" s="22">
        <f>+N1665</f>
        <v>0.0</v>
      </c>
      <c r="P1665" s="22">
        <f>+N1665-O1665</f>
        <v>0.0</v>
      </c>
      <c r="Q1665" s="57"/>
      <c r="R1665" s="58"/>
    </row>
    <row r="1666" spans="8:8" ht="15.0" customHeight="1">
      <c r="B1666" s="54">
        <v>1810.0</v>
      </c>
      <c r="C1666" s="8"/>
      <c r="D1666" s="8"/>
      <c r="E1666" s="8"/>
      <c r="F1666" s="8"/>
      <c r="G1666" s="8"/>
      <c r="H1666" s="8"/>
      <c r="I1666" s="55"/>
      <c r="J1666" s="78" t="s">
        <v>5581</v>
      </c>
      <c r="K1666" s="22">
        <v>0.0</v>
      </c>
      <c r="L1666" s="22">
        <f>+SUMIF('حركه المخزن الرئيسي اليوميه'!$F:$F,$H:$H,'حركه المخزن الرئيسي اليوميه'!$H:$H)</f>
        <v>0.0</v>
      </c>
      <c r="M1666" s="22">
        <f>+SUMIF('حركه المخزن الرئيسي اليوميه'!$F:$F,$H:$H,'حركه المخزن الرئيسي اليوميه'!$I:$I)</f>
        <v>0.0</v>
      </c>
      <c r="N1666" s="22">
        <f>+K1666+L1666-M1666</f>
        <v>0.0</v>
      </c>
      <c r="O1666" s="22">
        <f>+N1666</f>
        <v>0.0</v>
      </c>
      <c r="P1666" s="22">
        <f>+N1666-O1666</f>
        <v>0.0</v>
      </c>
      <c r="Q1666" s="57"/>
      <c r="R1666" s="58"/>
    </row>
    <row r="1667" spans="8:8" ht="15.0" customHeight="1">
      <c r="B1667" s="54">
        <v>1811.0</v>
      </c>
      <c r="C1667" s="8"/>
      <c r="D1667" s="8"/>
      <c r="E1667" s="8"/>
      <c r="F1667" s="8"/>
      <c r="G1667" s="8"/>
      <c r="H1667" s="8"/>
      <c r="I1667" s="55"/>
      <c r="J1667" s="78" t="s">
        <v>5582</v>
      </c>
      <c r="K1667" s="22">
        <v>0.0</v>
      </c>
      <c r="L1667" s="22">
        <f>+SUMIF('حركه المخزن الرئيسي اليوميه'!$F:$F,$H:$H,'حركه المخزن الرئيسي اليوميه'!$H:$H)</f>
        <v>0.0</v>
      </c>
      <c r="M1667" s="22">
        <f>+SUMIF('حركه المخزن الرئيسي اليوميه'!$F:$F,$H:$H,'حركه المخزن الرئيسي اليوميه'!$I:$I)</f>
        <v>0.0</v>
      </c>
      <c r="N1667" s="22">
        <f>+K1667+L1667-M1667</f>
        <v>0.0</v>
      </c>
      <c r="O1667" s="22">
        <f>+N1667</f>
        <v>0.0</v>
      </c>
      <c r="P1667" s="22">
        <f>+N1667-O1667</f>
        <v>0.0</v>
      </c>
      <c r="Q1667" s="57"/>
      <c r="R1667" s="58"/>
    </row>
    <row r="1668" spans="8:8" ht="15.0" customHeight="1">
      <c r="B1668" s="54">
        <v>1812.0</v>
      </c>
      <c r="C1668" s="8"/>
      <c r="D1668" s="8"/>
      <c r="E1668" s="8"/>
      <c r="F1668" s="8"/>
      <c r="G1668" s="8"/>
      <c r="H1668" s="8"/>
      <c r="I1668" s="55"/>
      <c r="J1668" s="78" t="s">
        <v>5583</v>
      </c>
      <c r="K1668" s="22">
        <v>0.0</v>
      </c>
      <c r="L1668" s="22">
        <f>+SUMIF('حركه المخزن الرئيسي اليوميه'!$F:$F,$H:$H,'حركه المخزن الرئيسي اليوميه'!$H:$H)</f>
        <v>0.0</v>
      </c>
      <c r="M1668" s="22">
        <f>+SUMIF('حركه المخزن الرئيسي اليوميه'!$F:$F,$H:$H,'حركه المخزن الرئيسي اليوميه'!$I:$I)</f>
        <v>0.0</v>
      </c>
      <c r="N1668" s="22">
        <f>+K1668+L1668-M1668</f>
        <v>0.0</v>
      </c>
      <c r="O1668" s="22">
        <f>+N1668</f>
        <v>0.0</v>
      </c>
      <c r="P1668" s="22">
        <f>+N1668-O1668</f>
        <v>0.0</v>
      </c>
      <c r="Q1668" s="57"/>
      <c r="R1668" s="58"/>
    </row>
    <row r="1669" spans="8:8" ht="15.0" customHeight="1">
      <c r="B1669" s="54">
        <v>1813.0</v>
      </c>
      <c r="C1669" s="8"/>
      <c r="D1669" s="8"/>
      <c r="E1669" s="8"/>
      <c r="F1669" s="8"/>
      <c r="G1669" s="8"/>
      <c r="H1669" s="8"/>
      <c r="I1669" s="55"/>
      <c r="J1669" s="78" t="s">
        <v>5584</v>
      </c>
      <c r="K1669" s="22">
        <v>0.0</v>
      </c>
      <c r="L1669" s="22">
        <f>+SUMIF('حركه المخزن الرئيسي اليوميه'!$F:$F,$H:$H,'حركه المخزن الرئيسي اليوميه'!$H:$H)</f>
        <v>0.0</v>
      </c>
      <c r="M1669" s="22">
        <f>+SUMIF('حركه المخزن الرئيسي اليوميه'!$F:$F,$H:$H,'حركه المخزن الرئيسي اليوميه'!$I:$I)</f>
        <v>0.0</v>
      </c>
      <c r="N1669" s="22">
        <f>+K1669+L1669-M1669</f>
        <v>0.0</v>
      </c>
      <c r="O1669" s="22">
        <f>+N1669</f>
        <v>0.0</v>
      </c>
      <c r="P1669" s="22">
        <f>+N1669-O1669</f>
        <v>0.0</v>
      </c>
      <c r="Q1669" s="57"/>
      <c r="R1669" s="58"/>
    </row>
    <row r="1670" spans="8:8" ht="15.0" customHeight="1">
      <c r="B1670" s="54">
        <v>1814.0</v>
      </c>
      <c r="C1670" s="8"/>
      <c r="D1670" s="8"/>
      <c r="E1670" s="8"/>
      <c r="F1670" s="8"/>
      <c r="G1670" s="8"/>
      <c r="H1670" s="8"/>
      <c r="I1670" s="55"/>
      <c r="J1670" s="78" t="s">
        <v>5585</v>
      </c>
      <c r="K1670" s="22">
        <v>0.0</v>
      </c>
      <c r="L1670" s="22">
        <f>+SUMIF('حركه المخزن الرئيسي اليوميه'!$F:$F,$H:$H,'حركه المخزن الرئيسي اليوميه'!$H:$H)</f>
        <v>0.0</v>
      </c>
      <c r="M1670" s="22">
        <f>+SUMIF('حركه المخزن الرئيسي اليوميه'!$F:$F,$H:$H,'حركه المخزن الرئيسي اليوميه'!$I:$I)</f>
        <v>0.0</v>
      </c>
      <c r="N1670" s="22">
        <f>+K1670+L1670-M1670</f>
        <v>0.0</v>
      </c>
      <c r="O1670" s="22">
        <f>+N1670</f>
        <v>0.0</v>
      </c>
      <c r="P1670" s="22">
        <f>+N1670-O1670</f>
        <v>0.0</v>
      </c>
      <c r="Q1670" s="57"/>
      <c r="R1670" s="58"/>
    </row>
    <row r="1671" spans="8:8" ht="15.0" customHeight="1">
      <c r="B1671" s="54">
        <v>1815.0</v>
      </c>
      <c r="C1671" s="8"/>
      <c r="D1671" s="8"/>
      <c r="E1671" s="8"/>
      <c r="F1671" s="8"/>
      <c r="G1671" s="8"/>
      <c r="H1671" s="8"/>
      <c r="I1671" s="55"/>
      <c r="J1671" s="78" t="s">
        <v>5586</v>
      </c>
      <c r="K1671" s="22">
        <v>0.0</v>
      </c>
      <c r="L1671" s="22">
        <f>+SUMIF('حركه المخزن الرئيسي اليوميه'!$F:$F,$H:$H,'حركه المخزن الرئيسي اليوميه'!$H:$H)</f>
        <v>0.0</v>
      </c>
      <c r="M1671" s="22">
        <f>+SUMIF('حركه المخزن الرئيسي اليوميه'!$F:$F,$H:$H,'حركه المخزن الرئيسي اليوميه'!$I:$I)</f>
        <v>0.0</v>
      </c>
      <c r="N1671" s="22">
        <f>+K1671+L1671-M1671</f>
        <v>0.0</v>
      </c>
      <c r="O1671" s="22">
        <f>+N1671</f>
        <v>0.0</v>
      </c>
      <c r="P1671" s="22">
        <f>+N1671-O1671</f>
        <v>0.0</v>
      </c>
      <c r="Q1671" s="57"/>
      <c r="R1671" s="58"/>
    </row>
    <row r="1672" spans="8:8" ht="15.0" customHeight="1">
      <c r="B1672" s="54">
        <v>1816.0</v>
      </c>
      <c r="C1672" s="8"/>
      <c r="D1672" s="8"/>
      <c r="E1672" s="8"/>
      <c r="F1672" s="8"/>
      <c r="G1672" s="8"/>
      <c r="H1672" s="8"/>
      <c r="I1672" s="55"/>
      <c r="J1672" s="78" t="s">
        <v>5587</v>
      </c>
      <c r="K1672" s="22">
        <v>0.0</v>
      </c>
      <c r="L1672" s="22">
        <f>+SUMIF('حركه المخزن الرئيسي اليوميه'!$F:$F,$H:$H,'حركه المخزن الرئيسي اليوميه'!$H:$H)</f>
        <v>0.0</v>
      </c>
      <c r="M1672" s="22">
        <f>+SUMIF('حركه المخزن الرئيسي اليوميه'!$F:$F,$H:$H,'حركه المخزن الرئيسي اليوميه'!$I:$I)</f>
        <v>0.0</v>
      </c>
      <c r="N1672" s="22">
        <f>+K1672+L1672-M1672</f>
        <v>0.0</v>
      </c>
      <c r="O1672" s="22">
        <f>+N1672</f>
        <v>0.0</v>
      </c>
      <c r="P1672" s="22">
        <f>+N1672-O1672</f>
        <v>0.0</v>
      </c>
      <c r="Q1672" s="57"/>
      <c r="R1672" s="58"/>
    </row>
    <row r="1673" spans="8:8" ht="15.0" customHeight="1">
      <c r="B1673" s="54">
        <v>1817.0</v>
      </c>
      <c r="C1673" s="8"/>
      <c r="D1673" s="8"/>
      <c r="E1673" s="8"/>
      <c r="F1673" s="8"/>
      <c r="G1673" s="8"/>
      <c r="H1673" s="8"/>
      <c r="I1673" s="55"/>
      <c r="J1673" s="78" t="s">
        <v>5588</v>
      </c>
      <c r="K1673" s="22">
        <v>0.0</v>
      </c>
      <c r="L1673" s="22">
        <f>+SUMIF('حركه المخزن الرئيسي اليوميه'!$F:$F,$H:$H,'حركه المخزن الرئيسي اليوميه'!$H:$H)</f>
        <v>0.0</v>
      </c>
      <c r="M1673" s="22">
        <f>+SUMIF('حركه المخزن الرئيسي اليوميه'!$F:$F,$H:$H,'حركه المخزن الرئيسي اليوميه'!$I:$I)</f>
        <v>0.0</v>
      </c>
      <c r="N1673" s="22">
        <f>+K1673+L1673-M1673</f>
        <v>0.0</v>
      </c>
      <c r="O1673" s="22">
        <f>+N1673</f>
        <v>0.0</v>
      </c>
      <c r="P1673" s="22">
        <f>+N1673-O1673</f>
        <v>0.0</v>
      </c>
      <c r="Q1673" s="57"/>
      <c r="R1673" s="58"/>
    </row>
    <row r="1674" spans="8:8" ht="15.0" customHeight="1">
      <c r="B1674" s="54">
        <v>1818.0</v>
      </c>
      <c r="C1674" s="8"/>
      <c r="D1674" s="8"/>
      <c r="E1674" s="8"/>
      <c r="F1674" s="8"/>
      <c r="G1674" s="8"/>
      <c r="H1674" s="8"/>
      <c r="I1674" s="55"/>
      <c r="J1674" s="78" t="s">
        <v>5589</v>
      </c>
      <c r="K1674" s="22">
        <v>0.0</v>
      </c>
      <c r="L1674" s="22">
        <f>+SUMIF('حركه المخزن الرئيسي اليوميه'!$F:$F,$H:$H,'حركه المخزن الرئيسي اليوميه'!$H:$H)</f>
        <v>0.0</v>
      </c>
      <c r="M1674" s="22">
        <f>+SUMIF('حركه المخزن الرئيسي اليوميه'!$F:$F,$H:$H,'حركه المخزن الرئيسي اليوميه'!$I:$I)</f>
        <v>0.0</v>
      </c>
      <c r="N1674" s="22">
        <f>+K1674+L1674-M1674</f>
        <v>0.0</v>
      </c>
      <c r="O1674" s="22">
        <f>+N1674</f>
        <v>0.0</v>
      </c>
      <c r="P1674" s="22">
        <f>+N1674-O1674</f>
        <v>0.0</v>
      </c>
      <c r="Q1674" s="57"/>
      <c r="R1674" s="58"/>
    </row>
    <row r="1675" spans="8:8" ht="15.0" customHeight="1">
      <c r="B1675" s="54">
        <v>1819.0</v>
      </c>
      <c r="C1675" s="8"/>
      <c r="D1675" s="8"/>
      <c r="E1675" s="8"/>
      <c r="F1675" s="8"/>
      <c r="G1675" s="8"/>
      <c r="H1675" s="8"/>
      <c r="I1675" s="55"/>
      <c r="J1675" s="78" t="s">
        <v>5590</v>
      </c>
      <c r="K1675" s="22">
        <v>0.0</v>
      </c>
      <c r="L1675" s="22">
        <f>+SUMIF('حركه المخزن الرئيسي اليوميه'!$F:$F,$H:$H,'حركه المخزن الرئيسي اليوميه'!$H:$H)</f>
        <v>0.0</v>
      </c>
      <c r="M1675" s="22">
        <f>+SUMIF('حركه المخزن الرئيسي اليوميه'!$F:$F,$H:$H,'حركه المخزن الرئيسي اليوميه'!$I:$I)</f>
        <v>0.0</v>
      </c>
      <c r="N1675" s="22">
        <f>+K1675+L1675-M1675</f>
        <v>0.0</v>
      </c>
      <c r="O1675" s="22">
        <f>+N1675</f>
        <v>0.0</v>
      </c>
      <c r="P1675" s="22">
        <f>+N1675-O1675</f>
        <v>0.0</v>
      </c>
      <c r="Q1675" s="57"/>
      <c r="R1675" s="58"/>
    </row>
    <row r="1676" spans="8:8" ht="15.0" customHeight="1">
      <c r="B1676" s="54">
        <v>1820.0</v>
      </c>
      <c r="C1676" s="8"/>
      <c r="D1676" s="8"/>
      <c r="E1676" s="8"/>
      <c r="F1676" s="8"/>
      <c r="G1676" s="8"/>
      <c r="H1676" s="8"/>
      <c r="I1676" s="55"/>
      <c r="J1676" s="78" t="s">
        <v>5591</v>
      </c>
      <c r="K1676" s="22">
        <v>0.0</v>
      </c>
      <c r="L1676" s="22">
        <f>+SUMIF('حركه المخزن الرئيسي اليوميه'!$F:$F,$H:$H,'حركه المخزن الرئيسي اليوميه'!$H:$H)</f>
        <v>0.0</v>
      </c>
      <c r="M1676" s="22">
        <f>+SUMIF('حركه المخزن الرئيسي اليوميه'!$F:$F,$H:$H,'حركه المخزن الرئيسي اليوميه'!$I:$I)</f>
        <v>0.0</v>
      </c>
      <c r="N1676" s="22">
        <f>+K1676+L1676-M1676</f>
        <v>0.0</v>
      </c>
      <c r="O1676" s="22">
        <f>+N1676</f>
        <v>0.0</v>
      </c>
      <c r="P1676" s="22">
        <f>+N1676-O1676</f>
        <v>0.0</v>
      </c>
      <c r="Q1676" s="57"/>
      <c r="R1676" s="58"/>
    </row>
    <row r="1677" spans="8:8" ht="15.0" customHeight="1">
      <c r="B1677" s="54">
        <v>1821.0</v>
      </c>
      <c r="C1677" s="8"/>
      <c r="D1677" s="8"/>
      <c r="E1677" s="8"/>
      <c r="F1677" s="8"/>
      <c r="G1677" s="8"/>
      <c r="H1677" s="8"/>
      <c r="I1677" s="55"/>
      <c r="J1677" s="78" t="s">
        <v>5592</v>
      </c>
      <c r="K1677" s="22">
        <v>0.0</v>
      </c>
      <c r="L1677" s="22">
        <f>+SUMIF('حركه المخزن الرئيسي اليوميه'!$F:$F,$H:$H,'حركه المخزن الرئيسي اليوميه'!$H:$H)</f>
        <v>0.0</v>
      </c>
      <c r="M1677" s="22">
        <f>+SUMIF('حركه المخزن الرئيسي اليوميه'!$F:$F,$H:$H,'حركه المخزن الرئيسي اليوميه'!$I:$I)</f>
        <v>0.0</v>
      </c>
      <c r="N1677" s="22">
        <f>+K1677+L1677-M1677</f>
        <v>0.0</v>
      </c>
      <c r="O1677" s="22">
        <f>+N1677</f>
        <v>0.0</v>
      </c>
      <c r="P1677" s="22">
        <f>+N1677-O1677</f>
        <v>0.0</v>
      </c>
      <c r="Q1677" s="57"/>
      <c r="R1677" s="58"/>
    </row>
    <row r="1678" spans="8:8" ht="15.0" customHeight="1">
      <c r="B1678" s="54">
        <v>1822.0</v>
      </c>
      <c r="C1678" s="8"/>
      <c r="D1678" s="8"/>
      <c r="E1678" s="8"/>
      <c r="F1678" s="8"/>
      <c r="G1678" s="8"/>
      <c r="H1678" s="8"/>
      <c r="I1678" s="55"/>
      <c r="J1678" s="78" t="s">
        <v>5593</v>
      </c>
      <c r="K1678" s="22">
        <v>0.0</v>
      </c>
      <c r="L1678" s="22">
        <f>+SUMIF('حركه المخزن الرئيسي اليوميه'!$F:$F,$H:$H,'حركه المخزن الرئيسي اليوميه'!$H:$H)</f>
        <v>0.0</v>
      </c>
      <c r="M1678" s="22">
        <f>+SUMIF('حركه المخزن الرئيسي اليوميه'!$F:$F,$H:$H,'حركه المخزن الرئيسي اليوميه'!$I:$I)</f>
        <v>0.0</v>
      </c>
      <c r="N1678" s="22">
        <f>+K1678+L1678-M1678</f>
        <v>0.0</v>
      </c>
      <c r="O1678" s="22">
        <f>+N1678</f>
        <v>0.0</v>
      </c>
      <c r="P1678" s="22">
        <f>+N1678-O1678</f>
        <v>0.0</v>
      </c>
      <c r="Q1678" s="57"/>
      <c r="R1678" s="58"/>
    </row>
    <row r="1679" spans="8:8" ht="15.0" customHeight="1">
      <c r="B1679" s="54">
        <v>1823.0</v>
      </c>
      <c r="C1679" s="8"/>
      <c r="D1679" s="8"/>
      <c r="E1679" s="8"/>
      <c r="F1679" s="8"/>
      <c r="G1679" s="8"/>
      <c r="H1679" s="8"/>
      <c r="I1679" s="55"/>
      <c r="J1679" s="78" t="s">
        <v>5594</v>
      </c>
      <c r="K1679" s="22">
        <v>0.0</v>
      </c>
      <c r="L1679" s="22">
        <f>+SUMIF('حركه المخزن الرئيسي اليوميه'!$F:$F,$H:$H,'حركه المخزن الرئيسي اليوميه'!$H:$H)</f>
        <v>0.0</v>
      </c>
      <c r="M1679" s="22">
        <f>+SUMIF('حركه المخزن الرئيسي اليوميه'!$F:$F,$H:$H,'حركه المخزن الرئيسي اليوميه'!$I:$I)</f>
        <v>0.0</v>
      </c>
      <c r="N1679" s="22">
        <f>+K1679+L1679-M1679</f>
        <v>0.0</v>
      </c>
      <c r="O1679" s="22">
        <f>+N1679</f>
        <v>0.0</v>
      </c>
      <c r="P1679" s="22">
        <f>+N1679-O1679</f>
        <v>0.0</v>
      </c>
      <c r="Q1679" s="57"/>
      <c r="R1679" s="58"/>
    </row>
    <row r="1680" spans="8:8" ht="15.0" customHeight="1">
      <c r="B1680" s="54">
        <v>1824.0</v>
      </c>
      <c r="C1680" s="8"/>
      <c r="D1680" s="8"/>
      <c r="E1680" s="8"/>
      <c r="F1680" s="8"/>
      <c r="G1680" s="8"/>
      <c r="H1680" s="8"/>
      <c r="I1680" s="55"/>
      <c r="J1680" s="78" t="s">
        <v>5595</v>
      </c>
      <c r="K1680" s="22">
        <v>0.0</v>
      </c>
      <c r="L1680" s="22">
        <f>+SUMIF('حركه المخزن الرئيسي اليوميه'!$F:$F,$H:$H,'حركه المخزن الرئيسي اليوميه'!$H:$H)</f>
        <v>0.0</v>
      </c>
      <c r="M1680" s="22">
        <f>+SUMIF('حركه المخزن الرئيسي اليوميه'!$F:$F,$H:$H,'حركه المخزن الرئيسي اليوميه'!$I:$I)</f>
        <v>0.0</v>
      </c>
      <c r="N1680" s="22">
        <f>+K1680+L1680-M1680</f>
        <v>0.0</v>
      </c>
      <c r="O1680" s="22">
        <f>+N1680</f>
        <v>0.0</v>
      </c>
      <c r="P1680" s="22">
        <f>+N1680-O1680</f>
        <v>0.0</v>
      </c>
      <c r="Q1680" s="57"/>
      <c r="R1680" s="58"/>
    </row>
    <row r="1681" spans="8:8" ht="15.0" customHeight="1">
      <c r="B1681" s="54">
        <v>1825.0</v>
      </c>
      <c r="C1681" s="8"/>
      <c r="D1681" s="8"/>
      <c r="E1681" s="8"/>
      <c r="F1681" s="8"/>
      <c r="G1681" s="8"/>
      <c r="H1681" s="8"/>
      <c r="I1681" s="55"/>
      <c r="J1681" s="78" t="s">
        <v>5596</v>
      </c>
      <c r="K1681" s="22">
        <v>0.0</v>
      </c>
      <c r="L1681" s="22">
        <f>+SUMIF('حركه المخزن الرئيسي اليوميه'!$F:$F,$H:$H,'حركه المخزن الرئيسي اليوميه'!$H:$H)</f>
        <v>0.0</v>
      </c>
      <c r="M1681" s="22">
        <f>+SUMIF('حركه المخزن الرئيسي اليوميه'!$F:$F,$H:$H,'حركه المخزن الرئيسي اليوميه'!$I:$I)</f>
        <v>0.0</v>
      </c>
      <c r="N1681" s="22">
        <f>+K1681+L1681-M1681</f>
        <v>0.0</v>
      </c>
      <c r="O1681" s="22">
        <f>+N1681</f>
        <v>0.0</v>
      </c>
      <c r="P1681" s="22">
        <f>+N1681-O1681</f>
        <v>0.0</v>
      </c>
      <c r="Q1681" s="57"/>
      <c r="R1681" s="58"/>
    </row>
    <row r="1682" spans="8:8" ht="15.0" customHeight="1">
      <c r="B1682" s="54">
        <v>1826.0</v>
      </c>
      <c r="C1682" s="8"/>
      <c r="D1682" s="8"/>
      <c r="E1682" s="8"/>
      <c r="F1682" s="8"/>
      <c r="G1682" s="8"/>
      <c r="H1682" s="8"/>
      <c r="I1682" s="55"/>
      <c r="J1682" s="78" t="s">
        <v>5597</v>
      </c>
      <c r="K1682" s="22">
        <v>0.0</v>
      </c>
      <c r="L1682" s="22">
        <f>+SUMIF('حركه المخزن الرئيسي اليوميه'!$F:$F,$H:$H,'حركه المخزن الرئيسي اليوميه'!$H:$H)</f>
        <v>0.0</v>
      </c>
      <c r="M1682" s="22">
        <f>+SUMIF('حركه المخزن الرئيسي اليوميه'!$F:$F,$H:$H,'حركه المخزن الرئيسي اليوميه'!$I:$I)</f>
        <v>0.0</v>
      </c>
      <c r="N1682" s="22">
        <f>+K1682+L1682-M1682</f>
        <v>0.0</v>
      </c>
      <c r="O1682" s="22">
        <f>+N1682</f>
        <v>0.0</v>
      </c>
      <c r="P1682" s="22">
        <f>+N1682-O1682</f>
        <v>0.0</v>
      </c>
      <c r="Q1682" s="57"/>
      <c r="R1682" s="58"/>
    </row>
    <row r="1683" spans="8:8" ht="15.0" customHeight="1">
      <c r="B1683" s="54">
        <v>1827.0</v>
      </c>
      <c r="C1683" s="8"/>
      <c r="D1683" s="8"/>
      <c r="E1683" s="8"/>
      <c r="F1683" s="8"/>
      <c r="G1683" s="8"/>
      <c r="H1683" s="8"/>
      <c r="I1683" s="55"/>
      <c r="J1683" s="78" t="s">
        <v>5598</v>
      </c>
      <c r="K1683" s="22">
        <v>0.0</v>
      </c>
      <c r="L1683" s="22">
        <f>+SUMIF('حركه المخزن الرئيسي اليوميه'!$F:$F,$H:$H,'حركه المخزن الرئيسي اليوميه'!$H:$H)</f>
        <v>0.0</v>
      </c>
      <c r="M1683" s="22">
        <f>+SUMIF('حركه المخزن الرئيسي اليوميه'!$F:$F,$H:$H,'حركه المخزن الرئيسي اليوميه'!$I:$I)</f>
        <v>0.0</v>
      </c>
      <c r="N1683" s="22">
        <f>+K1683+L1683-M1683</f>
        <v>0.0</v>
      </c>
      <c r="O1683" s="22">
        <f>+N1683</f>
        <v>0.0</v>
      </c>
      <c r="P1683" s="22">
        <f>+N1683-O1683</f>
        <v>0.0</v>
      </c>
      <c r="Q1683" s="57"/>
      <c r="R1683" s="58"/>
    </row>
    <row r="1684" spans="8:8" ht="15.0" customHeight="1">
      <c r="B1684" s="54">
        <v>1828.0</v>
      </c>
      <c r="C1684" s="8"/>
      <c r="D1684" s="8"/>
      <c r="E1684" s="8"/>
      <c r="F1684" s="8"/>
      <c r="G1684" s="8"/>
      <c r="H1684" s="8"/>
      <c r="I1684" s="55"/>
      <c r="J1684" s="78" t="s">
        <v>5599</v>
      </c>
      <c r="K1684" s="22">
        <v>0.0</v>
      </c>
      <c r="L1684" s="22">
        <f>+SUMIF('حركه المخزن الرئيسي اليوميه'!$F:$F,$H:$H,'حركه المخزن الرئيسي اليوميه'!$H:$H)</f>
        <v>0.0</v>
      </c>
      <c r="M1684" s="22">
        <f>+SUMIF('حركه المخزن الرئيسي اليوميه'!$F:$F,$H:$H,'حركه المخزن الرئيسي اليوميه'!$I:$I)</f>
        <v>0.0</v>
      </c>
      <c r="N1684" s="22">
        <f>+K1684+L1684-M1684</f>
        <v>0.0</v>
      </c>
      <c r="O1684" s="22">
        <f>+N1684</f>
        <v>0.0</v>
      </c>
      <c r="P1684" s="22">
        <f>+N1684-O1684</f>
        <v>0.0</v>
      </c>
      <c r="Q1684" s="57"/>
      <c r="R1684" s="58"/>
    </row>
    <row r="1685" spans="8:8" ht="15.0" customHeight="1">
      <c r="B1685" s="54">
        <v>1829.0</v>
      </c>
      <c r="C1685" s="8"/>
      <c r="D1685" s="8"/>
      <c r="E1685" s="8"/>
      <c r="F1685" s="8"/>
      <c r="G1685" s="8"/>
      <c r="H1685" s="8"/>
      <c r="I1685" s="55"/>
      <c r="J1685" s="78" t="s">
        <v>5600</v>
      </c>
      <c r="K1685" s="22">
        <v>0.0</v>
      </c>
      <c r="L1685" s="22">
        <f>+SUMIF('حركه المخزن الرئيسي اليوميه'!$F:$F,$H:$H,'حركه المخزن الرئيسي اليوميه'!$H:$H)</f>
        <v>0.0</v>
      </c>
      <c r="M1685" s="22">
        <f>+SUMIF('حركه المخزن الرئيسي اليوميه'!$F:$F,$H:$H,'حركه المخزن الرئيسي اليوميه'!$I:$I)</f>
        <v>0.0</v>
      </c>
      <c r="N1685" s="22">
        <f>+K1685+L1685-M1685</f>
        <v>0.0</v>
      </c>
      <c r="O1685" s="22">
        <f>+N1685</f>
        <v>0.0</v>
      </c>
      <c r="P1685" s="22">
        <f>+N1685-O1685</f>
        <v>0.0</v>
      </c>
      <c r="Q1685" s="57"/>
      <c r="R1685" s="58"/>
    </row>
    <row r="1686" spans="8:8" ht="15.0" customHeight="1">
      <c r="B1686" s="54">
        <v>1830.0</v>
      </c>
      <c r="C1686" s="8"/>
      <c r="D1686" s="8"/>
      <c r="E1686" s="8"/>
      <c r="F1686" s="8"/>
      <c r="G1686" s="8"/>
      <c r="H1686" s="8"/>
      <c r="I1686" s="55"/>
      <c r="J1686" s="78" t="s">
        <v>5601</v>
      </c>
      <c r="K1686" s="22">
        <v>0.0</v>
      </c>
      <c r="L1686" s="22">
        <f>+SUMIF('حركه المخزن الرئيسي اليوميه'!$F:$F,$H:$H,'حركه المخزن الرئيسي اليوميه'!$H:$H)</f>
        <v>0.0</v>
      </c>
      <c r="M1686" s="22">
        <f>+SUMIF('حركه المخزن الرئيسي اليوميه'!$F:$F,$H:$H,'حركه المخزن الرئيسي اليوميه'!$I:$I)</f>
        <v>0.0</v>
      </c>
      <c r="N1686" s="22">
        <f>+K1686+L1686-M1686</f>
        <v>0.0</v>
      </c>
      <c r="O1686" s="22">
        <f>+N1686</f>
        <v>0.0</v>
      </c>
      <c r="P1686" s="22">
        <f>+N1686-O1686</f>
        <v>0.0</v>
      </c>
      <c r="Q1686" s="57"/>
      <c r="R1686" s="58"/>
    </row>
    <row r="1687" spans="8:8" ht="15.0" customHeight="1">
      <c r="B1687" s="54">
        <v>1831.0</v>
      </c>
      <c r="C1687" s="8"/>
      <c r="D1687" s="8"/>
      <c r="E1687" s="8"/>
      <c r="F1687" s="8"/>
      <c r="G1687" s="8"/>
      <c r="H1687" s="8"/>
      <c r="I1687" s="55"/>
      <c r="J1687" s="78" t="s">
        <v>5602</v>
      </c>
      <c r="K1687" s="22">
        <v>0.0</v>
      </c>
      <c r="L1687" s="22">
        <f>+SUMIF('حركه المخزن الرئيسي اليوميه'!$F:$F,$H:$H,'حركه المخزن الرئيسي اليوميه'!$H:$H)</f>
        <v>0.0</v>
      </c>
      <c r="M1687" s="22">
        <f>+SUMIF('حركه المخزن الرئيسي اليوميه'!$F:$F,$H:$H,'حركه المخزن الرئيسي اليوميه'!$I:$I)</f>
        <v>0.0</v>
      </c>
      <c r="N1687" s="22">
        <f>+K1687+L1687-M1687</f>
        <v>0.0</v>
      </c>
      <c r="O1687" s="22">
        <f>+N1687</f>
        <v>0.0</v>
      </c>
      <c r="P1687" s="22">
        <f>+N1687-O1687</f>
        <v>0.0</v>
      </c>
      <c r="Q1687" s="57"/>
      <c r="R1687" s="58"/>
    </row>
    <row r="1688" spans="8:8" ht="15.0" customHeight="1">
      <c r="B1688" s="54">
        <v>1832.0</v>
      </c>
      <c r="C1688" s="8"/>
      <c r="D1688" s="8"/>
      <c r="E1688" s="8"/>
      <c r="F1688" s="8"/>
      <c r="G1688" s="8"/>
      <c r="H1688" s="8"/>
      <c r="I1688" s="55"/>
      <c r="J1688" s="78" t="s">
        <v>5603</v>
      </c>
      <c r="K1688" s="22">
        <v>0.0</v>
      </c>
      <c r="L1688" s="22">
        <f>+SUMIF('حركه المخزن الرئيسي اليوميه'!$F:$F,$H:$H,'حركه المخزن الرئيسي اليوميه'!$H:$H)</f>
        <v>0.0</v>
      </c>
      <c r="M1688" s="22">
        <f>+SUMIF('حركه المخزن الرئيسي اليوميه'!$F:$F,$H:$H,'حركه المخزن الرئيسي اليوميه'!$I:$I)</f>
        <v>0.0</v>
      </c>
      <c r="N1688" s="22">
        <f>+K1688+L1688-M1688</f>
        <v>0.0</v>
      </c>
      <c r="O1688" s="22">
        <f>+N1688</f>
        <v>0.0</v>
      </c>
      <c r="P1688" s="22">
        <f>+N1688-O1688</f>
        <v>0.0</v>
      </c>
      <c r="Q1688" s="57"/>
      <c r="R1688" s="58"/>
    </row>
    <row r="1689" spans="8:8" ht="15.0" customHeight="1">
      <c r="B1689" s="54">
        <v>1833.0</v>
      </c>
      <c r="C1689" s="8"/>
      <c r="D1689" s="8"/>
      <c r="E1689" s="8"/>
      <c r="F1689" s="8"/>
      <c r="G1689" s="8"/>
      <c r="H1689" s="8"/>
      <c r="I1689" s="55"/>
      <c r="J1689" s="78" t="s">
        <v>5604</v>
      </c>
      <c r="K1689" s="22">
        <v>0.0</v>
      </c>
      <c r="L1689" s="22">
        <f>+SUMIF('حركه المخزن الرئيسي اليوميه'!$F:$F,$H:$H,'حركه المخزن الرئيسي اليوميه'!$H:$H)</f>
        <v>0.0</v>
      </c>
      <c r="M1689" s="22">
        <f>+SUMIF('حركه المخزن الرئيسي اليوميه'!$F:$F,$H:$H,'حركه المخزن الرئيسي اليوميه'!$I:$I)</f>
        <v>0.0</v>
      </c>
      <c r="N1689" s="22">
        <f>+K1689+L1689-M1689</f>
        <v>0.0</v>
      </c>
      <c r="O1689" s="22">
        <f>+N1689</f>
        <v>0.0</v>
      </c>
      <c r="P1689" s="22">
        <f>+N1689-O1689</f>
        <v>0.0</v>
      </c>
      <c r="Q1689" s="57"/>
      <c r="R1689" s="58"/>
    </row>
    <row r="1690" spans="8:8" ht="15.0" customHeight="1">
      <c r="B1690" s="54">
        <v>1834.0</v>
      </c>
      <c r="C1690" s="8"/>
      <c r="D1690" s="8"/>
      <c r="E1690" s="8"/>
      <c r="F1690" s="8"/>
      <c r="G1690" s="8"/>
      <c r="H1690" s="8"/>
      <c r="I1690" s="55"/>
      <c r="J1690" s="78" t="s">
        <v>5605</v>
      </c>
      <c r="K1690" s="22">
        <v>0.0</v>
      </c>
      <c r="L1690" s="22">
        <f>+SUMIF('حركه المخزن الرئيسي اليوميه'!$F:$F,$H:$H,'حركه المخزن الرئيسي اليوميه'!$H:$H)</f>
        <v>0.0</v>
      </c>
      <c r="M1690" s="22">
        <f>+SUMIF('حركه المخزن الرئيسي اليوميه'!$F:$F,$H:$H,'حركه المخزن الرئيسي اليوميه'!$I:$I)</f>
        <v>0.0</v>
      </c>
      <c r="N1690" s="22">
        <f>+K1690+L1690-M1690</f>
        <v>0.0</v>
      </c>
      <c r="O1690" s="22">
        <f>+N1690</f>
        <v>0.0</v>
      </c>
      <c r="P1690" s="22">
        <f>+N1690-O1690</f>
        <v>0.0</v>
      </c>
      <c r="Q1690" s="57"/>
      <c r="R1690" s="58"/>
    </row>
    <row r="1691" spans="8:8" ht="15.0" customHeight="1">
      <c r="B1691" s="54">
        <v>1835.0</v>
      </c>
      <c r="C1691" s="8"/>
      <c r="D1691" s="8"/>
      <c r="E1691" s="8"/>
      <c r="F1691" s="8"/>
      <c r="G1691" s="8"/>
      <c r="H1691" s="8"/>
      <c r="I1691" s="55"/>
      <c r="J1691" s="78" t="s">
        <v>5606</v>
      </c>
      <c r="K1691" s="22">
        <v>0.0</v>
      </c>
      <c r="L1691" s="22">
        <f>+SUMIF('حركه المخزن الرئيسي اليوميه'!$F:$F,$H:$H,'حركه المخزن الرئيسي اليوميه'!$H:$H)</f>
        <v>0.0</v>
      </c>
      <c r="M1691" s="22">
        <f>+SUMIF('حركه المخزن الرئيسي اليوميه'!$F:$F,$H:$H,'حركه المخزن الرئيسي اليوميه'!$I:$I)</f>
        <v>0.0</v>
      </c>
      <c r="N1691" s="22">
        <f>+K1691+L1691-M1691</f>
        <v>0.0</v>
      </c>
      <c r="O1691" s="22">
        <f>+N1691</f>
        <v>0.0</v>
      </c>
      <c r="P1691" s="22">
        <f>+N1691-O1691</f>
        <v>0.0</v>
      </c>
      <c r="Q1691" s="57"/>
      <c r="R1691" s="58"/>
    </row>
    <row r="1692" spans="8:8" ht="15.0" customHeight="1">
      <c r="B1692" s="54">
        <v>1836.0</v>
      </c>
      <c r="C1692" s="8"/>
      <c r="D1692" s="8"/>
      <c r="E1692" s="8"/>
      <c r="F1692" s="8"/>
      <c r="G1692" s="8"/>
      <c r="H1692" s="8"/>
      <c r="I1692" s="55"/>
      <c r="J1692" s="78" t="s">
        <v>5607</v>
      </c>
      <c r="K1692" s="22">
        <v>0.0</v>
      </c>
      <c r="L1692" s="22">
        <f>+SUMIF('حركه المخزن الرئيسي اليوميه'!$F:$F,$H:$H,'حركه المخزن الرئيسي اليوميه'!$H:$H)</f>
        <v>0.0</v>
      </c>
      <c r="M1692" s="22">
        <f>+SUMIF('حركه المخزن الرئيسي اليوميه'!$F:$F,$H:$H,'حركه المخزن الرئيسي اليوميه'!$I:$I)</f>
        <v>0.0</v>
      </c>
      <c r="N1692" s="22">
        <f>+K1692+L1692-M1692</f>
        <v>0.0</v>
      </c>
      <c r="O1692" s="22">
        <f>+N1692</f>
        <v>0.0</v>
      </c>
      <c r="P1692" s="22">
        <f>+N1692-O1692</f>
        <v>0.0</v>
      </c>
      <c r="Q1692" s="57"/>
      <c r="R1692" s="58"/>
    </row>
    <row r="1693" spans="8:8" ht="15.0" customHeight="1">
      <c r="B1693" s="54">
        <v>1837.0</v>
      </c>
      <c r="C1693" s="8"/>
      <c r="D1693" s="8"/>
      <c r="E1693" s="8"/>
      <c r="F1693" s="8"/>
      <c r="G1693" s="8"/>
      <c r="H1693" s="8"/>
      <c r="I1693" s="55"/>
      <c r="J1693" s="78" t="s">
        <v>5608</v>
      </c>
      <c r="K1693" s="22">
        <v>0.0</v>
      </c>
      <c r="L1693" s="22">
        <f>+SUMIF('حركه المخزن الرئيسي اليوميه'!$F:$F,$H:$H,'حركه المخزن الرئيسي اليوميه'!$H:$H)</f>
        <v>0.0</v>
      </c>
      <c r="M1693" s="22">
        <f>+SUMIF('حركه المخزن الرئيسي اليوميه'!$F:$F,$H:$H,'حركه المخزن الرئيسي اليوميه'!$I:$I)</f>
        <v>0.0</v>
      </c>
      <c r="N1693" s="22">
        <f>+K1693+L1693-M1693</f>
        <v>0.0</v>
      </c>
      <c r="O1693" s="22">
        <f>+N1693</f>
        <v>0.0</v>
      </c>
      <c r="P1693" s="22">
        <f>+N1693-O1693</f>
        <v>0.0</v>
      </c>
      <c r="Q1693" s="57"/>
      <c r="R1693" s="58"/>
    </row>
    <row r="1694" spans="8:8" ht="15.0" customHeight="1">
      <c r="B1694" s="54">
        <v>1838.0</v>
      </c>
      <c r="C1694" s="8"/>
      <c r="D1694" s="8"/>
      <c r="E1694" s="8"/>
      <c r="F1694" s="8"/>
      <c r="G1694" s="8"/>
      <c r="H1694" s="8"/>
      <c r="I1694" s="55"/>
      <c r="J1694" s="78" t="s">
        <v>5609</v>
      </c>
      <c r="K1694" s="22">
        <v>0.0</v>
      </c>
      <c r="L1694" s="22">
        <f>+SUMIF('حركه المخزن الرئيسي اليوميه'!$F:$F,$H:$H,'حركه المخزن الرئيسي اليوميه'!$H:$H)</f>
        <v>0.0</v>
      </c>
      <c r="M1694" s="22">
        <f>+SUMIF('حركه المخزن الرئيسي اليوميه'!$F:$F,$H:$H,'حركه المخزن الرئيسي اليوميه'!$I:$I)</f>
        <v>0.0</v>
      </c>
      <c r="N1694" s="22">
        <f>+K1694+L1694-M1694</f>
        <v>0.0</v>
      </c>
      <c r="O1694" s="22">
        <f>+N1694</f>
        <v>0.0</v>
      </c>
      <c r="P1694" s="22">
        <f>+N1694-O1694</f>
        <v>0.0</v>
      </c>
      <c r="Q1694" s="57"/>
      <c r="R1694" s="58"/>
    </row>
    <row r="1695" spans="8:8" ht="15.0" customHeight="1">
      <c r="B1695" s="54">
        <v>1839.0</v>
      </c>
      <c r="C1695" s="8"/>
      <c r="D1695" s="8"/>
      <c r="E1695" s="8"/>
      <c r="F1695" s="8"/>
      <c r="G1695" s="8"/>
      <c r="H1695" s="8"/>
      <c r="I1695" s="55"/>
      <c r="J1695" s="78" t="s">
        <v>5610</v>
      </c>
      <c r="K1695" s="22">
        <v>0.0</v>
      </c>
      <c r="L1695" s="22">
        <f>+SUMIF('حركه المخزن الرئيسي اليوميه'!$F:$F,$H:$H,'حركه المخزن الرئيسي اليوميه'!$H:$H)</f>
        <v>0.0</v>
      </c>
      <c r="M1695" s="22">
        <f>+SUMIF('حركه المخزن الرئيسي اليوميه'!$F:$F,$H:$H,'حركه المخزن الرئيسي اليوميه'!$I:$I)</f>
        <v>0.0</v>
      </c>
      <c r="N1695" s="22">
        <f>+K1695+L1695-M1695</f>
        <v>0.0</v>
      </c>
      <c r="O1695" s="22">
        <f>+N1695</f>
        <v>0.0</v>
      </c>
      <c r="P1695" s="22">
        <f>+N1695-O1695</f>
        <v>0.0</v>
      </c>
      <c r="Q1695" s="57"/>
      <c r="R1695" s="58"/>
    </row>
    <row r="1696" spans="8:8" ht="15.0" customHeight="1">
      <c r="B1696" s="54">
        <v>1840.0</v>
      </c>
      <c r="C1696" s="8"/>
      <c r="D1696" s="8"/>
      <c r="E1696" s="8"/>
      <c r="F1696" s="8"/>
      <c r="G1696" s="8"/>
      <c r="H1696" s="8"/>
      <c r="I1696" s="55"/>
      <c r="J1696" s="78" t="s">
        <v>5611</v>
      </c>
      <c r="K1696" s="22">
        <v>0.0</v>
      </c>
      <c r="L1696" s="22">
        <f>+SUMIF('حركه المخزن الرئيسي اليوميه'!$F:$F,$H:$H,'حركه المخزن الرئيسي اليوميه'!$H:$H)</f>
        <v>0.0</v>
      </c>
      <c r="M1696" s="22">
        <f>+SUMIF('حركه المخزن الرئيسي اليوميه'!$F:$F,$H:$H,'حركه المخزن الرئيسي اليوميه'!$I:$I)</f>
        <v>0.0</v>
      </c>
      <c r="N1696" s="22">
        <f>+K1696+L1696-M1696</f>
        <v>0.0</v>
      </c>
      <c r="O1696" s="22">
        <f>+N1696</f>
        <v>0.0</v>
      </c>
      <c r="P1696" s="22">
        <f>+N1696-O1696</f>
        <v>0.0</v>
      </c>
      <c r="Q1696" s="57"/>
      <c r="R1696" s="58"/>
    </row>
    <row r="1697" spans="8:8" ht="15.0" customHeight="1">
      <c r="B1697" s="54">
        <v>1841.0</v>
      </c>
      <c r="C1697" s="8"/>
      <c r="D1697" s="8"/>
      <c r="E1697" s="8"/>
      <c r="F1697" s="8"/>
      <c r="G1697" s="8"/>
      <c r="H1697" s="8"/>
      <c r="I1697" s="55"/>
      <c r="J1697" s="78" t="s">
        <v>5612</v>
      </c>
      <c r="K1697" s="22">
        <v>0.0</v>
      </c>
      <c r="L1697" s="22">
        <f>+SUMIF('حركه المخزن الرئيسي اليوميه'!$F:$F,$H:$H,'حركه المخزن الرئيسي اليوميه'!$H:$H)</f>
        <v>0.0</v>
      </c>
      <c r="M1697" s="22">
        <f>+SUMIF('حركه المخزن الرئيسي اليوميه'!$F:$F,$H:$H,'حركه المخزن الرئيسي اليوميه'!$I:$I)</f>
        <v>0.0</v>
      </c>
      <c r="N1697" s="22">
        <f>+K1697+L1697-M1697</f>
        <v>0.0</v>
      </c>
      <c r="O1697" s="22">
        <f>+N1697</f>
        <v>0.0</v>
      </c>
      <c r="P1697" s="22">
        <f>+N1697-O1697</f>
        <v>0.0</v>
      </c>
      <c r="Q1697" s="57"/>
      <c r="R1697" s="58"/>
    </row>
    <row r="1698" spans="8:8" ht="15.0" customHeight="1">
      <c r="B1698" s="54">
        <v>1842.0</v>
      </c>
      <c r="C1698" s="8"/>
      <c r="D1698" s="8"/>
      <c r="E1698" s="8"/>
      <c r="F1698" s="8"/>
      <c r="G1698" s="8"/>
      <c r="H1698" s="8"/>
      <c r="I1698" s="55"/>
      <c r="J1698" s="78" t="s">
        <v>5613</v>
      </c>
      <c r="K1698" s="22">
        <v>0.0</v>
      </c>
      <c r="L1698" s="22">
        <f>+SUMIF('حركه المخزن الرئيسي اليوميه'!$F:$F,$H:$H,'حركه المخزن الرئيسي اليوميه'!$H:$H)</f>
        <v>0.0</v>
      </c>
      <c r="M1698" s="22">
        <f>+SUMIF('حركه المخزن الرئيسي اليوميه'!$F:$F,$H:$H,'حركه المخزن الرئيسي اليوميه'!$I:$I)</f>
        <v>0.0</v>
      </c>
      <c r="N1698" s="22">
        <f>+K1698+L1698-M1698</f>
        <v>0.0</v>
      </c>
      <c r="O1698" s="22">
        <f>+N1698</f>
        <v>0.0</v>
      </c>
      <c r="P1698" s="22">
        <f>+N1698-O1698</f>
        <v>0.0</v>
      </c>
      <c r="Q1698" s="57"/>
      <c r="R1698" s="58"/>
    </row>
    <row r="1699" spans="8:8" ht="15.0" customHeight="1">
      <c r="B1699" s="54">
        <v>1843.0</v>
      </c>
      <c r="C1699" s="8"/>
      <c r="D1699" s="8"/>
      <c r="E1699" s="8"/>
      <c r="F1699" s="8"/>
      <c r="G1699" s="8"/>
      <c r="H1699" s="8"/>
      <c r="I1699" s="55"/>
      <c r="J1699" s="78" t="s">
        <v>5614</v>
      </c>
      <c r="K1699" s="22">
        <v>0.0</v>
      </c>
      <c r="L1699" s="22">
        <f>+SUMIF('حركه المخزن الرئيسي اليوميه'!$F:$F,$H:$H,'حركه المخزن الرئيسي اليوميه'!$H:$H)</f>
        <v>0.0</v>
      </c>
      <c r="M1699" s="22">
        <f>+SUMIF('حركه المخزن الرئيسي اليوميه'!$F:$F,$H:$H,'حركه المخزن الرئيسي اليوميه'!$I:$I)</f>
        <v>0.0</v>
      </c>
      <c r="N1699" s="22">
        <f>+K1699+L1699-M1699</f>
        <v>0.0</v>
      </c>
      <c r="O1699" s="22">
        <f>+N1699</f>
        <v>0.0</v>
      </c>
      <c r="P1699" s="22">
        <f>+N1699-O1699</f>
        <v>0.0</v>
      </c>
      <c r="Q1699" s="57"/>
      <c r="R1699" s="58"/>
    </row>
    <row r="1700" spans="8:8" ht="15.0" customHeight="1">
      <c r="B1700" s="54">
        <v>1844.0</v>
      </c>
      <c r="C1700" s="8"/>
      <c r="D1700" s="8"/>
      <c r="E1700" s="8"/>
      <c r="F1700" s="8"/>
      <c r="G1700" s="8"/>
      <c r="H1700" s="8"/>
      <c r="I1700" s="55"/>
      <c r="J1700" s="78" t="s">
        <v>5615</v>
      </c>
      <c r="K1700" s="22">
        <v>0.0</v>
      </c>
      <c r="L1700" s="22">
        <f>+SUMIF('حركه المخزن الرئيسي اليوميه'!$F:$F,$H:$H,'حركه المخزن الرئيسي اليوميه'!$H:$H)</f>
        <v>0.0</v>
      </c>
      <c r="M1700" s="22">
        <f>+SUMIF('حركه المخزن الرئيسي اليوميه'!$F:$F,$H:$H,'حركه المخزن الرئيسي اليوميه'!$I:$I)</f>
        <v>0.0</v>
      </c>
      <c r="N1700" s="22">
        <f>+K1700+L1700-M1700</f>
        <v>0.0</v>
      </c>
      <c r="O1700" s="22">
        <f>+N1700</f>
        <v>0.0</v>
      </c>
      <c r="P1700" s="22">
        <f>+N1700-O1700</f>
        <v>0.0</v>
      </c>
      <c r="Q1700" s="57"/>
      <c r="R1700" s="58"/>
    </row>
    <row r="1701" spans="8:8" ht="15.0" customHeight="1">
      <c r="B1701" s="54">
        <v>1845.0</v>
      </c>
      <c r="C1701" s="8"/>
      <c r="D1701" s="8"/>
      <c r="E1701" s="8"/>
      <c r="F1701" s="8"/>
      <c r="G1701" s="8"/>
      <c r="H1701" s="8"/>
      <c r="I1701" s="55"/>
      <c r="J1701" s="78" t="s">
        <v>5616</v>
      </c>
      <c r="K1701" s="22">
        <v>0.0</v>
      </c>
      <c r="L1701" s="22">
        <f>+SUMIF('حركه المخزن الرئيسي اليوميه'!$F:$F,$H:$H,'حركه المخزن الرئيسي اليوميه'!$H:$H)</f>
        <v>0.0</v>
      </c>
      <c r="M1701" s="22">
        <f>+SUMIF('حركه المخزن الرئيسي اليوميه'!$F:$F,$H:$H,'حركه المخزن الرئيسي اليوميه'!$I:$I)</f>
        <v>0.0</v>
      </c>
      <c r="N1701" s="22">
        <f>+K1701+L1701-M1701</f>
        <v>0.0</v>
      </c>
      <c r="O1701" s="22">
        <f>+N1701</f>
        <v>0.0</v>
      </c>
      <c r="P1701" s="22">
        <f>+N1701-O1701</f>
        <v>0.0</v>
      </c>
      <c r="Q1701" s="57"/>
      <c r="R1701" s="58"/>
    </row>
    <row r="1702" spans="8:8" ht="15.0" customHeight="1">
      <c r="B1702" s="54">
        <v>1846.0</v>
      </c>
      <c r="C1702" s="8"/>
      <c r="D1702" s="8"/>
      <c r="E1702" s="8"/>
      <c r="F1702" s="8"/>
      <c r="G1702" s="8"/>
      <c r="H1702" s="8"/>
      <c r="I1702" s="55"/>
      <c r="J1702" s="78" t="s">
        <v>5617</v>
      </c>
      <c r="K1702" s="22">
        <v>0.0</v>
      </c>
      <c r="L1702" s="22">
        <f>+SUMIF('حركه المخزن الرئيسي اليوميه'!$F:$F,$H:$H,'حركه المخزن الرئيسي اليوميه'!$H:$H)</f>
        <v>0.0</v>
      </c>
      <c r="M1702" s="22">
        <f>+SUMIF('حركه المخزن الرئيسي اليوميه'!$F:$F,$H:$H,'حركه المخزن الرئيسي اليوميه'!$I:$I)</f>
        <v>0.0</v>
      </c>
      <c r="N1702" s="22">
        <f>+K1702+L1702-M1702</f>
        <v>0.0</v>
      </c>
      <c r="O1702" s="22">
        <f>+N1702</f>
        <v>0.0</v>
      </c>
      <c r="P1702" s="22">
        <f>+N1702-O1702</f>
        <v>0.0</v>
      </c>
      <c r="Q1702" s="57"/>
      <c r="R1702" s="58"/>
    </row>
    <row r="1703" spans="8:8" ht="15.0" customHeight="1">
      <c r="B1703" s="54">
        <v>1847.0</v>
      </c>
      <c r="C1703" s="8"/>
      <c r="D1703" s="8"/>
      <c r="E1703" s="8"/>
      <c r="F1703" s="8"/>
      <c r="G1703" s="8"/>
      <c r="H1703" s="8"/>
      <c r="I1703" s="55"/>
      <c r="J1703" s="78" t="s">
        <v>5618</v>
      </c>
      <c r="K1703" s="22">
        <v>0.0</v>
      </c>
      <c r="L1703" s="22">
        <f>+SUMIF('حركه المخزن الرئيسي اليوميه'!$F:$F,$H:$H,'حركه المخزن الرئيسي اليوميه'!$H:$H)</f>
        <v>0.0</v>
      </c>
      <c r="M1703" s="22">
        <f>+SUMIF('حركه المخزن الرئيسي اليوميه'!$F:$F,$H:$H,'حركه المخزن الرئيسي اليوميه'!$I:$I)</f>
        <v>0.0</v>
      </c>
      <c r="N1703" s="22">
        <f>+K1703+L1703-M1703</f>
        <v>0.0</v>
      </c>
      <c r="O1703" s="22">
        <f>+N1703</f>
        <v>0.0</v>
      </c>
      <c r="P1703" s="22">
        <f>+N1703-O1703</f>
        <v>0.0</v>
      </c>
      <c r="Q1703" s="57"/>
      <c r="R1703" s="58"/>
    </row>
    <row r="1704" spans="8:8" ht="15.0" customHeight="1">
      <c r="B1704" s="54">
        <v>1848.0</v>
      </c>
      <c r="C1704" s="8"/>
      <c r="D1704" s="8"/>
      <c r="E1704" s="8"/>
      <c r="F1704" s="8"/>
      <c r="G1704" s="8"/>
      <c r="H1704" s="8"/>
      <c r="I1704" s="55"/>
      <c r="J1704" s="78" t="s">
        <v>5619</v>
      </c>
      <c r="K1704" s="22">
        <v>0.0</v>
      </c>
      <c r="L1704" s="22">
        <f>+SUMIF('حركه المخزن الرئيسي اليوميه'!$F:$F,$H:$H,'حركه المخزن الرئيسي اليوميه'!$H:$H)</f>
        <v>0.0</v>
      </c>
      <c r="M1704" s="22">
        <f>+SUMIF('حركه المخزن الرئيسي اليوميه'!$F:$F,$H:$H,'حركه المخزن الرئيسي اليوميه'!$I:$I)</f>
        <v>0.0</v>
      </c>
      <c r="N1704" s="22">
        <f>+K1704+L1704-M1704</f>
        <v>0.0</v>
      </c>
      <c r="O1704" s="22">
        <f>+N1704</f>
        <v>0.0</v>
      </c>
      <c r="P1704" s="22">
        <f>+N1704-O1704</f>
        <v>0.0</v>
      </c>
      <c r="Q1704" s="57"/>
      <c r="R1704" s="58"/>
    </row>
    <row r="1705" spans="8:8" ht="15.0" customHeight="1">
      <c r="B1705" s="54">
        <v>1849.0</v>
      </c>
      <c r="C1705" s="8"/>
      <c r="D1705" s="8"/>
      <c r="E1705" s="8"/>
      <c r="F1705" s="8"/>
      <c r="G1705" s="8"/>
      <c r="H1705" s="8"/>
      <c r="I1705" s="55"/>
      <c r="J1705" s="78" t="s">
        <v>5620</v>
      </c>
      <c r="K1705" s="22">
        <v>0.0</v>
      </c>
      <c r="L1705" s="22">
        <f>+SUMIF('حركه المخزن الرئيسي اليوميه'!$F:$F,$H:$H,'حركه المخزن الرئيسي اليوميه'!$H:$H)</f>
        <v>0.0</v>
      </c>
      <c r="M1705" s="22">
        <f>+SUMIF('حركه المخزن الرئيسي اليوميه'!$F:$F,$H:$H,'حركه المخزن الرئيسي اليوميه'!$I:$I)</f>
        <v>0.0</v>
      </c>
      <c r="N1705" s="22">
        <f>+K1705+L1705-M1705</f>
        <v>0.0</v>
      </c>
      <c r="O1705" s="22">
        <f>+N1705</f>
        <v>0.0</v>
      </c>
      <c r="P1705" s="22">
        <f>+N1705-O1705</f>
        <v>0.0</v>
      </c>
      <c r="Q1705" s="57"/>
      <c r="R1705" s="58"/>
    </row>
    <row r="1706" spans="8:8" ht="15.0" customHeight="1">
      <c r="B1706" s="54">
        <v>1850.0</v>
      </c>
      <c r="C1706" s="8"/>
      <c r="D1706" s="8"/>
      <c r="E1706" s="8"/>
      <c r="F1706" s="8"/>
      <c r="G1706" s="8"/>
      <c r="H1706" s="8"/>
      <c r="I1706" s="55"/>
      <c r="J1706" s="78" t="s">
        <v>5621</v>
      </c>
      <c r="K1706" s="22">
        <v>0.0</v>
      </c>
      <c r="L1706" s="22">
        <f>+SUMIF('حركه المخزن الرئيسي اليوميه'!$F:$F,$H:$H,'حركه المخزن الرئيسي اليوميه'!$H:$H)</f>
        <v>0.0</v>
      </c>
      <c r="M1706" s="22">
        <f>+SUMIF('حركه المخزن الرئيسي اليوميه'!$F:$F,$H:$H,'حركه المخزن الرئيسي اليوميه'!$I:$I)</f>
        <v>0.0</v>
      </c>
      <c r="N1706" s="22">
        <f>+K1706+L1706-M1706</f>
        <v>0.0</v>
      </c>
      <c r="O1706" s="22">
        <f>+N1706</f>
        <v>0.0</v>
      </c>
      <c r="P1706" s="22">
        <f>+N1706-O1706</f>
        <v>0.0</v>
      </c>
      <c r="Q1706" s="57"/>
      <c r="R1706" s="58"/>
    </row>
    <row r="1707" spans="8:8" ht="15.0" customHeight="1">
      <c r="B1707" s="54">
        <v>1851.0</v>
      </c>
      <c r="C1707" s="8"/>
      <c r="D1707" s="8"/>
      <c r="E1707" s="8"/>
      <c r="F1707" s="8"/>
      <c r="G1707" s="8"/>
      <c r="H1707" s="8"/>
      <c r="I1707" s="55"/>
      <c r="J1707" s="78" t="s">
        <v>5622</v>
      </c>
      <c r="K1707" s="22">
        <v>0.0</v>
      </c>
      <c r="L1707" s="22">
        <f>+SUMIF('حركه المخزن الرئيسي اليوميه'!$F:$F,$H:$H,'حركه المخزن الرئيسي اليوميه'!$H:$H)</f>
        <v>0.0</v>
      </c>
      <c r="M1707" s="22">
        <f>+SUMIF('حركه المخزن الرئيسي اليوميه'!$F:$F,$H:$H,'حركه المخزن الرئيسي اليوميه'!$I:$I)</f>
        <v>0.0</v>
      </c>
      <c r="N1707" s="22">
        <f>+K1707+L1707-M1707</f>
        <v>0.0</v>
      </c>
      <c r="O1707" s="22">
        <f>+N1707</f>
        <v>0.0</v>
      </c>
      <c r="P1707" s="22">
        <f>+N1707-O1707</f>
        <v>0.0</v>
      </c>
      <c r="Q1707" s="57"/>
      <c r="R1707" s="58"/>
    </row>
    <row r="1708" spans="8:8" ht="15.0" customHeight="1">
      <c r="B1708" s="54">
        <v>1852.0</v>
      </c>
      <c r="C1708" s="8"/>
      <c r="D1708" s="8"/>
      <c r="E1708" s="8"/>
      <c r="F1708" s="8"/>
      <c r="G1708" s="8"/>
      <c r="H1708" s="8"/>
      <c r="I1708" s="55"/>
      <c r="J1708" s="78" t="s">
        <v>5623</v>
      </c>
      <c r="K1708" s="22">
        <v>0.0</v>
      </c>
      <c r="L1708" s="22">
        <f>+SUMIF('حركه المخزن الرئيسي اليوميه'!$F:$F,$H:$H,'حركه المخزن الرئيسي اليوميه'!$H:$H)</f>
        <v>0.0</v>
      </c>
      <c r="M1708" s="22">
        <f>+SUMIF('حركه المخزن الرئيسي اليوميه'!$F:$F,$H:$H,'حركه المخزن الرئيسي اليوميه'!$I:$I)</f>
        <v>0.0</v>
      </c>
      <c r="N1708" s="22">
        <f>+K1708+L1708-M1708</f>
        <v>0.0</v>
      </c>
      <c r="O1708" s="22">
        <f>+N1708</f>
        <v>0.0</v>
      </c>
      <c r="P1708" s="22">
        <f>+N1708-O1708</f>
        <v>0.0</v>
      </c>
      <c r="Q1708" s="57"/>
      <c r="R1708" s="58"/>
    </row>
    <row r="1709" spans="8:8" ht="15.0" customHeight="1">
      <c r="B1709" s="54">
        <v>1853.0</v>
      </c>
      <c r="C1709" s="8"/>
      <c r="D1709" s="8"/>
      <c r="E1709" s="8"/>
      <c r="F1709" s="8"/>
      <c r="G1709" s="8"/>
      <c r="H1709" s="8"/>
      <c r="I1709" s="55"/>
      <c r="J1709" s="78" t="s">
        <v>5624</v>
      </c>
      <c r="K1709" s="22">
        <v>0.0</v>
      </c>
      <c r="L1709" s="22">
        <f>+SUMIF('حركه المخزن الرئيسي اليوميه'!$F:$F,$H:$H,'حركه المخزن الرئيسي اليوميه'!$H:$H)</f>
        <v>0.0</v>
      </c>
      <c r="M1709" s="22">
        <f>+SUMIF('حركه المخزن الرئيسي اليوميه'!$F:$F,$H:$H,'حركه المخزن الرئيسي اليوميه'!$I:$I)</f>
        <v>0.0</v>
      </c>
      <c r="N1709" s="22">
        <f>+K1709+L1709-M1709</f>
        <v>0.0</v>
      </c>
      <c r="O1709" s="22">
        <f>+N1709</f>
        <v>0.0</v>
      </c>
      <c r="P1709" s="22">
        <f>+N1709-O1709</f>
        <v>0.0</v>
      </c>
      <c r="Q1709" s="57"/>
      <c r="R1709" s="58"/>
    </row>
    <row r="1710" spans="8:8" ht="15.0" customHeight="1">
      <c r="B1710" s="54">
        <v>1854.0</v>
      </c>
      <c r="C1710" s="8"/>
      <c r="D1710" s="8"/>
      <c r="E1710" s="8"/>
      <c r="F1710" s="8"/>
      <c r="G1710" s="8"/>
      <c r="H1710" s="8"/>
      <c r="I1710" s="55"/>
      <c r="J1710" s="78" t="s">
        <v>5625</v>
      </c>
      <c r="K1710" s="22">
        <v>0.0</v>
      </c>
      <c r="L1710" s="22">
        <f>+SUMIF('حركه المخزن الرئيسي اليوميه'!$F:$F,$H:$H,'حركه المخزن الرئيسي اليوميه'!$H:$H)</f>
        <v>0.0</v>
      </c>
      <c r="M1710" s="22">
        <f>+SUMIF('حركه المخزن الرئيسي اليوميه'!$F:$F,$H:$H,'حركه المخزن الرئيسي اليوميه'!$I:$I)</f>
        <v>0.0</v>
      </c>
      <c r="N1710" s="22">
        <f>+K1710+L1710-M1710</f>
        <v>0.0</v>
      </c>
      <c r="O1710" s="22">
        <f>+N1710</f>
        <v>0.0</v>
      </c>
      <c r="P1710" s="22">
        <f>+N1710-O1710</f>
        <v>0.0</v>
      </c>
      <c r="Q1710" s="57"/>
      <c r="R1710" s="58"/>
    </row>
    <row r="1711" spans="8:8" ht="15.0" customHeight="1">
      <c r="B1711" s="54">
        <v>1855.0</v>
      </c>
      <c r="C1711" s="8"/>
      <c r="D1711" s="8"/>
      <c r="E1711" s="8"/>
      <c r="F1711" s="8"/>
      <c r="G1711" s="8"/>
      <c r="H1711" s="8"/>
      <c r="I1711" s="55"/>
      <c r="J1711" s="78" t="s">
        <v>5626</v>
      </c>
      <c r="K1711" s="22">
        <v>0.0</v>
      </c>
      <c r="L1711" s="22">
        <f>+SUMIF('حركه المخزن الرئيسي اليوميه'!$F:$F,$H:$H,'حركه المخزن الرئيسي اليوميه'!$H:$H)</f>
        <v>0.0</v>
      </c>
      <c r="M1711" s="22">
        <f>+SUMIF('حركه المخزن الرئيسي اليوميه'!$F:$F,$H:$H,'حركه المخزن الرئيسي اليوميه'!$I:$I)</f>
        <v>0.0</v>
      </c>
      <c r="N1711" s="22">
        <f>+K1711+L1711-M1711</f>
        <v>0.0</v>
      </c>
      <c r="O1711" s="22">
        <f>+N1711</f>
        <v>0.0</v>
      </c>
      <c r="P1711" s="22">
        <f>+N1711-O1711</f>
        <v>0.0</v>
      </c>
      <c r="Q1711" s="57"/>
      <c r="R1711" s="58"/>
    </row>
    <row r="1712" spans="8:8" ht="15.0" customHeight="1">
      <c r="B1712" s="54">
        <v>1856.0</v>
      </c>
      <c r="C1712" s="8"/>
      <c r="D1712" s="8"/>
      <c r="E1712" s="8"/>
      <c r="F1712" s="8"/>
      <c r="G1712" s="8"/>
      <c r="H1712" s="8"/>
      <c r="I1712" s="55"/>
      <c r="J1712" s="78" t="s">
        <v>5627</v>
      </c>
      <c r="K1712" s="22">
        <v>0.0</v>
      </c>
      <c r="L1712" s="22">
        <f>+SUMIF('حركه المخزن الرئيسي اليوميه'!$F:$F,$H:$H,'حركه المخزن الرئيسي اليوميه'!$H:$H)</f>
        <v>0.0</v>
      </c>
      <c r="M1712" s="22">
        <f>+SUMIF('حركه المخزن الرئيسي اليوميه'!$F:$F,$H:$H,'حركه المخزن الرئيسي اليوميه'!$I:$I)</f>
        <v>0.0</v>
      </c>
      <c r="N1712" s="22">
        <f>+K1712+L1712-M1712</f>
        <v>0.0</v>
      </c>
      <c r="O1712" s="22">
        <f>+N1712</f>
        <v>0.0</v>
      </c>
      <c r="P1712" s="22">
        <f>+N1712-O1712</f>
        <v>0.0</v>
      </c>
      <c r="Q1712" s="57"/>
      <c r="R1712" s="58"/>
    </row>
    <row r="1713" spans="8:8" ht="15.0" customHeight="1">
      <c r="B1713" s="54">
        <v>1857.0</v>
      </c>
      <c r="C1713" s="8"/>
      <c r="D1713" s="8"/>
      <c r="E1713" s="8"/>
      <c r="F1713" s="8"/>
      <c r="G1713" s="8"/>
      <c r="H1713" s="8"/>
      <c r="I1713" s="55"/>
      <c r="J1713" s="78" t="s">
        <v>5628</v>
      </c>
      <c r="K1713" s="22">
        <v>0.0</v>
      </c>
      <c r="L1713" s="22">
        <f>+SUMIF('حركه المخزن الرئيسي اليوميه'!$F:$F,$H:$H,'حركه المخزن الرئيسي اليوميه'!$H:$H)</f>
        <v>0.0</v>
      </c>
      <c r="M1713" s="22">
        <f>+SUMIF('حركه المخزن الرئيسي اليوميه'!$F:$F,$H:$H,'حركه المخزن الرئيسي اليوميه'!$I:$I)</f>
        <v>0.0</v>
      </c>
      <c r="N1713" s="22">
        <f>+K1713+L1713-M1713</f>
        <v>0.0</v>
      </c>
      <c r="O1713" s="22">
        <f>+N1713</f>
        <v>0.0</v>
      </c>
      <c r="P1713" s="22">
        <f>+N1713-O1713</f>
        <v>0.0</v>
      </c>
      <c r="Q1713" s="57"/>
      <c r="R1713" s="58"/>
    </row>
    <row r="1714" spans="8:8" ht="15.0" customHeight="1">
      <c r="B1714" s="54">
        <v>1858.0</v>
      </c>
      <c r="C1714" s="8"/>
      <c r="D1714" s="8"/>
      <c r="E1714" s="8"/>
      <c r="F1714" s="8"/>
      <c r="G1714" s="8"/>
      <c r="H1714" s="8"/>
      <c r="I1714" s="55"/>
      <c r="J1714" s="78" t="s">
        <v>5629</v>
      </c>
      <c r="K1714" s="22">
        <v>0.0</v>
      </c>
      <c r="L1714" s="22">
        <f>+SUMIF('حركه المخزن الرئيسي اليوميه'!$F:$F,$H:$H,'حركه المخزن الرئيسي اليوميه'!$H:$H)</f>
        <v>0.0</v>
      </c>
      <c r="M1714" s="22">
        <f>+SUMIF('حركه المخزن الرئيسي اليوميه'!$F:$F,$H:$H,'حركه المخزن الرئيسي اليوميه'!$I:$I)</f>
        <v>0.0</v>
      </c>
      <c r="N1714" s="22">
        <f>+K1714+L1714-M1714</f>
        <v>0.0</v>
      </c>
      <c r="O1714" s="22">
        <f>+N1714</f>
        <v>0.0</v>
      </c>
      <c r="P1714" s="22">
        <f>+N1714-O1714</f>
        <v>0.0</v>
      </c>
      <c r="Q1714" s="57"/>
      <c r="R1714" s="58"/>
    </row>
    <row r="1715" spans="8:8" ht="15.0" customHeight="1">
      <c r="B1715" s="54">
        <v>1859.0</v>
      </c>
      <c r="C1715" s="8"/>
      <c r="D1715" s="8"/>
      <c r="E1715" s="8"/>
      <c r="F1715" s="8"/>
      <c r="G1715" s="8"/>
      <c r="H1715" s="8"/>
      <c r="I1715" s="55"/>
      <c r="J1715" s="78" t="s">
        <v>5630</v>
      </c>
      <c r="K1715" s="22">
        <v>0.0</v>
      </c>
      <c r="L1715" s="22">
        <f>+SUMIF('حركه المخزن الرئيسي اليوميه'!$F:$F,$H:$H,'حركه المخزن الرئيسي اليوميه'!$H:$H)</f>
        <v>0.0</v>
      </c>
      <c r="M1715" s="22">
        <f>+SUMIF('حركه المخزن الرئيسي اليوميه'!$F:$F,$H:$H,'حركه المخزن الرئيسي اليوميه'!$I:$I)</f>
        <v>0.0</v>
      </c>
      <c r="N1715" s="22">
        <f>+K1715+L1715-M1715</f>
        <v>0.0</v>
      </c>
      <c r="O1715" s="22">
        <f>+N1715</f>
        <v>0.0</v>
      </c>
      <c r="P1715" s="22">
        <f>+N1715-O1715</f>
        <v>0.0</v>
      </c>
      <c r="Q1715" s="57"/>
      <c r="R1715" s="58"/>
    </row>
    <row r="1716" spans="8:8" ht="15.0" customHeight="1">
      <c r="B1716" s="54">
        <v>1860.0</v>
      </c>
      <c r="C1716" s="8"/>
      <c r="D1716" s="8"/>
      <c r="E1716" s="8"/>
      <c r="F1716" s="8"/>
      <c r="G1716" s="8"/>
      <c r="H1716" s="8"/>
      <c r="I1716" s="55"/>
      <c r="J1716" s="78" t="s">
        <v>5631</v>
      </c>
      <c r="K1716" s="22">
        <v>0.0</v>
      </c>
      <c r="L1716" s="22">
        <f>+SUMIF('حركه المخزن الرئيسي اليوميه'!$F:$F,$H:$H,'حركه المخزن الرئيسي اليوميه'!$H:$H)</f>
        <v>0.0</v>
      </c>
      <c r="M1716" s="22">
        <f>+SUMIF('حركه المخزن الرئيسي اليوميه'!$F:$F,$H:$H,'حركه المخزن الرئيسي اليوميه'!$I:$I)</f>
        <v>0.0</v>
      </c>
      <c r="N1716" s="22">
        <f>+K1716+L1716-M1716</f>
        <v>0.0</v>
      </c>
      <c r="O1716" s="22">
        <f>+N1716</f>
        <v>0.0</v>
      </c>
      <c r="P1716" s="22">
        <f>+N1716-O1716</f>
        <v>0.0</v>
      </c>
      <c r="Q1716" s="57"/>
      <c r="R1716" s="58"/>
    </row>
    <row r="1717" spans="8:8" ht="15.0" customHeight="1">
      <c r="B1717" s="54">
        <v>1861.0</v>
      </c>
      <c r="C1717" s="8"/>
      <c r="D1717" s="8"/>
      <c r="E1717" s="8"/>
      <c r="F1717" s="8"/>
      <c r="G1717" s="8"/>
      <c r="H1717" s="8"/>
      <c r="I1717" s="55"/>
      <c r="J1717" s="78" t="s">
        <v>5632</v>
      </c>
      <c r="K1717" s="22">
        <v>0.0</v>
      </c>
      <c r="L1717" s="22">
        <f>+SUMIF('حركه المخزن الرئيسي اليوميه'!$F:$F,$H:$H,'حركه المخزن الرئيسي اليوميه'!$H:$H)</f>
        <v>0.0</v>
      </c>
      <c r="M1717" s="22">
        <f>+SUMIF('حركه المخزن الرئيسي اليوميه'!$F:$F,$H:$H,'حركه المخزن الرئيسي اليوميه'!$I:$I)</f>
        <v>0.0</v>
      </c>
      <c r="N1717" s="22">
        <f>+K1717+L1717-M1717</f>
        <v>0.0</v>
      </c>
      <c r="O1717" s="22">
        <f>+N1717</f>
        <v>0.0</v>
      </c>
      <c r="P1717" s="22">
        <f>+N1717-O1717</f>
        <v>0.0</v>
      </c>
      <c r="Q1717" s="57"/>
      <c r="R1717" s="58"/>
    </row>
    <row r="1718" spans="8:8" ht="15.0" customHeight="1">
      <c r="B1718" s="54">
        <v>1862.0</v>
      </c>
      <c r="C1718" s="8"/>
      <c r="D1718" s="8"/>
      <c r="E1718" s="8"/>
      <c r="F1718" s="8"/>
      <c r="G1718" s="8"/>
      <c r="H1718" s="8"/>
      <c r="I1718" s="55"/>
      <c r="J1718" s="78" t="s">
        <v>5633</v>
      </c>
      <c r="K1718" s="22">
        <v>0.0</v>
      </c>
      <c r="L1718" s="22">
        <f>+SUMIF('حركه المخزن الرئيسي اليوميه'!$F:$F,$H:$H,'حركه المخزن الرئيسي اليوميه'!$H:$H)</f>
        <v>0.0</v>
      </c>
      <c r="M1718" s="22">
        <f>+SUMIF('حركه المخزن الرئيسي اليوميه'!$F:$F,$H:$H,'حركه المخزن الرئيسي اليوميه'!$I:$I)</f>
        <v>0.0</v>
      </c>
      <c r="N1718" s="22">
        <f>+K1718+L1718-M1718</f>
        <v>0.0</v>
      </c>
      <c r="O1718" s="22">
        <f>+N1718</f>
        <v>0.0</v>
      </c>
      <c r="P1718" s="22">
        <f>+N1718-O1718</f>
        <v>0.0</v>
      </c>
      <c r="Q1718" s="57"/>
      <c r="R1718" s="58"/>
    </row>
    <row r="1719" spans="8:8" ht="15.0" customHeight="1">
      <c r="B1719" s="54">
        <v>1863.0</v>
      </c>
      <c r="C1719" s="8"/>
      <c r="D1719" s="8"/>
      <c r="E1719" s="8"/>
      <c r="F1719" s="8"/>
      <c r="G1719" s="8"/>
      <c r="H1719" s="8"/>
      <c r="I1719" s="55"/>
      <c r="J1719" s="78" t="s">
        <v>5634</v>
      </c>
      <c r="K1719" s="22">
        <v>0.0</v>
      </c>
      <c r="L1719" s="22">
        <f>+SUMIF('حركه المخزن الرئيسي اليوميه'!$F:$F,$H:$H,'حركه المخزن الرئيسي اليوميه'!$H:$H)</f>
        <v>0.0</v>
      </c>
      <c r="M1719" s="22">
        <f>+SUMIF('حركه المخزن الرئيسي اليوميه'!$F:$F,$H:$H,'حركه المخزن الرئيسي اليوميه'!$I:$I)</f>
        <v>0.0</v>
      </c>
      <c r="N1719" s="22">
        <f>+K1719+L1719-M1719</f>
        <v>0.0</v>
      </c>
      <c r="O1719" s="22">
        <f>+N1719</f>
        <v>0.0</v>
      </c>
      <c r="P1719" s="22">
        <f>+N1719-O1719</f>
        <v>0.0</v>
      </c>
      <c r="Q1719" s="57"/>
      <c r="R1719" s="58"/>
    </row>
    <row r="1720" spans="8:8" ht="15.0" customHeight="1">
      <c r="B1720" s="54">
        <v>1864.0</v>
      </c>
      <c r="C1720" s="8"/>
      <c r="D1720" s="8"/>
      <c r="E1720" s="8"/>
      <c r="F1720" s="8"/>
      <c r="G1720" s="8"/>
      <c r="H1720" s="8"/>
      <c r="I1720" s="55"/>
      <c r="J1720" s="78" t="s">
        <v>5635</v>
      </c>
      <c r="K1720" s="22">
        <v>0.0</v>
      </c>
      <c r="L1720" s="22">
        <f>+SUMIF('حركه المخزن الرئيسي اليوميه'!$F:$F,$H:$H,'حركه المخزن الرئيسي اليوميه'!$H:$H)</f>
        <v>0.0</v>
      </c>
      <c r="M1720" s="22">
        <f>+SUMIF('حركه المخزن الرئيسي اليوميه'!$F:$F,$H:$H,'حركه المخزن الرئيسي اليوميه'!$I:$I)</f>
        <v>0.0</v>
      </c>
      <c r="N1720" s="22">
        <f>+K1720+L1720-M1720</f>
        <v>0.0</v>
      </c>
      <c r="O1720" s="22">
        <f>+N1720</f>
        <v>0.0</v>
      </c>
      <c r="P1720" s="22">
        <f>+N1720-O1720</f>
        <v>0.0</v>
      </c>
      <c r="Q1720" s="57"/>
      <c r="R1720" s="58"/>
    </row>
    <row r="1721" spans="8:8" ht="15.0" customHeight="1">
      <c r="B1721" s="54">
        <v>1865.0</v>
      </c>
      <c r="C1721" s="8"/>
      <c r="D1721" s="8"/>
      <c r="E1721" s="8"/>
      <c r="F1721" s="8"/>
      <c r="G1721" s="8"/>
      <c r="H1721" s="8"/>
      <c r="I1721" s="55"/>
      <c r="J1721" s="78" t="s">
        <v>5636</v>
      </c>
      <c r="K1721" s="22">
        <v>0.0</v>
      </c>
      <c r="L1721" s="22">
        <f>+SUMIF('حركه المخزن الرئيسي اليوميه'!$F:$F,$H:$H,'حركه المخزن الرئيسي اليوميه'!$H:$H)</f>
        <v>0.0</v>
      </c>
      <c r="M1721" s="22">
        <f>+SUMIF('حركه المخزن الرئيسي اليوميه'!$F:$F,$H:$H,'حركه المخزن الرئيسي اليوميه'!$I:$I)</f>
        <v>0.0</v>
      </c>
      <c r="N1721" s="22">
        <f>+K1721+L1721-M1721</f>
        <v>0.0</v>
      </c>
      <c r="O1721" s="22">
        <f>+N1721</f>
        <v>0.0</v>
      </c>
      <c r="P1721" s="22">
        <f>+N1721-O1721</f>
        <v>0.0</v>
      </c>
      <c r="Q1721" s="57"/>
      <c r="R1721" s="58"/>
    </row>
    <row r="1722" spans="8:8" ht="15.0" customHeight="1">
      <c r="B1722" s="54">
        <v>1866.0</v>
      </c>
      <c r="C1722" s="8"/>
      <c r="D1722" s="8"/>
      <c r="E1722" s="8"/>
      <c r="F1722" s="8"/>
      <c r="G1722" s="8"/>
      <c r="H1722" s="8"/>
      <c r="I1722" s="55"/>
      <c r="J1722" s="78" t="s">
        <v>5637</v>
      </c>
      <c r="K1722" s="22">
        <v>0.0</v>
      </c>
      <c r="L1722" s="22">
        <f>+SUMIF('حركه المخزن الرئيسي اليوميه'!$F:$F,$H:$H,'حركه المخزن الرئيسي اليوميه'!$H:$H)</f>
        <v>0.0</v>
      </c>
      <c r="M1722" s="22">
        <f>+SUMIF('حركه المخزن الرئيسي اليوميه'!$F:$F,$H:$H,'حركه المخزن الرئيسي اليوميه'!$I:$I)</f>
        <v>0.0</v>
      </c>
      <c r="N1722" s="22">
        <f>+K1722+L1722-M1722</f>
        <v>0.0</v>
      </c>
      <c r="O1722" s="22">
        <f>+N1722</f>
        <v>0.0</v>
      </c>
      <c r="P1722" s="22">
        <f>+N1722-O1722</f>
        <v>0.0</v>
      </c>
      <c r="Q1722" s="57"/>
      <c r="R1722" s="58"/>
    </row>
    <row r="1723" spans="8:8" ht="15.0" customHeight="1">
      <c r="B1723" s="54">
        <v>1867.0</v>
      </c>
      <c r="C1723" s="8"/>
      <c r="D1723" s="8"/>
      <c r="E1723" s="8"/>
      <c r="F1723" s="8"/>
      <c r="G1723" s="8"/>
      <c r="H1723" s="8"/>
      <c r="I1723" s="55"/>
      <c r="J1723" s="78" t="s">
        <v>5638</v>
      </c>
      <c r="K1723" s="22">
        <v>0.0</v>
      </c>
      <c r="L1723" s="22">
        <f>+SUMIF('حركه المخزن الرئيسي اليوميه'!$F:$F,$H:$H,'حركه المخزن الرئيسي اليوميه'!$H:$H)</f>
        <v>0.0</v>
      </c>
      <c r="M1723" s="22">
        <f>+SUMIF('حركه المخزن الرئيسي اليوميه'!$F:$F,$H:$H,'حركه المخزن الرئيسي اليوميه'!$I:$I)</f>
        <v>0.0</v>
      </c>
      <c r="N1723" s="22">
        <f>+K1723+L1723-M1723</f>
        <v>0.0</v>
      </c>
      <c r="O1723" s="22">
        <f>+N1723</f>
        <v>0.0</v>
      </c>
      <c r="P1723" s="22">
        <f>+N1723-O1723</f>
        <v>0.0</v>
      </c>
      <c r="Q1723" s="57"/>
      <c r="R1723" s="58"/>
    </row>
    <row r="1724" spans="8:8" ht="15.0" customHeight="1">
      <c r="B1724" s="54">
        <v>1868.0</v>
      </c>
      <c r="C1724" s="8"/>
      <c r="D1724" s="8"/>
      <c r="E1724" s="8"/>
      <c r="F1724" s="8"/>
      <c r="G1724" s="8"/>
      <c r="H1724" s="8"/>
      <c r="I1724" s="55"/>
      <c r="J1724" s="78" t="s">
        <v>5639</v>
      </c>
      <c r="K1724" s="22">
        <v>0.0</v>
      </c>
      <c r="L1724" s="22">
        <f>+SUMIF('حركه المخزن الرئيسي اليوميه'!$F:$F,$H:$H,'حركه المخزن الرئيسي اليوميه'!$H:$H)</f>
        <v>0.0</v>
      </c>
      <c r="M1724" s="22">
        <f>+SUMIF('حركه المخزن الرئيسي اليوميه'!$F:$F,$H:$H,'حركه المخزن الرئيسي اليوميه'!$I:$I)</f>
        <v>0.0</v>
      </c>
      <c r="N1724" s="22">
        <f>+K1724+L1724-M1724</f>
        <v>0.0</v>
      </c>
      <c r="O1724" s="22">
        <f>+N1724</f>
        <v>0.0</v>
      </c>
      <c r="P1724" s="22">
        <f>+N1724-O1724</f>
        <v>0.0</v>
      </c>
      <c r="Q1724" s="57"/>
      <c r="R1724" s="58"/>
    </row>
    <row r="1725" spans="8:8" ht="15.0" customHeight="1">
      <c r="B1725" s="54">
        <v>1869.0</v>
      </c>
      <c r="C1725" s="8"/>
      <c r="D1725" s="8"/>
      <c r="E1725" s="8"/>
      <c r="F1725" s="8"/>
      <c r="G1725" s="8"/>
      <c r="H1725" s="8"/>
      <c r="I1725" s="55"/>
      <c r="J1725" s="78" t="s">
        <v>5640</v>
      </c>
      <c r="K1725" s="22">
        <v>0.0</v>
      </c>
      <c r="L1725" s="22">
        <f>+SUMIF('حركه المخزن الرئيسي اليوميه'!$F:$F,$H:$H,'حركه المخزن الرئيسي اليوميه'!$H:$H)</f>
        <v>0.0</v>
      </c>
      <c r="M1725" s="22">
        <f>+SUMIF('حركه المخزن الرئيسي اليوميه'!$F:$F,$H:$H,'حركه المخزن الرئيسي اليوميه'!$I:$I)</f>
        <v>0.0</v>
      </c>
      <c r="N1725" s="22">
        <f>+K1725+L1725-M1725</f>
        <v>0.0</v>
      </c>
      <c r="O1725" s="22">
        <f>+N1725</f>
        <v>0.0</v>
      </c>
      <c r="P1725" s="22">
        <f>+N1725-O1725</f>
        <v>0.0</v>
      </c>
      <c r="Q1725" s="57"/>
      <c r="R1725" s="58"/>
    </row>
    <row r="1726" spans="8:8" ht="15.0" customHeight="1">
      <c r="B1726" s="54">
        <v>1870.0</v>
      </c>
      <c r="C1726" s="8"/>
      <c r="D1726" s="8"/>
      <c r="E1726" s="8"/>
      <c r="F1726" s="8"/>
      <c r="G1726" s="8"/>
      <c r="H1726" s="8"/>
      <c r="I1726" s="55"/>
      <c r="J1726" s="78" t="s">
        <v>5641</v>
      </c>
      <c r="K1726" s="22">
        <v>0.0</v>
      </c>
      <c r="L1726" s="22">
        <f>+SUMIF('حركه المخزن الرئيسي اليوميه'!$F:$F,$H:$H,'حركه المخزن الرئيسي اليوميه'!$H:$H)</f>
        <v>0.0</v>
      </c>
      <c r="M1726" s="22">
        <f>+SUMIF('حركه المخزن الرئيسي اليوميه'!$F:$F,$H:$H,'حركه المخزن الرئيسي اليوميه'!$I:$I)</f>
        <v>0.0</v>
      </c>
      <c r="N1726" s="22">
        <f>+K1726+L1726-M1726</f>
        <v>0.0</v>
      </c>
      <c r="O1726" s="22">
        <f>+N1726</f>
        <v>0.0</v>
      </c>
      <c r="P1726" s="22">
        <f>+N1726-O1726</f>
        <v>0.0</v>
      </c>
      <c r="Q1726" s="57"/>
      <c r="R1726" s="58"/>
    </row>
    <row r="1727" spans="8:8" ht="15.0" customHeight="1">
      <c r="B1727" s="54">
        <v>1871.0</v>
      </c>
      <c r="C1727" s="8"/>
      <c r="D1727" s="8"/>
      <c r="E1727" s="8"/>
      <c r="F1727" s="8"/>
      <c r="G1727" s="8"/>
      <c r="H1727" s="8"/>
      <c r="I1727" s="55"/>
      <c r="J1727" s="78" t="s">
        <v>5642</v>
      </c>
      <c r="K1727" s="22">
        <v>0.0</v>
      </c>
      <c r="L1727" s="22">
        <f>+SUMIF('حركه المخزن الرئيسي اليوميه'!$F:$F,$H:$H,'حركه المخزن الرئيسي اليوميه'!$H:$H)</f>
        <v>0.0</v>
      </c>
      <c r="M1727" s="22">
        <f>+SUMIF('حركه المخزن الرئيسي اليوميه'!$F:$F,$H:$H,'حركه المخزن الرئيسي اليوميه'!$I:$I)</f>
        <v>0.0</v>
      </c>
      <c r="N1727" s="22">
        <f>+K1727+L1727-M1727</f>
        <v>0.0</v>
      </c>
      <c r="O1727" s="22">
        <f>+N1727</f>
        <v>0.0</v>
      </c>
      <c r="P1727" s="22">
        <f>+N1727-O1727</f>
        <v>0.0</v>
      </c>
      <c r="Q1727" s="57"/>
      <c r="R1727" s="58"/>
    </row>
    <row r="1728" spans="8:8" ht="15.0" customHeight="1">
      <c r="B1728" s="54">
        <v>1872.0</v>
      </c>
      <c r="C1728" s="8"/>
      <c r="D1728" s="8"/>
      <c r="E1728" s="8"/>
      <c r="F1728" s="8"/>
      <c r="G1728" s="8"/>
      <c r="H1728" s="8"/>
      <c r="I1728" s="55"/>
      <c r="J1728" s="78" t="s">
        <v>5643</v>
      </c>
      <c r="K1728" s="22">
        <v>0.0</v>
      </c>
      <c r="L1728" s="22">
        <f>+SUMIF('حركه المخزن الرئيسي اليوميه'!$F:$F,$H:$H,'حركه المخزن الرئيسي اليوميه'!$H:$H)</f>
        <v>0.0</v>
      </c>
      <c r="M1728" s="22">
        <f>+SUMIF('حركه المخزن الرئيسي اليوميه'!$F:$F,$H:$H,'حركه المخزن الرئيسي اليوميه'!$I:$I)</f>
        <v>0.0</v>
      </c>
      <c r="N1728" s="22">
        <f>+K1728+L1728-M1728</f>
        <v>0.0</v>
      </c>
      <c r="O1728" s="22">
        <f>+N1728</f>
        <v>0.0</v>
      </c>
      <c r="P1728" s="22">
        <f>+N1728-O1728</f>
        <v>0.0</v>
      </c>
      <c r="Q1728" s="57"/>
      <c r="R1728" s="58"/>
    </row>
    <row r="1729" spans="8:8" ht="15.0" customHeight="1">
      <c r="B1729" s="54">
        <v>1873.0</v>
      </c>
      <c r="C1729" s="8"/>
      <c r="D1729" s="8"/>
      <c r="E1729" s="8"/>
      <c r="F1729" s="8"/>
      <c r="G1729" s="8"/>
      <c r="H1729" s="8"/>
      <c r="I1729" s="55"/>
      <c r="J1729" s="78" t="s">
        <v>5644</v>
      </c>
      <c r="K1729" s="22">
        <v>0.0</v>
      </c>
      <c r="L1729" s="22">
        <f>+SUMIF('حركه المخزن الرئيسي اليوميه'!$F:$F,$H:$H,'حركه المخزن الرئيسي اليوميه'!$H:$H)</f>
        <v>0.0</v>
      </c>
      <c r="M1729" s="22">
        <f>+SUMIF('حركه المخزن الرئيسي اليوميه'!$F:$F,$H:$H,'حركه المخزن الرئيسي اليوميه'!$I:$I)</f>
        <v>0.0</v>
      </c>
      <c r="N1729" s="22">
        <f>+K1729+L1729-M1729</f>
        <v>0.0</v>
      </c>
      <c r="O1729" s="22">
        <f>+N1729</f>
        <v>0.0</v>
      </c>
      <c r="P1729" s="22">
        <f>+N1729-O1729</f>
        <v>0.0</v>
      </c>
      <c r="Q1729" s="57"/>
      <c r="R1729" s="58"/>
    </row>
    <row r="1730" spans="8:8" ht="15.0" customHeight="1">
      <c r="B1730" s="54">
        <v>1874.0</v>
      </c>
      <c r="C1730" s="8"/>
      <c r="D1730" s="8"/>
      <c r="E1730" s="8"/>
      <c r="F1730" s="8"/>
      <c r="G1730" s="8"/>
      <c r="H1730" s="8"/>
      <c r="I1730" s="55"/>
      <c r="J1730" s="78" t="s">
        <v>5645</v>
      </c>
      <c r="K1730" s="22">
        <v>0.0</v>
      </c>
      <c r="L1730" s="22">
        <f>+SUMIF('حركه المخزن الرئيسي اليوميه'!$F:$F,$H:$H,'حركه المخزن الرئيسي اليوميه'!$H:$H)</f>
        <v>0.0</v>
      </c>
      <c r="M1730" s="22">
        <f>+SUMIF('حركه المخزن الرئيسي اليوميه'!$F:$F,$H:$H,'حركه المخزن الرئيسي اليوميه'!$I:$I)</f>
        <v>0.0</v>
      </c>
      <c r="N1730" s="22">
        <f>+K1730+L1730-M1730</f>
        <v>0.0</v>
      </c>
      <c r="O1730" s="22">
        <f>+N1730</f>
        <v>0.0</v>
      </c>
      <c r="P1730" s="22">
        <f>+N1730-O1730</f>
        <v>0.0</v>
      </c>
      <c r="Q1730" s="57"/>
      <c r="R1730" s="58"/>
    </row>
    <row r="1731" spans="8:8" ht="15.0" customHeight="1">
      <c r="B1731" s="54">
        <v>1875.0</v>
      </c>
      <c r="C1731" s="8"/>
      <c r="D1731" s="8"/>
      <c r="E1731" s="8"/>
      <c r="F1731" s="8"/>
      <c r="G1731" s="8"/>
      <c r="H1731" s="8"/>
      <c r="I1731" s="55"/>
      <c r="J1731" s="78" t="s">
        <v>5646</v>
      </c>
      <c r="K1731" s="22">
        <v>0.0</v>
      </c>
      <c r="L1731" s="22">
        <f>+SUMIF('حركه المخزن الرئيسي اليوميه'!$F:$F,$H:$H,'حركه المخزن الرئيسي اليوميه'!$H:$H)</f>
        <v>0.0</v>
      </c>
      <c r="M1731" s="22">
        <f>+SUMIF('حركه المخزن الرئيسي اليوميه'!$F:$F,$H:$H,'حركه المخزن الرئيسي اليوميه'!$I:$I)</f>
        <v>0.0</v>
      </c>
      <c r="N1731" s="22">
        <f>+K1731+L1731-M1731</f>
        <v>0.0</v>
      </c>
      <c r="O1731" s="22">
        <f>+N1731</f>
        <v>0.0</v>
      </c>
      <c r="P1731" s="22">
        <f>+N1731-O1731</f>
        <v>0.0</v>
      </c>
      <c r="Q1731" s="57"/>
      <c r="R1731" s="58"/>
    </row>
    <row r="1732" spans="8:8" ht="15.0" customHeight="1">
      <c r="B1732" s="54">
        <v>1876.0</v>
      </c>
      <c r="C1732" s="8"/>
      <c r="D1732" s="8"/>
      <c r="E1732" s="8"/>
      <c r="F1732" s="8"/>
      <c r="G1732" s="8"/>
      <c r="H1732" s="8"/>
      <c r="I1732" s="55"/>
      <c r="J1732" s="78" t="s">
        <v>5647</v>
      </c>
      <c r="K1732" s="22">
        <v>0.0</v>
      </c>
      <c r="L1732" s="22">
        <f>+SUMIF('حركه المخزن الرئيسي اليوميه'!$F:$F,$H:$H,'حركه المخزن الرئيسي اليوميه'!$H:$H)</f>
        <v>0.0</v>
      </c>
      <c r="M1732" s="22">
        <f>+SUMIF('حركه المخزن الرئيسي اليوميه'!$F:$F,$H:$H,'حركه المخزن الرئيسي اليوميه'!$I:$I)</f>
        <v>0.0</v>
      </c>
      <c r="N1732" s="22">
        <f>+K1732+L1732-M1732</f>
        <v>0.0</v>
      </c>
      <c r="O1732" s="22">
        <f>+N1732</f>
        <v>0.0</v>
      </c>
      <c r="P1732" s="22">
        <f>+N1732-O1732</f>
        <v>0.0</v>
      </c>
      <c r="Q1732" s="57"/>
      <c r="R1732" s="58"/>
    </row>
    <row r="1733" spans="8:8" ht="15.0" customHeight="1">
      <c r="B1733" s="54">
        <v>1877.0</v>
      </c>
      <c r="C1733" s="8"/>
      <c r="D1733" s="8"/>
      <c r="E1733" s="8"/>
      <c r="F1733" s="8"/>
      <c r="G1733" s="8"/>
      <c r="H1733" s="8"/>
      <c r="I1733" s="55"/>
      <c r="J1733" s="78" t="s">
        <v>5648</v>
      </c>
      <c r="K1733" s="22">
        <v>0.0</v>
      </c>
      <c r="L1733" s="22">
        <f>+SUMIF('حركه المخزن الرئيسي اليوميه'!$F:$F,$H:$H,'حركه المخزن الرئيسي اليوميه'!$H:$H)</f>
        <v>0.0</v>
      </c>
      <c r="M1733" s="22">
        <f>+SUMIF('حركه المخزن الرئيسي اليوميه'!$F:$F,$H:$H,'حركه المخزن الرئيسي اليوميه'!$I:$I)</f>
        <v>0.0</v>
      </c>
      <c r="N1733" s="22">
        <f>+K1733+L1733-M1733</f>
        <v>0.0</v>
      </c>
      <c r="O1733" s="22">
        <f>+N1733</f>
        <v>0.0</v>
      </c>
      <c r="P1733" s="22">
        <f>+N1733-O1733</f>
        <v>0.0</v>
      </c>
      <c r="Q1733" s="57"/>
      <c r="R1733" s="58"/>
    </row>
    <row r="1734" spans="8:8" ht="15.0" customHeight="1">
      <c r="B1734" s="54">
        <v>1878.0</v>
      </c>
      <c r="C1734" s="8"/>
      <c r="D1734" s="8"/>
      <c r="E1734" s="8"/>
      <c r="F1734" s="8"/>
      <c r="G1734" s="8"/>
      <c r="H1734" s="8"/>
      <c r="I1734" s="55"/>
      <c r="J1734" s="78" t="s">
        <v>5649</v>
      </c>
      <c r="K1734" s="22">
        <v>0.0</v>
      </c>
      <c r="L1734" s="22">
        <f>+SUMIF('حركه المخزن الرئيسي اليوميه'!$F:$F,$H:$H,'حركه المخزن الرئيسي اليوميه'!$H:$H)</f>
        <v>0.0</v>
      </c>
      <c r="M1734" s="22">
        <f>+SUMIF('حركه المخزن الرئيسي اليوميه'!$F:$F,$H:$H,'حركه المخزن الرئيسي اليوميه'!$I:$I)</f>
        <v>0.0</v>
      </c>
      <c r="N1734" s="22">
        <f>+K1734+L1734-M1734</f>
        <v>0.0</v>
      </c>
      <c r="O1734" s="22">
        <f>+N1734</f>
        <v>0.0</v>
      </c>
      <c r="P1734" s="22">
        <f>+N1734-O1734</f>
        <v>0.0</v>
      </c>
      <c r="Q1734" s="57"/>
      <c r="R1734" s="58"/>
    </row>
    <row r="1735" spans="8:8" ht="15.0" customHeight="1">
      <c r="B1735" s="54">
        <v>1879.0</v>
      </c>
      <c r="C1735" s="8"/>
      <c r="D1735" s="8"/>
      <c r="E1735" s="8"/>
      <c r="F1735" s="8"/>
      <c r="G1735" s="8"/>
      <c r="H1735" s="8"/>
      <c r="I1735" s="55"/>
      <c r="J1735" s="78" t="s">
        <v>5650</v>
      </c>
      <c r="K1735" s="22">
        <v>0.0</v>
      </c>
      <c r="L1735" s="22">
        <f>+SUMIF('حركه المخزن الرئيسي اليوميه'!$F:$F,$H:$H,'حركه المخزن الرئيسي اليوميه'!$H:$H)</f>
        <v>0.0</v>
      </c>
      <c r="M1735" s="22">
        <f>+SUMIF('حركه المخزن الرئيسي اليوميه'!$F:$F,$H:$H,'حركه المخزن الرئيسي اليوميه'!$I:$I)</f>
        <v>0.0</v>
      </c>
      <c r="N1735" s="22">
        <f>+K1735+L1735-M1735</f>
        <v>0.0</v>
      </c>
      <c r="O1735" s="22">
        <f>+N1735</f>
        <v>0.0</v>
      </c>
      <c r="P1735" s="22">
        <f>+N1735-O1735</f>
        <v>0.0</v>
      </c>
      <c r="Q1735" s="57"/>
      <c r="R1735" s="58"/>
    </row>
    <row r="1736" spans="8:8" ht="15.0" customHeight="1">
      <c r="B1736" s="54">
        <v>1880.0</v>
      </c>
      <c r="C1736" s="8"/>
      <c r="D1736" s="8"/>
      <c r="E1736" s="8"/>
      <c r="F1736" s="8"/>
      <c r="G1736" s="8"/>
      <c r="H1736" s="8"/>
      <c r="I1736" s="55"/>
      <c r="J1736" s="78" t="s">
        <v>5651</v>
      </c>
      <c r="K1736" s="22">
        <v>0.0</v>
      </c>
      <c r="L1736" s="22">
        <f>+SUMIF('حركه المخزن الرئيسي اليوميه'!$F:$F,$H:$H,'حركه المخزن الرئيسي اليوميه'!$H:$H)</f>
        <v>0.0</v>
      </c>
      <c r="M1736" s="22">
        <f>+SUMIF('حركه المخزن الرئيسي اليوميه'!$F:$F,$H:$H,'حركه المخزن الرئيسي اليوميه'!$I:$I)</f>
        <v>0.0</v>
      </c>
      <c r="N1736" s="22">
        <f>+K1736+L1736-M1736</f>
        <v>0.0</v>
      </c>
      <c r="O1736" s="22">
        <f>+N1736</f>
        <v>0.0</v>
      </c>
      <c r="P1736" s="22">
        <f>+N1736-O1736</f>
        <v>0.0</v>
      </c>
      <c r="Q1736" s="57"/>
      <c r="R1736" s="58"/>
    </row>
    <row r="1737" spans="8:8" ht="15.0" customHeight="1">
      <c r="B1737" s="54">
        <v>1881.0</v>
      </c>
      <c r="C1737" s="8"/>
      <c r="D1737" s="8"/>
      <c r="E1737" s="8"/>
      <c r="F1737" s="8"/>
      <c r="G1737" s="8"/>
      <c r="H1737" s="8"/>
      <c r="I1737" s="55"/>
      <c r="J1737" s="78" t="s">
        <v>5652</v>
      </c>
      <c r="K1737" s="22">
        <v>0.0</v>
      </c>
      <c r="L1737" s="22">
        <f>+SUMIF('حركه المخزن الرئيسي اليوميه'!$F:$F,$H:$H,'حركه المخزن الرئيسي اليوميه'!$H:$H)</f>
        <v>0.0</v>
      </c>
      <c r="M1737" s="22">
        <f>+SUMIF('حركه المخزن الرئيسي اليوميه'!$F:$F,$H:$H,'حركه المخزن الرئيسي اليوميه'!$I:$I)</f>
        <v>0.0</v>
      </c>
      <c r="N1737" s="22">
        <f>+K1737+L1737-M1737</f>
        <v>0.0</v>
      </c>
      <c r="O1737" s="22">
        <f>+N1737</f>
        <v>0.0</v>
      </c>
      <c r="P1737" s="22">
        <f>+N1737-O1737</f>
        <v>0.0</v>
      </c>
      <c r="Q1737" s="57"/>
      <c r="R1737" s="58"/>
    </row>
    <row r="1738" spans="8:8" ht="15.0" customHeight="1">
      <c r="B1738" s="54">
        <v>1882.0</v>
      </c>
      <c r="C1738" s="8"/>
      <c r="D1738" s="8"/>
      <c r="E1738" s="8"/>
      <c r="F1738" s="8"/>
      <c r="G1738" s="8"/>
      <c r="H1738" s="8"/>
      <c r="I1738" s="55"/>
      <c r="J1738" s="78" t="s">
        <v>5653</v>
      </c>
      <c r="K1738" s="22">
        <v>0.0</v>
      </c>
      <c r="L1738" s="22">
        <f>+SUMIF('حركه المخزن الرئيسي اليوميه'!$F:$F,$H:$H,'حركه المخزن الرئيسي اليوميه'!$H:$H)</f>
        <v>0.0</v>
      </c>
      <c r="M1738" s="22">
        <f>+SUMIF('حركه المخزن الرئيسي اليوميه'!$F:$F,$H:$H,'حركه المخزن الرئيسي اليوميه'!$I:$I)</f>
        <v>0.0</v>
      </c>
      <c r="N1738" s="22">
        <f>+K1738+L1738-M1738</f>
        <v>0.0</v>
      </c>
      <c r="O1738" s="22">
        <f>+N1738</f>
        <v>0.0</v>
      </c>
      <c r="P1738" s="22">
        <f>+N1738-O1738</f>
        <v>0.0</v>
      </c>
      <c r="Q1738" s="57"/>
      <c r="R1738" s="58"/>
    </row>
    <row r="1739" spans="8:8" ht="15.0" customHeight="1">
      <c r="B1739" s="54">
        <v>1883.0</v>
      </c>
      <c r="C1739" s="8"/>
      <c r="D1739" s="8"/>
      <c r="E1739" s="8"/>
      <c r="F1739" s="8"/>
      <c r="G1739" s="8"/>
      <c r="H1739" s="8"/>
      <c r="I1739" s="55"/>
      <c r="J1739" s="78" t="s">
        <v>5654</v>
      </c>
      <c r="K1739" s="22">
        <v>0.0</v>
      </c>
      <c r="L1739" s="22">
        <f>+SUMIF('حركه المخزن الرئيسي اليوميه'!$F:$F,$H:$H,'حركه المخزن الرئيسي اليوميه'!$H:$H)</f>
        <v>0.0</v>
      </c>
      <c r="M1739" s="22">
        <f>+SUMIF('حركه المخزن الرئيسي اليوميه'!$F:$F,$H:$H,'حركه المخزن الرئيسي اليوميه'!$I:$I)</f>
        <v>0.0</v>
      </c>
      <c r="N1739" s="22">
        <f>+K1739+L1739-M1739</f>
        <v>0.0</v>
      </c>
      <c r="O1739" s="22">
        <f>+N1739</f>
        <v>0.0</v>
      </c>
      <c r="P1739" s="22">
        <f>+N1739-O1739</f>
        <v>0.0</v>
      </c>
      <c r="Q1739" s="57"/>
      <c r="R1739" s="58"/>
    </row>
    <row r="1740" spans="8:8" ht="15.0" customHeight="1">
      <c r="B1740" s="54">
        <v>1884.0</v>
      </c>
      <c r="C1740" s="8"/>
      <c r="D1740" s="8"/>
      <c r="E1740" s="8"/>
      <c r="F1740" s="8"/>
      <c r="G1740" s="8"/>
      <c r="H1740" s="8"/>
      <c r="I1740" s="55"/>
      <c r="J1740" s="78" t="s">
        <v>5655</v>
      </c>
      <c r="K1740" s="22">
        <v>0.0</v>
      </c>
      <c r="L1740" s="22">
        <f>+SUMIF('حركه المخزن الرئيسي اليوميه'!$F:$F,$H:$H,'حركه المخزن الرئيسي اليوميه'!$H:$H)</f>
        <v>0.0</v>
      </c>
      <c r="M1740" s="22">
        <f>+SUMIF('حركه المخزن الرئيسي اليوميه'!$F:$F,$H:$H,'حركه المخزن الرئيسي اليوميه'!$I:$I)</f>
        <v>0.0</v>
      </c>
      <c r="N1740" s="22">
        <f>+K1740+L1740-M1740</f>
        <v>0.0</v>
      </c>
      <c r="O1740" s="22">
        <f>+N1740</f>
        <v>0.0</v>
      </c>
      <c r="P1740" s="22">
        <f>+N1740-O1740</f>
        <v>0.0</v>
      </c>
      <c r="Q1740" s="57"/>
      <c r="R1740" s="58"/>
    </row>
    <row r="1741" spans="8:8" ht="15.0" customHeight="1">
      <c r="B1741" s="54">
        <v>1885.0</v>
      </c>
      <c r="C1741" s="8"/>
      <c r="D1741" s="8"/>
      <c r="E1741" s="8"/>
      <c r="F1741" s="8"/>
      <c r="G1741" s="8"/>
      <c r="H1741" s="8"/>
      <c r="I1741" s="55"/>
      <c r="J1741" s="78" t="s">
        <v>5656</v>
      </c>
      <c r="K1741" s="22">
        <v>0.0</v>
      </c>
      <c r="L1741" s="22">
        <f>+SUMIF('حركه المخزن الرئيسي اليوميه'!$F:$F,$H:$H,'حركه المخزن الرئيسي اليوميه'!$H:$H)</f>
        <v>0.0</v>
      </c>
      <c r="M1741" s="22">
        <f>+SUMIF('حركه المخزن الرئيسي اليوميه'!$F:$F,$H:$H,'حركه المخزن الرئيسي اليوميه'!$I:$I)</f>
        <v>0.0</v>
      </c>
      <c r="N1741" s="22">
        <f>+K1741+L1741-M1741</f>
        <v>0.0</v>
      </c>
      <c r="O1741" s="22">
        <f>+N1741</f>
        <v>0.0</v>
      </c>
      <c r="P1741" s="22">
        <f>+N1741-O1741</f>
        <v>0.0</v>
      </c>
      <c r="Q1741" s="57"/>
      <c r="R1741" s="58"/>
    </row>
    <row r="1742" spans="8:8" ht="15.0" customHeight="1">
      <c r="B1742" s="54">
        <v>1886.0</v>
      </c>
      <c r="C1742" s="8"/>
      <c r="D1742" s="8"/>
      <c r="E1742" s="8"/>
      <c r="F1742" s="8"/>
      <c r="G1742" s="8"/>
      <c r="H1742" s="8"/>
      <c r="I1742" s="55"/>
      <c r="J1742" s="78" t="s">
        <v>5657</v>
      </c>
      <c r="K1742" s="22">
        <v>0.0</v>
      </c>
      <c r="L1742" s="22">
        <f>+SUMIF('حركه المخزن الرئيسي اليوميه'!$F:$F,$H:$H,'حركه المخزن الرئيسي اليوميه'!$H:$H)</f>
        <v>0.0</v>
      </c>
      <c r="M1742" s="22">
        <f>+SUMIF('حركه المخزن الرئيسي اليوميه'!$F:$F,$H:$H,'حركه المخزن الرئيسي اليوميه'!$I:$I)</f>
        <v>0.0</v>
      </c>
      <c r="N1742" s="22">
        <f>+K1742+L1742-M1742</f>
        <v>0.0</v>
      </c>
      <c r="O1742" s="22">
        <f>+N1742</f>
        <v>0.0</v>
      </c>
      <c r="P1742" s="22">
        <f>+N1742-O1742</f>
        <v>0.0</v>
      </c>
      <c r="Q1742" s="57"/>
      <c r="R1742" s="58"/>
    </row>
    <row r="1743" spans="8:8" ht="15.0" customHeight="1">
      <c r="B1743" s="54">
        <v>1887.0</v>
      </c>
      <c r="C1743" s="8"/>
      <c r="D1743" s="8"/>
      <c r="E1743" s="8"/>
      <c r="F1743" s="8"/>
      <c r="G1743" s="8"/>
      <c r="H1743" s="8"/>
      <c r="I1743" s="55"/>
      <c r="J1743" s="78" t="s">
        <v>5658</v>
      </c>
      <c r="K1743" s="22">
        <v>0.0</v>
      </c>
      <c r="L1743" s="22">
        <f>+SUMIF('حركه المخزن الرئيسي اليوميه'!$F:$F,$H:$H,'حركه المخزن الرئيسي اليوميه'!$H:$H)</f>
        <v>0.0</v>
      </c>
      <c r="M1743" s="22">
        <f>+SUMIF('حركه المخزن الرئيسي اليوميه'!$F:$F,$H:$H,'حركه المخزن الرئيسي اليوميه'!$I:$I)</f>
        <v>0.0</v>
      </c>
      <c r="N1743" s="22">
        <f>+K1743+L1743-M1743</f>
        <v>0.0</v>
      </c>
      <c r="O1743" s="22">
        <f>+N1743</f>
        <v>0.0</v>
      </c>
      <c r="P1743" s="22">
        <f>+N1743-O1743</f>
        <v>0.0</v>
      </c>
      <c r="Q1743" s="57"/>
      <c r="R1743" s="58"/>
    </row>
    <row r="1744" spans="8:8" ht="15.0" customHeight="1">
      <c r="B1744" s="54">
        <v>1888.0</v>
      </c>
      <c r="C1744" s="8"/>
      <c r="D1744" s="8"/>
      <c r="E1744" s="8"/>
      <c r="F1744" s="8"/>
      <c r="G1744" s="8"/>
      <c r="H1744" s="8"/>
      <c r="I1744" s="55"/>
      <c r="J1744" s="78" t="s">
        <v>5659</v>
      </c>
      <c r="K1744" s="22">
        <v>0.0</v>
      </c>
      <c r="L1744" s="22">
        <f>+SUMIF('حركه المخزن الرئيسي اليوميه'!$F:$F,$H:$H,'حركه المخزن الرئيسي اليوميه'!$H:$H)</f>
        <v>0.0</v>
      </c>
      <c r="M1744" s="22">
        <f>+SUMIF('حركه المخزن الرئيسي اليوميه'!$F:$F,$H:$H,'حركه المخزن الرئيسي اليوميه'!$I:$I)</f>
        <v>0.0</v>
      </c>
      <c r="N1744" s="22">
        <f>+K1744+L1744-M1744</f>
        <v>0.0</v>
      </c>
      <c r="O1744" s="22">
        <f>+N1744</f>
        <v>0.0</v>
      </c>
      <c r="P1744" s="22">
        <f>+N1744-O1744</f>
        <v>0.0</v>
      </c>
      <c r="Q1744" s="57"/>
      <c r="R1744" s="58"/>
    </row>
    <row r="1745" spans="8:8" ht="15.0" customHeight="1">
      <c r="B1745" s="54">
        <v>1889.0</v>
      </c>
      <c r="C1745" s="8"/>
      <c r="D1745" s="8"/>
      <c r="E1745" s="8"/>
      <c r="F1745" s="8"/>
      <c r="G1745" s="8"/>
      <c r="H1745" s="8"/>
      <c r="I1745" s="55"/>
      <c r="J1745" s="78" t="s">
        <v>5660</v>
      </c>
      <c r="K1745" s="22">
        <v>0.0</v>
      </c>
      <c r="L1745" s="22">
        <f>+SUMIF('حركه المخزن الرئيسي اليوميه'!$F:$F,$H:$H,'حركه المخزن الرئيسي اليوميه'!$H:$H)</f>
        <v>0.0</v>
      </c>
      <c r="M1745" s="22">
        <f>+SUMIF('حركه المخزن الرئيسي اليوميه'!$F:$F,$H:$H,'حركه المخزن الرئيسي اليوميه'!$I:$I)</f>
        <v>0.0</v>
      </c>
      <c r="N1745" s="22">
        <f>+K1745+L1745-M1745</f>
        <v>0.0</v>
      </c>
      <c r="O1745" s="22">
        <f>+N1745</f>
        <v>0.0</v>
      </c>
      <c r="P1745" s="22">
        <f>+N1745-O1745</f>
        <v>0.0</v>
      </c>
      <c r="Q1745" s="57"/>
      <c r="R1745" s="58"/>
    </row>
    <row r="1746" spans="8:8" ht="15.0" customHeight="1">
      <c r="B1746" s="54">
        <v>1890.0</v>
      </c>
      <c r="C1746" s="8"/>
      <c r="D1746" s="8"/>
      <c r="E1746" s="8"/>
      <c r="F1746" s="8"/>
      <c r="G1746" s="8"/>
      <c r="H1746" s="8"/>
      <c r="I1746" s="55"/>
      <c r="J1746" s="78" t="s">
        <v>5661</v>
      </c>
      <c r="K1746" s="22">
        <v>0.0</v>
      </c>
      <c r="L1746" s="22">
        <f>+SUMIF('حركه المخزن الرئيسي اليوميه'!$F:$F,$H:$H,'حركه المخزن الرئيسي اليوميه'!$H:$H)</f>
        <v>0.0</v>
      </c>
      <c r="M1746" s="22">
        <f>+SUMIF('حركه المخزن الرئيسي اليوميه'!$F:$F,$H:$H,'حركه المخزن الرئيسي اليوميه'!$I:$I)</f>
        <v>0.0</v>
      </c>
      <c r="N1746" s="22">
        <f>+K1746+L1746-M1746</f>
        <v>0.0</v>
      </c>
      <c r="O1746" s="22">
        <f>+N1746</f>
        <v>0.0</v>
      </c>
      <c r="P1746" s="22">
        <f>+N1746-O1746</f>
        <v>0.0</v>
      </c>
      <c r="Q1746" s="57"/>
      <c r="R1746" s="58"/>
    </row>
    <row r="1747" spans="8:8" ht="15.0" customHeight="1">
      <c r="B1747" s="54">
        <v>1891.0</v>
      </c>
      <c r="C1747" s="8"/>
      <c r="D1747" s="8"/>
      <c r="E1747" s="8"/>
      <c r="F1747" s="8"/>
      <c r="G1747" s="8"/>
      <c r="H1747" s="8"/>
      <c r="I1747" s="55"/>
      <c r="J1747" s="78" t="s">
        <v>5662</v>
      </c>
      <c r="K1747" s="22">
        <v>0.0</v>
      </c>
      <c r="L1747" s="22">
        <f>+SUMIF('حركه المخزن الرئيسي اليوميه'!$F:$F,$H:$H,'حركه المخزن الرئيسي اليوميه'!$H:$H)</f>
        <v>0.0</v>
      </c>
      <c r="M1747" s="22">
        <f>+SUMIF('حركه المخزن الرئيسي اليوميه'!$F:$F,$H:$H,'حركه المخزن الرئيسي اليوميه'!$I:$I)</f>
        <v>0.0</v>
      </c>
      <c r="N1747" s="22">
        <f>+K1747+L1747-M1747</f>
        <v>0.0</v>
      </c>
      <c r="O1747" s="22">
        <f>+N1747</f>
        <v>0.0</v>
      </c>
      <c r="P1747" s="22">
        <f>+N1747-O1747</f>
        <v>0.0</v>
      </c>
      <c r="Q1747" s="57"/>
      <c r="R1747" s="58"/>
    </row>
    <row r="1748" spans="8:8" ht="15.0" customHeight="1">
      <c r="B1748" s="54">
        <v>1892.0</v>
      </c>
      <c r="C1748" s="8"/>
      <c r="D1748" s="8"/>
      <c r="E1748" s="8"/>
      <c r="F1748" s="8"/>
      <c r="G1748" s="8"/>
      <c r="H1748" s="8"/>
      <c r="I1748" s="55"/>
      <c r="J1748" s="78" t="s">
        <v>5663</v>
      </c>
      <c r="K1748" s="22">
        <v>0.0</v>
      </c>
      <c r="L1748" s="22">
        <f>+SUMIF('حركه المخزن الرئيسي اليوميه'!$F:$F,$H:$H,'حركه المخزن الرئيسي اليوميه'!$H:$H)</f>
        <v>0.0</v>
      </c>
      <c r="M1748" s="22">
        <f>+SUMIF('حركه المخزن الرئيسي اليوميه'!$F:$F,$H:$H,'حركه المخزن الرئيسي اليوميه'!$I:$I)</f>
        <v>0.0</v>
      </c>
      <c r="N1748" s="22">
        <f>+K1748+L1748-M1748</f>
        <v>0.0</v>
      </c>
      <c r="O1748" s="22">
        <f>+N1748</f>
        <v>0.0</v>
      </c>
      <c r="P1748" s="22">
        <f>+N1748-O1748</f>
        <v>0.0</v>
      </c>
      <c r="Q1748" s="57"/>
      <c r="R1748" s="58"/>
    </row>
    <row r="1749" spans="8:8" ht="15.0" customHeight="1">
      <c r="B1749" s="54">
        <v>1893.0</v>
      </c>
      <c r="C1749" s="8"/>
      <c r="D1749" s="8"/>
      <c r="E1749" s="8"/>
      <c r="F1749" s="8"/>
      <c r="G1749" s="8"/>
      <c r="H1749" s="8"/>
      <c r="I1749" s="55"/>
      <c r="J1749" s="78" t="s">
        <v>5664</v>
      </c>
      <c r="K1749" s="22">
        <v>0.0</v>
      </c>
      <c r="L1749" s="22">
        <f>+SUMIF('حركه المخزن الرئيسي اليوميه'!$F:$F,$H:$H,'حركه المخزن الرئيسي اليوميه'!$H:$H)</f>
        <v>0.0</v>
      </c>
      <c r="M1749" s="22">
        <f>+SUMIF('حركه المخزن الرئيسي اليوميه'!$F:$F,$H:$H,'حركه المخزن الرئيسي اليوميه'!$I:$I)</f>
        <v>0.0</v>
      </c>
      <c r="N1749" s="22">
        <f>+K1749+L1749-M1749</f>
        <v>0.0</v>
      </c>
      <c r="O1749" s="22">
        <f>+N1749</f>
        <v>0.0</v>
      </c>
      <c r="P1749" s="22">
        <f>+N1749-O1749</f>
        <v>0.0</v>
      </c>
      <c r="Q1749" s="57"/>
      <c r="R1749" s="58"/>
    </row>
    <row r="1750" spans="8:8" ht="15.0" customHeight="1">
      <c r="B1750" s="54">
        <v>1894.0</v>
      </c>
      <c r="C1750" s="8"/>
      <c r="D1750" s="8"/>
      <c r="E1750" s="8"/>
      <c r="F1750" s="8"/>
      <c r="G1750" s="8"/>
      <c r="H1750" s="8"/>
      <c r="I1750" s="55"/>
      <c r="J1750" s="78" t="s">
        <v>5665</v>
      </c>
      <c r="K1750" s="22">
        <v>0.0</v>
      </c>
      <c r="L1750" s="22">
        <f>+SUMIF('حركه المخزن الرئيسي اليوميه'!$F:$F,$H:$H,'حركه المخزن الرئيسي اليوميه'!$H:$H)</f>
        <v>0.0</v>
      </c>
      <c r="M1750" s="22">
        <f>+SUMIF('حركه المخزن الرئيسي اليوميه'!$F:$F,$H:$H,'حركه المخزن الرئيسي اليوميه'!$I:$I)</f>
        <v>0.0</v>
      </c>
      <c r="N1750" s="22">
        <f>+K1750+L1750-M1750</f>
        <v>0.0</v>
      </c>
      <c r="O1750" s="22">
        <f>+N1750</f>
        <v>0.0</v>
      </c>
      <c r="P1750" s="22">
        <f>+N1750-O1750</f>
        <v>0.0</v>
      </c>
      <c r="Q1750" s="57"/>
      <c r="R1750" s="58"/>
    </row>
    <row r="1751" spans="8:8" ht="15.0" customHeight="1">
      <c r="B1751" s="54">
        <v>1895.0</v>
      </c>
      <c r="C1751" s="8"/>
      <c r="D1751" s="8"/>
      <c r="E1751" s="8"/>
      <c r="F1751" s="8"/>
      <c r="G1751" s="8"/>
      <c r="H1751" s="8"/>
      <c r="I1751" s="55"/>
      <c r="J1751" s="78" t="s">
        <v>5666</v>
      </c>
      <c r="K1751" s="22">
        <v>0.0</v>
      </c>
      <c r="L1751" s="22">
        <f>+SUMIF('حركه المخزن الرئيسي اليوميه'!$F:$F,$H:$H,'حركه المخزن الرئيسي اليوميه'!$H:$H)</f>
        <v>0.0</v>
      </c>
      <c r="M1751" s="22">
        <f>+SUMIF('حركه المخزن الرئيسي اليوميه'!$F:$F,$H:$H,'حركه المخزن الرئيسي اليوميه'!$I:$I)</f>
        <v>0.0</v>
      </c>
      <c r="N1751" s="22">
        <f>+K1751+L1751-M1751</f>
        <v>0.0</v>
      </c>
      <c r="O1751" s="22">
        <f>+N1751</f>
        <v>0.0</v>
      </c>
      <c r="P1751" s="22">
        <f>+N1751-O1751</f>
        <v>0.0</v>
      </c>
      <c r="Q1751" s="57"/>
      <c r="R1751" s="58"/>
    </row>
    <row r="1752" spans="8:8" ht="15.0" customHeight="1">
      <c r="B1752" s="54">
        <v>1896.0</v>
      </c>
      <c r="C1752" s="8"/>
      <c r="D1752" s="8"/>
      <c r="E1752" s="8"/>
      <c r="F1752" s="8"/>
      <c r="G1752" s="8"/>
      <c r="H1752" s="8"/>
      <c r="I1752" s="55"/>
      <c r="J1752" s="78" t="s">
        <v>5667</v>
      </c>
      <c r="K1752" s="22">
        <v>0.0</v>
      </c>
      <c r="L1752" s="22">
        <f>+SUMIF('حركه المخزن الرئيسي اليوميه'!$F:$F,$H:$H,'حركه المخزن الرئيسي اليوميه'!$H:$H)</f>
        <v>0.0</v>
      </c>
      <c r="M1752" s="22">
        <f>+SUMIF('حركه المخزن الرئيسي اليوميه'!$F:$F,$H:$H,'حركه المخزن الرئيسي اليوميه'!$I:$I)</f>
        <v>0.0</v>
      </c>
      <c r="N1752" s="22">
        <f>+K1752+L1752-M1752</f>
        <v>0.0</v>
      </c>
      <c r="O1752" s="22">
        <f>+N1752</f>
        <v>0.0</v>
      </c>
      <c r="P1752" s="22">
        <f>+N1752-O1752</f>
        <v>0.0</v>
      </c>
      <c r="Q1752" s="57"/>
      <c r="R1752" s="58"/>
    </row>
    <row r="1753" spans="8:8" ht="15.0" customHeight="1">
      <c r="B1753" s="54">
        <v>1897.0</v>
      </c>
      <c r="C1753" s="8"/>
      <c r="D1753" s="8"/>
      <c r="E1753" s="8"/>
      <c r="F1753" s="8"/>
      <c r="G1753" s="8"/>
      <c r="H1753" s="8"/>
      <c r="I1753" s="55"/>
      <c r="J1753" s="78" t="s">
        <v>5668</v>
      </c>
      <c r="K1753" s="22">
        <v>0.0</v>
      </c>
      <c r="L1753" s="22">
        <f>+SUMIF('حركه المخزن الرئيسي اليوميه'!$F:$F,$H:$H,'حركه المخزن الرئيسي اليوميه'!$H:$H)</f>
        <v>0.0</v>
      </c>
      <c r="M1753" s="22">
        <f>+SUMIF('حركه المخزن الرئيسي اليوميه'!$F:$F,$H:$H,'حركه المخزن الرئيسي اليوميه'!$I:$I)</f>
        <v>0.0</v>
      </c>
      <c r="N1753" s="22">
        <f>+K1753+L1753-M1753</f>
        <v>0.0</v>
      </c>
      <c r="O1753" s="22">
        <f>+N1753</f>
        <v>0.0</v>
      </c>
      <c r="P1753" s="22">
        <f>+N1753-O1753</f>
        <v>0.0</v>
      </c>
      <c r="Q1753" s="57"/>
      <c r="R1753" s="58"/>
    </row>
    <row r="1754" spans="8:8" ht="15.0" customHeight="1">
      <c r="B1754" s="54">
        <v>1898.0</v>
      </c>
      <c r="C1754" s="8"/>
      <c r="D1754" s="8"/>
      <c r="E1754" s="8"/>
      <c r="F1754" s="8"/>
      <c r="G1754" s="8"/>
      <c r="H1754" s="8"/>
      <c r="I1754" s="55"/>
      <c r="J1754" s="78" t="s">
        <v>5669</v>
      </c>
      <c r="K1754" s="22">
        <v>0.0</v>
      </c>
      <c r="L1754" s="22">
        <f>+SUMIF('حركه المخزن الرئيسي اليوميه'!$F:$F,$H:$H,'حركه المخزن الرئيسي اليوميه'!$H:$H)</f>
        <v>0.0</v>
      </c>
      <c r="M1754" s="22">
        <f>+SUMIF('حركه المخزن الرئيسي اليوميه'!$F:$F,$H:$H,'حركه المخزن الرئيسي اليوميه'!$I:$I)</f>
        <v>0.0</v>
      </c>
      <c r="N1754" s="22">
        <f>+K1754+L1754-M1754</f>
        <v>0.0</v>
      </c>
      <c r="O1754" s="22">
        <f>+N1754</f>
        <v>0.0</v>
      </c>
      <c r="P1754" s="22">
        <f>+N1754-O1754</f>
        <v>0.0</v>
      </c>
      <c r="Q1754" s="57"/>
      <c r="R1754" s="58"/>
    </row>
    <row r="1755" spans="8:8" ht="15.0" customHeight="1">
      <c r="B1755" s="54">
        <v>1899.0</v>
      </c>
      <c r="C1755" s="8"/>
      <c r="D1755" s="8"/>
      <c r="E1755" s="8"/>
      <c r="F1755" s="8"/>
      <c r="G1755" s="8"/>
      <c r="H1755" s="8"/>
      <c r="I1755" s="55"/>
      <c r="J1755" s="78" t="s">
        <v>5670</v>
      </c>
      <c r="K1755" s="22">
        <v>0.0</v>
      </c>
      <c r="L1755" s="22">
        <f>+SUMIF('حركه المخزن الرئيسي اليوميه'!$F:$F,$H:$H,'حركه المخزن الرئيسي اليوميه'!$H:$H)</f>
        <v>0.0</v>
      </c>
      <c r="M1755" s="22">
        <f>+SUMIF('حركه المخزن الرئيسي اليوميه'!$F:$F,$H:$H,'حركه المخزن الرئيسي اليوميه'!$I:$I)</f>
        <v>0.0</v>
      </c>
      <c r="N1755" s="22">
        <f>+K1755+L1755-M1755</f>
        <v>0.0</v>
      </c>
      <c r="O1755" s="22">
        <f>+N1755</f>
        <v>0.0</v>
      </c>
      <c r="P1755" s="22">
        <f>+N1755-O1755</f>
        <v>0.0</v>
      </c>
      <c r="Q1755" s="57"/>
      <c r="R1755" s="58"/>
    </row>
    <row r="1756" spans="8:8" ht="15.0" customHeight="1">
      <c r="B1756" s="54">
        <v>1900.0</v>
      </c>
      <c r="C1756" s="8"/>
      <c r="D1756" s="8"/>
      <c r="E1756" s="8"/>
      <c r="F1756" s="8"/>
      <c r="G1756" s="8"/>
      <c r="H1756" s="8"/>
      <c r="I1756" s="55"/>
      <c r="J1756" s="78" t="s">
        <v>5671</v>
      </c>
      <c r="K1756" s="22">
        <v>0.0</v>
      </c>
      <c r="L1756" s="22">
        <f>+SUMIF('حركه المخزن الرئيسي اليوميه'!$F:$F,$H:$H,'حركه المخزن الرئيسي اليوميه'!$H:$H)</f>
        <v>0.0</v>
      </c>
      <c r="M1756" s="22">
        <f>+SUMIF('حركه المخزن الرئيسي اليوميه'!$F:$F,$H:$H,'حركه المخزن الرئيسي اليوميه'!$I:$I)</f>
        <v>0.0</v>
      </c>
      <c r="N1756" s="22">
        <f>+K1756+L1756-M1756</f>
        <v>0.0</v>
      </c>
      <c r="O1756" s="22">
        <f>+N1756</f>
        <v>0.0</v>
      </c>
      <c r="P1756" s="22">
        <f>+N1756-O1756</f>
        <v>0.0</v>
      </c>
      <c r="Q1756" s="57"/>
      <c r="R1756" s="58"/>
    </row>
    <row r="1757" spans="8:8" ht="15.0" customHeight="1">
      <c r="B1757" s="54">
        <v>1901.0</v>
      </c>
      <c r="C1757" s="8"/>
      <c r="D1757" s="8"/>
      <c r="E1757" s="8"/>
      <c r="F1757" s="8"/>
      <c r="G1757" s="8"/>
      <c r="H1757" s="8"/>
      <c r="I1757" s="55"/>
      <c r="J1757" s="78" t="s">
        <v>5672</v>
      </c>
      <c r="K1757" s="22">
        <v>0.0</v>
      </c>
      <c r="L1757" s="22">
        <f>+SUMIF('حركه المخزن الرئيسي اليوميه'!$F:$F,$H:$H,'حركه المخزن الرئيسي اليوميه'!$H:$H)</f>
        <v>0.0</v>
      </c>
      <c r="M1757" s="22">
        <f>+SUMIF('حركه المخزن الرئيسي اليوميه'!$F:$F,$H:$H,'حركه المخزن الرئيسي اليوميه'!$I:$I)</f>
        <v>0.0</v>
      </c>
      <c r="N1757" s="22">
        <f>+K1757+L1757-M1757</f>
        <v>0.0</v>
      </c>
      <c r="O1757" s="22">
        <f>+N1757</f>
        <v>0.0</v>
      </c>
      <c r="P1757" s="22">
        <f>+N1757-O1757</f>
        <v>0.0</v>
      </c>
      <c r="Q1757" s="57"/>
      <c r="R1757" s="58"/>
    </row>
    <row r="1758" spans="8:8" ht="15.0" customHeight="1">
      <c r="B1758" s="54">
        <v>1902.0</v>
      </c>
      <c r="C1758" s="8"/>
      <c r="D1758" s="8"/>
      <c r="E1758" s="8"/>
      <c r="F1758" s="8"/>
      <c r="G1758" s="8"/>
      <c r="H1758" s="8"/>
      <c r="I1758" s="55"/>
      <c r="J1758" s="78" t="s">
        <v>5673</v>
      </c>
      <c r="K1758" s="22">
        <v>0.0</v>
      </c>
      <c r="L1758" s="22">
        <f>+SUMIF('حركه المخزن الرئيسي اليوميه'!$F:$F,$H:$H,'حركه المخزن الرئيسي اليوميه'!$H:$H)</f>
        <v>0.0</v>
      </c>
      <c r="M1758" s="22">
        <f>+SUMIF('حركه المخزن الرئيسي اليوميه'!$F:$F,$H:$H,'حركه المخزن الرئيسي اليوميه'!$I:$I)</f>
        <v>0.0</v>
      </c>
      <c r="N1758" s="22">
        <f>+K1758+L1758-M1758</f>
        <v>0.0</v>
      </c>
      <c r="O1758" s="22">
        <f>+N1758</f>
        <v>0.0</v>
      </c>
      <c r="P1758" s="22">
        <f>+N1758-O1758</f>
        <v>0.0</v>
      </c>
      <c r="Q1758" s="57"/>
      <c r="R1758" s="58"/>
    </row>
    <row r="1759" spans="8:8" ht="15.0" customHeight="1">
      <c r="B1759" s="54">
        <v>1903.0</v>
      </c>
      <c r="C1759" s="8"/>
      <c r="D1759" s="8"/>
      <c r="E1759" s="8"/>
      <c r="F1759" s="8"/>
      <c r="G1759" s="8"/>
      <c r="H1759" s="8"/>
      <c r="I1759" s="55"/>
      <c r="J1759" s="78" t="s">
        <v>5674</v>
      </c>
      <c r="K1759" s="22">
        <v>0.0</v>
      </c>
      <c r="L1759" s="22">
        <f>+SUMIF('حركه المخزن الرئيسي اليوميه'!$F:$F,$H:$H,'حركه المخزن الرئيسي اليوميه'!$H:$H)</f>
        <v>0.0</v>
      </c>
      <c r="M1759" s="22">
        <f>+SUMIF('حركه المخزن الرئيسي اليوميه'!$F:$F,$H:$H,'حركه المخزن الرئيسي اليوميه'!$I:$I)</f>
        <v>0.0</v>
      </c>
      <c r="N1759" s="22">
        <f>+K1759+L1759-M1759</f>
        <v>0.0</v>
      </c>
      <c r="O1759" s="22">
        <f>+N1759</f>
        <v>0.0</v>
      </c>
      <c r="P1759" s="22">
        <f>+N1759-O1759</f>
        <v>0.0</v>
      </c>
      <c r="Q1759" s="57"/>
      <c r="R1759" s="58"/>
    </row>
    <row r="1760" spans="8:8" ht="15.0" customHeight="1">
      <c r="B1760" s="54">
        <v>1904.0</v>
      </c>
      <c r="C1760" s="8"/>
      <c r="D1760" s="8"/>
      <c r="E1760" s="8"/>
      <c r="F1760" s="8"/>
      <c r="G1760" s="8"/>
      <c r="H1760" s="8"/>
      <c r="I1760" s="55"/>
      <c r="J1760" s="78" t="s">
        <v>5675</v>
      </c>
      <c r="K1760" s="22">
        <v>0.0</v>
      </c>
      <c r="L1760" s="22">
        <f>+SUMIF('حركه المخزن الرئيسي اليوميه'!$F:$F,$H:$H,'حركه المخزن الرئيسي اليوميه'!$H:$H)</f>
        <v>0.0</v>
      </c>
      <c r="M1760" s="22">
        <f>+SUMIF('حركه المخزن الرئيسي اليوميه'!$F:$F,$H:$H,'حركه المخزن الرئيسي اليوميه'!$I:$I)</f>
        <v>0.0</v>
      </c>
      <c r="N1760" s="22">
        <f>+K1760+L1760-M1760</f>
        <v>0.0</v>
      </c>
      <c r="O1760" s="22">
        <f>+N1760</f>
        <v>0.0</v>
      </c>
      <c r="P1760" s="22">
        <f>+N1760-O1760</f>
        <v>0.0</v>
      </c>
      <c r="Q1760" s="57"/>
      <c r="R1760" s="58"/>
    </row>
    <row r="1761" spans="8:8" ht="15.0" customHeight="1">
      <c r="B1761" s="54">
        <v>1905.0</v>
      </c>
      <c r="C1761" s="8"/>
      <c r="D1761" s="8"/>
      <c r="E1761" s="8"/>
      <c r="F1761" s="8"/>
      <c r="G1761" s="8"/>
      <c r="H1761" s="8"/>
      <c r="I1761" s="55"/>
      <c r="J1761" s="78" t="s">
        <v>5676</v>
      </c>
      <c r="K1761" s="22">
        <v>0.0</v>
      </c>
      <c r="L1761" s="22">
        <f>+SUMIF('حركه المخزن الرئيسي اليوميه'!$F:$F,$H:$H,'حركه المخزن الرئيسي اليوميه'!$H:$H)</f>
        <v>0.0</v>
      </c>
      <c r="M1761" s="22">
        <f>+SUMIF('حركه المخزن الرئيسي اليوميه'!$F:$F,$H:$H,'حركه المخزن الرئيسي اليوميه'!$I:$I)</f>
        <v>0.0</v>
      </c>
      <c r="N1761" s="22">
        <f>+K1761+L1761-M1761</f>
        <v>0.0</v>
      </c>
      <c r="O1761" s="22">
        <f>+N1761</f>
        <v>0.0</v>
      </c>
      <c r="P1761" s="22">
        <f>+N1761-O1761</f>
        <v>0.0</v>
      </c>
      <c r="Q1761" s="57"/>
      <c r="R1761" s="58"/>
    </row>
    <row r="1762" spans="8:8" ht="15.0" customHeight="1">
      <c r="B1762" s="54">
        <v>1906.0</v>
      </c>
      <c r="C1762" s="8"/>
      <c r="D1762" s="8"/>
      <c r="E1762" s="8"/>
      <c r="F1762" s="8"/>
      <c r="G1762" s="8"/>
      <c r="H1762" s="8"/>
      <c r="I1762" s="55"/>
      <c r="J1762" s="78" t="s">
        <v>5677</v>
      </c>
      <c r="K1762" s="22">
        <v>0.0</v>
      </c>
      <c r="L1762" s="22">
        <f>+SUMIF('حركه المخزن الرئيسي اليوميه'!$F:$F,$H:$H,'حركه المخزن الرئيسي اليوميه'!$H:$H)</f>
        <v>0.0</v>
      </c>
      <c r="M1762" s="22">
        <f>+SUMIF('حركه المخزن الرئيسي اليوميه'!$F:$F,$H:$H,'حركه المخزن الرئيسي اليوميه'!$I:$I)</f>
        <v>0.0</v>
      </c>
      <c r="N1762" s="22">
        <f>+K1762+L1762-M1762</f>
        <v>0.0</v>
      </c>
      <c r="O1762" s="22">
        <f>+N1762</f>
        <v>0.0</v>
      </c>
      <c r="P1762" s="22">
        <f>+N1762-O1762</f>
        <v>0.0</v>
      </c>
      <c r="Q1762" s="57"/>
      <c r="R1762" s="58"/>
    </row>
    <row r="1763" spans="8:8" ht="15.0" customHeight="1">
      <c r="B1763" s="54">
        <v>1907.0</v>
      </c>
      <c r="C1763" s="8"/>
      <c r="D1763" s="8"/>
      <c r="E1763" s="8"/>
      <c r="F1763" s="8"/>
      <c r="G1763" s="8"/>
      <c r="H1763" s="8"/>
      <c r="I1763" s="55"/>
      <c r="J1763" s="78" t="s">
        <v>5678</v>
      </c>
      <c r="K1763" s="22">
        <v>0.0</v>
      </c>
      <c r="L1763" s="22">
        <f>+SUMIF('حركه المخزن الرئيسي اليوميه'!$F:$F,$H:$H,'حركه المخزن الرئيسي اليوميه'!$H:$H)</f>
        <v>0.0</v>
      </c>
      <c r="M1763" s="22">
        <f>+SUMIF('حركه المخزن الرئيسي اليوميه'!$F:$F,$H:$H,'حركه المخزن الرئيسي اليوميه'!$I:$I)</f>
        <v>0.0</v>
      </c>
      <c r="N1763" s="22">
        <f>+K1763+L1763-M1763</f>
        <v>0.0</v>
      </c>
      <c r="O1763" s="22">
        <f>+N1763</f>
        <v>0.0</v>
      </c>
      <c r="P1763" s="22">
        <f>+N1763-O1763</f>
        <v>0.0</v>
      </c>
      <c r="Q1763" s="57"/>
      <c r="R1763" s="58"/>
    </row>
    <row r="1764" spans="8:8" ht="15.0" customHeight="1">
      <c r="B1764" s="54">
        <v>1908.0</v>
      </c>
      <c r="C1764" s="8"/>
      <c r="D1764" s="8"/>
      <c r="E1764" s="8"/>
      <c r="F1764" s="8"/>
      <c r="G1764" s="8"/>
      <c r="H1764" s="8"/>
      <c r="I1764" s="55"/>
      <c r="J1764" s="78" t="s">
        <v>5679</v>
      </c>
      <c r="K1764" s="22">
        <v>0.0</v>
      </c>
      <c r="L1764" s="22">
        <f>+SUMIF('حركه المخزن الرئيسي اليوميه'!$F:$F,$H:$H,'حركه المخزن الرئيسي اليوميه'!$H:$H)</f>
        <v>0.0</v>
      </c>
      <c r="M1764" s="22">
        <f>+SUMIF('حركه المخزن الرئيسي اليوميه'!$F:$F,$H:$H,'حركه المخزن الرئيسي اليوميه'!$I:$I)</f>
        <v>0.0</v>
      </c>
      <c r="N1764" s="22">
        <f>+K1764+L1764-M1764</f>
        <v>0.0</v>
      </c>
      <c r="O1764" s="22">
        <f>+N1764</f>
        <v>0.0</v>
      </c>
      <c r="P1764" s="22">
        <f>+N1764-O1764</f>
        <v>0.0</v>
      </c>
      <c r="Q1764" s="57"/>
      <c r="R1764" s="58"/>
    </row>
    <row r="1765" spans="8:8" ht="15.0" customHeight="1">
      <c r="B1765" s="54">
        <v>1909.0</v>
      </c>
      <c r="C1765" s="8"/>
      <c r="D1765" s="8"/>
      <c r="E1765" s="8"/>
      <c r="F1765" s="8"/>
      <c r="G1765" s="8"/>
      <c r="H1765" s="8"/>
      <c r="I1765" s="55"/>
      <c r="J1765" s="78" t="s">
        <v>5680</v>
      </c>
      <c r="K1765" s="22">
        <v>0.0</v>
      </c>
      <c r="L1765" s="22">
        <f>+SUMIF('حركه المخزن الرئيسي اليوميه'!$F:$F,$H:$H,'حركه المخزن الرئيسي اليوميه'!$H:$H)</f>
        <v>0.0</v>
      </c>
      <c r="M1765" s="22">
        <f>+SUMIF('حركه المخزن الرئيسي اليوميه'!$F:$F,$H:$H,'حركه المخزن الرئيسي اليوميه'!$I:$I)</f>
        <v>0.0</v>
      </c>
      <c r="N1765" s="22">
        <f>+K1765+L1765-M1765</f>
        <v>0.0</v>
      </c>
      <c r="O1765" s="22">
        <f>+N1765</f>
        <v>0.0</v>
      </c>
      <c r="P1765" s="22">
        <f>+N1765-O1765</f>
        <v>0.0</v>
      </c>
      <c r="Q1765" s="57"/>
      <c r="R1765" s="58"/>
    </row>
    <row r="1766" spans="8:8" ht="15.0" customHeight="1">
      <c r="B1766" s="54">
        <v>1910.0</v>
      </c>
      <c r="C1766" s="8"/>
      <c r="D1766" s="8"/>
      <c r="E1766" s="8"/>
      <c r="F1766" s="8"/>
      <c r="G1766" s="8"/>
      <c r="H1766" s="8"/>
      <c r="I1766" s="55"/>
      <c r="J1766" s="78" t="s">
        <v>5681</v>
      </c>
      <c r="K1766" s="22">
        <v>0.0</v>
      </c>
      <c r="L1766" s="22">
        <f>+SUMIF('حركه المخزن الرئيسي اليوميه'!$F:$F,$H:$H,'حركه المخزن الرئيسي اليوميه'!$H:$H)</f>
        <v>0.0</v>
      </c>
      <c r="M1766" s="22">
        <f>+SUMIF('حركه المخزن الرئيسي اليوميه'!$F:$F,$H:$H,'حركه المخزن الرئيسي اليوميه'!$I:$I)</f>
        <v>0.0</v>
      </c>
      <c r="N1766" s="22">
        <f>+K1766+L1766-M1766</f>
        <v>0.0</v>
      </c>
      <c r="O1766" s="22">
        <f>+N1766</f>
        <v>0.0</v>
      </c>
      <c r="P1766" s="22">
        <f>+N1766-O1766</f>
        <v>0.0</v>
      </c>
      <c r="Q1766" s="57"/>
      <c r="R1766" s="58"/>
    </row>
    <row r="1767" spans="8:8" ht="15.0" customHeight="1">
      <c r="B1767" s="54">
        <v>1911.0</v>
      </c>
      <c r="C1767" s="8"/>
      <c r="D1767" s="8"/>
      <c r="E1767" s="8"/>
      <c r="F1767" s="8"/>
      <c r="G1767" s="8"/>
      <c r="H1767" s="8"/>
      <c r="I1767" s="55"/>
      <c r="J1767" s="78" t="s">
        <v>5682</v>
      </c>
      <c r="K1767" s="22">
        <v>0.0</v>
      </c>
      <c r="L1767" s="22">
        <f>+SUMIF('حركه المخزن الرئيسي اليوميه'!$F:$F,$H:$H,'حركه المخزن الرئيسي اليوميه'!$H:$H)</f>
        <v>0.0</v>
      </c>
      <c r="M1767" s="22">
        <f>+SUMIF('حركه المخزن الرئيسي اليوميه'!$F:$F,$H:$H,'حركه المخزن الرئيسي اليوميه'!$I:$I)</f>
        <v>0.0</v>
      </c>
      <c r="N1767" s="22">
        <f>+K1767+L1767-M1767</f>
        <v>0.0</v>
      </c>
      <c r="O1767" s="22">
        <f>+N1767</f>
        <v>0.0</v>
      </c>
      <c r="P1767" s="22">
        <f>+N1767-O1767</f>
        <v>0.0</v>
      </c>
      <c r="Q1767" s="57"/>
      <c r="R1767" s="58"/>
    </row>
    <row r="1768" spans="8:8" ht="15.0" customHeight="1">
      <c r="B1768" s="54">
        <v>1912.0</v>
      </c>
      <c r="C1768" s="8"/>
      <c r="D1768" s="8"/>
      <c r="E1768" s="8"/>
      <c r="F1768" s="8"/>
      <c r="G1768" s="8"/>
      <c r="H1768" s="8"/>
      <c r="I1768" s="55"/>
      <c r="J1768" s="78" t="s">
        <v>5683</v>
      </c>
      <c r="K1768" s="22">
        <v>0.0</v>
      </c>
      <c r="L1768" s="22">
        <f>+SUMIF('حركه المخزن الرئيسي اليوميه'!$F:$F,$H:$H,'حركه المخزن الرئيسي اليوميه'!$H:$H)</f>
        <v>0.0</v>
      </c>
      <c r="M1768" s="22">
        <f>+SUMIF('حركه المخزن الرئيسي اليوميه'!$F:$F,$H:$H,'حركه المخزن الرئيسي اليوميه'!$I:$I)</f>
        <v>0.0</v>
      </c>
      <c r="N1768" s="22">
        <f>+K1768+L1768-M1768</f>
        <v>0.0</v>
      </c>
      <c r="O1768" s="22">
        <f>+N1768</f>
        <v>0.0</v>
      </c>
      <c r="P1768" s="22">
        <f>+N1768-O1768</f>
        <v>0.0</v>
      </c>
      <c r="Q1768" s="57"/>
      <c r="R1768" s="58"/>
    </row>
    <row r="1769" spans="8:8" ht="15.0" customHeight="1">
      <c r="B1769" s="54">
        <v>1913.0</v>
      </c>
      <c r="C1769" s="8"/>
      <c r="D1769" s="8"/>
      <c r="E1769" s="8"/>
      <c r="F1769" s="8"/>
      <c r="G1769" s="8"/>
      <c r="H1769" s="8"/>
      <c r="I1769" s="55"/>
      <c r="J1769" s="78" t="s">
        <v>5684</v>
      </c>
      <c r="K1769" s="22">
        <v>0.0</v>
      </c>
      <c r="L1769" s="22">
        <f>+SUMIF('حركه المخزن الرئيسي اليوميه'!$F:$F,$H:$H,'حركه المخزن الرئيسي اليوميه'!$H:$H)</f>
        <v>0.0</v>
      </c>
      <c r="M1769" s="22">
        <f>+SUMIF('حركه المخزن الرئيسي اليوميه'!$F:$F,$H:$H,'حركه المخزن الرئيسي اليوميه'!$I:$I)</f>
        <v>0.0</v>
      </c>
      <c r="N1769" s="22">
        <f>+K1769+L1769-M1769</f>
        <v>0.0</v>
      </c>
      <c r="O1769" s="22">
        <f>+N1769</f>
        <v>0.0</v>
      </c>
      <c r="P1769" s="22">
        <f>+N1769-O1769</f>
        <v>0.0</v>
      </c>
      <c r="Q1769" s="57"/>
      <c r="R1769" s="58"/>
    </row>
    <row r="1770" spans="8:8" ht="15.0" customHeight="1">
      <c r="B1770" s="54">
        <v>1914.0</v>
      </c>
      <c r="C1770" s="8"/>
      <c r="D1770" s="8"/>
      <c r="E1770" s="8"/>
      <c r="F1770" s="8"/>
      <c r="G1770" s="8"/>
      <c r="H1770" s="8"/>
      <c r="I1770" s="55"/>
      <c r="J1770" s="78" t="s">
        <v>5685</v>
      </c>
      <c r="K1770" s="22">
        <v>0.0</v>
      </c>
      <c r="L1770" s="22">
        <f>+SUMIF('حركه المخزن الرئيسي اليوميه'!$F:$F,$H:$H,'حركه المخزن الرئيسي اليوميه'!$H:$H)</f>
        <v>0.0</v>
      </c>
      <c r="M1770" s="22">
        <f>+SUMIF('حركه المخزن الرئيسي اليوميه'!$F:$F,$H:$H,'حركه المخزن الرئيسي اليوميه'!$I:$I)</f>
        <v>0.0</v>
      </c>
      <c r="N1770" s="22">
        <f>+K1770+L1770-M1770</f>
        <v>0.0</v>
      </c>
      <c r="O1770" s="22">
        <f>+N1770</f>
        <v>0.0</v>
      </c>
      <c r="P1770" s="22">
        <f>+N1770-O1770</f>
        <v>0.0</v>
      </c>
      <c r="Q1770" s="57"/>
      <c r="R1770" s="58"/>
    </row>
    <row r="1771" spans="8:8" ht="15.0" customHeight="1">
      <c r="B1771" s="54">
        <v>1915.0</v>
      </c>
      <c r="C1771" s="8"/>
      <c r="D1771" s="8"/>
      <c r="E1771" s="8"/>
      <c r="F1771" s="8"/>
      <c r="G1771" s="8"/>
      <c r="H1771" s="8"/>
      <c r="I1771" s="55"/>
      <c r="J1771" s="78" t="s">
        <v>5686</v>
      </c>
      <c r="K1771" s="22">
        <v>0.0</v>
      </c>
      <c r="L1771" s="22">
        <f>+SUMIF('حركه المخزن الرئيسي اليوميه'!$F:$F,$H:$H,'حركه المخزن الرئيسي اليوميه'!$H:$H)</f>
        <v>0.0</v>
      </c>
      <c r="M1771" s="22">
        <f>+SUMIF('حركه المخزن الرئيسي اليوميه'!$F:$F,$H:$H,'حركه المخزن الرئيسي اليوميه'!$I:$I)</f>
        <v>0.0</v>
      </c>
      <c r="N1771" s="22">
        <f>+K1771+L1771-M1771</f>
        <v>0.0</v>
      </c>
      <c r="O1771" s="22">
        <f>+N1771</f>
        <v>0.0</v>
      </c>
      <c r="P1771" s="22">
        <f>+N1771-O1771</f>
        <v>0.0</v>
      </c>
      <c r="Q1771" s="57"/>
      <c r="R1771" s="58"/>
    </row>
    <row r="1772" spans="8:8" ht="15.0" customHeight="1">
      <c r="B1772" s="54">
        <v>1916.0</v>
      </c>
      <c r="C1772" s="8"/>
      <c r="D1772" s="8"/>
      <c r="E1772" s="8"/>
      <c r="F1772" s="8"/>
      <c r="G1772" s="8"/>
      <c r="H1772" s="8"/>
      <c r="I1772" s="55"/>
      <c r="J1772" s="78" t="s">
        <v>5687</v>
      </c>
      <c r="K1772" s="22">
        <v>0.0</v>
      </c>
      <c r="L1772" s="22">
        <f>+SUMIF('حركه المخزن الرئيسي اليوميه'!$F:$F,$H:$H,'حركه المخزن الرئيسي اليوميه'!$H:$H)</f>
        <v>0.0</v>
      </c>
      <c r="M1772" s="22">
        <f>+SUMIF('حركه المخزن الرئيسي اليوميه'!$F:$F,$H:$H,'حركه المخزن الرئيسي اليوميه'!$I:$I)</f>
        <v>0.0</v>
      </c>
      <c r="N1772" s="22">
        <f>+K1772+L1772-M1772</f>
        <v>0.0</v>
      </c>
      <c r="O1772" s="22">
        <f>+N1772</f>
        <v>0.0</v>
      </c>
      <c r="P1772" s="22">
        <f>+N1772-O1772</f>
        <v>0.0</v>
      </c>
      <c r="Q1772" s="57"/>
      <c r="R1772" s="58"/>
    </row>
    <row r="1773" spans="8:8" ht="15.0" customHeight="1">
      <c r="B1773" s="54">
        <v>1917.0</v>
      </c>
      <c r="C1773" s="8"/>
      <c r="D1773" s="8"/>
      <c r="E1773" s="8"/>
      <c r="F1773" s="8"/>
      <c r="G1773" s="8"/>
      <c r="H1773" s="8"/>
      <c r="I1773" s="55"/>
      <c r="J1773" s="78" t="s">
        <v>5688</v>
      </c>
      <c r="K1773" s="22">
        <v>0.0</v>
      </c>
      <c r="L1773" s="22">
        <f>+SUMIF('حركه المخزن الرئيسي اليوميه'!$F:$F,$H:$H,'حركه المخزن الرئيسي اليوميه'!$H:$H)</f>
        <v>0.0</v>
      </c>
      <c r="M1773" s="22">
        <f>+SUMIF('حركه المخزن الرئيسي اليوميه'!$F:$F,$H:$H,'حركه المخزن الرئيسي اليوميه'!$I:$I)</f>
        <v>0.0</v>
      </c>
      <c r="N1773" s="22">
        <f>+K1773+L1773-M1773</f>
        <v>0.0</v>
      </c>
      <c r="O1773" s="22">
        <f>+N1773</f>
        <v>0.0</v>
      </c>
      <c r="P1773" s="22">
        <f>+N1773-O1773</f>
        <v>0.0</v>
      </c>
      <c r="Q1773" s="57"/>
      <c r="R1773" s="58"/>
    </row>
    <row r="1774" spans="8:8" ht="15.0" customHeight="1">
      <c r="B1774" s="54">
        <v>1918.0</v>
      </c>
      <c r="C1774" s="8"/>
      <c r="D1774" s="8"/>
      <c r="E1774" s="8"/>
      <c r="F1774" s="8"/>
      <c r="G1774" s="8"/>
      <c r="H1774" s="8"/>
      <c r="I1774" s="55"/>
      <c r="J1774" s="78" t="s">
        <v>5689</v>
      </c>
      <c r="K1774" s="22">
        <v>0.0</v>
      </c>
      <c r="L1774" s="22">
        <f>+SUMIF('حركه المخزن الرئيسي اليوميه'!$F:$F,$H:$H,'حركه المخزن الرئيسي اليوميه'!$H:$H)</f>
        <v>0.0</v>
      </c>
      <c r="M1774" s="22">
        <f>+SUMIF('حركه المخزن الرئيسي اليوميه'!$F:$F,$H:$H,'حركه المخزن الرئيسي اليوميه'!$I:$I)</f>
        <v>0.0</v>
      </c>
      <c r="N1774" s="22">
        <f>+K1774+L1774-M1774</f>
        <v>0.0</v>
      </c>
      <c r="O1774" s="22">
        <f>+N1774</f>
        <v>0.0</v>
      </c>
      <c r="P1774" s="22">
        <f>+N1774-O1774</f>
        <v>0.0</v>
      </c>
      <c r="Q1774" s="57"/>
      <c r="R1774" s="58"/>
    </row>
    <row r="1775" spans="8:8" ht="15.0" customHeight="1">
      <c r="B1775" s="54">
        <v>1919.0</v>
      </c>
      <c r="C1775" s="8"/>
      <c r="D1775" s="8"/>
      <c r="E1775" s="8"/>
      <c r="F1775" s="8"/>
      <c r="G1775" s="8"/>
      <c r="H1775" s="8"/>
      <c r="I1775" s="55"/>
      <c r="J1775" s="78" t="s">
        <v>5690</v>
      </c>
      <c r="K1775" s="22">
        <v>0.0</v>
      </c>
      <c r="L1775" s="22">
        <f>+SUMIF('حركه المخزن الرئيسي اليوميه'!$F:$F,$H:$H,'حركه المخزن الرئيسي اليوميه'!$H:$H)</f>
        <v>0.0</v>
      </c>
      <c r="M1775" s="22">
        <f>+SUMIF('حركه المخزن الرئيسي اليوميه'!$F:$F,$H:$H,'حركه المخزن الرئيسي اليوميه'!$I:$I)</f>
        <v>0.0</v>
      </c>
      <c r="N1775" s="22">
        <f>+K1775+L1775-M1775</f>
        <v>0.0</v>
      </c>
      <c r="O1775" s="22">
        <f>+N1775</f>
        <v>0.0</v>
      </c>
      <c r="P1775" s="22">
        <f>+N1775-O1775</f>
        <v>0.0</v>
      </c>
      <c r="Q1775" s="57"/>
      <c r="R1775" s="58"/>
    </row>
    <row r="1776" spans="8:8" ht="15.0" customHeight="1">
      <c r="B1776" s="54">
        <v>1920.0</v>
      </c>
      <c r="C1776" s="8"/>
      <c r="D1776" s="8"/>
      <c r="E1776" s="8"/>
      <c r="F1776" s="8"/>
      <c r="G1776" s="8"/>
      <c r="H1776" s="8"/>
      <c r="I1776" s="55"/>
      <c r="J1776" s="78" t="s">
        <v>5691</v>
      </c>
      <c r="K1776" s="22">
        <v>0.0</v>
      </c>
      <c r="L1776" s="22">
        <f>+SUMIF('حركه المخزن الرئيسي اليوميه'!$F:$F,$H:$H,'حركه المخزن الرئيسي اليوميه'!$H:$H)</f>
        <v>0.0</v>
      </c>
      <c r="M1776" s="22">
        <f>+SUMIF('حركه المخزن الرئيسي اليوميه'!$F:$F,$H:$H,'حركه المخزن الرئيسي اليوميه'!$I:$I)</f>
        <v>0.0</v>
      </c>
      <c r="N1776" s="22">
        <f>+K1776+L1776-M1776</f>
        <v>0.0</v>
      </c>
      <c r="O1776" s="22">
        <f>+N1776</f>
        <v>0.0</v>
      </c>
      <c r="P1776" s="22">
        <f>+N1776-O1776</f>
        <v>0.0</v>
      </c>
      <c r="Q1776" s="57"/>
      <c r="R1776" s="58"/>
    </row>
    <row r="1777" spans="8:8" ht="15.0" customHeight="1">
      <c r="B1777" s="54">
        <v>1921.0</v>
      </c>
      <c r="C1777" s="8"/>
      <c r="D1777" s="8"/>
      <c r="E1777" s="8"/>
      <c r="F1777" s="8"/>
      <c r="G1777" s="8"/>
      <c r="H1777" s="8"/>
      <c r="I1777" s="55"/>
      <c r="J1777" s="78" t="s">
        <v>5692</v>
      </c>
      <c r="K1777" s="22">
        <v>0.0</v>
      </c>
      <c r="L1777" s="22">
        <f>+SUMIF('حركه المخزن الرئيسي اليوميه'!$F:$F,$H:$H,'حركه المخزن الرئيسي اليوميه'!$H:$H)</f>
        <v>0.0</v>
      </c>
      <c r="M1777" s="22">
        <f>+SUMIF('حركه المخزن الرئيسي اليوميه'!$F:$F,$H:$H,'حركه المخزن الرئيسي اليوميه'!$I:$I)</f>
        <v>0.0</v>
      </c>
      <c r="N1777" s="22">
        <f>+K1777+L1777-M1777</f>
        <v>0.0</v>
      </c>
      <c r="O1777" s="22">
        <f>+N1777</f>
        <v>0.0</v>
      </c>
      <c r="P1777" s="22">
        <f>+N1777-O1777</f>
        <v>0.0</v>
      </c>
      <c r="Q1777" s="57"/>
      <c r="R1777" s="58"/>
    </row>
    <row r="1778" spans="8:8" ht="15.0" customHeight="1">
      <c r="B1778" s="54">
        <v>1922.0</v>
      </c>
      <c r="C1778" s="8"/>
      <c r="D1778" s="8"/>
      <c r="E1778" s="8"/>
      <c r="F1778" s="8"/>
      <c r="G1778" s="8"/>
      <c r="H1778" s="8"/>
      <c r="I1778" s="55"/>
      <c r="J1778" s="78" t="s">
        <v>5693</v>
      </c>
      <c r="K1778" s="22">
        <v>0.0</v>
      </c>
      <c r="L1778" s="22">
        <f>+SUMIF('حركه المخزن الرئيسي اليوميه'!$F:$F,$H:$H,'حركه المخزن الرئيسي اليوميه'!$H:$H)</f>
        <v>0.0</v>
      </c>
      <c r="M1778" s="22">
        <f>+SUMIF('حركه المخزن الرئيسي اليوميه'!$F:$F,$H:$H,'حركه المخزن الرئيسي اليوميه'!$I:$I)</f>
        <v>0.0</v>
      </c>
      <c r="N1778" s="22">
        <f>+K1778+L1778-M1778</f>
        <v>0.0</v>
      </c>
      <c r="O1778" s="22">
        <f>+N1778</f>
        <v>0.0</v>
      </c>
      <c r="P1778" s="22">
        <f>+N1778-O1778</f>
        <v>0.0</v>
      </c>
      <c r="Q1778" s="57"/>
      <c r="R1778" s="58"/>
    </row>
    <row r="1779" spans="8:8" ht="15.0" customHeight="1">
      <c r="B1779" s="54">
        <v>1923.0</v>
      </c>
      <c r="C1779" s="8"/>
      <c r="D1779" s="8"/>
      <c r="E1779" s="8"/>
      <c r="F1779" s="8"/>
      <c r="G1779" s="8"/>
      <c r="H1779" s="8"/>
      <c r="I1779" s="55"/>
      <c r="J1779" s="78" t="s">
        <v>5694</v>
      </c>
      <c r="K1779" s="22">
        <v>0.0</v>
      </c>
      <c r="L1779" s="22">
        <f>+SUMIF('حركه المخزن الرئيسي اليوميه'!$F:$F,$H:$H,'حركه المخزن الرئيسي اليوميه'!$H:$H)</f>
        <v>0.0</v>
      </c>
      <c r="M1779" s="22">
        <f>+SUMIF('حركه المخزن الرئيسي اليوميه'!$F:$F,$H:$H,'حركه المخزن الرئيسي اليوميه'!$I:$I)</f>
        <v>0.0</v>
      </c>
      <c r="N1779" s="22">
        <f>+K1779+L1779-M1779</f>
        <v>0.0</v>
      </c>
      <c r="O1779" s="22">
        <f>+N1779</f>
        <v>0.0</v>
      </c>
      <c r="P1779" s="22">
        <f>+N1779-O1779</f>
        <v>0.0</v>
      </c>
      <c r="Q1779" s="57"/>
      <c r="R1779" s="58"/>
    </row>
    <row r="1780" spans="8:8" ht="15.0" customHeight="1">
      <c r="B1780" s="54">
        <v>1924.0</v>
      </c>
      <c r="C1780" s="8"/>
      <c r="D1780" s="8"/>
      <c r="E1780" s="8"/>
      <c r="F1780" s="8"/>
      <c r="G1780" s="8"/>
      <c r="H1780" s="8"/>
      <c r="I1780" s="55"/>
      <c r="J1780" s="78" t="s">
        <v>5695</v>
      </c>
      <c r="K1780" s="22">
        <v>0.0</v>
      </c>
      <c r="L1780" s="22">
        <f>+SUMIF('حركه المخزن الرئيسي اليوميه'!$F:$F,$H:$H,'حركه المخزن الرئيسي اليوميه'!$H:$H)</f>
        <v>0.0</v>
      </c>
      <c r="M1780" s="22">
        <f>+SUMIF('حركه المخزن الرئيسي اليوميه'!$F:$F,$H:$H,'حركه المخزن الرئيسي اليوميه'!$I:$I)</f>
        <v>0.0</v>
      </c>
      <c r="N1780" s="22">
        <f>+K1780+L1780-M1780</f>
        <v>0.0</v>
      </c>
      <c r="O1780" s="22">
        <f>+N1780</f>
        <v>0.0</v>
      </c>
      <c r="P1780" s="22">
        <f>+N1780-O1780</f>
        <v>0.0</v>
      </c>
      <c r="Q1780" s="57"/>
      <c r="R1780" s="58"/>
    </row>
    <row r="1781" spans="8:8" ht="15.0" customHeight="1">
      <c r="B1781" s="54">
        <v>1925.0</v>
      </c>
      <c r="C1781" s="8"/>
      <c r="D1781" s="8"/>
      <c r="E1781" s="8"/>
      <c r="F1781" s="8"/>
      <c r="G1781" s="8"/>
      <c r="H1781" s="8"/>
      <c r="I1781" s="55"/>
      <c r="J1781" s="78" t="s">
        <v>5696</v>
      </c>
      <c r="K1781" s="22">
        <v>0.0</v>
      </c>
      <c r="L1781" s="22">
        <f>+SUMIF('حركه المخزن الرئيسي اليوميه'!$F:$F,$H:$H,'حركه المخزن الرئيسي اليوميه'!$H:$H)</f>
        <v>0.0</v>
      </c>
      <c r="M1781" s="22">
        <f>+SUMIF('حركه المخزن الرئيسي اليوميه'!$F:$F,$H:$H,'حركه المخزن الرئيسي اليوميه'!$I:$I)</f>
        <v>0.0</v>
      </c>
      <c r="N1781" s="22">
        <f>+K1781+L1781-M1781</f>
        <v>0.0</v>
      </c>
      <c r="O1781" s="22">
        <f>+N1781</f>
        <v>0.0</v>
      </c>
      <c r="P1781" s="22">
        <f>+N1781-O1781</f>
        <v>0.0</v>
      </c>
      <c r="Q1781" s="57"/>
      <c r="R1781" s="58"/>
    </row>
    <row r="1782" spans="8:8" ht="15.0" customHeight="1">
      <c r="B1782" s="54">
        <v>1926.0</v>
      </c>
      <c r="C1782" s="8"/>
      <c r="D1782" s="8"/>
      <c r="E1782" s="8"/>
      <c r="F1782" s="8"/>
      <c r="G1782" s="8"/>
      <c r="H1782" s="8"/>
      <c r="I1782" s="55"/>
      <c r="J1782" s="78" t="s">
        <v>5697</v>
      </c>
      <c r="K1782" s="22">
        <v>0.0</v>
      </c>
      <c r="L1782" s="22">
        <f>+SUMIF('حركه المخزن الرئيسي اليوميه'!$F:$F,$H:$H,'حركه المخزن الرئيسي اليوميه'!$H:$H)</f>
        <v>0.0</v>
      </c>
      <c r="M1782" s="22">
        <f>+SUMIF('حركه المخزن الرئيسي اليوميه'!$F:$F,$H:$H,'حركه المخزن الرئيسي اليوميه'!$I:$I)</f>
        <v>0.0</v>
      </c>
      <c r="N1782" s="22">
        <f>+K1782+L1782-M1782</f>
        <v>0.0</v>
      </c>
      <c r="O1782" s="22">
        <f>+N1782</f>
        <v>0.0</v>
      </c>
      <c r="P1782" s="22">
        <f>+N1782-O1782</f>
        <v>0.0</v>
      </c>
      <c r="Q1782" s="57"/>
      <c r="R1782" s="58"/>
    </row>
    <row r="1783" spans="8:8" ht="15.0" customHeight="1">
      <c r="B1783" s="54">
        <v>1927.0</v>
      </c>
      <c r="C1783" s="8"/>
      <c r="D1783" s="8"/>
      <c r="E1783" s="8"/>
      <c r="F1783" s="8"/>
      <c r="G1783" s="8"/>
      <c r="H1783" s="8"/>
      <c r="I1783" s="55"/>
      <c r="J1783" s="78" t="s">
        <v>5698</v>
      </c>
      <c r="K1783" s="22">
        <v>0.0</v>
      </c>
      <c r="L1783" s="22">
        <f>+SUMIF('حركه المخزن الرئيسي اليوميه'!$F:$F,$H:$H,'حركه المخزن الرئيسي اليوميه'!$H:$H)</f>
        <v>0.0</v>
      </c>
      <c r="M1783" s="22">
        <f>+SUMIF('حركه المخزن الرئيسي اليوميه'!$F:$F,$H:$H,'حركه المخزن الرئيسي اليوميه'!$I:$I)</f>
        <v>0.0</v>
      </c>
      <c r="N1783" s="22">
        <f>+K1783+L1783-M1783</f>
        <v>0.0</v>
      </c>
      <c r="O1783" s="22">
        <f>+N1783</f>
        <v>0.0</v>
      </c>
      <c r="P1783" s="22">
        <f>+N1783-O1783</f>
        <v>0.0</v>
      </c>
      <c r="Q1783" s="57"/>
      <c r="R1783" s="58"/>
    </row>
    <row r="1784" spans="8:8" ht="15.0" customHeight="1">
      <c r="B1784" s="54">
        <v>1928.0</v>
      </c>
      <c r="C1784" s="8"/>
      <c r="D1784" s="8"/>
      <c r="E1784" s="8"/>
      <c r="F1784" s="8"/>
      <c r="G1784" s="8"/>
      <c r="H1784" s="8"/>
      <c r="I1784" s="55"/>
      <c r="J1784" s="78" t="s">
        <v>5699</v>
      </c>
      <c r="K1784" s="22">
        <v>0.0</v>
      </c>
      <c r="L1784" s="22">
        <f>+SUMIF('حركه المخزن الرئيسي اليوميه'!$F:$F,$H:$H,'حركه المخزن الرئيسي اليوميه'!$H:$H)</f>
        <v>0.0</v>
      </c>
      <c r="M1784" s="22">
        <f>+SUMIF('حركه المخزن الرئيسي اليوميه'!$F:$F,$H:$H,'حركه المخزن الرئيسي اليوميه'!$I:$I)</f>
        <v>0.0</v>
      </c>
      <c r="N1784" s="22">
        <f>+K1784+L1784-M1784</f>
        <v>0.0</v>
      </c>
      <c r="O1784" s="22">
        <f>+N1784</f>
        <v>0.0</v>
      </c>
      <c r="P1784" s="22">
        <f>+N1784-O1784</f>
        <v>0.0</v>
      </c>
      <c r="Q1784" s="57"/>
      <c r="R1784" s="58"/>
    </row>
    <row r="1785" spans="8:8" ht="15.0" customHeight="1">
      <c r="B1785" s="54">
        <v>1929.0</v>
      </c>
      <c r="C1785" s="8"/>
      <c r="D1785" s="8"/>
      <c r="E1785" s="8"/>
      <c r="F1785" s="8"/>
      <c r="G1785" s="8"/>
      <c r="H1785" s="8"/>
      <c r="I1785" s="55"/>
      <c r="J1785" s="78" t="s">
        <v>5700</v>
      </c>
      <c r="K1785" s="22">
        <v>0.0</v>
      </c>
      <c r="L1785" s="22">
        <f>+SUMIF('حركه المخزن الرئيسي اليوميه'!$F:$F,$H:$H,'حركه المخزن الرئيسي اليوميه'!$H:$H)</f>
        <v>0.0</v>
      </c>
      <c r="M1785" s="22">
        <f>+SUMIF('حركه المخزن الرئيسي اليوميه'!$F:$F,$H:$H,'حركه المخزن الرئيسي اليوميه'!$I:$I)</f>
        <v>0.0</v>
      </c>
      <c r="N1785" s="22">
        <f>+K1785+L1785-M1785</f>
        <v>0.0</v>
      </c>
      <c r="O1785" s="22">
        <f>+N1785</f>
        <v>0.0</v>
      </c>
      <c r="P1785" s="22">
        <f>+N1785-O1785</f>
        <v>0.0</v>
      </c>
      <c r="Q1785" s="57"/>
      <c r="R1785" s="58"/>
    </row>
    <row r="1786" spans="8:8" ht="15.0" customHeight="1">
      <c r="B1786" s="54">
        <v>1930.0</v>
      </c>
      <c r="C1786" s="8"/>
      <c r="D1786" s="8"/>
      <c r="E1786" s="8"/>
      <c r="F1786" s="8"/>
      <c r="G1786" s="8"/>
      <c r="H1786" s="8"/>
      <c r="I1786" s="55"/>
      <c r="J1786" s="78" t="s">
        <v>5701</v>
      </c>
      <c r="K1786" s="22">
        <v>0.0</v>
      </c>
      <c r="L1786" s="22">
        <f>+SUMIF('حركه المخزن الرئيسي اليوميه'!$F:$F,$H:$H,'حركه المخزن الرئيسي اليوميه'!$H:$H)</f>
        <v>0.0</v>
      </c>
      <c r="M1786" s="22">
        <f>+SUMIF('حركه المخزن الرئيسي اليوميه'!$F:$F,$H:$H,'حركه المخزن الرئيسي اليوميه'!$I:$I)</f>
        <v>0.0</v>
      </c>
      <c r="N1786" s="22">
        <f>+K1786+L1786-M1786</f>
        <v>0.0</v>
      </c>
      <c r="O1786" s="22">
        <f>+N1786</f>
        <v>0.0</v>
      </c>
      <c r="P1786" s="22">
        <f>+N1786-O1786</f>
        <v>0.0</v>
      </c>
      <c r="Q1786" s="57"/>
      <c r="R1786" s="58"/>
    </row>
    <row r="1787" spans="8:8" ht="15.0" customHeight="1">
      <c r="B1787" s="54">
        <v>1931.0</v>
      </c>
      <c r="C1787" s="8"/>
      <c r="D1787" s="8"/>
      <c r="E1787" s="8"/>
      <c r="F1787" s="8"/>
      <c r="G1787" s="8"/>
      <c r="H1787" s="8"/>
      <c r="I1787" s="55"/>
      <c r="J1787" s="78" t="s">
        <v>5702</v>
      </c>
      <c r="K1787" s="22">
        <v>0.0</v>
      </c>
      <c r="L1787" s="22">
        <f>+SUMIF('حركه المخزن الرئيسي اليوميه'!$F:$F,$H:$H,'حركه المخزن الرئيسي اليوميه'!$H:$H)</f>
        <v>0.0</v>
      </c>
      <c r="M1787" s="22">
        <f>+SUMIF('حركه المخزن الرئيسي اليوميه'!$F:$F,$H:$H,'حركه المخزن الرئيسي اليوميه'!$I:$I)</f>
        <v>0.0</v>
      </c>
      <c r="N1787" s="22">
        <f>+K1787+L1787-M1787</f>
        <v>0.0</v>
      </c>
      <c r="O1787" s="22">
        <f>+N1787</f>
        <v>0.0</v>
      </c>
      <c r="P1787" s="22">
        <f>+N1787-O1787</f>
        <v>0.0</v>
      </c>
      <c r="Q1787" s="57"/>
      <c r="R1787" s="58"/>
    </row>
    <row r="1788" spans="8:8" ht="15.0" customHeight="1">
      <c r="B1788" s="54">
        <v>1932.0</v>
      </c>
      <c r="C1788" s="8"/>
      <c r="D1788" s="8"/>
      <c r="E1788" s="8"/>
      <c r="F1788" s="8"/>
      <c r="G1788" s="8"/>
      <c r="H1788" s="8"/>
      <c r="I1788" s="55"/>
      <c r="J1788" s="78" t="s">
        <v>5703</v>
      </c>
      <c r="K1788" s="22">
        <v>0.0</v>
      </c>
      <c r="L1788" s="22">
        <f>+SUMIF('حركه المخزن الرئيسي اليوميه'!$F:$F,$H:$H,'حركه المخزن الرئيسي اليوميه'!$H:$H)</f>
        <v>0.0</v>
      </c>
      <c r="M1788" s="22">
        <f>+SUMIF('حركه المخزن الرئيسي اليوميه'!$F:$F,$H:$H,'حركه المخزن الرئيسي اليوميه'!$I:$I)</f>
        <v>0.0</v>
      </c>
      <c r="N1788" s="22">
        <f>+K1788+L1788-M1788</f>
        <v>0.0</v>
      </c>
      <c r="O1788" s="22">
        <f>+N1788</f>
        <v>0.0</v>
      </c>
      <c r="P1788" s="22">
        <f>+N1788-O1788</f>
        <v>0.0</v>
      </c>
      <c r="Q1788" s="57"/>
      <c r="R1788" s="58"/>
    </row>
    <row r="1789" spans="8:8" ht="15.0" customHeight="1">
      <c r="B1789" s="54">
        <v>1933.0</v>
      </c>
      <c r="C1789" s="8"/>
      <c r="D1789" s="8"/>
      <c r="E1789" s="8"/>
      <c r="F1789" s="8"/>
      <c r="G1789" s="8"/>
      <c r="H1789" s="8"/>
      <c r="I1789" s="55"/>
      <c r="J1789" s="78" t="s">
        <v>5704</v>
      </c>
      <c r="K1789" s="22">
        <v>0.0</v>
      </c>
      <c r="L1789" s="22">
        <f>+SUMIF('حركه المخزن الرئيسي اليوميه'!$F:$F,$H:$H,'حركه المخزن الرئيسي اليوميه'!$H:$H)</f>
        <v>0.0</v>
      </c>
      <c r="M1789" s="22">
        <f>+SUMIF('حركه المخزن الرئيسي اليوميه'!$F:$F,$H:$H,'حركه المخزن الرئيسي اليوميه'!$I:$I)</f>
        <v>0.0</v>
      </c>
      <c r="N1789" s="22">
        <f>+K1789+L1789-M1789</f>
        <v>0.0</v>
      </c>
      <c r="O1789" s="22">
        <f>+N1789</f>
        <v>0.0</v>
      </c>
      <c r="P1789" s="22">
        <f>+N1789-O1789</f>
        <v>0.0</v>
      </c>
      <c r="Q1789" s="57"/>
      <c r="R1789" s="58"/>
    </row>
    <row r="1790" spans="8:8" ht="15.0" customHeight="1">
      <c r="B1790" s="54">
        <v>1934.0</v>
      </c>
      <c r="C1790" s="8"/>
      <c r="D1790" s="8"/>
      <c r="E1790" s="8"/>
      <c r="F1790" s="8"/>
      <c r="G1790" s="8"/>
      <c r="H1790" s="8"/>
      <c r="I1790" s="55"/>
      <c r="J1790" s="78" t="s">
        <v>5705</v>
      </c>
      <c r="K1790" s="22">
        <v>0.0</v>
      </c>
      <c r="L1790" s="22">
        <f>+SUMIF('حركه المخزن الرئيسي اليوميه'!$F:$F,$H:$H,'حركه المخزن الرئيسي اليوميه'!$H:$H)</f>
        <v>0.0</v>
      </c>
      <c r="M1790" s="22">
        <f>+SUMIF('حركه المخزن الرئيسي اليوميه'!$F:$F,$H:$H,'حركه المخزن الرئيسي اليوميه'!$I:$I)</f>
        <v>0.0</v>
      </c>
      <c r="N1790" s="22">
        <f>+K1790+L1790-M1790</f>
        <v>0.0</v>
      </c>
      <c r="O1790" s="22">
        <f>+N1790</f>
        <v>0.0</v>
      </c>
      <c r="P1790" s="22">
        <f>+N1790-O1790</f>
        <v>0.0</v>
      </c>
      <c r="Q1790" s="57"/>
      <c r="R1790" s="58"/>
    </row>
    <row r="1791" spans="8:8" ht="15.0" customHeight="1">
      <c r="B1791" s="54">
        <v>1935.0</v>
      </c>
      <c r="C1791" s="8"/>
      <c r="D1791" s="8"/>
      <c r="E1791" s="8"/>
      <c r="F1791" s="8"/>
      <c r="G1791" s="8"/>
      <c r="H1791" s="8"/>
      <c r="I1791" s="55"/>
      <c r="J1791" s="78" t="s">
        <v>5706</v>
      </c>
      <c r="K1791" s="22">
        <v>0.0</v>
      </c>
      <c r="L1791" s="22">
        <f>+SUMIF('حركه المخزن الرئيسي اليوميه'!$F:$F,$H:$H,'حركه المخزن الرئيسي اليوميه'!$H:$H)</f>
        <v>0.0</v>
      </c>
      <c r="M1791" s="22">
        <f>+SUMIF('حركه المخزن الرئيسي اليوميه'!$F:$F,$H:$H,'حركه المخزن الرئيسي اليوميه'!$I:$I)</f>
        <v>0.0</v>
      </c>
      <c r="N1791" s="22">
        <f>+K1791+L1791-M1791</f>
        <v>0.0</v>
      </c>
      <c r="O1791" s="22">
        <f>+N1791</f>
        <v>0.0</v>
      </c>
      <c r="P1791" s="22">
        <f>+N1791-O1791</f>
        <v>0.0</v>
      </c>
      <c r="Q1791" s="57"/>
      <c r="R1791" s="58"/>
    </row>
    <row r="1792" spans="8:8" ht="15.0" customHeight="1">
      <c r="B1792" s="54">
        <v>1936.0</v>
      </c>
      <c r="C1792" s="8"/>
      <c r="D1792" s="8"/>
      <c r="E1792" s="8"/>
      <c r="F1792" s="8"/>
      <c r="G1792" s="8"/>
      <c r="H1792" s="8"/>
      <c r="I1792" s="55"/>
      <c r="J1792" s="78" t="s">
        <v>5707</v>
      </c>
      <c r="K1792" s="22">
        <v>0.0</v>
      </c>
      <c r="L1792" s="22">
        <f>+SUMIF('حركه المخزن الرئيسي اليوميه'!$F:$F,$H:$H,'حركه المخزن الرئيسي اليوميه'!$H:$H)</f>
        <v>0.0</v>
      </c>
      <c r="M1792" s="22">
        <f>+SUMIF('حركه المخزن الرئيسي اليوميه'!$F:$F,$H:$H,'حركه المخزن الرئيسي اليوميه'!$I:$I)</f>
        <v>0.0</v>
      </c>
      <c r="N1792" s="22">
        <f>+K1792+L1792-M1792</f>
        <v>0.0</v>
      </c>
      <c r="O1792" s="22">
        <f>+N1792</f>
        <v>0.0</v>
      </c>
      <c r="P1792" s="22">
        <f>+N1792-O1792</f>
        <v>0.0</v>
      </c>
      <c r="Q1792" s="57"/>
      <c r="R1792" s="58"/>
    </row>
    <row r="1793" spans="8:8" ht="15.0" customHeight="1">
      <c r="B1793" s="54">
        <v>1937.0</v>
      </c>
      <c r="C1793" s="8"/>
      <c r="D1793" s="8"/>
      <c r="E1793" s="8"/>
      <c r="F1793" s="8"/>
      <c r="G1793" s="8"/>
      <c r="H1793" s="8"/>
      <c r="I1793" s="55"/>
      <c r="J1793" s="78" t="s">
        <v>5708</v>
      </c>
      <c r="K1793" s="22">
        <v>0.0</v>
      </c>
      <c r="L1793" s="22">
        <f>+SUMIF('حركه المخزن الرئيسي اليوميه'!$F:$F,$H:$H,'حركه المخزن الرئيسي اليوميه'!$H:$H)</f>
        <v>0.0</v>
      </c>
      <c r="M1793" s="22">
        <f>+SUMIF('حركه المخزن الرئيسي اليوميه'!$F:$F,$H:$H,'حركه المخزن الرئيسي اليوميه'!$I:$I)</f>
        <v>0.0</v>
      </c>
      <c r="N1793" s="22">
        <f>+K1793+L1793-M1793</f>
        <v>0.0</v>
      </c>
      <c r="O1793" s="22">
        <f>+N1793</f>
        <v>0.0</v>
      </c>
      <c r="P1793" s="22">
        <f>+N1793-O1793</f>
        <v>0.0</v>
      </c>
      <c r="Q1793" s="57"/>
      <c r="R1793" s="58"/>
    </row>
    <row r="1794" spans="8:8" ht="15.0" customHeight="1">
      <c r="B1794" s="54">
        <v>1938.0</v>
      </c>
      <c r="C1794" s="8"/>
      <c r="D1794" s="8"/>
      <c r="E1794" s="8"/>
      <c r="F1794" s="8"/>
      <c r="G1794" s="8"/>
      <c r="H1794" s="8"/>
      <c r="I1794" s="55"/>
      <c r="J1794" s="78" t="s">
        <v>5709</v>
      </c>
      <c r="K1794" s="22">
        <v>0.0</v>
      </c>
      <c r="L1794" s="22">
        <f>+SUMIF('حركه المخزن الرئيسي اليوميه'!$F:$F,$H:$H,'حركه المخزن الرئيسي اليوميه'!$H:$H)</f>
        <v>0.0</v>
      </c>
      <c r="M1794" s="22">
        <f>+SUMIF('حركه المخزن الرئيسي اليوميه'!$F:$F,$H:$H,'حركه المخزن الرئيسي اليوميه'!$I:$I)</f>
        <v>0.0</v>
      </c>
      <c r="N1794" s="22">
        <f>+K1794+L1794-M1794</f>
        <v>0.0</v>
      </c>
      <c r="O1794" s="22">
        <f>+N1794</f>
        <v>0.0</v>
      </c>
      <c r="P1794" s="22">
        <f>+N1794-O1794</f>
        <v>0.0</v>
      </c>
      <c r="Q1794" s="57"/>
      <c r="R1794" s="58"/>
    </row>
    <row r="1795" spans="8:8" ht="15.0" customHeight="1">
      <c r="B1795" s="54">
        <v>1939.0</v>
      </c>
      <c r="C1795" s="8"/>
      <c r="D1795" s="8"/>
      <c r="E1795" s="8"/>
      <c r="F1795" s="8"/>
      <c r="G1795" s="8"/>
      <c r="H1795" s="8"/>
      <c r="I1795" s="55"/>
      <c r="J1795" s="78" t="s">
        <v>5710</v>
      </c>
      <c r="K1795" s="22">
        <v>0.0</v>
      </c>
      <c r="L1795" s="22">
        <f>+SUMIF('حركه المخزن الرئيسي اليوميه'!$F:$F,$H:$H,'حركه المخزن الرئيسي اليوميه'!$H:$H)</f>
        <v>0.0</v>
      </c>
      <c r="M1795" s="22">
        <f>+SUMIF('حركه المخزن الرئيسي اليوميه'!$F:$F,$H:$H,'حركه المخزن الرئيسي اليوميه'!$I:$I)</f>
        <v>0.0</v>
      </c>
      <c r="N1795" s="22">
        <f>+K1795+L1795-M1795</f>
        <v>0.0</v>
      </c>
      <c r="O1795" s="22">
        <f>+N1795</f>
        <v>0.0</v>
      </c>
      <c r="P1795" s="22">
        <f>+N1795-O1795</f>
        <v>0.0</v>
      </c>
      <c r="Q1795" s="57"/>
      <c r="R1795" s="58"/>
    </row>
    <row r="1796" spans="8:8" ht="15.0" customHeight="1">
      <c r="B1796" s="54">
        <v>1940.0</v>
      </c>
      <c r="C1796" s="8"/>
      <c r="D1796" s="8"/>
      <c r="E1796" s="8"/>
      <c r="F1796" s="8"/>
      <c r="G1796" s="8"/>
      <c r="H1796" s="8"/>
      <c r="I1796" s="55"/>
      <c r="J1796" s="78" t="s">
        <v>5711</v>
      </c>
      <c r="K1796" s="22">
        <v>0.0</v>
      </c>
      <c r="L1796" s="22">
        <f>+SUMIF('حركه المخزن الرئيسي اليوميه'!$F:$F,$H:$H,'حركه المخزن الرئيسي اليوميه'!$H:$H)</f>
        <v>0.0</v>
      </c>
      <c r="M1796" s="22">
        <f>+SUMIF('حركه المخزن الرئيسي اليوميه'!$F:$F,$H:$H,'حركه المخزن الرئيسي اليوميه'!$I:$I)</f>
        <v>0.0</v>
      </c>
      <c r="N1796" s="22">
        <f>+K1796+L1796-M1796</f>
        <v>0.0</v>
      </c>
      <c r="O1796" s="22">
        <f>+N1796</f>
        <v>0.0</v>
      </c>
      <c r="P1796" s="22">
        <f>+N1796-O1796</f>
        <v>0.0</v>
      </c>
      <c r="Q1796" s="57"/>
      <c r="R1796" s="58"/>
    </row>
    <row r="1797" spans="8:8" ht="15.0" customHeight="1">
      <c r="B1797" s="54">
        <v>1941.0</v>
      </c>
      <c r="C1797" s="8"/>
      <c r="D1797" s="8"/>
      <c r="E1797" s="8"/>
      <c r="F1797" s="8"/>
      <c r="G1797" s="8"/>
      <c r="H1797" s="8"/>
      <c r="I1797" s="55"/>
      <c r="J1797" s="78" t="s">
        <v>5712</v>
      </c>
      <c r="K1797" s="22">
        <v>0.0</v>
      </c>
      <c r="L1797" s="22">
        <f>+SUMIF('حركه المخزن الرئيسي اليوميه'!$F:$F,$H:$H,'حركه المخزن الرئيسي اليوميه'!$H:$H)</f>
        <v>0.0</v>
      </c>
      <c r="M1797" s="22">
        <f>+SUMIF('حركه المخزن الرئيسي اليوميه'!$F:$F,$H:$H,'حركه المخزن الرئيسي اليوميه'!$I:$I)</f>
        <v>0.0</v>
      </c>
      <c r="N1797" s="22">
        <f>+K1797+L1797-M1797</f>
        <v>0.0</v>
      </c>
      <c r="O1797" s="22">
        <f>+N1797</f>
        <v>0.0</v>
      </c>
      <c r="P1797" s="22">
        <f>+N1797-O1797</f>
        <v>0.0</v>
      </c>
      <c r="Q1797" s="57"/>
      <c r="R1797" s="58"/>
    </row>
    <row r="1798" spans="8:8" ht="15.0" customHeight="1">
      <c r="B1798" s="54">
        <v>1942.0</v>
      </c>
      <c r="C1798" s="8"/>
      <c r="D1798" s="8"/>
      <c r="E1798" s="8"/>
      <c r="F1798" s="8"/>
      <c r="G1798" s="8"/>
      <c r="H1798" s="8"/>
      <c r="I1798" s="55"/>
      <c r="J1798" s="78" t="s">
        <v>5713</v>
      </c>
      <c r="K1798" s="22">
        <v>0.0</v>
      </c>
      <c r="L1798" s="22">
        <f>+SUMIF('حركه المخزن الرئيسي اليوميه'!$F:$F,$H:$H,'حركه المخزن الرئيسي اليوميه'!$H:$H)</f>
        <v>0.0</v>
      </c>
      <c r="M1798" s="22">
        <f>+SUMIF('حركه المخزن الرئيسي اليوميه'!$F:$F,$H:$H,'حركه المخزن الرئيسي اليوميه'!$I:$I)</f>
        <v>0.0</v>
      </c>
      <c r="N1798" s="22">
        <f>+K1798+L1798-M1798</f>
        <v>0.0</v>
      </c>
      <c r="O1798" s="22">
        <f>+N1798</f>
        <v>0.0</v>
      </c>
      <c r="P1798" s="22">
        <f>+N1798-O1798</f>
        <v>0.0</v>
      </c>
      <c r="Q1798" s="57"/>
      <c r="R1798" s="58"/>
    </row>
    <row r="1799" spans="8:8" ht="15.0" customHeight="1">
      <c r="B1799" s="54">
        <v>1943.0</v>
      </c>
      <c r="C1799" s="8"/>
      <c r="D1799" s="8"/>
      <c r="E1799" s="8"/>
      <c r="F1799" s="8"/>
      <c r="G1799" s="8"/>
      <c r="H1799" s="8"/>
      <c r="I1799" s="55"/>
      <c r="J1799" s="78" t="s">
        <v>5714</v>
      </c>
      <c r="K1799" s="22">
        <v>0.0</v>
      </c>
      <c r="L1799" s="22">
        <f>+SUMIF('حركه المخزن الرئيسي اليوميه'!$F:$F,$H:$H,'حركه المخزن الرئيسي اليوميه'!$H:$H)</f>
        <v>0.0</v>
      </c>
      <c r="M1799" s="22">
        <f>+SUMIF('حركه المخزن الرئيسي اليوميه'!$F:$F,$H:$H,'حركه المخزن الرئيسي اليوميه'!$I:$I)</f>
        <v>0.0</v>
      </c>
      <c r="N1799" s="22">
        <f>+K1799+L1799-M1799</f>
        <v>0.0</v>
      </c>
      <c r="O1799" s="22">
        <f>+N1799</f>
        <v>0.0</v>
      </c>
      <c r="P1799" s="22">
        <f>+N1799-O1799</f>
        <v>0.0</v>
      </c>
      <c r="Q1799" s="57"/>
      <c r="R1799" s="58"/>
    </row>
    <row r="1800" spans="8:8" ht="15.0" customHeight="1">
      <c r="B1800" s="54">
        <v>1944.0</v>
      </c>
      <c r="C1800" s="8"/>
      <c r="D1800" s="8"/>
      <c r="E1800" s="8"/>
      <c r="F1800" s="8"/>
      <c r="G1800" s="8"/>
      <c r="H1800" s="8"/>
      <c r="I1800" s="55"/>
      <c r="J1800" s="78" t="s">
        <v>5715</v>
      </c>
      <c r="K1800" s="22">
        <v>0.0</v>
      </c>
      <c r="L1800" s="22">
        <f>+SUMIF('حركه المخزن الرئيسي اليوميه'!$F:$F,$H:$H,'حركه المخزن الرئيسي اليوميه'!$H:$H)</f>
        <v>0.0</v>
      </c>
      <c r="M1800" s="22">
        <f>+SUMIF('حركه المخزن الرئيسي اليوميه'!$F:$F,$H:$H,'حركه المخزن الرئيسي اليوميه'!$I:$I)</f>
        <v>0.0</v>
      </c>
      <c r="N1800" s="22">
        <f>+K1800+L1800-M1800</f>
        <v>0.0</v>
      </c>
      <c r="O1800" s="22">
        <f>+N1800</f>
        <v>0.0</v>
      </c>
      <c r="P1800" s="22">
        <f>+N1800-O1800</f>
        <v>0.0</v>
      </c>
      <c r="Q1800" s="57"/>
      <c r="R1800" s="58"/>
    </row>
    <row r="1801" spans="8:8" ht="15.0" customHeight="1">
      <c r="B1801" s="54">
        <v>1945.0</v>
      </c>
      <c r="C1801" s="8"/>
      <c r="D1801" s="8"/>
      <c r="E1801" s="8"/>
      <c r="F1801" s="8"/>
      <c r="G1801" s="8"/>
      <c r="H1801" s="8"/>
      <c r="I1801" s="55"/>
      <c r="J1801" s="78" t="s">
        <v>5716</v>
      </c>
      <c r="K1801" s="22">
        <v>0.0</v>
      </c>
      <c r="L1801" s="22">
        <f>+SUMIF('حركه المخزن الرئيسي اليوميه'!$F:$F,$H:$H,'حركه المخزن الرئيسي اليوميه'!$H:$H)</f>
        <v>0.0</v>
      </c>
      <c r="M1801" s="22">
        <f>+SUMIF('حركه المخزن الرئيسي اليوميه'!$F:$F,$H:$H,'حركه المخزن الرئيسي اليوميه'!$I:$I)</f>
        <v>0.0</v>
      </c>
      <c r="N1801" s="22">
        <f>+K1801+L1801-M1801</f>
        <v>0.0</v>
      </c>
      <c r="O1801" s="22">
        <f>+N1801</f>
        <v>0.0</v>
      </c>
      <c r="P1801" s="22">
        <f>+N1801-O1801</f>
        <v>0.0</v>
      </c>
      <c r="Q1801" s="57"/>
      <c r="R1801" s="58"/>
    </row>
    <row r="1802" spans="8:8" ht="15.0" customHeight="1">
      <c r="B1802" s="54">
        <v>1946.0</v>
      </c>
      <c r="C1802" s="8"/>
      <c r="D1802" s="8"/>
      <c r="E1802" s="8"/>
      <c r="F1802" s="8"/>
      <c r="G1802" s="8"/>
      <c r="H1802" s="8"/>
      <c r="I1802" s="55"/>
      <c r="J1802" s="78" t="s">
        <v>5717</v>
      </c>
      <c r="K1802" s="22">
        <v>0.0</v>
      </c>
      <c r="L1802" s="22">
        <f>+SUMIF('حركه المخزن الرئيسي اليوميه'!$F:$F,$H:$H,'حركه المخزن الرئيسي اليوميه'!$H:$H)</f>
        <v>0.0</v>
      </c>
      <c r="M1802" s="22">
        <f>+SUMIF('حركه المخزن الرئيسي اليوميه'!$F:$F,$H:$H,'حركه المخزن الرئيسي اليوميه'!$I:$I)</f>
        <v>0.0</v>
      </c>
      <c r="N1802" s="22">
        <f>+K1802+L1802-M1802</f>
        <v>0.0</v>
      </c>
      <c r="O1802" s="22">
        <f>+N1802</f>
        <v>0.0</v>
      </c>
      <c r="P1802" s="22">
        <f>+N1802-O1802</f>
        <v>0.0</v>
      </c>
      <c r="Q1802" s="57"/>
      <c r="R1802" s="58"/>
    </row>
    <row r="1803" spans="8:8" ht="15.0" customHeight="1">
      <c r="B1803" s="54">
        <v>1947.0</v>
      </c>
      <c r="C1803" s="8"/>
      <c r="D1803" s="8"/>
      <c r="E1803" s="8"/>
      <c r="F1803" s="8"/>
      <c r="G1803" s="8"/>
      <c r="H1803" s="8"/>
      <c r="I1803" s="55"/>
      <c r="J1803" s="78" t="s">
        <v>5718</v>
      </c>
      <c r="K1803" s="22">
        <v>0.0</v>
      </c>
      <c r="L1803" s="22">
        <f>+SUMIF('حركه المخزن الرئيسي اليوميه'!$F:$F,$H:$H,'حركه المخزن الرئيسي اليوميه'!$H:$H)</f>
        <v>0.0</v>
      </c>
      <c r="M1803" s="22">
        <f>+SUMIF('حركه المخزن الرئيسي اليوميه'!$F:$F,$H:$H,'حركه المخزن الرئيسي اليوميه'!$I:$I)</f>
        <v>0.0</v>
      </c>
      <c r="N1803" s="22">
        <f>+K1803+L1803-M1803</f>
        <v>0.0</v>
      </c>
      <c r="O1803" s="22">
        <f>+N1803</f>
        <v>0.0</v>
      </c>
      <c r="P1803" s="22">
        <f>+N1803-O1803</f>
        <v>0.0</v>
      </c>
      <c r="Q1803" s="57"/>
      <c r="R1803" s="58"/>
    </row>
    <row r="1804" spans="8:8" ht="15.0" customHeight="1">
      <c r="B1804" s="54">
        <v>1948.0</v>
      </c>
      <c r="C1804" s="8"/>
      <c r="D1804" s="8"/>
      <c r="E1804" s="8"/>
      <c r="F1804" s="8"/>
      <c r="G1804" s="8"/>
      <c r="H1804" s="8"/>
      <c r="I1804" s="55"/>
      <c r="J1804" s="78" t="s">
        <v>5719</v>
      </c>
      <c r="K1804" s="22">
        <v>0.0</v>
      </c>
      <c r="L1804" s="22">
        <f>+SUMIF('حركه المخزن الرئيسي اليوميه'!$F:$F,$H:$H,'حركه المخزن الرئيسي اليوميه'!$H:$H)</f>
        <v>0.0</v>
      </c>
      <c r="M1804" s="22">
        <f>+SUMIF('حركه المخزن الرئيسي اليوميه'!$F:$F,$H:$H,'حركه المخزن الرئيسي اليوميه'!$I:$I)</f>
        <v>0.0</v>
      </c>
      <c r="N1804" s="22">
        <f>+K1804+L1804-M1804</f>
        <v>0.0</v>
      </c>
      <c r="O1804" s="22">
        <f>+N1804</f>
        <v>0.0</v>
      </c>
      <c r="P1804" s="22">
        <f>+N1804-O1804</f>
        <v>0.0</v>
      </c>
      <c r="Q1804" s="57"/>
      <c r="R1804" s="58"/>
    </row>
    <row r="1805" spans="8:8" ht="15.0" customHeight="1">
      <c r="B1805" s="54">
        <v>1949.0</v>
      </c>
      <c r="C1805" s="8"/>
      <c r="D1805" s="8"/>
      <c r="E1805" s="8"/>
      <c r="F1805" s="8"/>
      <c r="G1805" s="8"/>
      <c r="H1805" s="8"/>
      <c r="I1805" s="55"/>
      <c r="J1805" s="78" t="s">
        <v>5720</v>
      </c>
      <c r="K1805" s="22">
        <v>0.0</v>
      </c>
      <c r="L1805" s="22">
        <f>+SUMIF('حركه المخزن الرئيسي اليوميه'!$F:$F,$H:$H,'حركه المخزن الرئيسي اليوميه'!$H:$H)</f>
        <v>0.0</v>
      </c>
      <c r="M1805" s="22">
        <f>+SUMIF('حركه المخزن الرئيسي اليوميه'!$F:$F,$H:$H,'حركه المخزن الرئيسي اليوميه'!$I:$I)</f>
        <v>0.0</v>
      </c>
      <c r="N1805" s="22">
        <f>+K1805+L1805-M1805</f>
        <v>0.0</v>
      </c>
      <c r="O1805" s="22">
        <f>+N1805</f>
        <v>0.0</v>
      </c>
      <c r="P1805" s="22">
        <f>+N1805-O1805</f>
        <v>0.0</v>
      </c>
      <c r="Q1805" s="57"/>
      <c r="R1805" s="58"/>
    </row>
    <row r="1806" spans="8:8" ht="15.0" customHeight="1">
      <c r="B1806" s="54">
        <v>1950.0</v>
      </c>
      <c r="C1806" s="8"/>
      <c r="D1806" s="8"/>
      <c r="E1806" s="8"/>
      <c r="F1806" s="8"/>
      <c r="G1806" s="8"/>
      <c r="H1806" s="8"/>
      <c r="I1806" s="55"/>
      <c r="J1806" s="78" t="s">
        <v>5721</v>
      </c>
      <c r="K1806" s="22">
        <v>0.0</v>
      </c>
      <c r="L1806" s="22">
        <f>+SUMIF('حركه المخزن الرئيسي اليوميه'!$F:$F,$H:$H,'حركه المخزن الرئيسي اليوميه'!$H:$H)</f>
        <v>0.0</v>
      </c>
      <c r="M1806" s="22">
        <f>+SUMIF('حركه المخزن الرئيسي اليوميه'!$F:$F,$H:$H,'حركه المخزن الرئيسي اليوميه'!$I:$I)</f>
        <v>0.0</v>
      </c>
      <c r="N1806" s="22">
        <f>+K1806+L1806-M1806</f>
        <v>0.0</v>
      </c>
      <c r="O1806" s="22">
        <f>+N1806</f>
        <v>0.0</v>
      </c>
      <c r="P1806" s="22">
        <f>+N1806-O1806</f>
        <v>0.0</v>
      </c>
      <c r="Q1806" s="57"/>
      <c r="R1806" s="58"/>
    </row>
    <row r="1807" spans="8:8" ht="15.0" customHeight="1">
      <c r="B1807" s="54">
        <v>1951.0</v>
      </c>
      <c r="C1807" s="8"/>
      <c r="D1807" s="8"/>
      <c r="E1807" s="8"/>
      <c r="F1807" s="8"/>
      <c r="G1807" s="8"/>
      <c r="H1807" s="8"/>
      <c r="I1807" s="55"/>
      <c r="J1807" s="78" t="s">
        <v>5722</v>
      </c>
      <c r="K1807" s="22">
        <v>0.0</v>
      </c>
      <c r="L1807" s="22">
        <f>+SUMIF('حركه المخزن الرئيسي اليوميه'!$F:$F,$H:$H,'حركه المخزن الرئيسي اليوميه'!$H:$H)</f>
        <v>0.0</v>
      </c>
      <c r="M1807" s="22">
        <f>+SUMIF('حركه المخزن الرئيسي اليوميه'!$F:$F,$H:$H,'حركه المخزن الرئيسي اليوميه'!$I:$I)</f>
        <v>0.0</v>
      </c>
      <c r="N1807" s="22">
        <f>+K1807+L1807-M1807</f>
        <v>0.0</v>
      </c>
      <c r="O1807" s="22">
        <f>+N1807</f>
        <v>0.0</v>
      </c>
      <c r="P1807" s="22">
        <f>+N1807-O1807</f>
        <v>0.0</v>
      </c>
      <c r="Q1807" s="57"/>
      <c r="R1807" s="58"/>
    </row>
    <row r="1808" spans="8:8" ht="15.0" customHeight="1">
      <c r="B1808" s="54">
        <v>1952.0</v>
      </c>
      <c r="C1808" s="8"/>
      <c r="D1808" s="8"/>
      <c r="E1808" s="8"/>
      <c r="F1808" s="8"/>
      <c r="G1808" s="8"/>
      <c r="H1808" s="8"/>
      <c r="I1808" s="55"/>
      <c r="J1808" s="78" t="s">
        <v>5723</v>
      </c>
      <c r="K1808" s="22">
        <v>0.0</v>
      </c>
      <c r="L1808" s="22">
        <f>+SUMIF('حركه المخزن الرئيسي اليوميه'!$F:$F,$H:$H,'حركه المخزن الرئيسي اليوميه'!$H:$H)</f>
        <v>0.0</v>
      </c>
      <c r="M1808" s="22">
        <f>+SUMIF('حركه المخزن الرئيسي اليوميه'!$F:$F,$H:$H,'حركه المخزن الرئيسي اليوميه'!$I:$I)</f>
        <v>0.0</v>
      </c>
      <c r="N1808" s="22">
        <f>+K1808+L1808-M1808</f>
        <v>0.0</v>
      </c>
      <c r="O1808" s="22">
        <f>+N1808</f>
        <v>0.0</v>
      </c>
      <c r="P1808" s="22">
        <f>+N1808-O1808</f>
        <v>0.0</v>
      </c>
      <c r="Q1808" s="57"/>
      <c r="R1808" s="58"/>
    </row>
    <row r="1809" spans="8:8" ht="15.0" customHeight="1">
      <c r="B1809" s="54">
        <v>1953.0</v>
      </c>
      <c r="C1809" s="8"/>
      <c r="D1809" s="8"/>
      <c r="E1809" s="8"/>
      <c r="F1809" s="8"/>
      <c r="G1809" s="8"/>
      <c r="H1809" s="8"/>
      <c r="I1809" s="55"/>
      <c r="J1809" s="78" t="s">
        <v>5724</v>
      </c>
      <c r="K1809" s="22">
        <v>0.0</v>
      </c>
      <c r="L1809" s="22">
        <f>+SUMIF('حركه المخزن الرئيسي اليوميه'!$F:$F,$H:$H,'حركه المخزن الرئيسي اليوميه'!$H:$H)</f>
        <v>0.0</v>
      </c>
      <c r="M1809" s="22">
        <f>+SUMIF('حركه المخزن الرئيسي اليوميه'!$F:$F,$H:$H,'حركه المخزن الرئيسي اليوميه'!$I:$I)</f>
        <v>0.0</v>
      </c>
      <c r="N1809" s="22">
        <f>+K1809+L1809-M1809</f>
        <v>0.0</v>
      </c>
      <c r="O1809" s="22">
        <f>+N1809</f>
        <v>0.0</v>
      </c>
      <c r="P1809" s="22">
        <f>+N1809-O1809</f>
        <v>0.0</v>
      </c>
      <c r="Q1809" s="57"/>
      <c r="R1809" s="58"/>
    </row>
    <row r="1810" spans="8:8" ht="15.0" customHeight="1">
      <c r="B1810" s="54">
        <v>1954.0</v>
      </c>
      <c r="C1810" s="8"/>
      <c r="D1810" s="8"/>
      <c r="E1810" s="8"/>
      <c r="F1810" s="8"/>
      <c r="G1810" s="8"/>
      <c r="H1810" s="8"/>
      <c r="I1810" s="55"/>
      <c r="J1810" s="78" t="s">
        <v>5725</v>
      </c>
      <c r="K1810" s="22">
        <v>0.0</v>
      </c>
      <c r="L1810" s="22">
        <f>+SUMIF('حركه المخزن الرئيسي اليوميه'!$F:$F,$H:$H,'حركه المخزن الرئيسي اليوميه'!$H:$H)</f>
        <v>0.0</v>
      </c>
      <c r="M1810" s="22">
        <f>+SUMIF('حركه المخزن الرئيسي اليوميه'!$F:$F,$H:$H,'حركه المخزن الرئيسي اليوميه'!$I:$I)</f>
        <v>0.0</v>
      </c>
      <c r="N1810" s="22">
        <f>+K1810+L1810-M1810</f>
        <v>0.0</v>
      </c>
      <c r="O1810" s="22">
        <f>+N1810</f>
        <v>0.0</v>
      </c>
      <c r="P1810" s="22">
        <f>+N1810-O1810</f>
        <v>0.0</v>
      </c>
      <c r="Q1810" s="57"/>
      <c r="R1810" s="58"/>
    </row>
    <row r="1811" spans="8:8" ht="15.0" customHeight="1">
      <c r="B1811" s="54">
        <v>1955.0</v>
      </c>
      <c r="C1811" s="8"/>
      <c r="D1811" s="8"/>
      <c r="E1811" s="8"/>
      <c r="F1811" s="8"/>
      <c r="G1811" s="8"/>
      <c r="H1811" s="8"/>
      <c r="I1811" s="55"/>
      <c r="J1811" s="78" t="s">
        <v>5726</v>
      </c>
      <c r="K1811" s="22">
        <v>0.0</v>
      </c>
      <c r="L1811" s="22">
        <f>+SUMIF('حركه المخزن الرئيسي اليوميه'!$F:$F,$H:$H,'حركه المخزن الرئيسي اليوميه'!$H:$H)</f>
        <v>0.0</v>
      </c>
      <c r="M1811" s="22">
        <f>+SUMIF('حركه المخزن الرئيسي اليوميه'!$F:$F,$H:$H,'حركه المخزن الرئيسي اليوميه'!$I:$I)</f>
        <v>0.0</v>
      </c>
      <c r="N1811" s="22">
        <f>+K1811+L1811-M1811</f>
        <v>0.0</v>
      </c>
      <c r="O1811" s="22">
        <f>+N1811</f>
        <v>0.0</v>
      </c>
      <c r="P1811" s="22">
        <f>+N1811-O1811</f>
        <v>0.0</v>
      </c>
      <c r="Q1811" s="57"/>
      <c r="R1811" s="58"/>
    </row>
    <row r="1812" spans="8:8" ht="15.0" customHeight="1">
      <c r="B1812" s="54">
        <v>1956.0</v>
      </c>
      <c r="C1812" s="8"/>
      <c r="D1812" s="8"/>
      <c r="E1812" s="8"/>
      <c r="F1812" s="8"/>
      <c r="G1812" s="8"/>
      <c r="H1812" s="8"/>
      <c r="I1812" s="55"/>
      <c r="J1812" s="78" t="s">
        <v>5727</v>
      </c>
      <c r="K1812" s="22">
        <v>0.0</v>
      </c>
      <c r="L1812" s="22">
        <f>+SUMIF('حركه المخزن الرئيسي اليوميه'!$F:$F,$H:$H,'حركه المخزن الرئيسي اليوميه'!$H:$H)</f>
        <v>0.0</v>
      </c>
      <c r="M1812" s="22">
        <f>+SUMIF('حركه المخزن الرئيسي اليوميه'!$F:$F,$H:$H,'حركه المخزن الرئيسي اليوميه'!$I:$I)</f>
        <v>0.0</v>
      </c>
      <c r="N1812" s="22">
        <f>+K1812+L1812-M1812</f>
        <v>0.0</v>
      </c>
      <c r="O1812" s="22">
        <f>+N1812</f>
        <v>0.0</v>
      </c>
      <c r="P1812" s="22">
        <f>+N1812-O1812</f>
        <v>0.0</v>
      </c>
      <c r="Q1812" s="57"/>
      <c r="R1812" s="58"/>
    </row>
    <row r="1813" spans="8:8" ht="15.0" customHeight="1">
      <c r="B1813" s="54">
        <v>1957.0</v>
      </c>
      <c r="C1813" s="8"/>
      <c r="D1813" s="8"/>
      <c r="E1813" s="8"/>
      <c r="F1813" s="8"/>
      <c r="G1813" s="8"/>
      <c r="H1813" s="8"/>
      <c r="I1813" s="55"/>
      <c r="J1813" s="78" t="s">
        <v>5728</v>
      </c>
      <c r="K1813" s="22">
        <v>0.0</v>
      </c>
      <c r="L1813" s="22">
        <f>+SUMIF('حركه المخزن الرئيسي اليوميه'!$F:$F,$H:$H,'حركه المخزن الرئيسي اليوميه'!$H:$H)</f>
        <v>0.0</v>
      </c>
      <c r="M1813" s="22">
        <f>+SUMIF('حركه المخزن الرئيسي اليوميه'!$F:$F,$H:$H,'حركه المخزن الرئيسي اليوميه'!$I:$I)</f>
        <v>0.0</v>
      </c>
      <c r="N1813" s="22">
        <f>+K1813+L1813-M1813</f>
        <v>0.0</v>
      </c>
      <c r="O1813" s="22">
        <f>+N1813</f>
        <v>0.0</v>
      </c>
      <c r="P1813" s="22">
        <f>+N1813-O1813</f>
        <v>0.0</v>
      </c>
      <c r="Q1813" s="57"/>
      <c r="R1813" s="58"/>
    </row>
    <row r="1814" spans="8:8" ht="15.0" customHeight="1">
      <c r="B1814" s="54">
        <v>1958.0</v>
      </c>
      <c r="C1814" s="8"/>
      <c r="D1814" s="8"/>
      <c r="E1814" s="8"/>
      <c r="F1814" s="8"/>
      <c r="G1814" s="8"/>
      <c r="H1814" s="8"/>
      <c r="I1814" s="55"/>
      <c r="J1814" s="78" t="s">
        <v>5729</v>
      </c>
      <c r="K1814" s="22">
        <v>0.0</v>
      </c>
      <c r="L1814" s="22">
        <f>+SUMIF('حركه المخزن الرئيسي اليوميه'!$F:$F,$H:$H,'حركه المخزن الرئيسي اليوميه'!$H:$H)</f>
        <v>0.0</v>
      </c>
      <c r="M1814" s="22">
        <f>+SUMIF('حركه المخزن الرئيسي اليوميه'!$F:$F,$H:$H,'حركه المخزن الرئيسي اليوميه'!$I:$I)</f>
        <v>0.0</v>
      </c>
      <c r="N1814" s="22">
        <f>+K1814+L1814-M1814</f>
        <v>0.0</v>
      </c>
      <c r="O1814" s="22">
        <f>+N1814</f>
        <v>0.0</v>
      </c>
      <c r="P1814" s="22">
        <f>+N1814-O1814</f>
        <v>0.0</v>
      </c>
      <c r="Q1814" s="57"/>
      <c r="R1814" s="58"/>
    </row>
    <row r="1815" spans="8:8" ht="15.0" customHeight="1">
      <c r="B1815" s="54">
        <v>1959.0</v>
      </c>
      <c r="C1815" s="8"/>
      <c r="D1815" s="8"/>
      <c r="E1815" s="8"/>
      <c r="F1815" s="8"/>
      <c r="G1815" s="8"/>
      <c r="H1815" s="8"/>
      <c r="I1815" s="55"/>
      <c r="J1815" s="78" t="s">
        <v>5730</v>
      </c>
      <c r="K1815" s="22">
        <v>0.0</v>
      </c>
      <c r="L1815" s="22">
        <f>+SUMIF('حركه المخزن الرئيسي اليوميه'!$F:$F,$H:$H,'حركه المخزن الرئيسي اليوميه'!$H:$H)</f>
        <v>0.0</v>
      </c>
      <c r="M1815" s="22">
        <f>+SUMIF('حركه المخزن الرئيسي اليوميه'!$F:$F,$H:$H,'حركه المخزن الرئيسي اليوميه'!$I:$I)</f>
        <v>0.0</v>
      </c>
      <c r="N1815" s="22">
        <f>+K1815+L1815-M1815</f>
        <v>0.0</v>
      </c>
      <c r="O1815" s="22">
        <f>+N1815</f>
        <v>0.0</v>
      </c>
      <c r="P1815" s="22">
        <f>+N1815-O1815</f>
        <v>0.0</v>
      </c>
      <c r="Q1815" s="57"/>
      <c r="R1815" s="58"/>
    </row>
    <row r="1816" spans="8:8" ht="15.0" customHeight="1">
      <c r="B1816" s="54">
        <v>1960.0</v>
      </c>
      <c r="C1816" s="8"/>
      <c r="D1816" s="8"/>
      <c r="E1816" s="8"/>
      <c r="F1816" s="8"/>
      <c r="G1816" s="8"/>
      <c r="H1816" s="8"/>
      <c r="I1816" s="55"/>
      <c r="J1816" s="78" t="s">
        <v>5731</v>
      </c>
      <c r="K1816" s="22">
        <v>0.0</v>
      </c>
      <c r="L1816" s="22">
        <f>+SUMIF('حركه المخزن الرئيسي اليوميه'!$F:$F,$H:$H,'حركه المخزن الرئيسي اليوميه'!$H:$H)</f>
        <v>0.0</v>
      </c>
      <c r="M1816" s="22">
        <f>+SUMIF('حركه المخزن الرئيسي اليوميه'!$F:$F,$H:$H,'حركه المخزن الرئيسي اليوميه'!$I:$I)</f>
        <v>0.0</v>
      </c>
      <c r="N1816" s="22">
        <f>+K1816+L1816-M1816</f>
        <v>0.0</v>
      </c>
      <c r="O1816" s="22">
        <f>+N1816</f>
        <v>0.0</v>
      </c>
      <c r="P1816" s="22">
        <f>+N1816-O1816</f>
        <v>0.0</v>
      </c>
      <c r="Q1816" s="57"/>
      <c r="R1816" s="58"/>
    </row>
    <row r="1817" spans="8:8" ht="15.0" customHeight="1">
      <c r="B1817" s="54">
        <v>1961.0</v>
      </c>
      <c r="C1817" s="8"/>
      <c r="D1817" s="8"/>
      <c r="E1817" s="8"/>
      <c r="F1817" s="8"/>
      <c r="G1817" s="8"/>
      <c r="H1817" s="8"/>
      <c r="I1817" s="55"/>
      <c r="J1817" s="78" t="s">
        <v>5732</v>
      </c>
      <c r="K1817" s="22">
        <v>0.0</v>
      </c>
      <c r="L1817" s="22">
        <f>+SUMIF('حركه المخزن الرئيسي اليوميه'!$F:$F,$H:$H,'حركه المخزن الرئيسي اليوميه'!$H:$H)</f>
        <v>0.0</v>
      </c>
      <c r="M1817" s="22">
        <f>+SUMIF('حركه المخزن الرئيسي اليوميه'!$F:$F,$H:$H,'حركه المخزن الرئيسي اليوميه'!$I:$I)</f>
        <v>0.0</v>
      </c>
      <c r="N1817" s="22">
        <f>+K1817+L1817-M1817</f>
        <v>0.0</v>
      </c>
      <c r="O1817" s="22">
        <f>+N1817</f>
        <v>0.0</v>
      </c>
      <c r="P1817" s="22">
        <f>+N1817-O1817</f>
        <v>0.0</v>
      </c>
      <c r="Q1817" s="57"/>
      <c r="R1817" s="58"/>
    </row>
    <row r="1818" spans="8:8" ht="15.0" customHeight="1">
      <c r="B1818" s="54">
        <v>1962.0</v>
      </c>
      <c r="C1818" s="8"/>
      <c r="D1818" s="8"/>
      <c r="E1818" s="8"/>
      <c r="F1818" s="8"/>
      <c r="G1818" s="8"/>
      <c r="H1818" s="8"/>
      <c r="I1818" s="55"/>
      <c r="J1818" s="78" t="s">
        <v>5733</v>
      </c>
      <c r="K1818" s="22">
        <v>0.0</v>
      </c>
      <c r="L1818" s="22">
        <f>+SUMIF('حركه المخزن الرئيسي اليوميه'!$F:$F,$H:$H,'حركه المخزن الرئيسي اليوميه'!$H:$H)</f>
        <v>0.0</v>
      </c>
      <c r="M1818" s="22">
        <f>+SUMIF('حركه المخزن الرئيسي اليوميه'!$F:$F,$H:$H,'حركه المخزن الرئيسي اليوميه'!$I:$I)</f>
        <v>0.0</v>
      </c>
      <c r="N1818" s="22">
        <f>+K1818+L1818-M1818</f>
        <v>0.0</v>
      </c>
      <c r="O1818" s="22">
        <f>+N1818</f>
        <v>0.0</v>
      </c>
      <c r="P1818" s="22">
        <f>+N1818-O1818</f>
        <v>0.0</v>
      </c>
      <c r="Q1818" s="57"/>
      <c r="R1818" s="58"/>
    </row>
    <row r="1819" spans="8:8" ht="15.0" customHeight="1">
      <c r="B1819" s="54">
        <v>1963.0</v>
      </c>
      <c r="C1819" s="8"/>
      <c r="D1819" s="8"/>
      <c r="E1819" s="8"/>
      <c r="F1819" s="8"/>
      <c r="G1819" s="8"/>
      <c r="H1819" s="8"/>
      <c r="I1819" s="55"/>
      <c r="J1819" s="78" t="s">
        <v>5734</v>
      </c>
      <c r="K1819" s="22">
        <v>0.0</v>
      </c>
      <c r="L1819" s="22">
        <f>+SUMIF('حركه المخزن الرئيسي اليوميه'!$F:$F,$H:$H,'حركه المخزن الرئيسي اليوميه'!$H:$H)</f>
        <v>0.0</v>
      </c>
      <c r="M1819" s="22">
        <f>+SUMIF('حركه المخزن الرئيسي اليوميه'!$F:$F,$H:$H,'حركه المخزن الرئيسي اليوميه'!$I:$I)</f>
        <v>0.0</v>
      </c>
      <c r="N1819" s="22">
        <f>+K1819+L1819-M1819</f>
        <v>0.0</v>
      </c>
      <c r="O1819" s="22">
        <f>+N1819</f>
        <v>0.0</v>
      </c>
      <c r="P1819" s="22">
        <f>+N1819-O1819</f>
        <v>0.0</v>
      </c>
      <c r="Q1819" s="57"/>
      <c r="R1819" s="58"/>
    </row>
    <row r="1820" spans="8:8" ht="15.0" customHeight="1">
      <c r="B1820" s="54">
        <v>1964.0</v>
      </c>
      <c r="C1820" s="8"/>
      <c r="D1820" s="8"/>
      <c r="E1820" s="8"/>
      <c r="F1820" s="8"/>
      <c r="G1820" s="8"/>
      <c r="H1820" s="8"/>
      <c r="I1820" s="55"/>
      <c r="J1820" s="78" t="s">
        <v>5735</v>
      </c>
      <c r="K1820" s="22">
        <v>0.0</v>
      </c>
      <c r="L1820" s="22">
        <f>+SUMIF('حركه المخزن الرئيسي اليوميه'!$F:$F,$H:$H,'حركه المخزن الرئيسي اليوميه'!$H:$H)</f>
        <v>0.0</v>
      </c>
      <c r="M1820" s="22">
        <f>+SUMIF('حركه المخزن الرئيسي اليوميه'!$F:$F,$H:$H,'حركه المخزن الرئيسي اليوميه'!$I:$I)</f>
        <v>0.0</v>
      </c>
      <c r="N1820" s="22">
        <f>+K1820+L1820-M1820</f>
        <v>0.0</v>
      </c>
      <c r="O1820" s="22">
        <f>+N1820</f>
        <v>0.0</v>
      </c>
      <c r="P1820" s="22">
        <f>+N1820-O1820</f>
        <v>0.0</v>
      </c>
      <c r="Q1820" s="57"/>
      <c r="R1820" s="58"/>
    </row>
    <row r="1821" spans="8:8" ht="15.0" customHeight="1">
      <c r="B1821" s="54">
        <v>1965.0</v>
      </c>
      <c r="C1821" s="8"/>
      <c r="D1821" s="8"/>
      <c r="E1821" s="8"/>
      <c r="F1821" s="8"/>
      <c r="G1821" s="8"/>
      <c r="H1821" s="8"/>
      <c r="I1821" s="55"/>
      <c r="J1821" s="78" t="s">
        <v>5736</v>
      </c>
      <c r="K1821" s="22">
        <v>0.0</v>
      </c>
      <c r="L1821" s="22">
        <f>+SUMIF('حركه المخزن الرئيسي اليوميه'!$F:$F,$H:$H,'حركه المخزن الرئيسي اليوميه'!$H:$H)</f>
        <v>0.0</v>
      </c>
      <c r="M1821" s="22">
        <f>+SUMIF('حركه المخزن الرئيسي اليوميه'!$F:$F,$H:$H,'حركه المخزن الرئيسي اليوميه'!$I:$I)</f>
        <v>0.0</v>
      </c>
      <c r="N1821" s="22">
        <f>+K1821+L1821-M1821</f>
        <v>0.0</v>
      </c>
      <c r="O1821" s="22">
        <f>+N1821</f>
        <v>0.0</v>
      </c>
      <c r="P1821" s="22">
        <f>+N1821-O1821</f>
        <v>0.0</v>
      </c>
      <c r="Q1821" s="57"/>
      <c r="R1821" s="58"/>
    </row>
    <row r="1822" spans="8:8" ht="15.0" customHeight="1">
      <c r="B1822" s="54">
        <v>1966.0</v>
      </c>
      <c r="C1822" s="8"/>
      <c r="D1822" s="8"/>
      <c r="E1822" s="8"/>
      <c r="F1822" s="8"/>
      <c r="G1822" s="8"/>
      <c r="H1822" s="8"/>
      <c r="I1822" s="55"/>
      <c r="J1822" s="78" t="s">
        <v>5737</v>
      </c>
      <c r="K1822" s="22">
        <v>0.0</v>
      </c>
      <c r="L1822" s="22">
        <f>+SUMIF('حركه المخزن الرئيسي اليوميه'!$F:$F,$H:$H,'حركه المخزن الرئيسي اليوميه'!$H:$H)</f>
        <v>0.0</v>
      </c>
      <c r="M1822" s="22">
        <f>+SUMIF('حركه المخزن الرئيسي اليوميه'!$F:$F,$H:$H,'حركه المخزن الرئيسي اليوميه'!$I:$I)</f>
        <v>0.0</v>
      </c>
      <c r="N1822" s="22">
        <f>+K1822+L1822-M1822</f>
        <v>0.0</v>
      </c>
      <c r="O1822" s="22">
        <f>+N1822</f>
        <v>0.0</v>
      </c>
      <c r="P1822" s="22">
        <f>+N1822-O1822</f>
        <v>0.0</v>
      </c>
      <c r="Q1822" s="57"/>
      <c r="R1822" s="58"/>
    </row>
    <row r="1823" spans="8:8" ht="15.0" customHeight="1">
      <c r="B1823" s="54">
        <v>1967.0</v>
      </c>
      <c r="C1823" s="8"/>
      <c r="D1823" s="8"/>
      <c r="E1823" s="8"/>
      <c r="F1823" s="8"/>
      <c r="G1823" s="8"/>
      <c r="H1823" s="8"/>
      <c r="I1823" s="55"/>
      <c r="J1823" s="78" t="s">
        <v>5738</v>
      </c>
      <c r="K1823" s="22">
        <v>0.0</v>
      </c>
      <c r="L1823" s="22">
        <f>+SUMIF('حركه المخزن الرئيسي اليوميه'!$F:$F,$H:$H,'حركه المخزن الرئيسي اليوميه'!$H:$H)</f>
        <v>0.0</v>
      </c>
      <c r="M1823" s="22">
        <f>+SUMIF('حركه المخزن الرئيسي اليوميه'!$F:$F,$H:$H,'حركه المخزن الرئيسي اليوميه'!$I:$I)</f>
        <v>0.0</v>
      </c>
      <c r="N1823" s="22">
        <f>+K1823+L1823-M1823</f>
        <v>0.0</v>
      </c>
      <c r="O1823" s="22">
        <f>+N1823</f>
        <v>0.0</v>
      </c>
      <c r="P1823" s="22">
        <f>+N1823-O1823</f>
        <v>0.0</v>
      </c>
      <c r="Q1823" s="57"/>
      <c r="R1823" s="58"/>
    </row>
    <row r="1824" spans="8:8" ht="15.0" customHeight="1">
      <c r="B1824" s="54">
        <v>1968.0</v>
      </c>
      <c r="C1824" s="8"/>
      <c r="D1824" s="8"/>
      <c r="E1824" s="8"/>
      <c r="F1824" s="8"/>
      <c r="G1824" s="8"/>
      <c r="H1824" s="8"/>
      <c r="I1824" s="55"/>
      <c r="J1824" s="78" t="s">
        <v>5739</v>
      </c>
      <c r="K1824" s="22">
        <v>0.0</v>
      </c>
      <c r="L1824" s="22">
        <f>+SUMIF('حركه المخزن الرئيسي اليوميه'!$F:$F,$H:$H,'حركه المخزن الرئيسي اليوميه'!$H:$H)</f>
        <v>0.0</v>
      </c>
      <c r="M1824" s="22">
        <f>+SUMIF('حركه المخزن الرئيسي اليوميه'!$F:$F,$H:$H,'حركه المخزن الرئيسي اليوميه'!$I:$I)</f>
        <v>0.0</v>
      </c>
      <c r="N1824" s="22">
        <f>+K1824+L1824-M1824</f>
        <v>0.0</v>
      </c>
      <c r="O1824" s="22">
        <f>+N1824</f>
        <v>0.0</v>
      </c>
      <c r="P1824" s="22">
        <f>+N1824-O1824</f>
        <v>0.0</v>
      </c>
      <c r="Q1824" s="57"/>
      <c r="R1824" s="58"/>
    </row>
    <row r="1825" spans="8:8" ht="15.0" customHeight="1">
      <c r="B1825" s="54">
        <v>1969.0</v>
      </c>
      <c r="C1825" s="8"/>
      <c r="D1825" s="8"/>
      <c r="E1825" s="8"/>
      <c r="F1825" s="8"/>
      <c r="G1825" s="8"/>
      <c r="H1825" s="8"/>
      <c r="I1825" s="55"/>
      <c r="J1825" s="78" t="s">
        <v>5740</v>
      </c>
      <c r="K1825" s="22">
        <v>0.0</v>
      </c>
      <c r="L1825" s="22">
        <f>+SUMIF('حركه المخزن الرئيسي اليوميه'!$F:$F,$H:$H,'حركه المخزن الرئيسي اليوميه'!$H:$H)</f>
        <v>0.0</v>
      </c>
      <c r="M1825" s="22">
        <f>+SUMIF('حركه المخزن الرئيسي اليوميه'!$F:$F,$H:$H,'حركه المخزن الرئيسي اليوميه'!$I:$I)</f>
        <v>0.0</v>
      </c>
      <c r="N1825" s="22">
        <f>+K1825+L1825-M1825</f>
        <v>0.0</v>
      </c>
      <c r="O1825" s="22">
        <f>+N1825</f>
        <v>0.0</v>
      </c>
      <c r="P1825" s="22">
        <f>+N1825-O1825</f>
        <v>0.0</v>
      </c>
      <c r="Q1825" s="57"/>
      <c r="R1825" s="58"/>
    </row>
    <row r="1826" spans="8:8" ht="15.0" customHeight="1">
      <c r="B1826" s="54">
        <v>1970.0</v>
      </c>
      <c r="C1826" s="8"/>
      <c r="D1826" s="8"/>
      <c r="E1826" s="8"/>
      <c r="F1826" s="8"/>
      <c r="G1826" s="8"/>
      <c r="H1826" s="8"/>
      <c r="I1826" s="55"/>
      <c r="J1826" s="78" t="s">
        <v>5741</v>
      </c>
      <c r="K1826" s="22">
        <v>0.0</v>
      </c>
      <c r="L1826" s="22">
        <f>+SUMIF('حركه المخزن الرئيسي اليوميه'!$F:$F,$H:$H,'حركه المخزن الرئيسي اليوميه'!$H:$H)</f>
        <v>0.0</v>
      </c>
      <c r="M1826" s="22">
        <f>+SUMIF('حركه المخزن الرئيسي اليوميه'!$F:$F,$H:$H,'حركه المخزن الرئيسي اليوميه'!$I:$I)</f>
        <v>0.0</v>
      </c>
      <c r="N1826" s="22">
        <f>+K1826+L1826-M1826</f>
        <v>0.0</v>
      </c>
      <c r="O1826" s="22">
        <f>+N1826</f>
        <v>0.0</v>
      </c>
      <c r="P1826" s="22">
        <f>+N1826-O1826</f>
        <v>0.0</v>
      </c>
      <c r="Q1826" s="57"/>
      <c r="R1826" s="58"/>
    </row>
    <row r="1827" spans="8:8" ht="15.0" customHeight="1">
      <c r="B1827" s="54">
        <v>1971.0</v>
      </c>
      <c r="C1827" s="8"/>
      <c r="D1827" s="8"/>
      <c r="E1827" s="8"/>
      <c r="F1827" s="8"/>
      <c r="G1827" s="8"/>
      <c r="H1827" s="8"/>
      <c r="I1827" s="55"/>
      <c r="J1827" s="78" t="s">
        <v>5742</v>
      </c>
      <c r="K1827" s="22">
        <v>0.0</v>
      </c>
      <c r="L1827" s="22">
        <f>+SUMIF('حركه المخزن الرئيسي اليوميه'!$F:$F,$H:$H,'حركه المخزن الرئيسي اليوميه'!$H:$H)</f>
        <v>0.0</v>
      </c>
      <c r="M1827" s="22">
        <f>+SUMIF('حركه المخزن الرئيسي اليوميه'!$F:$F,$H:$H,'حركه المخزن الرئيسي اليوميه'!$I:$I)</f>
        <v>0.0</v>
      </c>
      <c r="N1827" s="22">
        <f>+K1827+L1827-M1827</f>
        <v>0.0</v>
      </c>
      <c r="O1827" s="22">
        <f>+N1827</f>
        <v>0.0</v>
      </c>
      <c r="P1827" s="22">
        <f>+N1827-O1827</f>
        <v>0.0</v>
      </c>
      <c r="Q1827" s="57"/>
      <c r="R1827" s="58"/>
    </row>
    <row r="1828" spans="8:8" ht="15.0" customHeight="1">
      <c r="B1828" s="54">
        <v>1972.0</v>
      </c>
      <c r="C1828" s="8"/>
      <c r="D1828" s="8"/>
      <c r="E1828" s="8"/>
      <c r="F1828" s="8"/>
      <c r="G1828" s="8"/>
      <c r="H1828" s="8"/>
      <c r="I1828" s="55"/>
      <c r="J1828" s="78" t="s">
        <v>5743</v>
      </c>
      <c r="K1828" s="22">
        <v>0.0</v>
      </c>
      <c r="L1828" s="22">
        <f>+SUMIF('حركه المخزن الرئيسي اليوميه'!$F:$F,$H:$H,'حركه المخزن الرئيسي اليوميه'!$H:$H)</f>
        <v>0.0</v>
      </c>
      <c r="M1828" s="22">
        <f>+SUMIF('حركه المخزن الرئيسي اليوميه'!$F:$F,$H:$H,'حركه المخزن الرئيسي اليوميه'!$I:$I)</f>
        <v>0.0</v>
      </c>
      <c r="N1828" s="22">
        <f>+K1828+L1828-M1828</f>
        <v>0.0</v>
      </c>
      <c r="O1828" s="22">
        <f>+N1828</f>
        <v>0.0</v>
      </c>
      <c r="P1828" s="22">
        <f>+N1828-O1828</f>
        <v>0.0</v>
      </c>
      <c r="Q1828" s="57"/>
      <c r="R1828" s="58"/>
    </row>
    <row r="1829" spans="8:8" ht="15.0" customHeight="1">
      <c r="B1829" s="54">
        <v>1973.0</v>
      </c>
      <c r="C1829" s="8"/>
      <c r="D1829" s="8"/>
      <c r="E1829" s="8"/>
      <c r="F1829" s="8"/>
      <c r="G1829" s="8"/>
      <c r="H1829" s="8"/>
      <c r="I1829" s="55"/>
      <c r="J1829" s="78" t="s">
        <v>5744</v>
      </c>
      <c r="K1829" s="22">
        <v>0.0</v>
      </c>
      <c r="L1829" s="22">
        <f>+SUMIF('حركه المخزن الرئيسي اليوميه'!$F:$F,$H:$H,'حركه المخزن الرئيسي اليوميه'!$H:$H)</f>
        <v>0.0</v>
      </c>
      <c r="M1829" s="22">
        <f>+SUMIF('حركه المخزن الرئيسي اليوميه'!$F:$F,$H:$H,'حركه المخزن الرئيسي اليوميه'!$I:$I)</f>
        <v>0.0</v>
      </c>
      <c r="N1829" s="22">
        <f>+K1829+L1829-M1829</f>
        <v>0.0</v>
      </c>
      <c r="O1829" s="22">
        <f>+N1829</f>
        <v>0.0</v>
      </c>
      <c r="P1829" s="22">
        <f>+N1829-O1829</f>
        <v>0.0</v>
      </c>
      <c r="Q1829" s="57"/>
      <c r="R1829" s="58"/>
    </row>
    <row r="1830" spans="8:8" ht="15.0" customHeight="1">
      <c r="B1830" s="54">
        <v>1974.0</v>
      </c>
      <c r="C1830" s="8"/>
      <c r="D1830" s="8"/>
      <c r="E1830" s="8"/>
      <c r="F1830" s="8"/>
      <c r="G1830" s="8"/>
      <c r="H1830" s="8"/>
      <c r="I1830" s="55"/>
      <c r="J1830" s="78" t="s">
        <v>5745</v>
      </c>
      <c r="K1830" s="22">
        <v>0.0</v>
      </c>
      <c r="L1830" s="22">
        <f>+SUMIF('حركه المخزن الرئيسي اليوميه'!$F:$F,$H:$H,'حركه المخزن الرئيسي اليوميه'!$H:$H)</f>
        <v>0.0</v>
      </c>
      <c r="M1830" s="22">
        <f>+SUMIF('حركه المخزن الرئيسي اليوميه'!$F:$F,$H:$H,'حركه المخزن الرئيسي اليوميه'!$I:$I)</f>
        <v>0.0</v>
      </c>
      <c r="N1830" s="22">
        <f>+K1830+L1830-M1830</f>
        <v>0.0</v>
      </c>
      <c r="O1830" s="22">
        <f>+N1830</f>
        <v>0.0</v>
      </c>
      <c r="P1830" s="22">
        <f>+N1830-O1830</f>
        <v>0.0</v>
      </c>
      <c r="Q1830" s="57"/>
      <c r="R1830" s="58"/>
    </row>
    <row r="1831" spans="8:8" ht="15.0" customHeight="1">
      <c r="B1831" s="54">
        <v>1975.0</v>
      </c>
      <c r="C1831" s="8"/>
      <c r="D1831" s="8"/>
      <c r="E1831" s="8"/>
      <c r="F1831" s="8"/>
      <c r="G1831" s="8"/>
      <c r="H1831" s="8"/>
      <c r="I1831" s="55"/>
      <c r="J1831" s="78" t="s">
        <v>5746</v>
      </c>
      <c r="K1831" s="22">
        <v>0.0</v>
      </c>
      <c r="L1831" s="22">
        <f>+SUMIF('حركه المخزن الرئيسي اليوميه'!$F:$F,$H:$H,'حركه المخزن الرئيسي اليوميه'!$H:$H)</f>
        <v>0.0</v>
      </c>
      <c r="M1831" s="22">
        <f>+SUMIF('حركه المخزن الرئيسي اليوميه'!$F:$F,$H:$H,'حركه المخزن الرئيسي اليوميه'!$I:$I)</f>
        <v>0.0</v>
      </c>
      <c r="N1831" s="22">
        <f>+K1831+L1831-M1831</f>
        <v>0.0</v>
      </c>
      <c r="O1831" s="22">
        <f>+N1831</f>
        <v>0.0</v>
      </c>
      <c r="P1831" s="22">
        <f>+N1831-O1831</f>
        <v>0.0</v>
      </c>
      <c r="Q1831" s="57"/>
      <c r="R1831" s="58"/>
    </row>
    <row r="1832" spans="8:8" ht="15.0" customHeight="1">
      <c r="B1832" s="54">
        <v>1976.0</v>
      </c>
      <c r="C1832" s="8"/>
      <c r="D1832" s="8"/>
      <c r="E1832" s="8"/>
      <c r="F1832" s="8"/>
      <c r="G1832" s="8"/>
      <c r="H1832" s="8"/>
      <c r="I1832" s="55"/>
      <c r="J1832" s="78" t="s">
        <v>5747</v>
      </c>
      <c r="K1832" s="22">
        <v>0.0</v>
      </c>
      <c r="L1832" s="22">
        <f>+SUMIF('حركه المخزن الرئيسي اليوميه'!$F:$F,$H:$H,'حركه المخزن الرئيسي اليوميه'!$H:$H)</f>
        <v>0.0</v>
      </c>
      <c r="M1832" s="22">
        <f>+SUMIF('حركه المخزن الرئيسي اليوميه'!$F:$F,$H:$H,'حركه المخزن الرئيسي اليوميه'!$I:$I)</f>
        <v>0.0</v>
      </c>
      <c r="N1832" s="22">
        <f>+K1832+L1832-M1832</f>
        <v>0.0</v>
      </c>
      <c r="O1832" s="22">
        <f>+N1832</f>
        <v>0.0</v>
      </c>
      <c r="P1832" s="22">
        <f>+N1832-O1832</f>
        <v>0.0</v>
      </c>
      <c r="Q1832" s="57"/>
      <c r="R1832" s="58"/>
    </row>
    <row r="1833" spans="8:8" ht="15.0" customHeight="1">
      <c r="B1833" s="54">
        <v>1977.0</v>
      </c>
      <c r="C1833" s="8"/>
      <c r="D1833" s="8"/>
      <c r="E1833" s="8"/>
      <c r="F1833" s="8"/>
      <c r="G1833" s="8"/>
      <c r="H1833" s="8"/>
      <c r="I1833" s="55"/>
      <c r="J1833" s="78" t="s">
        <v>5748</v>
      </c>
      <c r="K1833" s="22">
        <v>0.0</v>
      </c>
      <c r="L1833" s="22">
        <f>+SUMIF('حركه المخزن الرئيسي اليوميه'!$F:$F,$H:$H,'حركه المخزن الرئيسي اليوميه'!$H:$H)</f>
        <v>0.0</v>
      </c>
      <c r="M1833" s="22">
        <f>+SUMIF('حركه المخزن الرئيسي اليوميه'!$F:$F,$H:$H,'حركه المخزن الرئيسي اليوميه'!$I:$I)</f>
        <v>0.0</v>
      </c>
      <c r="N1833" s="22">
        <f>+K1833+L1833-M1833</f>
        <v>0.0</v>
      </c>
      <c r="O1833" s="22">
        <f>+N1833</f>
        <v>0.0</v>
      </c>
      <c r="P1833" s="22">
        <f>+N1833-O1833</f>
        <v>0.0</v>
      </c>
      <c r="Q1833" s="57"/>
      <c r="R1833" s="58"/>
    </row>
    <row r="1834" spans="8:8" ht="15.0" customHeight="1">
      <c r="B1834" s="54">
        <v>1978.0</v>
      </c>
      <c r="C1834" s="8"/>
      <c r="D1834" s="8"/>
      <c r="E1834" s="8"/>
      <c r="F1834" s="8"/>
      <c r="G1834" s="8"/>
      <c r="H1834" s="8"/>
      <c r="I1834" s="55"/>
      <c r="J1834" s="78" t="s">
        <v>5749</v>
      </c>
      <c r="K1834" s="22">
        <v>0.0</v>
      </c>
      <c r="L1834" s="22">
        <f>+SUMIF('حركه المخزن الرئيسي اليوميه'!$F:$F,$H:$H,'حركه المخزن الرئيسي اليوميه'!$H:$H)</f>
        <v>0.0</v>
      </c>
      <c r="M1834" s="22">
        <f>+SUMIF('حركه المخزن الرئيسي اليوميه'!$F:$F,$H:$H,'حركه المخزن الرئيسي اليوميه'!$I:$I)</f>
        <v>0.0</v>
      </c>
      <c r="N1834" s="22">
        <f>+K1834+L1834-M1834</f>
        <v>0.0</v>
      </c>
      <c r="O1834" s="22">
        <f>+N1834</f>
        <v>0.0</v>
      </c>
      <c r="P1834" s="22">
        <f>+N1834-O1834</f>
        <v>0.0</v>
      </c>
      <c r="Q1834" s="57"/>
      <c r="R1834" s="58"/>
    </row>
    <row r="1835" spans="8:8" ht="15.0" customHeight="1">
      <c r="B1835" s="54">
        <v>1979.0</v>
      </c>
      <c r="C1835" s="8"/>
      <c r="D1835" s="8"/>
      <c r="E1835" s="8"/>
      <c r="F1835" s="8"/>
      <c r="G1835" s="8"/>
      <c r="H1835" s="8"/>
      <c r="I1835" s="55"/>
      <c r="J1835" s="78" t="s">
        <v>5750</v>
      </c>
      <c r="K1835" s="22">
        <v>0.0</v>
      </c>
      <c r="L1835" s="22">
        <f>+SUMIF('حركه المخزن الرئيسي اليوميه'!$F:$F,$H:$H,'حركه المخزن الرئيسي اليوميه'!$H:$H)</f>
        <v>0.0</v>
      </c>
      <c r="M1835" s="22">
        <f>+SUMIF('حركه المخزن الرئيسي اليوميه'!$F:$F,$H:$H,'حركه المخزن الرئيسي اليوميه'!$I:$I)</f>
        <v>0.0</v>
      </c>
      <c r="N1835" s="22">
        <f>+K1835+L1835-M1835</f>
        <v>0.0</v>
      </c>
      <c r="O1835" s="22">
        <f>+N1835</f>
        <v>0.0</v>
      </c>
      <c r="P1835" s="22">
        <f>+N1835-O1835</f>
        <v>0.0</v>
      </c>
      <c r="Q1835" s="57"/>
      <c r="R1835" s="58"/>
    </row>
    <row r="1836" spans="8:8" ht="15.0" customHeight="1">
      <c r="B1836" s="54">
        <v>1980.0</v>
      </c>
      <c r="C1836" s="8"/>
      <c r="D1836" s="8"/>
      <c r="E1836" s="8"/>
      <c r="F1836" s="8"/>
      <c r="G1836" s="8"/>
      <c r="H1836" s="8"/>
      <c r="I1836" s="55"/>
      <c r="J1836" s="78" t="s">
        <v>5751</v>
      </c>
      <c r="K1836" s="22">
        <v>0.0</v>
      </c>
      <c r="L1836" s="22">
        <f>+SUMIF('حركه المخزن الرئيسي اليوميه'!$F:$F,$H:$H,'حركه المخزن الرئيسي اليوميه'!$H:$H)</f>
        <v>0.0</v>
      </c>
      <c r="M1836" s="22">
        <f>+SUMIF('حركه المخزن الرئيسي اليوميه'!$F:$F,$H:$H,'حركه المخزن الرئيسي اليوميه'!$I:$I)</f>
        <v>0.0</v>
      </c>
      <c r="N1836" s="22">
        <f>+K1836+L1836-M1836</f>
        <v>0.0</v>
      </c>
      <c r="O1836" s="22">
        <f>+N1836</f>
        <v>0.0</v>
      </c>
      <c r="P1836" s="22">
        <f>+N1836-O1836</f>
        <v>0.0</v>
      </c>
      <c r="Q1836" s="57"/>
      <c r="R1836" s="58"/>
    </row>
    <row r="1837" spans="8:8" ht="15.0" customHeight="1">
      <c r="B1837" s="54">
        <v>1981.0</v>
      </c>
      <c r="C1837" s="8"/>
      <c r="D1837" s="8"/>
      <c r="E1837" s="8"/>
      <c r="F1837" s="8"/>
      <c r="G1837" s="8"/>
      <c r="H1837" s="8"/>
      <c r="I1837" s="55"/>
      <c r="J1837" s="78" t="s">
        <v>5752</v>
      </c>
      <c r="K1837" s="22">
        <v>0.0</v>
      </c>
      <c r="L1837" s="22">
        <f>+SUMIF('حركه المخزن الرئيسي اليوميه'!$F:$F,$H:$H,'حركه المخزن الرئيسي اليوميه'!$H:$H)</f>
        <v>0.0</v>
      </c>
      <c r="M1837" s="22">
        <f>+SUMIF('حركه المخزن الرئيسي اليوميه'!$F:$F,$H:$H,'حركه المخزن الرئيسي اليوميه'!$I:$I)</f>
        <v>0.0</v>
      </c>
      <c r="N1837" s="22">
        <f>+K1837+L1837-M1837</f>
        <v>0.0</v>
      </c>
      <c r="O1837" s="22">
        <f>+N1837</f>
        <v>0.0</v>
      </c>
      <c r="P1837" s="22">
        <f>+N1837-O1837</f>
        <v>0.0</v>
      </c>
      <c r="Q1837" s="57"/>
      <c r="R1837" s="58"/>
    </row>
    <row r="1838" spans="8:8" ht="15.0" customHeight="1">
      <c r="B1838" s="54">
        <v>1982.0</v>
      </c>
      <c r="C1838" s="8"/>
      <c r="D1838" s="8"/>
      <c r="E1838" s="8"/>
      <c r="F1838" s="8"/>
      <c r="G1838" s="8"/>
      <c r="H1838" s="8"/>
      <c r="I1838" s="55"/>
      <c r="J1838" s="78" t="s">
        <v>5753</v>
      </c>
      <c r="K1838" s="22">
        <v>0.0</v>
      </c>
      <c r="L1838" s="22">
        <f>+SUMIF('حركه المخزن الرئيسي اليوميه'!$F:$F,$H:$H,'حركه المخزن الرئيسي اليوميه'!$H:$H)</f>
        <v>0.0</v>
      </c>
      <c r="M1838" s="22">
        <f>+SUMIF('حركه المخزن الرئيسي اليوميه'!$F:$F,$H:$H,'حركه المخزن الرئيسي اليوميه'!$I:$I)</f>
        <v>0.0</v>
      </c>
      <c r="N1838" s="22">
        <f>+K1838+L1838-M1838</f>
        <v>0.0</v>
      </c>
      <c r="O1838" s="22">
        <f>+N1838</f>
        <v>0.0</v>
      </c>
      <c r="P1838" s="22">
        <f>+N1838-O1838</f>
        <v>0.0</v>
      </c>
      <c r="Q1838" s="57"/>
      <c r="R1838" s="58"/>
    </row>
    <row r="1839" spans="8:8" ht="15.0" customHeight="1">
      <c r="B1839" s="54">
        <v>1983.0</v>
      </c>
      <c r="C1839" s="8"/>
      <c r="D1839" s="8"/>
      <c r="E1839" s="8"/>
      <c r="F1839" s="8"/>
      <c r="G1839" s="8"/>
      <c r="H1839" s="8"/>
      <c r="I1839" s="55"/>
      <c r="J1839" s="78" t="s">
        <v>5754</v>
      </c>
      <c r="K1839" s="22">
        <v>0.0</v>
      </c>
      <c r="L1839" s="22">
        <f>+SUMIF('حركه المخزن الرئيسي اليوميه'!$F:$F,$H:$H,'حركه المخزن الرئيسي اليوميه'!$H:$H)</f>
        <v>0.0</v>
      </c>
      <c r="M1839" s="22">
        <f>+SUMIF('حركه المخزن الرئيسي اليوميه'!$F:$F,$H:$H,'حركه المخزن الرئيسي اليوميه'!$I:$I)</f>
        <v>0.0</v>
      </c>
      <c r="N1839" s="22">
        <f>+K1839+L1839-M1839</f>
        <v>0.0</v>
      </c>
      <c r="O1839" s="22">
        <f>+N1839</f>
        <v>0.0</v>
      </c>
      <c r="P1839" s="22">
        <f>+N1839-O1839</f>
        <v>0.0</v>
      </c>
      <c r="Q1839" s="57"/>
      <c r="R1839" s="58"/>
    </row>
    <row r="1840" spans="8:8" ht="15.0" customHeight="1">
      <c r="B1840" s="54">
        <v>1984.0</v>
      </c>
      <c r="C1840" s="8"/>
      <c r="D1840" s="8"/>
      <c r="E1840" s="8"/>
      <c r="F1840" s="8"/>
      <c r="G1840" s="8"/>
      <c r="H1840" s="8"/>
      <c r="I1840" s="55"/>
      <c r="J1840" s="78" t="s">
        <v>5755</v>
      </c>
      <c r="K1840" s="22">
        <v>0.0</v>
      </c>
      <c r="L1840" s="22">
        <f>+SUMIF('حركه المخزن الرئيسي اليوميه'!$F:$F,$H:$H,'حركه المخزن الرئيسي اليوميه'!$H:$H)</f>
        <v>0.0</v>
      </c>
      <c r="M1840" s="22">
        <f>+SUMIF('حركه المخزن الرئيسي اليوميه'!$F:$F,$H:$H,'حركه المخزن الرئيسي اليوميه'!$I:$I)</f>
        <v>0.0</v>
      </c>
      <c r="N1840" s="22">
        <f>+K1840+L1840-M1840</f>
        <v>0.0</v>
      </c>
      <c r="O1840" s="22">
        <f>+N1840</f>
        <v>0.0</v>
      </c>
      <c r="P1840" s="22">
        <f>+N1840-O1840</f>
        <v>0.0</v>
      </c>
      <c r="Q1840" s="57"/>
      <c r="R1840" s="58"/>
    </row>
    <row r="1841" spans="8:8" ht="15.0" customHeight="1">
      <c r="B1841" s="54">
        <v>1985.0</v>
      </c>
      <c r="C1841" s="8"/>
      <c r="D1841" s="8"/>
      <c r="E1841" s="8"/>
      <c r="F1841" s="8"/>
      <c r="G1841" s="8"/>
      <c r="H1841" s="8"/>
      <c r="I1841" s="55"/>
      <c r="J1841" s="78" t="s">
        <v>5756</v>
      </c>
      <c r="K1841" s="22">
        <v>0.0</v>
      </c>
      <c r="L1841" s="22">
        <f>+SUMIF('حركه المخزن الرئيسي اليوميه'!$F:$F,$H:$H,'حركه المخزن الرئيسي اليوميه'!$H:$H)</f>
        <v>0.0</v>
      </c>
      <c r="M1841" s="22">
        <f>+SUMIF('حركه المخزن الرئيسي اليوميه'!$F:$F,$H:$H,'حركه المخزن الرئيسي اليوميه'!$I:$I)</f>
        <v>0.0</v>
      </c>
      <c r="N1841" s="22">
        <f>+K1841+L1841-M1841</f>
        <v>0.0</v>
      </c>
      <c r="O1841" s="22">
        <f>+N1841</f>
        <v>0.0</v>
      </c>
      <c r="P1841" s="22">
        <f>+N1841-O1841</f>
        <v>0.0</v>
      </c>
      <c r="Q1841" s="57"/>
      <c r="R1841" s="58"/>
    </row>
    <row r="1842" spans="8:8" ht="15.0" customHeight="1">
      <c r="B1842" s="54">
        <v>1986.0</v>
      </c>
      <c r="C1842" s="8"/>
      <c r="D1842" s="8"/>
      <c r="E1842" s="8"/>
      <c r="F1842" s="8"/>
      <c r="G1842" s="8"/>
      <c r="H1842" s="8"/>
      <c r="I1842" s="55"/>
      <c r="J1842" s="78" t="s">
        <v>5757</v>
      </c>
      <c r="K1842" s="22">
        <v>0.0</v>
      </c>
      <c r="L1842" s="22">
        <f>+SUMIF('حركه المخزن الرئيسي اليوميه'!$F:$F,$H:$H,'حركه المخزن الرئيسي اليوميه'!$H:$H)</f>
        <v>0.0</v>
      </c>
      <c r="M1842" s="22">
        <f>+SUMIF('حركه المخزن الرئيسي اليوميه'!$F:$F,$H:$H,'حركه المخزن الرئيسي اليوميه'!$I:$I)</f>
        <v>0.0</v>
      </c>
      <c r="N1842" s="22">
        <f>+K1842+L1842-M1842</f>
        <v>0.0</v>
      </c>
      <c r="O1842" s="22">
        <f>+N1842</f>
        <v>0.0</v>
      </c>
      <c r="P1842" s="22">
        <f>+N1842-O1842</f>
        <v>0.0</v>
      </c>
      <c r="Q1842" s="57"/>
      <c r="R1842" s="58"/>
    </row>
    <row r="1843" spans="8:8" ht="15.0" customHeight="1">
      <c r="B1843" s="54">
        <v>1987.0</v>
      </c>
      <c r="C1843" s="8"/>
      <c r="D1843" s="8"/>
      <c r="E1843" s="8"/>
      <c r="F1843" s="8"/>
      <c r="G1843" s="8"/>
      <c r="H1843" s="8"/>
      <c r="I1843" s="55"/>
      <c r="J1843" s="78" t="s">
        <v>5758</v>
      </c>
      <c r="K1843" s="22">
        <v>0.0</v>
      </c>
      <c r="L1843" s="22">
        <f>+SUMIF('حركه المخزن الرئيسي اليوميه'!$F:$F,$H:$H,'حركه المخزن الرئيسي اليوميه'!$H:$H)</f>
        <v>0.0</v>
      </c>
      <c r="M1843" s="22">
        <f>+SUMIF('حركه المخزن الرئيسي اليوميه'!$F:$F,$H:$H,'حركه المخزن الرئيسي اليوميه'!$I:$I)</f>
        <v>0.0</v>
      </c>
      <c r="N1843" s="22">
        <f>+K1843+L1843-M1843</f>
        <v>0.0</v>
      </c>
      <c r="O1843" s="22">
        <f>+N1843</f>
        <v>0.0</v>
      </c>
      <c r="P1843" s="22">
        <f>+N1843-O1843</f>
        <v>0.0</v>
      </c>
      <c r="Q1843" s="57"/>
      <c r="R1843" s="58"/>
    </row>
    <row r="1844" spans="8:8" ht="15.0" customHeight="1">
      <c r="B1844" s="54">
        <v>1988.0</v>
      </c>
      <c r="C1844" s="8"/>
      <c r="D1844" s="8"/>
      <c r="E1844" s="8"/>
      <c r="F1844" s="8"/>
      <c r="G1844" s="8"/>
      <c r="H1844" s="8"/>
      <c r="I1844" s="55"/>
      <c r="J1844" s="78" t="s">
        <v>5759</v>
      </c>
      <c r="K1844" s="22">
        <v>0.0</v>
      </c>
      <c r="L1844" s="22">
        <f>+SUMIF('حركه المخزن الرئيسي اليوميه'!$F:$F,$H:$H,'حركه المخزن الرئيسي اليوميه'!$H:$H)</f>
        <v>0.0</v>
      </c>
      <c r="M1844" s="22">
        <f>+SUMIF('حركه المخزن الرئيسي اليوميه'!$F:$F,$H:$H,'حركه المخزن الرئيسي اليوميه'!$I:$I)</f>
        <v>0.0</v>
      </c>
      <c r="N1844" s="22">
        <f>+K1844+L1844-M1844</f>
        <v>0.0</v>
      </c>
      <c r="O1844" s="22">
        <f>+N1844</f>
        <v>0.0</v>
      </c>
      <c r="P1844" s="22">
        <f>+N1844-O1844</f>
        <v>0.0</v>
      </c>
      <c r="Q1844" s="57"/>
      <c r="R1844" s="58"/>
    </row>
    <row r="1845" spans="8:8" ht="15.0" customHeight="1">
      <c r="B1845" s="54">
        <v>1989.0</v>
      </c>
      <c r="C1845" s="8"/>
      <c r="D1845" s="8"/>
      <c r="E1845" s="8"/>
      <c r="F1845" s="8"/>
      <c r="G1845" s="8"/>
      <c r="H1845" s="8"/>
      <c r="I1845" s="55"/>
      <c r="J1845" s="78" t="s">
        <v>5760</v>
      </c>
      <c r="K1845" s="22">
        <v>0.0</v>
      </c>
      <c r="L1845" s="22">
        <f>+SUMIF('حركه المخزن الرئيسي اليوميه'!$F:$F,$H:$H,'حركه المخزن الرئيسي اليوميه'!$H:$H)</f>
        <v>0.0</v>
      </c>
      <c r="M1845" s="22">
        <f>+SUMIF('حركه المخزن الرئيسي اليوميه'!$F:$F,$H:$H,'حركه المخزن الرئيسي اليوميه'!$I:$I)</f>
        <v>0.0</v>
      </c>
      <c r="N1845" s="22">
        <f>+K1845+L1845-M1845</f>
        <v>0.0</v>
      </c>
      <c r="O1845" s="22">
        <f>+N1845</f>
        <v>0.0</v>
      </c>
      <c r="P1845" s="22">
        <f>+N1845-O1845</f>
        <v>0.0</v>
      </c>
      <c r="Q1845" s="57"/>
      <c r="R1845" s="58"/>
    </row>
    <row r="1846" spans="8:8" ht="15.0" customHeight="1">
      <c r="B1846" s="54">
        <v>1990.0</v>
      </c>
      <c r="C1846" s="8"/>
      <c r="D1846" s="8"/>
      <c r="E1846" s="8"/>
      <c r="F1846" s="8"/>
      <c r="G1846" s="8"/>
      <c r="H1846" s="8"/>
      <c r="I1846" s="55"/>
      <c r="J1846" s="78" t="s">
        <v>5761</v>
      </c>
      <c r="K1846" s="22">
        <v>0.0</v>
      </c>
      <c r="L1846" s="22">
        <f>+SUMIF('حركه المخزن الرئيسي اليوميه'!$F:$F,$H:$H,'حركه المخزن الرئيسي اليوميه'!$H:$H)</f>
        <v>0.0</v>
      </c>
      <c r="M1846" s="22">
        <f>+SUMIF('حركه المخزن الرئيسي اليوميه'!$F:$F,$H:$H,'حركه المخزن الرئيسي اليوميه'!$I:$I)</f>
        <v>0.0</v>
      </c>
      <c r="N1846" s="22">
        <f>+K1846+L1846-M1846</f>
        <v>0.0</v>
      </c>
      <c r="O1846" s="22">
        <f>+N1846</f>
        <v>0.0</v>
      </c>
      <c r="P1846" s="22">
        <f>+N1846-O1846</f>
        <v>0.0</v>
      </c>
      <c r="Q1846" s="57"/>
      <c r="R1846" s="58"/>
    </row>
    <row r="1847" spans="8:8" ht="15.0" customHeight="1">
      <c r="B1847" s="54">
        <v>1991.0</v>
      </c>
      <c r="C1847" s="8"/>
      <c r="D1847" s="8"/>
      <c r="E1847" s="8"/>
      <c r="F1847" s="8"/>
      <c r="G1847" s="8"/>
      <c r="H1847" s="8"/>
      <c r="I1847" s="55"/>
      <c r="J1847" s="78" t="s">
        <v>5762</v>
      </c>
      <c r="K1847" s="22">
        <v>0.0</v>
      </c>
      <c r="L1847" s="22">
        <f>+SUMIF('حركه المخزن الرئيسي اليوميه'!$F:$F,$H:$H,'حركه المخزن الرئيسي اليوميه'!$H:$H)</f>
        <v>0.0</v>
      </c>
      <c r="M1847" s="22">
        <f>+SUMIF('حركه المخزن الرئيسي اليوميه'!$F:$F,$H:$H,'حركه المخزن الرئيسي اليوميه'!$I:$I)</f>
        <v>0.0</v>
      </c>
      <c r="N1847" s="22">
        <f>+K1847+L1847-M1847</f>
        <v>0.0</v>
      </c>
      <c r="O1847" s="22">
        <f>+N1847</f>
        <v>0.0</v>
      </c>
      <c r="P1847" s="22">
        <f>+N1847-O1847</f>
        <v>0.0</v>
      </c>
      <c r="Q1847" s="57"/>
      <c r="R1847" s="58"/>
    </row>
    <row r="1848" spans="8:8" ht="15.0" customHeight="1">
      <c r="B1848" s="54">
        <v>1992.0</v>
      </c>
      <c r="C1848" s="8"/>
      <c r="D1848" s="8"/>
      <c r="E1848" s="8"/>
      <c r="F1848" s="8"/>
      <c r="G1848" s="8"/>
      <c r="H1848" s="8"/>
      <c r="I1848" s="55"/>
      <c r="J1848" s="78" t="s">
        <v>5763</v>
      </c>
      <c r="K1848" s="22">
        <v>0.0</v>
      </c>
      <c r="L1848" s="22">
        <f>+SUMIF('حركه المخزن الرئيسي اليوميه'!$F:$F,$H:$H,'حركه المخزن الرئيسي اليوميه'!$H:$H)</f>
        <v>0.0</v>
      </c>
      <c r="M1848" s="22">
        <f>+SUMIF('حركه المخزن الرئيسي اليوميه'!$F:$F,$H:$H,'حركه المخزن الرئيسي اليوميه'!$I:$I)</f>
        <v>0.0</v>
      </c>
      <c r="N1848" s="22">
        <f>+K1848+L1848-M1848</f>
        <v>0.0</v>
      </c>
      <c r="O1848" s="22">
        <f>+N1848</f>
        <v>0.0</v>
      </c>
      <c r="P1848" s="22">
        <f>+N1848-O1848</f>
        <v>0.0</v>
      </c>
      <c r="Q1848" s="57"/>
      <c r="R1848" s="58"/>
    </row>
    <row r="1849" spans="8:8" ht="15.0" customHeight="1">
      <c r="B1849" s="54">
        <v>1993.0</v>
      </c>
      <c r="C1849" s="8"/>
      <c r="D1849" s="8"/>
      <c r="E1849" s="8"/>
      <c r="F1849" s="8"/>
      <c r="G1849" s="8"/>
      <c r="H1849" s="8"/>
      <c r="I1849" s="55"/>
      <c r="J1849" s="78" t="s">
        <v>5764</v>
      </c>
      <c r="K1849" s="22">
        <v>0.0</v>
      </c>
      <c r="L1849" s="22">
        <f>+SUMIF('حركه المخزن الرئيسي اليوميه'!$F:$F,$H:$H,'حركه المخزن الرئيسي اليوميه'!$H:$H)</f>
        <v>0.0</v>
      </c>
      <c r="M1849" s="22">
        <f>+SUMIF('حركه المخزن الرئيسي اليوميه'!$F:$F,$H:$H,'حركه المخزن الرئيسي اليوميه'!$I:$I)</f>
        <v>0.0</v>
      </c>
      <c r="N1849" s="22">
        <f>+K1849+L1849-M1849</f>
        <v>0.0</v>
      </c>
      <c r="O1849" s="22">
        <f>+N1849</f>
        <v>0.0</v>
      </c>
      <c r="P1849" s="22">
        <f>+N1849-O1849</f>
        <v>0.0</v>
      </c>
      <c r="Q1849" s="57"/>
      <c r="R1849" s="58"/>
    </row>
    <row r="1850" spans="8:8" ht="15.0" customHeight="1">
      <c r="B1850" s="54">
        <v>1994.0</v>
      </c>
      <c r="C1850" s="8"/>
      <c r="D1850" s="8"/>
      <c r="E1850" s="8"/>
      <c r="F1850" s="8"/>
      <c r="G1850" s="8"/>
      <c r="H1850" s="8"/>
      <c r="I1850" s="55"/>
      <c r="J1850" s="78" t="s">
        <v>5765</v>
      </c>
      <c r="K1850" s="22">
        <v>0.0</v>
      </c>
      <c r="L1850" s="22">
        <f>+SUMIF('حركه المخزن الرئيسي اليوميه'!$F:$F,$H:$H,'حركه المخزن الرئيسي اليوميه'!$H:$H)</f>
        <v>0.0</v>
      </c>
      <c r="M1850" s="22">
        <f>+SUMIF('حركه المخزن الرئيسي اليوميه'!$F:$F,$H:$H,'حركه المخزن الرئيسي اليوميه'!$I:$I)</f>
        <v>0.0</v>
      </c>
      <c r="N1850" s="22">
        <f>+K1850+L1850-M1850</f>
        <v>0.0</v>
      </c>
      <c r="O1850" s="22">
        <f>+N1850</f>
        <v>0.0</v>
      </c>
      <c r="P1850" s="22">
        <f>+N1850-O1850</f>
        <v>0.0</v>
      </c>
      <c r="Q1850" s="57"/>
      <c r="R1850" s="58"/>
    </row>
    <row r="1851" spans="8:8" ht="15.0" customHeight="1">
      <c r="B1851" s="54">
        <v>1995.0</v>
      </c>
      <c r="C1851" s="8"/>
      <c r="D1851" s="8"/>
      <c r="E1851" s="8"/>
      <c r="F1851" s="8"/>
      <c r="G1851" s="8"/>
      <c r="H1851" s="8"/>
      <c r="I1851" s="55"/>
      <c r="J1851" s="78" t="s">
        <v>5766</v>
      </c>
      <c r="K1851" s="22">
        <v>0.0</v>
      </c>
      <c r="L1851" s="22">
        <f>+SUMIF('حركه المخزن الرئيسي اليوميه'!$F:$F,$H:$H,'حركه المخزن الرئيسي اليوميه'!$H:$H)</f>
        <v>0.0</v>
      </c>
      <c r="M1851" s="22">
        <f>+SUMIF('حركه المخزن الرئيسي اليوميه'!$F:$F,$H:$H,'حركه المخزن الرئيسي اليوميه'!$I:$I)</f>
        <v>0.0</v>
      </c>
      <c r="N1851" s="22">
        <f>+K1851+L1851-M1851</f>
        <v>0.0</v>
      </c>
      <c r="O1851" s="22">
        <f>+N1851</f>
        <v>0.0</v>
      </c>
      <c r="P1851" s="22">
        <f>+N1851-O1851</f>
        <v>0.0</v>
      </c>
      <c r="Q1851" s="57"/>
      <c r="R1851" s="58"/>
    </row>
    <row r="1852" spans="8:8" ht="15.0" customHeight="1">
      <c r="B1852" s="54">
        <v>1996.0</v>
      </c>
      <c r="C1852" s="8"/>
      <c r="D1852" s="8"/>
      <c r="E1852" s="8"/>
      <c r="F1852" s="8"/>
      <c r="G1852" s="8"/>
      <c r="H1852" s="8"/>
      <c r="I1852" s="55"/>
      <c r="J1852" s="78" t="s">
        <v>5767</v>
      </c>
      <c r="K1852" s="22">
        <v>0.0</v>
      </c>
      <c r="L1852" s="22">
        <f>+SUMIF('حركه المخزن الرئيسي اليوميه'!$F:$F,$H:$H,'حركه المخزن الرئيسي اليوميه'!$H:$H)</f>
        <v>0.0</v>
      </c>
      <c r="M1852" s="22">
        <f>+SUMIF('حركه المخزن الرئيسي اليوميه'!$F:$F,$H:$H,'حركه المخزن الرئيسي اليوميه'!$I:$I)</f>
        <v>0.0</v>
      </c>
      <c r="N1852" s="22">
        <f>+K1852+L1852-M1852</f>
        <v>0.0</v>
      </c>
      <c r="O1852" s="22">
        <f>+N1852</f>
        <v>0.0</v>
      </c>
      <c r="P1852" s="22">
        <f>+N1852-O1852</f>
        <v>0.0</v>
      </c>
      <c r="Q1852" s="57"/>
      <c r="R1852" s="58"/>
    </row>
    <row r="1853" spans="8:8" ht="15.0" customHeight="1">
      <c r="B1853" s="54">
        <v>1997.0</v>
      </c>
      <c r="C1853" s="8"/>
      <c r="D1853" s="8"/>
      <c r="E1853" s="8"/>
      <c r="F1853" s="8"/>
      <c r="G1853" s="8"/>
      <c r="H1853" s="8"/>
      <c r="I1853" s="55"/>
      <c r="J1853" s="78" t="s">
        <v>5768</v>
      </c>
      <c r="K1853" s="22">
        <v>0.0</v>
      </c>
      <c r="L1853" s="22">
        <f>+SUMIF('حركه المخزن الرئيسي اليوميه'!$F:$F,$H:$H,'حركه المخزن الرئيسي اليوميه'!$H:$H)</f>
        <v>0.0</v>
      </c>
      <c r="M1853" s="22">
        <f>+SUMIF('حركه المخزن الرئيسي اليوميه'!$F:$F,$H:$H,'حركه المخزن الرئيسي اليوميه'!$I:$I)</f>
        <v>0.0</v>
      </c>
      <c r="N1853" s="22">
        <f>+K1853+L1853-M1853</f>
        <v>0.0</v>
      </c>
      <c r="O1853" s="22">
        <f>+N1853</f>
        <v>0.0</v>
      </c>
      <c r="P1853" s="22">
        <f>+N1853-O1853</f>
        <v>0.0</v>
      </c>
      <c r="Q1853" s="57"/>
      <c r="R1853" s="58"/>
    </row>
    <row r="1854" spans="8:8" ht="15.0" customHeight="1">
      <c r="B1854" s="54">
        <v>1998.0</v>
      </c>
      <c r="C1854" s="8"/>
      <c r="D1854" s="8"/>
      <c r="E1854" s="8"/>
      <c r="F1854" s="8"/>
      <c r="G1854" s="8"/>
      <c r="H1854" s="8"/>
      <c r="I1854" s="55"/>
      <c r="J1854" s="78" t="s">
        <v>5769</v>
      </c>
      <c r="K1854" s="22">
        <v>0.0</v>
      </c>
      <c r="L1854" s="22">
        <f>+SUMIF('حركه المخزن الرئيسي اليوميه'!$F:$F,$H:$H,'حركه المخزن الرئيسي اليوميه'!$H:$H)</f>
        <v>0.0</v>
      </c>
      <c r="M1854" s="22">
        <f>+SUMIF('حركه المخزن الرئيسي اليوميه'!$F:$F,$H:$H,'حركه المخزن الرئيسي اليوميه'!$I:$I)</f>
        <v>0.0</v>
      </c>
      <c r="N1854" s="22">
        <f>+K1854+L1854-M1854</f>
        <v>0.0</v>
      </c>
      <c r="O1854" s="22">
        <f>+N1854</f>
        <v>0.0</v>
      </c>
      <c r="P1854" s="22">
        <f>+N1854-O1854</f>
        <v>0.0</v>
      </c>
      <c r="Q1854" s="57"/>
      <c r="R1854" s="58"/>
    </row>
    <row r="1855" spans="8:8" ht="15.0" customHeight="1">
      <c r="B1855" s="54">
        <v>1999.0</v>
      </c>
      <c r="C1855" s="8"/>
      <c r="D1855" s="8"/>
      <c r="E1855" s="8"/>
      <c r="F1855" s="8"/>
      <c r="G1855" s="8"/>
      <c r="H1855" s="8"/>
      <c r="I1855" s="55"/>
      <c r="J1855" s="78" t="s">
        <v>5770</v>
      </c>
      <c r="K1855" s="22">
        <v>0.0</v>
      </c>
      <c r="L1855" s="22">
        <f>+SUMIF('حركه المخزن الرئيسي اليوميه'!$F:$F,$H:$H,'حركه المخزن الرئيسي اليوميه'!$H:$H)</f>
        <v>0.0</v>
      </c>
      <c r="M1855" s="22">
        <f>+SUMIF('حركه المخزن الرئيسي اليوميه'!$F:$F,$H:$H,'حركه المخزن الرئيسي اليوميه'!$I:$I)</f>
        <v>0.0</v>
      </c>
      <c r="N1855" s="22">
        <f>+K1855+L1855-M1855</f>
        <v>0.0</v>
      </c>
      <c r="O1855" s="22">
        <f>+N1855</f>
        <v>0.0</v>
      </c>
      <c r="P1855" s="22">
        <f>+N1855-O1855</f>
        <v>0.0</v>
      </c>
      <c r="Q1855" s="57"/>
      <c r="R1855" s="58"/>
    </row>
    <row r="1856" spans="8:8" ht="15.0" customHeight="1">
      <c r="B1856" s="54">
        <v>2000.0</v>
      </c>
      <c r="C1856" s="8"/>
      <c r="D1856" s="8"/>
      <c r="E1856" s="8"/>
      <c r="F1856" s="8"/>
      <c r="G1856" s="8"/>
      <c r="H1856" s="8"/>
      <c r="I1856" s="55"/>
      <c r="J1856" s="78" t="s">
        <v>5771</v>
      </c>
      <c r="K1856" s="22">
        <v>0.0</v>
      </c>
      <c r="L1856" s="22">
        <f>+SUMIF('حركه المخزن الرئيسي اليوميه'!$F:$F,$H:$H,'حركه المخزن الرئيسي اليوميه'!$H:$H)</f>
        <v>0.0</v>
      </c>
      <c r="M1856" s="22">
        <f>+SUMIF('حركه المخزن الرئيسي اليوميه'!$F:$F,$H:$H,'حركه المخزن الرئيسي اليوميه'!$I:$I)</f>
        <v>0.0</v>
      </c>
      <c r="N1856" s="22">
        <f>+K1856+L1856-M1856</f>
        <v>0.0</v>
      </c>
      <c r="O1856" s="22">
        <f>+N1856</f>
        <v>0.0</v>
      </c>
      <c r="P1856" s="22">
        <f>+N1856-O1856</f>
        <v>0.0</v>
      </c>
      <c r="Q1856" s="57"/>
      <c r="R1856" s="58"/>
    </row>
    <row r="1857" spans="8:8" ht="15.0" customHeight="1">
      <c r="B1857" s="54">
        <v>2001.0</v>
      </c>
      <c r="C1857" s="8"/>
      <c r="D1857" s="8"/>
      <c r="E1857" s="8"/>
      <c r="F1857" s="8"/>
      <c r="G1857" s="8"/>
      <c r="H1857" s="8"/>
      <c r="I1857" s="55"/>
      <c r="J1857" s="78" t="s">
        <v>5772</v>
      </c>
      <c r="K1857" s="22">
        <v>0.0</v>
      </c>
      <c r="L1857" s="22">
        <f>+SUMIF('حركه المخزن الرئيسي اليوميه'!$F:$F,$H:$H,'حركه المخزن الرئيسي اليوميه'!$H:$H)</f>
        <v>0.0</v>
      </c>
      <c r="M1857" s="22">
        <f>+SUMIF('حركه المخزن الرئيسي اليوميه'!$F:$F,$H:$H,'حركه المخزن الرئيسي اليوميه'!$I:$I)</f>
        <v>0.0</v>
      </c>
      <c r="N1857" s="22">
        <f>+K1857+L1857-M1857</f>
        <v>0.0</v>
      </c>
      <c r="O1857" s="22">
        <f>+N1857</f>
        <v>0.0</v>
      </c>
      <c r="P1857" s="22">
        <f>+N1857-O1857</f>
        <v>0.0</v>
      </c>
      <c r="Q1857" s="57"/>
      <c r="R1857" s="58"/>
    </row>
    <row r="1858" spans="8:8" ht="15.0" customHeight="1">
      <c r="B1858" s="54">
        <v>2002.0</v>
      </c>
      <c r="C1858" s="8"/>
      <c r="D1858" s="8"/>
      <c r="E1858" s="8"/>
      <c r="F1858" s="8"/>
      <c r="G1858" s="8"/>
      <c r="H1858" s="8"/>
      <c r="I1858" s="55"/>
      <c r="J1858" s="78" t="s">
        <v>5773</v>
      </c>
      <c r="K1858" s="22">
        <v>0.0</v>
      </c>
      <c r="L1858" s="22">
        <f>+SUMIF('حركه المخزن الرئيسي اليوميه'!$F:$F,$H:$H,'حركه المخزن الرئيسي اليوميه'!$H:$H)</f>
        <v>0.0</v>
      </c>
      <c r="M1858" s="22">
        <f>+SUMIF('حركه المخزن الرئيسي اليوميه'!$F:$F,$H:$H,'حركه المخزن الرئيسي اليوميه'!$I:$I)</f>
        <v>0.0</v>
      </c>
      <c r="N1858" s="22">
        <f>+K1858+L1858-M1858</f>
        <v>0.0</v>
      </c>
      <c r="O1858" s="22">
        <f>+N1858</f>
        <v>0.0</v>
      </c>
      <c r="P1858" s="22">
        <f>+N1858-O1858</f>
        <v>0.0</v>
      </c>
      <c r="Q1858" s="57"/>
      <c r="R1858" s="58"/>
    </row>
    <row r="1859" spans="8:8" ht="15.0" customHeight="1">
      <c r="B1859" s="54">
        <v>2003.0</v>
      </c>
      <c r="C1859" s="8"/>
      <c r="D1859" s="8"/>
      <c r="E1859" s="8"/>
      <c r="F1859" s="8"/>
      <c r="G1859" s="8"/>
      <c r="H1859" s="8"/>
      <c r="I1859" s="55"/>
      <c r="J1859" s="78" t="s">
        <v>5774</v>
      </c>
      <c r="K1859" s="22">
        <v>0.0</v>
      </c>
      <c r="L1859" s="22">
        <f>+SUMIF('حركه المخزن الرئيسي اليوميه'!$F:$F,$H:$H,'حركه المخزن الرئيسي اليوميه'!$H:$H)</f>
        <v>0.0</v>
      </c>
      <c r="M1859" s="22">
        <f>+SUMIF('حركه المخزن الرئيسي اليوميه'!$F:$F,$H:$H,'حركه المخزن الرئيسي اليوميه'!$I:$I)</f>
        <v>0.0</v>
      </c>
      <c r="N1859" s="22">
        <f>+K1859+L1859-M1859</f>
        <v>0.0</v>
      </c>
      <c r="O1859" s="22">
        <f>+N1859</f>
        <v>0.0</v>
      </c>
      <c r="P1859" s="22">
        <f>+N1859-O1859</f>
        <v>0.0</v>
      </c>
      <c r="Q1859" s="57"/>
      <c r="R1859" s="58"/>
    </row>
    <row r="1860" spans="8:8" ht="15.0" customHeight="1">
      <c r="B1860" s="54">
        <v>2004.0</v>
      </c>
      <c r="C1860" s="8"/>
      <c r="D1860" s="8"/>
      <c r="E1860" s="8"/>
      <c r="F1860" s="8"/>
      <c r="G1860" s="8"/>
      <c r="H1860" s="8"/>
      <c r="I1860" s="55"/>
      <c r="J1860" s="78" t="s">
        <v>5775</v>
      </c>
      <c r="K1860" s="22">
        <v>0.0</v>
      </c>
      <c r="L1860" s="22">
        <f>+SUMIF('حركه المخزن الرئيسي اليوميه'!$F:$F,$H:$H,'حركه المخزن الرئيسي اليوميه'!$H:$H)</f>
        <v>0.0</v>
      </c>
      <c r="M1860" s="22">
        <f>+SUMIF('حركه المخزن الرئيسي اليوميه'!$F:$F,$H:$H,'حركه المخزن الرئيسي اليوميه'!$I:$I)</f>
        <v>0.0</v>
      </c>
      <c r="N1860" s="22">
        <f>+K1860+L1860-M1860</f>
        <v>0.0</v>
      </c>
      <c r="O1860" s="22">
        <f>+N1860</f>
        <v>0.0</v>
      </c>
      <c r="P1860" s="22">
        <f>+N1860-O1860</f>
        <v>0.0</v>
      </c>
      <c r="Q1860" s="57"/>
      <c r="R1860" s="58"/>
    </row>
    <row r="1861" spans="8:8" ht="15.0" customHeight="1">
      <c r="B1861" s="54">
        <v>2005.0</v>
      </c>
      <c r="C1861" s="8"/>
      <c r="D1861" s="8"/>
      <c r="E1861" s="8"/>
      <c r="F1861" s="8"/>
      <c r="G1861" s="8"/>
      <c r="H1861" s="8"/>
      <c r="I1861" s="55"/>
      <c r="J1861" s="78" t="s">
        <v>5776</v>
      </c>
      <c r="K1861" s="22">
        <v>0.0</v>
      </c>
      <c r="L1861" s="22">
        <f>+SUMIF('حركه المخزن الرئيسي اليوميه'!$F:$F,$H:$H,'حركه المخزن الرئيسي اليوميه'!$H:$H)</f>
        <v>0.0</v>
      </c>
      <c r="M1861" s="22">
        <f>+SUMIF('حركه المخزن الرئيسي اليوميه'!$F:$F,$H:$H,'حركه المخزن الرئيسي اليوميه'!$I:$I)</f>
        <v>0.0</v>
      </c>
      <c r="N1861" s="22">
        <f>+K1861+L1861-M1861</f>
        <v>0.0</v>
      </c>
      <c r="O1861" s="22">
        <f>+N1861</f>
        <v>0.0</v>
      </c>
      <c r="P1861" s="22">
        <f>+N1861-O1861</f>
        <v>0.0</v>
      </c>
      <c r="Q1861" s="57"/>
      <c r="R1861" s="58"/>
    </row>
    <row r="1862" spans="8:8" ht="15.0" customHeight="1">
      <c r="B1862" s="54">
        <v>2006.0</v>
      </c>
      <c r="C1862" s="8"/>
      <c r="D1862" s="8"/>
      <c r="E1862" s="8"/>
      <c r="F1862" s="8"/>
      <c r="G1862" s="8"/>
      <c r="H1862" s="8"/>
      <c r="I1862" s="55"/>
      <c r="J1862" s="78" t="s">
        <v>5777</v>
      </c>
      <c r="K1862" s="22">
        <v>0.0</v>
      </c>
      <c r="L1862" s="22">
        <f>+SUMIF('حركه المخزن الرئيسي اليوميه'!$F:$F,$H:$H,'حركه المخزن الرئيسي اليوميه'!$H:$H)</f>
        <v>0.0</v>
      </c>
      <c r="M1862" s="22">
        <f>+SUMIF('حركه المخزن الرئيسي اليوميه'!$F:$F,$H:$H,'حركه المخزن الرئيسي اليوميه'!$I:$I)</f>
        <v>0.0</v>
      </c>
      <c r="N1862" s="22">
        <f>+K1862+L1862-M1862</f>
        <v>0.0</v>
      </c>
      <c r="O1862" s="22">
        <f>+N1862</f>
        <v>0.0</v>
      </c>
      <c r="P1862" s="22">
        <f>+N1862-O1862</f>
        <v>0.0</v>
      </c>
      <c r="Q1862" s="57"/>
      <c r="R1862" s="58"/>
    </row>
    <row r="1863" spans="8:8" ht="15.0" customHeight="1">
      <c r="B1863" s="54">
        <v>2007.0</v>
      </c>
      <c r="C1863" s="8"/>
      <c r="D1863" s="8"/>
      <c r="E1863" s="8"/>
      <c r="F1863" s="8"/>
      <c r="G1863" s="8"/>
      <c r="H1863" s="8"/>
      <c r="I1863" s="55"/>
      <c r="J1863" s="78" t="s">
        <v>5778</v>
      </c>
      <c r="K1863" s="22">
        <v>0.0</v>
      </c>
      <c r="L1863" s="22">
        <f>+SUMIF('حركه المخزن الرئيسي اليوميه'!$F:$F,$H:$H,'حركه المخزن الرئيسي اليوميه'!$H:$H)</f>
        <v>0.0</v>
      </c>
      <c r="M1863" s="22">
        <f>+SUMIF('حركه المخزن الرئيسي اليوميه'!$F:$F,$H:$H,'حركه المخزن الرئيسي اليوميه'!$I:$I)</f>
        <v>0.0</v>
      </c>
      <c r="N1863" s="22">
        <f>+K1863+L1863-M1863</f>
        <v>0.0</v>
      </c>
      <c r="O1863" s="22">
        <f>+N1863</f>
        <v>0.0</v>
      </c>
      <c r="P1863" s="22">
        <f>+N1863-O1863</f>
        <v>0.0</v>
      </c>
      <c r="Q1863" s="57"/>
      <c r="R1863" s="58"/>
    </row>
    <row r="1864" spans="8:8" ht="15.0" customHeight="1">
      <c r="B1864" s="54">
        <v>2008.0</v>
      </c>
      <c r="C1864" s="8"/>
      <c r="D1864" s="8"/>
      <c r="E1864" s="8"/>
      <c r="F1864" s="8"/>
      <c r="G1864" s="8"/>
      <c r="H1864" s="8"/>
      <c r="I1864" s="55"/>
      <c r="J1864" s="78" t="s">
        <v>5779</v>
      </c>
      <c r="K1864" s="22">
        <v>0.0</v>
      </c>
      <c r="L1864" s="22">
        <f>+SUMIF('حركه المخزن الرئيسي اليوميه'!$F:$F,$H:$H,'حركه المخزن الرئيسي اليوميه'!$H:$H)</f>
        <v>0.0</v>
      </c>
      <c r="M1864" s="22">
        <f>+SUMIF('حركه المخزن الرئيسي اليوميه'!$F:$F,$H:$H,'حركه المخزن الرئيسي اليوميه'!$I:$I)</f>
        <v>0.0</v>
      </c>
      <c r="N1864" s="22">
        <f>+K1864+L1864-M1864</f>
        <v>0.0</v>
      </c>
      <c r="O1864" s="22">
        <f>+N1864</f>
        <v>0.0</v>
      </c>
      <c r="P1864" s="22">
        <f>+N1864-O1864</f>
        <v>0.0</v>
      </c>
      <c r="Q1864" s="57"/>
      <c r="R1864" s="58"/>
    </row>
    <row r="1865" spans="8:8" ht="15.0" customHeight="1">
      <c r="B1865" s="54">
        <v>2009.0</v>
      </c>
      <c r="C1865" s="8"/>
      <c r="D1865" s="8"/>
      <c r="E1865" s="8"/>
      <c r="F1865" s="8"/>
      <c r="G1865" s="8"/>
      <c r="H1865" s="8"/>
      <c r="I1865" s="55"/>
      <c r="J1865" s="78" t="s">
        <v>5780</v>
      </c>
      <c r="K1865" s="22">
        <v>0.0</v>
      </c>
      <c r="L1865" s="22">
        <f>+SUMIF('حركه المخزن الرئيسي اليوميه'!$F:$F,$H:$H,'حركه المخزن الرئيسي اليوميه'!$H:$H)</f>
        <v>0.0</v>
      </c>
      <c r="M1865" s="22">
        <f>+SUMIF('حركه المخزن الرئيسي اليوميه'!$F:$F,$H:$H,'حركه المخزن الرئيسي اليوميه'!$I:$I)</f>
        <v>0.0</v>
      </c>
      <c r="N1865" s="22">
        <f>+K1865+L1865-M1865</f>
        <v>0.0</v>
      </c>
      <c r="O1865" s="22">
        <f>+N1865</f>
        <v>0.0</v>
      </c>
      <c r="P1865" s="22">
        <f>+N1865-O1865</f>
        <v>0.0</v>
      </c>
      <c r="Q1865" s="57"/>
      <c r="R1865" s="58"/>
    </row>
    <row r="1866" spans="8:8" ht="15.0" customHeight="1">
      <c r="B1866" s="54">
        <v>2010.0</v>
      </c>
      <c r="C1866" s="8"/>
      <c r="D1866" s="8"/>
      <c r="E1866" s="8"/>
      <c r="F1866" s="8"/>
      <c r="G1866" s="8"/>
      <c r="H1866" s="8"/>
      <c r="I1866" s="55"/>
      <c r="J1866" s="78" t="s">
        <v>5781</v>
      </c>
      <c r="K1866" s="22">
        <v>0.0</v>
      </c>
      <c r="L1866" s="22">
        <f>+SUMIF('حركه المخزن الرئيسي اليوميه'!$F:$F,$H:$H,'حركه المخزن الرئيسي اليوميه'!$H:$H)</f>
        <v>0.0</v>
      </c>
      <c r="M1866" s="22">
        <f>+SUMIF('حركه المخزن الرئيسي اليوميه'!$F:$F,$H:$H,'حركه المخزن الرئيسي اليوميه'!$I:$I)</f>
        <v>0.0</v>
      </c>
      <c r="N1866" s="22">
        <f>+K1866+L1866-M1866</f>
        <v>0.0</v>
      </c>
      <c r="O1866" s="22">
        <f>+N1866</f>
        <v>0.0</v>
      </c>
      <c r="P1866" s="22">
        <f>+N1866-O1866</f>
        <v>0.0</v>
      </c>
      <c r="Q1866" s="57"/>
      <c r="R1866" s="58"/>
    </row>
    <row r="1867" spans="8:8" ht="15.0" customHeight="1">
      <c r="B1867" s="54">
        <v>2011.0</v>
      </c>
      <c r="C1867" s="8"/>
      <c r="D1867" s="8"/>
      <c r="E1867" s="8"/>
      <c r="F1867" s="8"/>
      <c r="G1867" s="8"/>
      <c r="H1867" s="8"/>
      <c r="I1867" s="55"/>
      <c r="J1867" s="78" t="s">
        <v>5782</v>
      </c>
      <c r="K1867" s="22">
        <v>0.0</v>
      </c>
      <c r="L1867" s="22">
        <f>+SUMIF('حركه المخزن الرئيسي اليوميه'!$F:$F,$H:$H,'حركه المخزن الرئيسي اليوميه'!$H:$H)</f>
        <v>0.0</v>
      </c>
      <c r="M1867" s="22">
        <f>+SUMIF('حركه المخزن الرئيسي اليوميه'!$F:$F,$H:$H,'حركه المخزن الرئيسي اليوميه'!$I:$I)</f>
        <v>0.0</v>
      </c>
      <c r="N1867" s="22">
        <f>+K1867+L1867-M1867</f>
        <v>0.0</v>
      </c>
      <c r="O1867" s="22">
        <f>+N1867</f>
        <v>0.0</v>
      </c>
      <c r="P1867" s="22">
        <f>+N1867-O1867</f>
        <v>0.0</v>
      </c>
      <c r="Q1867" s="57"/>
      <c r="R1867" s="58"/>
    </row>
    <row r="1868" spans="8:8" ht="15.0" customHeight="1">
      <c r="B1868" s="54">
        <v>2012.0</v>
      </c>
      <c r="C1868" s="8"/>
      <c r="D1868" s="8"/>
      <c r="E1868" s="8"/>
      <c r="F1868" s="8"/>
      <c r="G1868" s="8"/>
      <c r="H1868" s="8"/>
      <c r="I1868" s="55"/>
      <c r="J1868" s="78" t="s">
        <v>5783</v>
      </c>
      <c r="K1868" s="22">
        <v>0.0</v>
      </c>
      <c r="L1868" s="22">
        <f>+SUMIF('حركه المخزن الرئيسي اليوميه'!$F:$F,$H:$H,'حركه المخزن الرئيسي اليوميه'!$H:$H)</f>
        <v>0.0</v>
      </c>
      <c r="M1868" s="22">
        <f>+SUMIF('حركه المخزن الرئيسي اليوميه'!$F:$F,$H:$H,'حركه المخزن الرئيسي اليوميه'!$I:$I)</f>
        <v>0.0</v>
      </c>
      <c r="N1868" s="22">
        <f>+K1868+L1868-M1868</f>
        <v>0.0</v>
      </c>
      <c r="O1868" s="22">
        <f>+N1868</f>
        <v>0.0</v>
      </c>
      <c r="P1868" s="22">
        <f>+N1868-O1868</f>
        <v>0.0</v>
      </c>
      <c r="Q1868" s="57"/>
      <c r="R1868" s="58"/>
    </row>
    <row r="1869" spans="8:8" ht="15.0" customHeight="1">
      <c r="B1869" s="54">
        <v>2013.0</v>
      </c>
      <c r="C1869" s="8"/>
      <c r="D1869" s="8"/>
      <c r="E1869" s="8"/>
      <c r="F1869" s="8"/>
      <c r="G1869" s="8"/>
      <c r="H1869" s="8"/>
      <c r="I1869" s="55"/>
      <c r="J1869" s="78" t="s">
        <v>5784</v>
      </c>
      <c r="K1869" s="22">
        <v>0.0</v>
      </c>
      <c r="L1869" s="22">
        <f>+SUMIF('حركه المخزن الرئيسي اليوميه'!$F:$F,$H:$H,'حركه المخزن الرئيسي اليوميه'!$H:$H)</f>
        <v>0.0</v>
      </c>
      <c r="M1869" s="22">
        <f>+SUMIF('حركه المخزن الرئيسي اليوميه'!$F:$F,$H:$H,'حركه المخزن الرئيسي اليوميه'!$I:$I)</f>
        <v>0.0</v>
      </c>
      <c r="N1869" s="22">
        <f>+K1869+L1869-M1869</f>
        <v>0.0</v>
      </c>
      <c r="O1869" s="22">
        <f>+N1869</f>
        <v>0.0</v>
      </c>
      <c r="P1869" s="22">
        <f>+N1869-O1869</f>
        <v>0.0</v>
      </c>
      <c r="Q1869" s="57"/>
      <c r="R1869" s="58"/>
    </row>
    <row r="1870" spans="8:8" ht="15.0" customHeight="1">
      <c r="B1870" s="54">
        <v>2014.0</v>
      </c>
      <c r="C1870" s="8"/>
      <c r="D1870" s="8"/>
      <c r="E1870" s="8"/>
      <c r="F1870" s="8"/>
      <c r="G1870" s="8"/>
      <c r="H1870" s="8"/>
      <c r="I1870" s="55"/>
      <c r="J1870" s="78" t="s">
        <v>5785</v>
      </c>
      <c r="K1870" s="22">
        <v>0.0</v>
      </c>
      <c r="L1870" s="22">
        <f>+SUMIF('حركه المخزن الرئيسي اليوميه'!$F:$F,$H:$H,'حركه المخزن الرئيسي اليوميه'!$H:$H)</f>
        <v>0.0</v>
      </c>
      <c r="M1870" s="22">
        <f>+SUMIF('حركه المخزن الرئيسي اليوميه'!$F:$F,$H:$H,'حركه المخزن الرئيسي اليوميه'!$I:$I)</f>
        <v>0.0</v>
      </c>
      <c r="N1870" s="22">
        <f>+K1870+L1870-M1870</f>
        <v>0.0</v>
      </c>
      <c r="O1870" s="22">
        <f>+N1870</f>
        <v>0.0</v>
      </c>
      <c r="P1870" s="22">
        <f>+N1870-O1870</f>
        <v>0.0</v>
      </c>
      <c r="Q1870" s="57"/>
      <c r="R1870" s="58"/>
    </row>
    <row r="1871" spans="8:8" ht="15.0" customHeight="1">
      <c r="B1871" s="54">
        <v>2015.0</v>
      </c>
      <c r="C1871" s="8"/>
      <c r="D1871" s="8"/>
      <c r="E1871" s="8"/>
      <c r="F1871" s="8"/>
      <c r="G1871" s="8"/>
      <c r="H1871" s="8"/>
      <c r="I1871" s="55"/>
      <c r="J1871" s="78" t="s">
        <v>5786</v>
      </c>
      <c r="K1871" s="22">
        <v>0.0</v>
      </c>
      <c r="L1871" s="22">
        <f>+SUMIF('حركه المخزن الرئيسي اليوميه'!$F:$F,$H:$H,'حركه المخزن الرئيسي اليوميه'!$H:$H)</f>
        <v>0.0</v>
      </c>
      <c r="M1871" s="22">
        <f>+SUMIF('حركه المخزن الرئيسي اليوميه'!$F:$F,$H:$H,'حركه المخزن الرئيسي اليوميه'!$I:$I)</f>
        <v>0.0</v>
      </c>
      <c r="N1871" s="22">
        <f>+K1871+L1871-M1871</f>
        <v>0.0</v>
      </c>
      <c r="O1871" s="22">
        <f>+N1871</f>
        <v>0.0</v>
      </c>
      <c r="P1871" s="22">
        <f>+N1871-O1871</f>
        <v>0.0</v>
      </c>
      <c r="Q1871" s="57"/>
      <c r="R1871" s="58"/>
    </row>
    <row r="1872" spans="8:8" ht="15.0" customHeight="1">
      <c r="B1872" s="54">
        <v>2016.0</v>
      </c>
      <c r="C1872" s="8"/>
      <c r="D1872" s="8"/>
      <c r="E1872" s="8"/>
      <c r="F1872" s="8"/>
      <c r="G1872" s="8"/>
      <c r="H1872" s="8"/>
      <c r="I1872" s="55"/>
      <c r="J1872" s="78" t="s">
        <v>5787</v>
      </c>
      <c r="K1872" s="22">
        <v>0.0</v>
      </c>
      <c r="L1872" s="22">
        <f>+SUMIF('حركه المخزن الرئيسي اليوميه'!$F:$F,$H:$H,'حركه المخزن الرئيسي اليوميه'!$H:$H)</f>
        <v>0.0</v>
      </c>
      <c r="M1872" s="22">
        <f>+SUMIF('حركه المخزن الرئيسي اليوميه'!$F:$F,$H:$H,'حركه المخزن الرئيسي اليوميه'!$I:$I)</f>
        <v>0.0</v>
      </c>
      <c r="N1872" s="22">
        <f>+K1872+L1872-M1872</f>
        <v>0.0</v>
      </c>
      <c r="O1872" s="22">
        <f>+N1872</f>
        <v>0.0</v>
      </c>
      <c r="P1872" s="22">
        <f>+N1872-O1872</f>
        <v>0.0</v>
      </c>
      <c r="Q1872" s="57"/>
      <c r="R1872" s="58"/>
    </row>
    <row r="1873" spans="8:8" ht="15.0" customHeight="1">
      <c r="B1873" s="54">
        <v>2017.0</v>
      </c>
      <c r="C1873" s="8"/>
      <c r="D1873" s="8"/>
      <c r="E1873" s="8"/>
      <c r="F1873" s="8"/>
      <c r="G1873" s="8"/>
      <c r="H1873" s="8"/>
      <c r="I1873" s="55"/>
      <c r="J1873" s="78" t="s">
        <v>5788</v>
      </c>
      <c r="K1873" s="22">
        <v>0.0</v>
      </c>
      <c r="L1873" s="22">
        <f>+SUMIF('حركه المخزن الرئيسي اليوميه'!$F:$F,$H:$H,'حركه المخزن الرئيسي اليوميه'!$H:$H)</f>
        <v>0.0</v>
      </c>
      <c r="M1873" s="22">
        <f>+SUMIF('حركه المخزن الرئيسي اليوميه'!$F:$F,$H:$H,'حركه المخزن الرئيسي اليوميه'!$I:$I)</f>
        <v>0.0</v>
      </c>
      <c r="N1873" s="22">
        <f>+K1873+L1873-M1873</f>
        <v>0.0</v>
      </c>
      <c r="O1873" s="22">
        <f>+N1873</f>
        <v>0.0</v>
      </c>
      <c r="P1873" s="22">
        <f>+N1873-O1873</f>
        <v>0.0</v>
      </c>
      <c r="Q1873" s="57"/>
      <c r="R1873" s="58"/>
    </row>
    <row r="1874" spans="8:8" ht="15.0" customHeight="1">
      <c r="B1874" s="54">
        <v>2018.0</v>
      </c>
      <c r="C1874" s="8"/>
      <c r="D1874" s="8"/>
      <c r="E1874" s="8"/>
      <c r="F1874" s="8"/>
      <c r="G1874" s="8"/>
      <c r="H1874" s="8"/>
      <c r="I1874" s="55"/>
      <c r="J1874" s="78" t="s">
        <v>5789</v>
      </c>
      <c r="K1874" s="22">
        <v>0.0</v>
      </c>
      <c r="L1874" s="22">
        <f>+SUMIF('حركه المخزن الرئيسي اليوميه'!$F:$F,$H:$H,'حركه المخزن الرئيسي اليوميه'!$H:$H)</f>
        <v>0.0</v>
      </c>
      <c r="M1874" s="22">
        <f>+SUMIF('حركه المخزن الرئيسي اليوميه'!$F:$F,$H:$H,'حركه المخزن الرئيسي اليوميه'!$I:$I)</f>
        <v>0.0</v>
      </c>
      <c r="N1874" s="22">
        <f>+K1874+L1874-M1874</f>
        <v>0.0</v>
      </c>
      <c r="O1874" s="22">
        <f>+N1874</f>
        <v>0.0</v>
      </c>
      <c r="P1874" s="22">
        <f>+N1874-O1874</f>
        <v>0.0</v>
      </c>
      <c r="Q1874" s="57"/>
      <c r="R1874" s="58"/>
    </row>
    <row r="1875" spans="8:8" ht="15.0" customHeight="1">
      <c r="B1875" s="54">
        <v>2019.0</v>
      </c>
      <c r="C1875" s="8"/>
      <c r="D1875" s="8"/>
      <c r="E1875" s="8"/>
      <c r="F1875" s="8"/>
      <c r="G1875" s="8"/>
      <c r="H1875" s="8"/>
      <c r="I1875" s="55"/>
      <c r="J1875" s="78" t="s">
        <v>5790</v>
      </c>
      <c r="K1875" s="22">
        <v>0.0</v>
      </c>
      <c r="L1875" s="22">
        <f>+SUMIF('حركه المخزن الرئيسي اليوميه'!$F:$F,$H:$H,'حركه المخزن الرئيسي اليوميه'!$H:$H)</f>
        <v>0.0</v>
      </c>
      <c r="M1875" s="22">
        <f>+SUMIF('حركه المخزن الرئيسي اليوميه'!$F:$F,$H:$H,'حركه المخزن الرئيسي اليوميه'!$I:$I)</f>
        <v>0.0</v>
      </c>
      <c r="N1875" s="22">
        <f>+K1875+L1875-M1875</f>
        <v>0.0</v>
      </c>
      <c r="O1875" s="22">
        <f>+N1875</f>
        <v>0.0</v>
      </c>
      <c r="P1875" s="22">
        <f>+N1875-O1875</f>
        <v>0.0</v>
      </c>
      <c r="Q1875" s="57"/>
      <c r="R1875" s="58"/>
    </row>
    <row r="1876" spans="8:8" ht="15.0" customHeight="1">
      <c r="B1876" s="54">
        <v>2020.0</v>
      </c>
      <c r="C1876" s="8"/>
      <c r="D1876" s="8"/>
      <c r="E1876" s="8"/>
      <c r="F1876" s="8"/>
      <c r="G1876" s="8"/>
      <c r="H1876" s="8"/>
      <c r="I1876" s="55"/>
      <c r="J1876" s="78" t="s">
        <v>5791</v>
      </c>
      <c r="K1876" s="22">
        <v>0.0</v>
      </c>
      <c r="L1876" s="22">
        <f>+SUMIF('حركه المخزن الرئيسي اليوميه'!$F:$F,$H:$H,'حركه المخزن الرئيسي اليوميه'!$H:$H)</f>
        <v>0.0</v>
      </c>
      <c r="M1876" s="22">
        <f>+SUMIF('حركه المخزن الرئيسي اليوميه'!$F:$F,$H:$H,'حركه المخزن الرئيسي اليوميه'!$I:$I)</f>
        <v>0.0</v>
      </c>
      <c r="N1876" s="22">
        <f>+K1876+L1876-M1876</f>
        <v>0.0</v>
      </c>
      <c r="O1876" s="22">
        <f>+N1876</f>
        <v>0.0</v>
      </c>
      <c r="P1876" s="22">
        <f>+N1876-O1876</f>
        <v>0.0</v>
      </c>
      <c r="Q1876" s="57"/>
      <c r="R1876" s="58"/>
    </row>
    <row r="1877" spans="8:8" ht="15.0" customHeight="1">
      <c r="B1877" s="54">
        <v>2021.0</v>
      </c>
      <c r="C1877" s="8"/>
      <c r="D1877" s="8"/>
      <c r="E1877" s="8"/>
      <c r="F1877" s="8"/>
      <c r="G1877" s="8"/>
      <c r="H1877" s="8"/>
      <c r="I1877" s="55"/>
      <c r="J1877" s="78" t="s">
        <v>5792</v>
      </c>
      <c r="K1877" s="22">
        <v>0.0</v>
      </c>
      <c r="L1877" s="22">
        <f>+SUMIF('حركه المخزن الرئيسي اليوميه'!$F:$F,$H:$H,'حركه المخزن الرئيسي اليوميه'!$H:$H)</f>
        <v>0.0</v>
      </c>
      <c r="M1877" s="22">
        <f>+SUMIF('حركه المخزن الرئيسي اليوميه'!$F:$F,$H:$H,'حركه المخزن الرئيسي اليوميه'!$I:$I)</f>
        <v>0.0</v>
      </c>
      <c r="N1877" s="22">
        <f>+K1877+L1877-M1877</f>
        <v>0.0</v>
      </c>
      <c r="O1877" s="22">
        <f>+N1877</f>
        <v>0.0</v>
      </c>
      <c r="P1877" s="22">
        <f>+N1877-O1877</f>
        <v>0.0</v>
      </c>
      <c r="Q1877" s="57"/>
      <c r="R1877" s="58"/>
    </row>
    <row r="1878" spans="8:8" ht="15.0" customHeight="1">
      <c r="B1878" s="54">
        <v>2022.0</v>
      </c>
      <c r="C1878" s="8"/>
      <c r="D1878" s="8"/>
      <c r="E1878" s="8"/>
      <c r="F1878" s="8"/>
      <c r="G1878" s="8"/>
      <c r="H1878" s="8"/>
      <c r="I1878" s="55"/>
      <c r="J1878" s="78" t="s">
        <v>5793</v>
      </c>
      <c r="K1878" s="22">
        <v>0.0</v>
      </c>
      <c r="L1878" s="22">
        <f>+SUMIF('حركه المخزن الرئيسي اليوميه'!$F:$F,$H:$H,'حركه المخزن الرئيسي اليوميه'!$H:$H)</f>
        <v>0.0</v>
      </c>
      <c r="M1878" s="22">
        <f>+SUMIF('حركه المخزن الرئيسي اليوميه'!$F:$F,$H:$H,'حركه المخزن الرئيسي اليوميه'!$I:$I)</f>
        <v>0.0</v>
      </c>
      <c r="N1878" s="22">
        <f>+K1878+L1878-M1878</f>
        <v>0.0</v>
      </c>
      <c r="O1878" s="22">
        <f>+N1878</f>
        <v>0.0</v>
      </c>
      <c r="P1878" s="22">
        <f>+N1878-O1878</f>
        <v>0.0</v>
      </c>
      <c r="Q1878" s="57"/>
      <c r="R1878" s="58"/>
    </row>
    <row r="1879" spans="8:8" ht="15.0" customHeight="1">
      <c r="B1879" s="54">
        <v>2023.0</v>
      </c>
      <c r="C1879" s="8"/>
      <c r="D1879" s="8"/>
      <c r="E1879" s="8"/>
      <c r="F1879" s="8"/>
      <c r="G1879" s="8"/>
      <c r="H1879" s="8"/>
      <c r="I1879" s="55"/>
      <c r="J1879" s="78" t="s">
        <v>5794</v>
      </c>
      <c r="K1879" s="22">
        <v>0.0</v>
      </c>
      <c r="L1879" s="22">
        <f>+SUMIF('حركه المخزن الرئيسي اليوميه'!$F:$F,$H:$H,'حركه المخزن الرئيسي اليوميه'!$H:$H)</f>
        <v>0.0</v>
      </c>
      <c r="M1879" s="22">
        <f>+SUMIF('حركه المخزن الرئيسي اليوميه'!$F:$F,$H:$H,'حركه المخزن الرئيسي اليوميه'!$I:$I)</f>
        <v>0.0</v>
      </c>
      <c r="N1879" s="22">
        <f>+K1879+L1879-M1879</f>
        <v>0.0</v>
      </c>
      <c r="O1879" s="22">
        <f>+N1879</f>
        <v>0.0</v>
      </c>
      <c r="P1879" s="22">
        <f>+N1879-O1879</f>
        <v>0.0</v>
      </c>
      <c r="Q1879" s="57"/>
      <c r="R1879" s="58"/>
    </row>
    <row r="1880" spans="8:8" ht="15.0" customHeight="1">
      <c r="B1880" s="54">
        <v>2024.0</v>
      </c>
      <c r="C1880" s="8"/>
      <c r="D1880" s="8"/>
      <c r="E1880" s="8"/>
      <c r="F1880" s="8"/>
      <c r="G1880" s="8"/>
      <c r="H1880" s="8"/>
      <c r="I1880" s="55"/>
      <c r="J1880" s="78" t="s">
        <v>5795</v>
      </c>
      <c r="K1880" s="22">
        <v>0.0</v>
      </c>
      <c r="L1880" s="22">
        <f>+SUMIF('حركه المخزن الرئيسي اليوميه'!$F:$F,$H:$H,'حركه المخزن الرئيسي اليوميه'!$H:$H)</f>
        <v>0.0</v>
      </c>
      <c r="M1880" s="22">
        <f>+SUMIF('حركه المخزن الرئيسي اليوميه'!$F:$F,$H:$H,'حركه المخزن الرئيسي اليوميه'!$I:$I)</f>
        <v>0.0</v>
      </c>
      <c r="N1880" s="22">
        <f>+K1880+L1880-M1880</f>
        <v>0.0</v>
      </c>
      <c r="O1880" s="22">
        <f>+N1880</f>
        <v>0.0</v>
      </c>
      <c r="P1880" s="22">
        <f>+N1880-O1880</f>
        <v>0.0</v>
      </c>
      <c r="Q1880" s="57"/>
      <c r="R1880" s="58"/>
    </row>
    <row r="1881" spans="8:8" ht="15.0" customHeight="1">
      <c r="B1881" s="54">
        <v>2025.0</v>
      </c>
      <c r="C1881" s="8"/>
      <c r="D1881" s="8"/>
      <c r="E1881" s="8"/>
      <c r="F1881" s="8"/>
      <c r="G1881" s="8"/>
      <c r="H1881" s="8"/>
      <c r="I1881" s="55"/>
      <c r="J1881" s="78" t="s">
        <v>5796</v>
      </c>
      <c r="K1881" s="22">
        <v>0.0</v>
      </c>
      <c r="L1881" s="22">
        <f>+SUMIF('حركه المخزن الرئيسي اليوميه'!$F:$F,$H:$H,'حركه المخزن الرئيسي اليوميه'!$H:$H)</f>
        <v>0.0</v>
      </c>
      <c r="M1881" s="22">
        <f>+SUMIF('حركه المخزن الرئيسي اليوميه'!$F:$F,$H:$H,'حركه المخزن الرئيسي اليوميه'!$I:$I)</f>
        <v>0.0</v>
      </c>
      <c r="N1881" s="22">
        <f>+K1881+L1881-M1881</f>
        <v>0.0</v>
      </c>
      <c r="O1881" s="22">
        <f>+N1881</f>
        <v>0.0</v>
      </c>
      <c r="P1881" s="22">
        <f>+N1881-O1881</f>
        <v>0.0</v>
      </c>
      <c r="Q1881" s="57"/>
      <c r="R1881" s="58"/>
    </row>
    <row r="1882" spans="8:8" ht="15.0" customHeight="1">
      <c r="B1882" s="54">
        <v>2026.0</v>
      </c>
      <c r="C1882" s="8"/>
      <c r="D1882" s="8"/>
      <c r="E1882" s="8"/>
      <c r="F1882" s="8"/>
      <c r="G1882" s="8"/>
      <c r="H1882" s="8"/>
      <c r="I1882" s="55"/>
      <c r="J1882" s="78" t="s">
        <v>5797</v>
      </c>
      <c r="K1882" s="22">
        <v>0.0</v>
      </c>
      <c r="L1882" s="22">
        <f>+SUMIF('حركه المخزن الرئيسي اليوميه'!$F:$F,$H:$H,'حركه المخزن الرئيسي اليوميه'!$H:$H)</f>
        <v>0.0</v>
      </c>
      <c r="M1882" s="22">
        <f>+SUMIF('حركه المخزن الرئيسي اليوميه'!$F:$F,$H:$H,'حركه المخزن الرئيسي اليوميه'!$I:$I)</f>
        <v>0.0</v>
      </c>
      <c r="N1882" s="22">
        <f>+K1882+L1882-M1882</f>
        <v>0.0</v>
      </c>
      <c r="O1882" s="22">
        <f>+N1882</f>
        <v>0.0</v>
      </c>
      <c r="P1882" s="22">
        <f>+N1882-O1882</f>
        <v>0.0</v>
      </c>
      <c r="Q1882" s="57"/>
      <c r="R1882" s="58"/>
    </row>
    <row r="1883" spans="8:8" ht="15.0" customHeight="1">
      <c r="B1883" s="54">
        <v>2027.0</v>
      </c>
      <c r="C1883" s="8"/>
      <c r="D1883" s="8"/>
      <c r="E1883" s="8"/>
      <c r="F1883" s="8"/>
      <c r="G1883" s="8"/>
      <c r="H1883" s="8"/>
      <c r="I1883" s="55"/>
      <c r="J1883" s="78" t="s">
        <v>5798</v>
      </c>
      <c r="K1883" s="22">
        <v>0.0</v>
      </c>
      <c r="L1883" s="22">
        <f>+SUMIF('حركه المخزن الرئيسي اليوميه'!$F:$F,$H:$H,'حركه المخزن الرئيسي اليوميه'!$H:$H)</f>
        <v>0.0</v>
      </c>
      <c r="M1883" s="22">
        <f>+SUMIF('حركه المخزن الرئيسي اليوميه'!$F:$F,$H:$H,'حركه المخزن الرئيسي اليوميه'!$I:$I)</f>
        <v>0.0</v>
      </c>
      <c r="N1883" s="22">
        <f>+K1883+L1883-M1883</f>
        <v>0.0</v>
      </c>
      <c r="O1883" s="22">
        <f>+N1883</f>
        <v>0.0</v>
      </c>
      <c r="P1883" s="22">
        <f>+N1883-O1883</f>
        <v>0.0</v>
      </c>
      <c r="Q1883" s="57"/>
      <c r="R1883" s="58"/>
    </row>
    <row r="1884" spans="8:8" ht="15.0" customHeight="1">
      <c r="B1884" s="54">
        <v>2028.0</v>
      </c>
      <c r="C1884" s="8"/>
      <c r="D1884" s="8"/>
      <c r="E1884" s="8"/>
      <c r="F1884" s="8"/>
      <c r="G1884" s="8"/>
      <c r="H1884" s="8"/>
      <c r="I1884" s="55"/>
      <c r="J1884" s="78" t="s">
        <v>5799</v>
      </c>
      <c r="K1884" s="22">
        <v>0.0</v>
      </c>
      <c r="L1884" s="22">
        <f>+SUMIF('حركه المخزن الرئيسي اليوميه'!$F:$F,$H:$H,'حركه المخزن الرئيسي اليوميه'!$H:$H)</f>
        <v>0.0</v>
      </c>
      <c r="M1884" s="22">
        <f>+SUMIF('حركه المخزن الرئيسي اليوميه'!$F:$F,$H:$H,'حركه المخزن الرئيسي اليوميه'!$I:$I)</f>
        <v>0.0</v>
      </c>
      <c r="N1884" s="22">
        <f>+K1884+L1884-M1884</f>
        <v>0.0</v>
      </c>
      <c r="O1884" s="22">
        <f>+N1884</f>
        <v>0.0</v>
      </c>
      <c r="P1884" s="22">
        <f>+N1884-O1884</f>
        <v>0.0</v>
      </c>
      <c r="Q1884" s="57"/>
      <c r="R1884" s="58"/>
    </row>
    <row r="1885" spans="8:8" ht="15.0" customHeight="1">
      <c r="B1885" s="54">
        <v>2029.0</v>
      </c>
      <c r="C1885" s="8"/>
      <c r="D1885" s="8"/>
      <c r="E1885" s="8"/>
      <c r="F1885" s="8"/>
      <c r="G1885" s="8"/>
      <c r="H1885" s="8"/>
      <c r="I1885" s="55"/>
      <c r="J1885" s="78" t="s">
        <v>5800</v>
      </c>
      <c r="K1885" s="22">
        <v>0.0</v>
      </c>
      <c r="L1885" s="22">
        <f>+SUMIF('حركه المخزن الرئيسي اليوميه'!$F:$F,$H:$H,'حركه المخزن الرئيسي اليوميه'!$H:$H)</f>
        <v>0.0</v>
      </c>
      <c r="M1885" s="22">
        <f>+SUMIF('حركه المخزن الرئيسي اليوميه'!$F:$F,$H:$H,'حركه المخزن الرئيسي اليوميه'!$I:$I)</f>
        <v>0.0</v>
      </c>
      <c r="N1885" s="22">
        <f>+K1885+L1885-M1885</f>
        <v>0.0</v>
      </c>
      <c r="O1885" s="22">
        <f>+N1885</f>
        <v>0.0</v>
      </c>
      <c r="P1885" s="22">
        <f>+N1885-O1885</f>
        <v>0.0</v>
      </c>
      <c r="Q1885" s="57"/>
      <c r="R1885" s="58"/>
    </row>
    <row r="1886" spans="8:8" ht="15.0" customHeight="1">
      <c r="B1886" s="54">
        <v>2030.0</v>
      </c>
      <c r="C1886" s="8"/>
      <c r="D1886" s="8"/>
      <c r="E1886" s="8"/>
      <c r="F1886" s="8"/>
      <c r="G1886" s="8"/>
      <c r="H1886" s="8"/>
      <c r="I1886" s="55"/>
      <c r="J1886" s="78" t="s">
        <v>5801</v>
      </c>
      <c r="K1886" s="22">
        <v>0.0</v>
      </c>
      <c r="L1886" s="22">
        <f>+SUMIF('حركه المخزن الرئيسي اليوميه'!$F:$F,$H:$H,'حركه المخزن الرئيسي اليوميه'!$H:$H)</f>
        <v>0.0</v>
      </c>
      <c r="M1886" s="22">
        <f>+SUMIF('حركه المخزن الرئيسي اليوميه'!$F:$F,$H:$H,'حركه المخزن الرئيسي اليوميه'!$I:$I)</f>
        <v>0.0</v>
      </c>
      <c r="N1886" s="22">
        <f>+K1886+L1886-M1886</f>
        <v>0.0</v>
      </c>
      <c r="O1886" s="22">
        <f>+N1886</f>
        <v>0.0</v>
      </c>
      <c r="P1886" s="22">
        <f>+N1886-O1886</f>
        <v>0.0</v>
      </c>
      <c r="Q1886" s="57"/>
      <c r="R1886" s="58"/>
    </row>
    <row r="1887" spans="8:8" ht="15.0" customHeight="1">
      <c r="B1887" s="54">
        <v>2031.0</v>
      </c>
      <c r="C1887" s="8"/>
      <c r="D1887" s="8"/>
      <c r="E1887" s="8"/>
      <c r="F1887" s="8"/>
      <c r="G1887" s="8"/>
      <c r="H1887" s="8"/>
      <c r="I1887" s="55"/>
      <c r="J1887" s="78" t="s">
        <v>5802</v>
      </c>
      <c r="K1887" s="22">
        <v>0.0</v>
      </c>
      <c r="L1887" s="22">
        <f>+SUMIF('حركه المخزن الرئيسي اليوميه'!$F:$F,$H:$H,'حركه المخزن الرئيسي اليوميه'!$H:$H)</f>
        <v>0.0</v>
      </c>
      <c r="M1887" s="22">
        <f>+SUMIF('حركه المخزن الرئيسي اليوميه'!$F:$F,$H:$H,'حركه المخزن الرئيسي اليوميه'!$I:$I)</f>
        <v>0.0</v>
      </c>
      <c r="N1887" s="22">
        <f>+K1887+L1887-M1887</f>
        <v>0.0</v>
      </c>
      <c r="O1887" s="22">
        <f>+N1887</f>
        <v>0.0</v>
      </c>
      <c r="P1887" s="22">
        <f>+N1887-O1887</f>
        <v>0.0</v>
      </c>
      <c r="Q1887" s="57"/>
      <c r="R1887" s="58"/>
    </row>
    <row r="1888" spans="8:8" ht="15.0" customHeight="1">
      <c r="B1888" s="54">
        <v>2032.0</v>
      </c>
      <c r="C1888" s="8"/>
      <c r="D1888" s="8"/>
      <c r="E1888" s="8"/>
      <c r="F1888" s="8"/>
      <c r="G1888" s="8"/>
      <c r="H1888" s="8"/>
      <c r="I1888" s="55"/>
      <c r="J1888" s="78" t="s">
        <v>5803</v>
      </c>
      <c r="K1888" s="22">
        <v>0.0</v>
      </c>
      <c r="L1888" s="22">
        <f>+SUMIF('حركه المخزن الرئيسي اليوميه'!$F:$F,$H:$H,'حركه المخزن الرئيسي اليوميه'!$H:$H)</f>
        <v>0.0</v>
      </c>
      <c r="M1888" s="22">
        <f>+SUMIF('حركه المخزن الرئيسي اليوميه'!$F:$F,$H:$H,'حركه المخزن الرئيسي اليوميه'!$I:$I)</f>
        <v>0.0</v>
      </c>
      <c r="N1888" s="22">
        <f>+K1888+L1888-M1888</f>
        <v>0.0</v>
      </c>
      <c r="O1888" s="22">
        <f>+N1888</f>
        <v>0.0</v>
      </c>
      <c r="P1888" s="22">
        <f>+N1888-O1888</f>
        <v>0.0</v>
      </c>
      <c r="Q1888" s="57"/>
      <c r="R1888" s="58"/>
    </row>
    <row r="1889" spans="8:8" ht="15.0" customHeight="1">
      <c r="B1889" s="54">
        <v>2033.0</v>
      </c>
      <c r="C1889" s="8"/>
      <c r="D1889" s="8"/>
      <c r="E1889" s="8"/>
      <c r="F1889" s="8"/>
      <c r="G1889" s="8"/>
      <c r="H1889" s="8"/>
      <c r="I1889" s="55"/>
      <c r="J1889" s="78" t="s">
        <v>5804</v>
      </c>
      <c r="K1889" s="22">
        <v>0.0</v>
      </c>
      <c r="L1889" s="22">
        <f>+SUMIF('حركه المخزن الرئيسي اليوميه'!$F:$F,$H:$H,'حركه المخزن الرئيسي اليوميه'!$H:$H)</f>
        <v>0.0</v>
      </c>
      <c r="M1889" s="22">
        <f>+SUMIF('حركه المخزن الرئيسي اليوميه'!$F:$F,$H:$H,'حركه المخزن الرئيسي اليوميه'!$I:$I)</f>
        <v>0.0</v>
      </c>
      <c r="N1889" s="22">
        <f>+K1889+L1889-M1889</f>
        <v>0.0</v>
      </c>
      <c r="O1889" s="22">
        <f>+N1889</f>
        <v>0.0</v>
      </c>
      <c r="P1889" s="22">
        <f>+N1889-O1889</f>
        <v>0.0</v>
      </c>
      <c r="Q1889" s="57"/>
      <c r="R1889" s="58"/>
    </row>
    <row r="1890" spans="8:8" ht="15.0" customHeight="1">
      <c r="B1890" s="54">
        <v>2034.0</v>
      </c>
      <c r="C1890" s="8"/>
      <c r="D1890" s="8"/>
      <c r="E1890" s="8"/>
      <c r="F1890" s="8"/>
      <c r="G1890" s="8"/>
      <c r="H1890" s="8"/>
      <c r="I1890" s="55"/>
      <c r="J1890" s="78" t="s">
        <v>5805</v>
      </c>
      <c r="K1890" s="22">
        <v>0.0</v>
      </c>
      <c r="L1890" s="22">
        <f>+SUMIF('حركه المخزن الرئيسي اليوميه'!$F:$F,$H:$H,'حركه المخزن الرئيسي اليوميه'!$H:$H)</f>
        <v>0.0</v>
      </c>
      <c r="M1890" s="22">
        <f>+SUMIF('حركه المخزن الرئيسي اليوميه'!$F:$F,$H:$H,'حركه المخزن الرئيسي اليوميه'!$I:$I)</f>
        <v>0.0</v>
      </c>
      <c r="N1890" s="22">
        <f>+K1890+L1890-M1890</f>
        <v>0.0</v>
      </c>
      <c r="O1890" s="22">
        <f>+N1890</f>
        <v>0.0</v>
      </c>
      <c r="P1890" s="22">
        <f>+N1890-O1890</f>
        <v>0.0</v>
      </c>
      <c r="Q1890" s="57"/>
      <c r="R1890" s="58"/>
    </row>
    <row r="1891" spans="8:8" ht="15.0" customHeight="1">
      <c r="B1891" s="54">
        <v>2035.0</v>
      </c>
      <c r="C1891" s="8"/>
      <c r="D1891" s="8"/>
      <c r="E1891" s="8"/>
      <c r="F1891" s="8"/>
      <c r="G1891" s="8"/>
      <c r="H1891" s="8"/>
      <c r="I1891" s="55"/>
      <c r="J1891" s="78" t="s">
        <v>5806</v>
      </c>
      <c r="K1891" s="22">
        <v>0.0</v>
      </c>
      <c r="L1891" s="22">
        <f>+SUMIF('حركه المخزن الرئيسي اليوميه'!$F:$F,$H:$H,'حركه المخزن الرئيسي اليوميه'!$H:$H)</f>
        <v>0.0</v>
      </c>
      <c r="M1891" s="22">
        <f>+SUMIF('حركه المخزن الرئيسي اليوميه'!$F:$F,$H:$H,'حركه المخزن الرئيسي اليوميه'!$I:$I)</f>
        <v>0.0</v>
      </c>
      <c r="N1891" s="22">
        <f>+K1891+L1891-M1891</f>
        <v>0.0</v>
      </c>
      <c r="O1891" s="22">
        <f>+N1891</f>
        <v>0.0</v>
      </c>
      <c r="P1891" s="22">
        <f>+N1891-O1891</f>
        <v>0.0</v>
      </c>
      <c r="Q1891" s="57"/>
      <c r="R1891" s="58"/>
    </row>
    <row r="1892" spans="8:8" ht="15.0" customHeight="1">
      <c r="B1892" s="54">
        <v>2036.0</v>
      </c>
      <c r="C1892" s="8"/>
      <c r="D1892" s="8"/>
      <c r="E1892" s="8"/>
      <c r="F1892" s="8"/>
      <c r="G1892" s="8"/>
      <c r="H1892" s="8"/>
      <c r="I1892" s="55"/>
      <c r="J1892" s="78" t="s">
        <v>5807</v>
      </c>
      <c r="K1892" s="22">
        <v>0.0</v>
      </c>
      <c r="L1892" s="22">
        <f>+SUMIF('حركه المخزن الرئيسي اليوميه'!$F:$F,$H:$H,'حركه المخزن الرئيسي اليوميه'!$H:$H)</f>
        <v>0.0</v>
      </c>
      <c r="M1892" s="22">
        <f>+SUMIF('حركه المخزن الرئيسي اليوميه'!$F:$F,$H:$H,'حركه المخزن الرئيسي اليوميه'!$I:$I)</f>
        <v>0.0</v>
      </c>
      <c r="N1892" s="22">
        <f>+K1892+L1892-M1892</f>
        <v>0.0</v>
      </c>
      <c r="O1892" s="22">
        <f>+N1892</f>
        <v>0.0</v>
      </c>
      <c r="P1892" s="22">
        <f>+N1892-O1892</f>
        <v>0.0</v>
      </c>
      <c r="Q1892" s="57"/>
      <c r="R1892" s="58"/>
    </row>
    <row r="1893" spans="8:8" ht="15.0" customHeight="1">
      <c r="B1893" s="54">
        <v>2037.0</v>
      </c>
      <c r="C1893" s="8"/>
      <c r="D1893" s="8"/>
      <c r="E1893" s="8"/>
      <c r="F1893" s="8"/>
      <c r="G1893" s="8"/>
      <c r="H1893" s="8"/>
      <c r="I1893" s="55"/>
      <c r="J1893" s="78" t="s">
        <v>5808</v>
      </c>
      <c r="K1893" s="22">
        <v>0.0</v>
      </c>
      <c r="L1893" s="22">
        <f>+SUMIF('حركه المخزن الرئيسي اليوميه'!$F:$F,$H:$H,'حركه المخزن الرئيسي اليوميه'!$H:$H)</f>
        <v>0.0</v>
      </c>
      <c r="M1893" s="22">
        <f>+SUMIF('حركه المخزن الرئيسي اليوميه'!$F:$F,$H:$H,'حركه المخزن الرئيسي اليوميه'!$I:$I)</f>
        <v>0.0</v>
      </c>
      <c r="N1893" s="22">
        <f>+K1893+L1893-M1893</f>
        <v>0.0</v>
      </c>
      <c r="O1893" s="22">
        <f>+N1893</f>
        <v>0.0</v>
      </c>
      <c r="P1893" s="22">
        <f>+N1893-O1893</f>
        <v>0.0</v>
      </c>
      <c r="Q1893" s="57"/>
      <c r="R1893" s="58"/>
    </row>
    <row r="1894" spans="8:8" ht="15.0" customHeight="1">
      <c r="B1894" s="54">
        <v>2038.0</v>
      </c>
      <c r="C1894" s="8"/>
      <c r="D1894" s="8"/>
      <c r="E1894" s="8"/>
      <c r="F1894" s="8"/>
      <c r="G1894" s="8"/>
      <c r="H1894" s="8"/>
      <c r="I1894" s="55"/>
      <c r="J1894" s="78" t="s">
        <v>5809</v>
      </c>
      <c r="K1894" s="22">
        <v>0.0</v>
      </c>
      <c r="L1894" s="22">
        <f>+SUMIF('حركه المخزن الرئيسي اليوميه'!$F:$F,$H:$H,'حركه المخزن الرئيسي اليوميه'!$H:$H)</f>
        <v>0.0</v>
      </c>
      <c r="M1894" s="22">
        <f>+SUMIF('حركه المخزن الرئيسي اليوميه'!$F:$F,$H:$H,'حركه المخزن الرئيسي اليوميه'!$I:$I)</f>
        <v>0.0</v>
      </c>
      <c r="N1894" s="22">
        <f>+K1894+L1894-M1894</f>
        <v>0.0</v>
      </c>
      <c r="O1894" s="22">
        <f>+N1894</f>
        <v>0.0</v>
      </c>
      <c r="P1894" s="22">
        <f>+N1894-O1894</f>
        <v>0.0</v>
      </c>
      <c r="Q1894" s="57"/>
      <c r="R1894" s="58"/>
    </row>
    <row r="1895" spans="8:8" ht="15.0" customHeight="1">
      <c r="B1895" s="54">
        <v>2039.0</v>
      </c>
      <c r="C1895" s="8"/>
      <c r="D1895" s="8"/>
      <c r="E1895" s="8"/>
      <c r="F1895" s="8"/>
      <c r="G1895" s="8"/>
      <c r="H1895" s="8"/>
      <c r="I1895" s="55"/>
      <c r="J1895" s="78" t="s">
        <v>5810</v>
      </c>
      <c r="K1895" s="22">
        <v>0.0</v>
      </c>
      <c r="L1895" s="22">
        <f>+SUMIF('حركه المخزن الرئيسي اليوميه'!$F:$F,$H:$H,'حركه المخزن الرئيسي اليوميه'!$H:$H)</f>
        <v>0.0</v>
      </c>
      <c r="M1895" s="22">
        <f>+SUMIF('حركه المخزن الرئيسي اليوميه'!$F:$F,$H:$H,'حركه المخزن الرئيسي اليوميه'!$I:$I)</f>
        <v>0.0</v>
      </c>
      <c r="N1895" s="22">
        <f>+K1895+L1895-M1895</f>
        <v>0.0</v>
      </c>
      <c r="O1895" s="22">
        <f>+N1895</f>
        <v>0.0</v>
      </c>
      <c r="P1895" s="22">
        <f>+N1895-O1895</f>
        <v>0.0</v>
      </c>
      <c r="Q1895" s="57"/>
      <c r="R1895" s="58"/>
    </row>
    <row r="1896" spans="8:8" ht="15.0" customHeight="1">
      <c r="B1896" s="54">
        <v>2040.0</v>
      </c>
      <c r="C1896" s="8"/>
      <c r="D1896" s="8"/>
      <c r="E1896" s="8"/>
      <c r="F1896" s="8"/>
      <c r="G1896" s="8"/>
      <c r="H1896" s="8"/>
      <c r="I1896" s="55"/>
      <c r="J1896" s="78" t="s">
        <v>5811</v>
      </c>
      <c r="K1896" s="22">
        <v>0.0</v>
      </c>
      <c r="L1896" s="22">
        <f>+SUMIF('حركه المخزن الرئيسي اليوميه'!$F:$F,$H:$H,'حركه المخزن الرئيسي اليوميه'!$H:$H)</f>
        <v>0.0</v>
      </c>
      <c r="M1896" s="22">
        <f>+SUMIF('حركه المخزن الرئيسي اليوميه'!$F:$F,$H:$H,'حركه المخزن الرئيسي اليوميه'!$I:$I)</f>
        <v>0.0</v>
      </c>
      <c r="N1896" s="22">
        <f>+K1896+L1896-M1896</f>
        <v>0.0</v>
      </c>
      <c r="O1896" s="22">
        <f>+N1896</f>
        <v>0.0</v>
      </c>
      <c r="P1896" s="22">
        <f>+N1896-O1896</f>
        <v>0.0</v>
      </c>
      <c r="Q1896" s="57"/>
      <c r="R1896" s="58"/>
    </row>
    <row r="1897" spans="8:8" ht="15.0" customHeight="1">
      <c r="B1897" s="54">
        <v>2041.0</v>
      </c>
      <c r="C1897" s="8"/>
      <c r="D1897" s="8"/>
      <c r="E1897" s="8"/>
      <c r="F1897" s="8"/>
      <c r="G1897" s="8"/>
      <c r="H1897" s="8"/>
      <c r="I1897" s="55"/>
      <c r="J1897" s="78" t="s">
        <v>5812</v>
      </c>
      <c r="K1897" s="22">
        <v>0.0</v>
      </c>
      <c r="L1897" s="22">
        <f>+SUMIF('حركه المخزن الرئيسي اليوميه'!$F:$F,$H:$H,'حركه المخزن الرئيسي اليوميه'!$H:$H)</f>
        <v>0.0</v>
      </c>
      <c r="M1897" s="22">
        <f>+SUMIF('حركه المخزن الرئيسي اليوميه'!$F:$F,$H:$H,'حركه المخزن الرئيسي اليوميه'!$I:$I)</f>
        <v>0.0</v>
      </c>
      <c r="N1897" s="22">
        <f>+K1897+L1897-M1897</f>
        <v>0.0</v>
      </c>
      <c r="O1897" s="22">
        <f>+N1897</f>
        <v>0.0</v>
      </c>
      <c r="P1897" s="22">
        <f>+N1897-O1897</f>
        <v>0.0</v>
      </c>
      <c r="Q1897" s="57"/>
      <c r="R1897" s="58"/>
    </row>
    <row r="1898" spans="8:8" ht="15.0" customHeight="1">
      <c r="B1898" s="54">
        <v>2042.0</v>
      </c>
      <c r="C1898" s="8"/>
      <c r="D1898" s="8"/>
      <c r="E1898" s="8"/>
      <c r="F1898" s="8"/>
      <c r="G1898" s="8"/>
      <c r="H1898" s="8"/>
      <c r="I1898" s="55"/>
      <c r="J1898" s="78" t="s">
        <v>5813</v>
      </c>
      <c r="K1898" s="22">
        <v>0.0</v>
      </c>
      <c r="L1898" s="22">
        <f>+SUMIF('حركه المخزن الرئيسي اليوميه'!$F:$F,$H:$H,'حركه المخزن الرئيسي اليوميه'!$H:$H)</f>
        <v>0.0</v>
      </c>
      <c r="M1898" s="22">
        <f>+SUMIF('حركه المخزن الرئيسي اليوميه'!$F:$F,$H:$H,'حركه المخزن الرئيسي اليوميه'!$I:$I)</f>
        <v>0.0</v>
      </c>
      <c r="N1898" s="22">
        <f>+K1898+L1898-M1898</f>
        <v>0.0</v>
      </c>
      <c r="O1898" s="22">
        <f>+N1898</f>
        <v>0.0</v>
      </c>
      <c r="P1898" s="22">
        <f>+N1898-O1898</f>
        <v>0.0</v>
      </c>
      <c r="Q1898" s="57"/>
      <c r="R1898" s="58"/>
    </row>
    <row r="1899" spans="8:8" ht="15.0" customHeight="1">
      <c r="B1899" s="54">
        <v>2043.0</v>
      </c>
      <c r="C1899" s="8"/>
      <c r="D1899" s="8"/>
      <c r="E1899" s="8"/>
      <c r="F1899" s="8"/>
      <c r="G1899" s="8"/>
      <c r="H1899" s="8"/>
      <c r="I1899" s="55"/>
      <c r="J1899" s="78" t="s">
        <v>5814</v>
      </c>
      <c r="K1899" s="22">
        <v>0.0</v>
      </c>
      <c r="L1899" s="22">
        <f>+SUMIF('حركه المخزن الرئيسي اليوميه'!$F:$F,$H:$H,'حركه المخزن الرئيسي اليوميه'!$H:$H)</f>
        <v>0.0</v>
      </c>
      <c r="M1899" s="22">
        <f>+SUMIF('حركه المخزن الرئيسي اليوميه'!$F:$F,$H:$H,'حركه المخزن الرئيسي اليوميه'!$I:$I)</f>
        <v>0.0</v>
      </c>
      <c r="N1899" s="22">
        <f>+K1899+L1899-M1899</f>
        <v>0.0</v>
      </c>
      <c r="O1899" s="22">
        <f>+N1899</f>
        <v>0.0</v>
      </c>
      <c r="P1899" s="22">
        <f>+N1899-O1899</f>
        <v>0.0</v>
      </c>
      <c r="Q1899" s="57"/>
      <c r="R1899" s="58"/>
    </row>
    <row r="1900" spans="8:8" ht="15.0" customHeight="1">
      <c r="B1900" s="54">
        <v>2044.0</v>
      </c>
      <c r="C1900" s="8"/>
      <c r="D1900" s="8"/>
      <c r="E1900" s="8"/>
      <c r="F1900" s="8"/>
      <c r="G1900" s="8"/>
      <c r="H1900" s="8"/>
      <c r="I1900" s="55"/>
      <c r="J1900" s="78" t="s">
        <v>5815</v>
      </c>
      <c r="K1900" s="22">
        <v>0.0</v>
      </c>
      <c r="L1900" s="22">
        <f>+SUMIF('حركه المخزن الرئيسي اليوميه'!$F:$F,$H:$H,'حركه المخزن الرئيسي اليوميه'!$H:$H)</f>
        <v>0.0</v>
      </c>
      <c r="M1900" s="22">
        <f>+SUMIF('حركه المخزن الرئيسي اليوميه'!$F:$F,$H:$H,'حركه المخزن الرئيسي اليوميه'!$I:$I)</f>
        <v>0.0</v>
      </c>
      <c r="N1900" s="22">
        <f>+K1900+L1900-M1900</f>
        <v>0.0</v>
      </c>
      <c r="O1900" s="22">
        <f>+N1900</f>
        <v>0.0</v>
      </c>
      <c r="P1900" s="22">
        <f>+N1900-O1900</f>
        <v>0.0</v>
      </c>
      <c r="Q1900" s="57"/>
      <c r="R1900" s="58"/>
    </row>
    <row r="1901" spans="8:8" ht="15.0" customHeight="1">
      <c r="B1901" s="54">
        <v>2045.0</v>
      </c>
      <c r="C1901" s="8"/>
      <c r="D1901" s="8"/>
      <c r="E1901" s="8"/>
      <c r="F1901" s="8"/>
      <c r="G1901" s="8"/>
      <c r="H1901" s="8"/>
      <c r="I1901" s="55"/>
      <c r="J1901" s="78" t="s">
        <v>5816</v>
      </c>
      <c r="K1901" s="22">
        <v>0.0</v>
      </c>
      <c r="L1901" s="22">
        <f>+SUMIF('حركه المخزن الرئيسي اليوميه'!$F:$F,$H:$H,'حركه المخزن الرئيسي اليوميه'!$H:$H)</f>
        <v>0.0</v>
      </c>
      <c r="M1901" s="22">
        <f>+SUMIF('حركه المخزن الرئيسي اليوميه'!$F:$F,$H:$H,'حركه المخزن الرئيسي اليوميه'!$I:$I)</f>
        <v>0.0</v>
      </c>
      <c r="N1901" s="22">
        <f>+K1901+L1901-M1901</f>
        <v>0.0</v>
      </c>
      <c r="O1901" s="22">
        <f>+N1901</f>
        <v>0.0</v>
      </c>
      <c r="P1901" s="22">
        <f>+N1901-O1901</f>
        <v>0.0</v>
      </c>
      <c r="Q1901" s="57"/>
      <c r="R1901" s="58"/>
    </row>
    <row r="1902" spans="8:8" ht="15.0" customHeight="1">
      <c r="B1902" s="54">
        <v>2046.0</v>
      </c>
      <c r="C1902" s="8"/>
      <c r="D1902" s="8"/>
      <c r="E1902" s="8"/>
      <c r="F1902" s="8"/>
      <c r="G1902" s="8"/>
      <c r="H1902" s="8"/>
      <c r="I1902" s="55"/>
      <c r="J1902" s="78" t="s">
        <v>5817</v>
      </c>
      <c r="K1902" s="22">
        <v>0.0</v>
      </c>
      <c r="L1902" s="22">
        <f>+SUMIF('حركه المخزن الرئيسي اليوميه'!$F:$F,$H:$H,'حركه المخزن الرئيسي اليوميه'!$H:$H)</f>
        <v>0.0</v>
      </c>
      <c r="M1902" s="22">
        <f>+SUMIF('حركه المخزن الرئيسي اليوميه'!$F:$F,$H:$H,'حركه المخزن الرئيسي اليوميه'!$I:$I)</f>
        <v>0.0</v>
      </c>
      <c r="N1902" s="22">
        <f>+K1902+L1902-M1902</f>
        <v>0.0</v>
      </c>
      <c r="O1902" s="22">
        <f>+N1902</f>
        <v>0.0</v>
      </c>
      <c r="P1902" s="22">
        <f>+N1902-O1902</f>
        <v>0.0</v>
      </c>
      <c r="Q1902" s="57"/>
      <c r="R1902" s="58"/>
    </row>
    <row r="1903" spans="8:8" ht="15.0" customHeight="1">
      <c r="B1903" s="54">
        <v>2047.0</v>
      </c>
      <c r="C1903" s="8"/>
      <c r="D1903" s="8"/>
      <c r="E1903" s="8"/>
      <c r="F1903" s="8"/>
      <c r="G1903" s="8"/>
      <c r="H1903" s="8"/>
      <c r="I1903" s="55"/>
      <c r="J1903" s="78" t="s">
        <v>5818</v>
      </c>
      <c r="K1903" s="22">
        <v>0.0</v>
      </c>
      <c r="L1903" s="22">
        <f>+SUMIF('حركه المخزن الرئيسي اليوميه'!$F:$F,$H:$H,'حركه المخزن الرئيسي اليوميه'!$H:$H)</f>
        <v>0.0</v>
      </c>
      <c r="M1903" s="22">
        <f>+SUMIF('حركه المخزن الرئيسي اليوميه'!$F:$F,$H:$H,'حركه المخزن الرئيسي اليوميه'!$I:$I)</f>
        <v>0.0</v>
      </c>
      <c r="N1903" s="22">
        <f>+K1903+L1903-M1903</f>
        <v>0.0</v>
      </c>
      <c r="O1903" s="22">
        <f>+N1903</f>
        <v>0.0</v>
      </c>
      <c r="P1903" s="22">
        <f>+N1903-O1903</f>
        <v>0.0</v>
      </c>
      <c r="Q1903" s="57"/>
      <c r="R1903" s="58"/>
    </row>
    <row r="1904" spans="8:8" ht="15.0" customHeight="1">
      <c r="B1904" s="54">
        <v>2048.0</v>
      </c>
      <c r="C1904" s="8"/>
      <c r="D1904" s="8"/>
      <c r="E1904" s="8"/>
      <c r="F1904" s="8"/>
      <c r="G1904" s="8"/>
      <c r="H1904" s="8"/>
      <c r="I1904" s="55"/>
      <c r="J1904" s="78" t="s">
        <v>5819</v>
      </c>
      <c r="K1904" s="22">
        <v>0.0</v>
      </c>
      <c r="L1904" s="22">
        <f>+SUMIF('حركه المخزن الرئيسي اليوميه'!$F:$F,$H:$H,'حركه المخزن الرئيسي اليوميه'!$H:$H)</f>
        <v>0.0</v>
      </c>
      <c r="M1904" s="22">
        <f>+SUMIF('حركه المخزن الرئيسي اليوميه'!$F:$F,$H:$H,'حركه المخزن الرئيسي اليوميه'!$I:$I)</f>
        <v>0.0</v>
      </c>
      <c r="N1904" s="22">
        <f>+K1904+L1904-M1904</f>
        <v>0.0</v>
      </c>
      <c r="O1904" s="22">
        <f>+N1904</f>
        <v>0.0</v>
      </c>
      <c r="P1904" s="22">
        <f>+N1904-O1904</f>
        <v>0.0</v>
      </c>
      <c r="Q1904" s="57"/>
      <c r="R1904" s="58"/>
    </row>
    <row r="1905" spans="8:8" ht="15.0" customHeight="1">
      <c r="B1905" s="54">
        <v>2049.0</v>
      </c>
      <c r="C1905" s="8"/>
      <c r="D1905" s="8"/>
      <c r="E1905" s="8"/>
      <c r="F1905" s="8"/>
      <c r="G1905" s="8"/>
      <c r="H1905" s="8"/>
      <c r="I1905" s="55"/>
      <c r="J1905" s="78" t="s">
        <v>5820</v>
      </c>
      <c r="K1905" s="22">
        <v>0.0</v>
      </c>
      <c r="L1905" s="22">
        <f>+SUMIF('حركه المخزن الرئيسي اليوميه'!$F:$F,$H:$H,'حركه المخزن الرئيسي اليوميه'!$H:$H)</f>
        <v>0.0</v>
      </c>
      <c r="M1905" s="22">
        <f>+SUMIF('حركه المخزن الرئيسي اليوميه'!$F:$F,$H:$H,'حركه المخزن الرئيسي اليوميه'!$I:$I)</f>
        <v>0.0</v>
      </c>
      <c r="N1905" s="22">
        <f>+K1905+L1905-M1905</f>
        <v>0.0</v>
      </c>
      <c r="O1905" s="22">
        <f>+N1905</f>
        <v>0.0</v>
      </c>
      <c r="P1905" s="22">
        <f>+N1905-O1905</f>
        <v>0.0</v>
      </c>
      <c r="Q1905" s="57"/>
      <c r="R1905" s="58"/>
    </row>
    <row r="1906" spans="8:8" ht="15.0" customHeight="1">
      <c r="B1906" s="54">
        <v>2050.0</v>
      </c>
      <c r="C1906" s="8"/>
      <c r="D1906" s="8"/>
      <c r="E1906" s="8"/>
      <c r="F1906" s="8"/>
      <c r="G1906" s="8"/>
      <c r="H1906" s="8"/>
      <c r="I1906" s="55"/>
      <c r="J1906" s="78" t="s">
        <v>5821</v>
      </c>
      <c r="K1906" s="22">
        <v>0.0</v>
      </c>
      <c r="L1906" s="22">
        <f>+SUMIF('حركه المخزن الرئيسي اليوميه'!$F:$F,$H:$H,'حركه المخزن الرئيسي اليوميه'!$H:$H)</f>
        <v>0.0</v>
      </c>
      <c r="M1906" s="22">
        <f>+SUMIF('حركه المخزن الرئيسي اليوميه'!$F:$F,$H:$H,'حركه المخزن الرئيسي اليوميه'!$I:$I)</f>
        <v>0.0</v>
      </c>
      <c r="N1906" s="22">
        <f>+K1906+L1906-M1906</f>
        <v>0.0</v>
      </c>
      <c r="O1906" s="22">
        <f>+N1906</f>
        <v>0.0</v>
      </c>
      <c r="P1906" s="22">
        <f>+N1906-O1906</f>
        <v>0.0</v>
      </c>
      <c r="Q1906" s="57"/>
      <c r="R1906" s="58"/>
    </row>
    <row r="1907" spans="8:8" ht="15.0" customHeight="1">
      <c r="B1907" s="54">
        <v>2051.0</v>
      </c>
      <c r="C1907" s="8"/>
      <c r="D1907" s="8"/>
      <c r="E1907" s="8"/>
      <c r="F1907" s="8"/>
      <c r="G1907" s="8"/>
      <c r="H1907" s="8"/>
      <c r="I1907" s="55"/>
      <c r="J1907" s="78" t="s">
        <v>5822</v>
      </c>
      <c r="K1907" s="22">
        <v>0.0</v>
      </c>
      <c r="L1907" s="22">
        <f>+SUMIF('حركه المخزن الرئيسي اليوميه'!$F:$F,$H:$H,'حركه المخزن الرئيسي اليوميه'!$H:$H)</f>
        <v>0.0</v>
      </c>
      <c r="M1907" s="22">
        <f>+SUMIF('حركه المخزن الرئيسي اليوميه'!$F:$F,$H:$H,'حركه المخزن الرئيسي اليوميه'!$I:$I)</f>
        <v>0.0</v>
      </c>
      <c r="N1907" s="22">
        <f>+K1907+L1907-M1907</f>
        <v>0.0</v>
      </c>
      <c r="O1907" s="22">
        <f>+N1907</f>
        <v>0.0</v>
      </c>
      <c r="P1907" s="22">
        <f>+N1907-O1907</f>
        <v>0.0</v>
      </c>
      <c r="Q1907" s="57"/>
      <c r="R1907" s="58"/>
    </row>
    <row r="1908" spans="8:8" ht="15.0" customHeight="1">
      <c r="B1908" s="54">
        <v>2052.0</v>
      </c>
      <c r="C1908" s="8"/>
      <c r="D1908" s="8"/>
      <c r="E1908" s="8"/>
      <c r="F1908" s="8"/>
      <c r="G1908" s="8"/>
      <c r="H1908" s="8"/>
      <c r="I1908" s="55"/>
      <c r="J1908" s="78" t="s">
        <v>5823</v>
      </c>
      <c r="K1908" s="22">
        <v>0.0</v>
      </c>
      <c r="L1908" s="22">
        <f>+SUMIF('حركه المخزن الرئيسي اليوميه'!$F:$F,$H:$H,'حركه المخزن الرئيسي اليوميه'!$H:$H)</f>
        <v>0.0</v>
      </c>
      <c r="M1908" s="22">
        <f>+SUMIF('حركه المخزن الرئيسي اليوميه'!$F:$F,$H:$H,'حركه المخزن الرئيسي اليوميه'!$I:$I)</f>
        <v>0.0</v>
      </c>
      <c r="N1908" s="22">
        <f>+K1908+L1908-M1908</f>
        <v>0.0</v>
      </c>
      <c r="O1908" s="22">
        <f>+N1908</f>
        <v>0.0</v>
      </c>
      <c r="P1908" s="22">
        <f>+N1908-O1908</f>
        <v>0.0</v>
      </c>
      <c r="Q1908" s="57"/>
      <c r="R1908" s="58"/>
    </row>
    <row r="1909" spans="8:8" ht="15.0" customHeight="1">
      <c r="B1909" s="54">
        <v>2053.0</v>
      </c>
      <c r="C1909" s="8"/>
      <c r="D1909" s="8"/>
      <c r="E1909" s="8"/>
      <c r="F1909" s="8"/>
      <c r="G1909" s="8"/>
      <c r="H1909" s="8"/>
      <c r="I1909" s="55"/>
      <c r="J1909" s="78" t="s">
        <v>5824</v>
      </c>
      <c r="K1909" s="22">
        <v>0.0</v>
      </c>
      <c r="L1909" s="22">
        <f>+SUMIF('حركه المخزن الرئيسي اليوميه'!$F:$F,$H:$H,'حركه المخزن الرئيسي اليوميه'!$H:$H)</f>
        <v>0.0</v>
      </c>
      <c r="M1909" s="22">
        <f>+SUMIF('حركه المخزن الرئيسي اليوميه'!$F:$F,$H:$H,'حركه المخزن الرئيسي اليوميه'!$I:$I)</f>
        <v>0.0</v>
      </c>
      <c r="N1909" s="22">
        <f>+K1909+L1909-M1909</f>
        <v>0.0</v>
      </c>
      <c r="O1909" s="22">
        <f>+N1909</f>
        <v>0.0</v>
      </c>
      <c r="P1909" s="22">
        <f>+N1909-O1909</f>
        <v>0.0</v>
      </c>
      <c r="Q1909" s="57"/>
      <c r="R1909" s="58"/>
    </row>
    <row r="1910" spans="8:8" ht="15.0" customHeight="1">
      <c r="B1910" s="54">
        <v>2054.0</v>
      </c>
      <c r="C1910" s="8"/>
      <c r="D1910" s="8"/>
      <c r="E1910" s="8"/>
      <c r="F1910" s="8"/>
      <c r="G1910" s="8"/>
      <c r="H1910" s="8"/>
      <c r="I1910" s="55"/>
      <c r="J1910" s="78" t="s">
        <v>5825</v>
      </c>
      <c r="K1910" s="22">
        <v>0.0</v>
      </c>
      <c r="L1910" s="22">
        <f>+SUMIF('حركه المخزن الرئيسي اليوميه'!$F:$F,$H:$H,'حركه المخزن الرئيسي اليوميه'!$H:$H)</f>
        <v>0.0</v>
      </c>
      <c r="M1910" s="22">
        <f>+SUMIF('حركه المخزن الرئيسي اليوميه'!$F:$F,$H:$H,'حركه المخزن الرئيسي اليوميه'!$I:$I)</f>
        <v>0.0</v>
      </c>
      <c r="N1910" s="22">
        <f>+K1910+L1910-M1910</f>
        <v>0.0</v>
      </c>
      <c r="O1910" s="22">
        <f>+N1910</f>
        <v>0.0</v>
      </c>
      <c r="P1910" s="22">
        <f>+N1910-O1910</f>
        <v>0.0</v>
      </c>
      <c r="Q1910" s="57"/>
      <c r="R1910" s="58"/>
    </row>
    <row r="1911" spans="8:8" ht="15.0" customHeight="1">
      <c r="B1911" s="54">
        <v>2055.0</v>
      </c>
      <c r="C1911" s="8"/>
      <c r="D1911" s="8"/>
      <c r="E1911" s="8"/>
      <c r="F1911" s="8"/>
      <c r="G1911" s="8"/>
      <c r="H1911" s="8"/>
      <c r="I1911" s="55"/>
      <c r="J1911" s="78" t="s">
        <v>5826</v>
      </c>
      <c r="K1911" s="22">
        <v>0.0</v>
      </c>
      <c r="L1911" s="22">
        <f>+SUMIF('حركه المخزن الرئيسي اليوميه'!$F:$F,$H:$H,'حركه المخزن الرئيسي اليوميه'!$H:$H)</f>
        <v>0.0</v>
      </c>
      <c r="M1911" s="22">
        <f>+SUMIF('حركه المخزن الرئيسي اليوميه'!$F:$F,$H:$H,'حركه المخزن الرئيسي اليوميه'!$I:$I)</f>
        <v>0.0</v>
      </c>
      <c r="N1911" s="22">
        <f>+K1911+L1911-M1911</f>
        <v>0.0</v>
      </c>
      <c r="O1911" s="22">
        <f>+N1911</f>
        <v>0.0</v>
      </c>
      <c r="P1911" s="22">
        <f>+N1911-O1911</f>
        <v>0.0</v>
      </c>
      <c r="Q1911" s="57"/>
      <c r="R1911" s="58"/>
    </row>
    <row r="1912" spans="8:8" ht="15.0" customHeight="1">
      <c r="B1912" s="54">
        <v>2056.0</v>
      </c>
      <c r="C1912" s="8"/>
      <c r="D1912" s="8"/>
      <c r="E1912" s="8"/>
      <c r="F1912" s="8"/>
      <c r="G1912" s="8"/>
      <c r="H1912" s="8"/>
      <c r="I1912" s="55"/>
      <c r="J1912" s="78" t="s">
        <v>5827</v>
      </c>
      <c r="K1912" s="22">
        <v>0.0</v>
      </c>
      <c r="L1912" s="22">
        <f>+SUMIF('حركه المخزن الرئيسي اليوميه'!$F:$F,$H:$H,'حركه المخزن الرئيسي اليوميه'!$H:$H)</f>
        <v>0.0</v>
      </c>
      <c r="M1912" s="22">
        <f>+SUMIF('حركه المخزن الرئيسي اليوميه'!$F:$F,$H:$H,'حركه المخزن الرئيسي اليوميه'!$I:$I)</f>
        <v>0.0</v>
      </c>
      <c r="N1912" s="22">
        <f>+K1912+L1912-M1912</f>
        <v>0.0</v>
      </c>
      <c r="O1912" s="22">
        <f>+N1912</f>
        <v>0.0</v>
      </c>
      <c r="P1912" s="22">
        <f>+N1912-O1912</f>
        <v>0.0</v>
      </c>
      <c r="Q1912" s="57"/>
      <c r="R1912" s="58"/>
    </row>
    <row r="1913" spans="8:8" ht="15.0" customHeight="1">
      <c r="B1913" s="54">
        <v>2057.0</v>
      </c>
      <c r="C1913" s="8"/>
      <c r="D1913" s="8"/>
      <c r="E1913" s="8"/>
      <c r="F1913" s="8"/>
      <c r="G1913" s="8"/>
      <c r="H1913" s="8"/>
      <c r="I1913" s="55"/>
      <c r="J1913" s="78" t="s">
        <v>5828</v>
      </c>
      <c r="K1913" s="22">
        <v>0.0</v>
      </c>
      <c r="L1913" s="22">
        <f>+SUMIF('حركه المخزن الرئيسي اليوميه'!$F:$F,$H:$H,'حركه المخزن الرئيسي اليوميه'!$H:$H)</f>
        <v>0.0</v>
      </c>
      <c r="M1913" s="22">
        <f>+SUMIF('حركه المخزن الرئيسي اليوميه'!$F:$F,$H:$H,'حركه المخزن الرئيسي اليوميه'!$I:$I)</f>
        <v>0.0</v>
      </c>
      <c r="N1913" s="22">
        <f>+K1913+L1913-M1913</f>
        <v>0.0</v>
      </c>
      <c r="O1913" s="22">
        <f>+N1913</f>
        <v>0.0</v>
      </c>
      <c r="P1913" s="22">
        <f>+N1913-O1913</f>
        <v>0.0</v>
      </c>
      <c r="Q1913" s="57"/>
      <c r="R1913" s="58"/>
    </row>
    <row r="1914" spans="8:8" ht="15.0" customHeight="1">
      <c r="B1914" s="54">
        <v>2058.0</v>
      </c>
      <c r="C1914" s="8"/>
      <c r="D1914" s="8"/>
      <c r="E1914" s="8"/>
      <c r="F1914" s="8"/>
      <c r="G1914" s="8"/>
      <c r="H1914" s="8"/>
      <c r="I1914" s="55"/>
      <c r="J1914" s="78" t="s">
        <v>5829</v>
      </c>
      <c r="K1914" s="22">
        <v>0.0</v>
      </c>
      <c r="L1914" s="22">
        <f>+SUMIF('حركه المخزن الرئيسي اليوميه'!$F:$F,$H:$H,'حركه المخزن الرئيسي اليوميه'!$H:$H)</f>
        <v>0.0</v>
      </c>
      <c r="M1914" s="22">
        <f>+SUMIF('حركه المخزن الرئيسي اليوميه'!$F:$F,$H:$H,'حركه المخزن الرئيسي اليوميه'!$I:$I)</f>
        <v>0.0</v>
      </c>
      <c r="N1914" s="22">
        <f>+K1914+L1914-M1914</f>
        <v>0.0</v>
      </c>
      <c r="O1914" s="22">
        <f>+N1914</f>
        <v>0.0</v>
      </c>
      <c r="P1914" s="22">
        <f>+N1914-O1914</f>
        <v>0.0</v>
      </c>
      <c r="Q1914" s="57"/>
      <c r="R1914" s="58"/>
    </row>
    <row r="1915" spans="8:8" ht="15.0" customHeight="1">
      <c r="B1915" s="54">
        <v>2059.0</v>
      </c>
      <c r="C1915" s="8"/>
      <c r="D1915" s="8"/>
      <c r="E1915" s="8"/>
      <c r="F1915" s="8"/>
      <c r="G1915" s="8"/>
      <c r="H1915" s="8"/>
      <c r="I1915" s="55"/>
      <c r="J1915" s="78" t="s">
        <v>5830</v>
      </c>
      <c r="K1915" s="22">
        <v>0.0</v>
      </c>
      <c r="L1915" s="22">
        <f>+SUMIF('حركه المخزن الرئيسي اليوميه'!$F:$F,$H:$H,'حركه المخزن الرئيسي اليوميه'!$H:$H)</f>
        <v>0.0</v>
      </c>
      <c r="M1915" s="22">
        <f>+SUMIF('حركه المخزن الرئيسي اليوميه'!$F:$F,$H:$H,'حركه المخزن الرئيسي اليوميه'!$I:$I)</f>
        <v>0.0</v>
      </c>
      <c r="N1915" s="22">
        <f>+K1915+L1915-M1915</f>
        <v>0.0</v>
      </c>
      <c r="O1915" s="22">
        <f>+N1915</f>
        <v>0.0</v>
      </c>
      <c r="P1915" s="22">
        <f>+N1915-O1915</f>
        <v>0.0</v>
      </c>
      <c r="Q1915" s="57"/>
      <c r="R1915" s="58"/>
    </row>
    <row r="1916" spans="8:8" ht="15.0" customHeight="1">
      <c r="B1916" s="54">
        <v>2060.0</v>
      </c>
      <c r="C1916" s="8"/>
      <c r="D1916" s="8"/>
      <c r="E1916" s="8"/>
      <c r="F1916" s="8"/>
      <c r="G1916" s="8"/>
      <c r="H1916" s="8"/>
      <c r="I1916" s="55"/>
      <c r="J1916" s="78" t="s">
        <v>5831</v>
      </c>
      <c r="K1916" s="22">
        <v>0.0</v>
      </c>
      <c r="L1916" s="22">
        <f>+SUMIF('حركه المخزن الرئيسي اليوميه'!$F:$F,$H:$H,'حركه المخزن الرئيسي اليوميه'!$H:$H)</f>
        <v>0.0</v>
      </c>
      <c r="M1916" s="22">
        <f>+SUMIF('حركه المخزن الرئيسي اليوميه'!$F:$F,$H:$H,'حركه المخزن الرئيسي اليوميه'!$I:$I)</f>
        <v>0.0</v>
      </c>
      <c r="N1916" s="22">
        <f>+K1916+L1916-M1916</f>
        <v>0.0</v>
      </c>
      <c r="O1916" s="22">
        <f>+N1916</f>
        <v>0.0</v>
      </c>
      <c r="P1916" s="22">
        <f>+N1916-O1916</f>
        <v>0.0</v>
      </c>
      <c r="Q1916" s="57"/>
      <c r="R1916" s="58"/>
    </row>
    <row r="1917" spans="8:8" ht="15.0" customHeight="1">
      <c r="B1917" s="54">
        <v>2061.0</v>
      </c>
      <c r="C1917" s="8"/>
      <c r="D1917" s="8"/>
      <c r="E1917" s="8"/>
      <c r="F1917" s="8"/>
      <c r="G1917" s="8"/>
      <c r="H1917" s="8"/>
      <c r="I1917" s="55"/>
      <c r="J1917" s="78" t="s">
        <v>5832</v>
      </c>
      <c r="K1917" s="22">
        <v>0.0</v>
      </c>
      <c r="L1917" s="22">
        <f>+SUMIF('حركه المخزن الرئيسي اليوميه'!$F:$F,$H:$H,'حركه المخزن الرئيسي اليوميه'!$H:$H)</f>
        <v>0.0</v>
      </c>
      <c r="M1917" s="22">
        <f>+SUMIF('حركه المخزن الرئيسي اليوميه'!$F:$F,$H:$H,'حركه المخزن الرئيسي اليوميه'!$I:$I)</f>
        <v>0.0</v>
      </c>
      <c r="N1917" s="22">
        <f>+K1917+L1917-M1917</f>
        <v>0.0</v>
      </c>
      <c r="O1917" s="22">
        <f>+N1917</f>
        <v>0.0</v>
      </c>
      <c r="P1917" s="22">
        <f>+N1917-O1917</f>
        <v>0.0</v>
      </c>
      <c r="Q1917" s="57"/>
      <c r="R1917" s="58"/>
    </row>
    <row r="1918" spans="8:8" ht="15.0" customHeight="1">
      <c r="B1918" s="54">
        <v>2062.0</v>
      </c>
      <c r="C1918" s="8"/>
      <c r="D1918" s="8"/>
      <c r="E1918" s="8"/>
      <c r="F1918" s="8"/>
      <c r="G1918" s="8"/>
      <c r="H1918" s="8"/>
      <c r="I1918" s="55"/>
      <c r="J1918" s="78" t="s">
        <v>5833</v>
      </c>
      <c r="K1918" s="22">
        <v>0.0</v>
      </c>
      <c r="L1918" s="22">
        <f>+SUMIF('حركه المخزن الرئيسي اليوميه'!$F:$F,$H:$H,'حركه المخزن الرئيسي اليوميه'!$H:$H)</f>
        <v>0.0</v>
      </c>
      <c r="M1918" s="22">
        <f>+SUMIF('حركه المخزن الرئيسي اليوميه'!$F:$F,$H:$H,'حركه المخزن الرئيسي اليوميه'!$I:$I)</f>
        <v>0.0</v>
      </c>
      <c r="N1918" s="22">
        <f>+K1918+L1918-M1918</f>
        <v>0.0</v>
      </c>
      <c r="O1918" s="22">
        <f>+N1918</f>
        <v>0.0</v>
      </c>
      <c r="P1918" s="22">
        <f>+N1918-O1918</f>
        <v>0.0</v>
      </c>
      <c r="Q1918" s="57"/>
      <c r="R1918" s="58"/>
    </row>
    <row r="1919" spans="8:8" ht="15.0" customHeight="1">
      <c r="B1919" s="54">
        <v>2063.0</v>
      </c>
      <c r="C1919" s="8"/>
      <c r="D1919" s="8"/>
      <c r="E1919" s="8"/>
      <c r="F1919" s="8"/>
      <c r="G1919" s="8"/>
      <c r="H1919" s="8"/>
      <c r="I1919" s="55"/>
      <c r="J1919" s="78" t="s">
        <v>5834</v>
      </c>
      <c r="K1919" s="22">
        <v>0.0</v>
      </c>
      <c r="L1919" s="22">
        <f>+SUMIF('حركه المخزن الرئيسي اليوميه'!$F:$F,$H:$H,'حركه المخزن الرئيسي اليوميه'!$H:$H)</f>
        <v>0.0</v>
      </c>
      <c r="M1919" s="22">
        <f>+SUMIF('حركه المخزن الرئيسي اليوميه'!$F:$F,$H:$H,'حركه المخزن الرئيسي اليوميه'!$I:$I)</f>
        <v>0.0</v>
      </c>
      <c r="N1919" s="22">
        <f>+K1919+L1919-M1919</f>
        <v>0.0</v>
      </c>
      <c r="O1919" s="22">
        <f>+N1919</f>
        <v>0.0</v>
      </c>
      <c r="P1919" s="22">
        <f>+N1919-O1919</f>
        <v>0.0</v>
      </c>
      <c r="Q1919" s="57"/>
      <c r="R1919" s="58"/>
    </row>
    <row r="1920" spans="8:8" ht="15.0" customHeight="1">
      <c r="B1920" s="54">
        <v>2064.0</v>
      </c>
      <c r="C1920" s="8"/>
      <c r="D1920" s="8"/>
      <c r="E1920" s="8"/>
      <c r="F1920" s="8"/>
      <c r="G1920" s="8"/>
      <c r="H1920" s="8"/>
      <c r="I1920" s="55"/>
      <c r="J1920" s="78" t="s">
        <v>5835</v>
      </c>
      <c r="K1920" s="22">
        <v>0.0</v>
      </c>
      <c r="L1920" s="22">
        <f>+SUMIF('حركه المخزن الرئيسي اليوميه'!$F:$F,$H:$H,'حركه المخزن الرئيسي اليوميه'!$H:$H)</f>
        <v>0.0</v>
      </c>
      <c r="M1920" s="22">
        <f>+SUMIF('حركه المخزن الرئيسي اليوميه'!$F:$F,$H:$H,'حركه المخزن الرئيسي اليوميه'!$I:$I)</f>
        <v>0.0</v>
      </c>
      <c r="N1920" s="22">
        <f>+K1920+L1920-M1920</f>
        <v>0.0</v>
      </c>
      <c r="O1920" s="22">
        <f>+N1920</f>
        <v>0.0</v>
      </c>
      <c r="P1920" s="22">
        <f>+N1920-O1920</f>
        <v>0.0</v>
      </c>
      <c r="Q1920" s="57"/>
      <c r="R1920" s="58"/>
    </row>
    <row r="1921" spans="8:8" ht="15.0" customHeight="1">
      <c r="B1921" s="54">
        <v>2065.0</v>
      </c>
      <c r="C1921" s="8"/>
      <c r="D1921" s="8"/>
      <c r="E1921" s="8"/>
      <c r="F1921" s="8"/>
      <c r="G1921" s="8"/>
      <c r="H1921" s="8"/>
      <c r="I1921" s="55"/>
      <c r="J1921" s="78" t="s">
        <v>5836</v>
      </c>
      <c r="K1921" s="22">
        <v>0.0</v>
      </c>
      <c r="L1921" s="22">
        <f>+SUMIF('حركه المخزن الرئيسي اليوميه'!$F:$F,$H:$H,'حركه المخزن الرئيسي اليوميه'!$H:$H)</f>
        <v>0.0</v>
      </c>
      <c r="M1921" s="22">
        <f>+SUMIF('حركه المخزن الرئيسي اليوميه'!$F:$F,$H:$H,'حركه المخزن الرئيسي اليوميه'!$I:$I)</f>
        <v>0.0</v>
      </c>
      <c r="N1921" s="22">
        <f>+K1921+L1921-M1921</f>
        <v>0.0</v>
      </c>
      <c r="O1921" s="22">
        <f>+N1921</f>
        <v>0.0</v>
      </c>
      <c r="P1921" s="22">
        <f>+N1921-O1921</f>
        <v>0.0</v>
      </c>
      <c r="Q1921" s="57"/>
      <c r="R1921" s="58"/>
    </row>
    <row r="1922" spans="8:8" ht="15.0" customHeight="1">
      <c r="B1922" s="54">
        <v>2066.0</v>
      </c>
      <c r="C1922" s="8"/>
      <c r="D1922" s="8"/>
      <c r="E1922" s="8"/>
      <c r="F1922" s="8"/>
      <c r="G1922" s="8"/>
      <c r="H1922" s="8"/>
      <c r="I1922" s="55"/>
      <c r="J1922" s="78" t="s">
        <v>5837</v>
      </c>
      <c r="K1922" s="22">
        <v>0.0</v>
      </c>
      <c r="L1922" s="22">
        <f>+SUMIF('حركه المخزن الرئيسي اليوميه'!$F:$F,$H:$H,'حركه المخزن الرئيسي اليوميه'!$H:$H)</f>
        <v>0.0</v>
      </c>
      <c r="M1922" s="22">
        <f>+SUMIF('حركه المخزن الرئيسي اليوميه'!$F:$F,$H:$H,'حركه المخزن الرئيسي اليوميه'!$I:$I)</f>
        <v>0.0</v>
      </c>
      <c r="N1922" s="22">
        <f>+K1922+L1922-M1922</f>
        <v>0.0</v>
      </c>
      <c r="O1922" s="22">
        <f>+N1922</f>
        <v>0.0</v>
      </c>
      <c r="P1922" s="22">
        <f>+N1922-O1922</f>
        <v>0.0</v>
      </c>
      <c r="Q1922" s="57"/>
      <c r="R1922" s="58"/>
    </row>
    <row r="1923" spans="8:8" ht="15.0" customHeight="1">
      <c r="B1923" s="54">
        <v>2067.0</v>
      </c>
      <c r="C1923" s="8"/>
      <c r="D1923" s="8"/>
      <c r="E1923" s="8"/>
      <c r="F1923" s="8"/>
      <c r="G1923" s="8"/>
      <c r="H1923" s="8"/>
      <c r="I1923" s="55"/>
      <c r="J1923" s="78" t="s">
        <v>5838</v>
      </c>
      <c r="K1923" s="22">
        <v>0.0</v>
      </c>
      <c r="L1923" s="22">
        <f>+SUMIF('حركه المخزن الرئيسي اليوميه'!$F:$F,$H:$H,'حركه المخزن الرئيسي اليوميه'!$H:$H)</f>
        <v>0.0</v>
      </c>
      <c r="M1923" s="22">
        <f>+SUMIF('حركه المخزن الرئيسي اليوميه'!$F:$F,$H:$H,'حركه المخزن الرئيسي اليوميه'!$I:$I)</f>
        <v>0.0</v>
      </c>
      <c r="N1923" s="22">
        <f>+K1923+L1923-M1923</f>
        <v>0.0</v>
      </c>
      <c r="O1923" s="22">
        <f>+N1923</f>
        <v>0.0</v>
      </c>
      <c r="P1923" s="22">
        <f>+N1923-O1923</f>
        <v>0.0</v>
      </c>
      <c r="Q1923" s="57"/>
      <c r="R1923" s="58"/>
    </row>
    <row r="1924" spans="8:8" ht="15.0" customHeight="1">
      <c r="B1924" s="54">
        <v>2068.0</v>
      </c>
      <c r="C1924" s="8"/>
      <c r="D1924" s="8"/>
      <c r="E1924" s="8"/>
      <c r="F1924" s="8"/>
      <c r="G1924" s="8"/>
      <c r="H1924" s="8"/>
      <c r="I1924" s="55"/>
      <c r="J1924" s="78" t="s">
        <v>5839</v>
      </c>
      <c r="K1924" s="22">
        <v>0.0</v>
      </c>
      <c r="L1924" s="22">
        <f>+SUMIF('حركه المخزن الرئيسي اليوميه'!$F:$F,$H:$H,'حركه المخزن الرئيسي اليوميه'!$H:$H)</f>
        <v>0.0</v>
      </c>
      <c r="M1924" s="22">
        <f>+SUMIF('حركه المخزن الرئيسي اليوميه'!$F:$F,$H:$H,'حركه المخزن الرئيسي اليوميه'!$I:$I)</f>
        <v>0.0</v>
      </c>
      <c r="N1924" s="22">
        <f>+K1924+L1924-M1924</f>
        <v>0.0</v>
      </c>
      <c r="O1924" s="22">
        <f>+N1924</f>
        <v>0.0</v>
      </c>
      <c r="P1924" s="22">
        <f>+N1924-O1924</f>
        <v>0.0</v>
      </c>
      <c r="Q1924" s="57"/>
      <c r="R1924" s="58"/>
    </row>
    <row r="1925" spans="8:8" ht="15.0" customHeight="1">
      <c r="B1925" s="54">
        <v>2069.0</v>
      </c>
      <c r="C1925" s="8"/>
      <c r="D1925" s="8"/>
      <c r="E1925" s="8"/>
      <c r="F1925" s="8"/>
      <c r="G1925" s="8"/>
      <c r="H1925" s="8"/>
      <c r="I1925" s="55"/>
      <c r="J1925" s="78" t="s">
        <v>5840</v>
      </c>
      <c r="K1925" s="22">
        <v>0.0</v>
      </c>
      <c r="L1925" s="22">
        <f>+SUMIF('حركه المخزن الرئيسي اليوميه'!$F:$F,$H:$H,'حركه المخزن الرئيسي اليوميه'!$H:$H)</f>
        <v>0.0</v>
      </c>
      <c r="M1925" s="22">
        <f>+SUMIF('حركه المخزن الرئيسي اليوميه'!$F:$F,$H:$H,'حركه المخزن الرئيسي اليوميه'!$I:$I)</f>
        <v>0.0</v>
      </c>
      <c r="N1925" s="22">
        <f>+K1925+L1925-M1925</f>
        <v>0.0</v>
      </c>
      <c r="O1925" s="22">
        <f>+N1925</f>
        <v>0.0</v>
      </c>
      <c r="P1925" s="22">
        <f>+N1925-O1925</f>
        <v>0.0</v>
      </c>
      <c r="Q1925" s="57"/>
      <c r="R1925" s="58"/>
    </row>
    <row r="1926" spans="8:8" ht="15.0" customHeight="1">
      <c r="B1926" s="54">
        <v>2070.0</v>
      </c>
      <c r="C1926" s="8"/>
      <c r="D1926" s="8"/>
      <c r="E1926" s="8"/>
      <c r="F1926" s="8"/>
      <c r="G1926" s="8"/>
      <c r="H1926" s="8"/>
      <c r="I1926" s="55"/>
      <c r="J1926" s="78" t="s">
        <v>5841</v>
      </c>
      <c r="K1926" s="22">
        <v>0.0</v>
      </c>
      <c r="L1926" s="22">
        <f>+SUMIF('حركه المخزن الرئيسي اليوميه'!$F:$F,$H:$H,'حركه المخزن الرئيسي اليوميه'!$H:$H)</f>
        <v>0.0</v>
      </c>
      <c r="M1926" s="22">
        <f>+SUMIF('حركه المخزن الرئيسي اليوميه'!$F:$F,$H:$H,'حركه المخزن الرئيسي اليوميه'!$I:$I)</f>
        <v>0.0</v>
      </c>
      <c r="N1926" s="22">
        <f>+K1926+L1926-M1926</f>
        <v>0.0</v>
      </c>
      <c r="O1926" s="22">
        <f>+N1926</f>
        <v>0.0</v>
      </c>
      <c r="P1926" s="22">
        <f>+N1926-O1926</f>
        <v>0.0</v>
      </c>
      <c r="Q1926" s="57"/>
      <c r="R1926" s="58"/>
    </row>
    <row r="1927" spans="8:8" ht="15.0" customHeight="1">
      <c r="B1927" s="54">
        <v>2071.0</v>
      </c>
      <c r="C1927" s="8"/>
      <c r="D1927" s="8"/>
      <c r="E1927" s="8"/>
      <c r="F1927" s="8"/>
      <c r="G1927" s="8"/>
      <c r="H1927" s="8"/>
      <c r="I1927" s="55"/>
      <c r="J1927" s="78" t="s">
        <v>5842</v>
      </c>
      <c r="K1927" s="22">
        <v>0.0</v>
      </c>
      <c r="L1927" s="22">
        <f>+SUMIF('حركه المخزن الرئيسي اليوميه'!$F:$F,$H:$H,'حركه المخزن الرئيسي اليوميه'!$H:$H)</f>
        <v>0.0</v>
      </c>
      <c r="M1927" s="22">
        <f>+SUMIF('حركه المخزن الرئيسي اليوميه'!$F:$F,$H:$H,'حركه المخزن الرئيسي اليوميه'!$I:$I)</f>
        <v>0.0</v>
      </c>
      <c r="N1927" s="22">
        <f>+K1927+L1927-M1927</f>
        <v>0.0</v>
      </c>
      <c r="O1927" s="22">
        <f>+N1927</f>
        <v>0.0</v>
      </c>
      <c r="P1927" s="22">
        <f>+N1927-O1927</f>
        <v>0.0</v>
      </c>
      <c r="Q1927" s="57"/>
      <c r="R1927" s="58"/>
    </row>
    <row r="1928" spans="8:8" ht="15.0" customHeight="1">
      <c r="B1928" s="54">
        <v>2072.0</v>
      </c>
      <c r="C1928" s="8"/>
      <c r="D1928" s="8"/>
      <c r="E1928" s="8"/>
      <c r="F1928" s="8"/>
      <c r="G1928" s="8"/>
      <c r="H1928" s="8"/>
      <c r="I1928" s="55"/>
      <c r="J1928" s="78" t="s">
        <v>5843</v>
      </c>
      <c r="K1928" s="22">
        <v>0.0</v>
      </c>
      <c r="L1928" s="22">
        <f>+SUMIF('حركه المخزن الرئيسي اليوميه'!$F:$F,$H:$H,'حركه المخزن الرئيسي اليوميه'!$H:$H)</f>
        <v>0.0</v>
      </c>
      <c r="M1928" s="22">
        <f>+SUMIF('حركه المخزن الرئيسي اليوميه'!$F:$F,$H:$H,'حركه المخزن الرئيسي اليوميه'!$I:$I)</f>
        <v>0.0</v>
      </c>
      <c r="N1928" s="22">
        <f>+K1928+L1928-M1928</f>
        <v>0.0</v>
      </c>
      <c r="O1928" s="22">
        <f>+N1928</f>
        <v>0.0</v>
      </c>
      <c r="P1928" s="22">
        <f>+N1928-O1928</f>
        <v>0.0</v>
      </c>
      <c r="Q1928" s="57"/>
      <c r="R1928" s="58"/>
    </row>
    <row r="1929" spans="8:8" ht="15.0" customHeight="1">
      <c r="B1929" s="54">
        <v>2073.0</v>
      </c>
      <c r="C1929" s="8"/>
      <c r="D1929" s="8"/>
      <c r="E1929" s="8"/>
      <c r="F1929" s="8"/>
      <c r="G1929" s="8"/>
      <c r="H1929" s="8"/>
      <c r="I1929" s="55"/>
      <c r="J1929" s="78" t="s">
        <v>5844</v>
      </c>
      <c r="K1929" s="22">
        <v>0.0</v>
      </c>
      <c r="L1929" s="22">
        <f>+SUMIF('حركه المخزن الرئيسي اليوميه'!$F:$F,$H:$H,'حركه المخزن الرئيسي اليوميه'!$H:$H)</f>
        <v>0.0</v>
      </c>
      <c r="M1929" s="22">
        <f>+SUMIF('حركه المخزن الرئيسي اليوميه'!$F:$F,$H:$H,'حركه المخزن الرئيسي اليوميه'!$I:$I)</f>
        <v>0.0</v>
      </c>
      <c r="N1929" s="22">
        <f>+K1929+L1929-M1929</f>
        <v>0.0</v>
      </c>
      <c r="O1929" s="22">
        <f>+N1929</f>
        <v>0.0</v>
      </c>
      <c r="P1929" s="22">
        <f>+N1929-O1929</f>
        <v>0.0</v>
      </c>
      <c r="Q1929" s="57"/>
      <c r="R1929" s="58"/>
    </row>
    <row r="1930" spans="8:8" ht="15.0" customHeight="1">
      <c r="B1930" s="54">
        <v>2074.0</v>
      </c>
      <c r="C1930" s="8"/>
      <c r="D1930" s="8"/>
      <c r="E1930" s="8"/>
      <c r="F1930" s="8"/>
      <c r="G1930" s="8"/>
      <c r="H1930" s="8"/>
      <c r="I1930" s="55"/>
      <c r="J1930" s="78" t="s">
        <v>5845</v>
      </c>
      <c r="K1930" s="22">
        <v>0.0</v>
      </c>
      <c r="L1930" s="22">
        <f>+SUMIF('حركه المخزن الرئيسي اليوميه'!$F:$F,$H:$H,'حركه المخزن الرئيسي اليوميه'!$H:$H)</f>
        <v>0.0</v>
      </c>
      <c r="M1930" s="22">
        <f>+SUMIF('حركه المخزن الرئيسي اليوميه'!$F:$F,$H:$H,'حركه المخزن الرئيسي اليوميه'!$I:$I)</f>
        <v>0.0</v>
      </c>
      <c r="N1930" s="22">
        <f>+K1930+L1930-M1930</f>
        <v>0.0</v>
      </c>
      <c r="O1930" s="22">
        <f>+N1930</f>
        <v>0.0</v>
      </c>
      <c r="P1930" s="22">
        <f>+N1930-O1930</f>
        <v>0.0</v>
      </c>
      <c r="Q1930" s="57"/>
      <c r="R1930" s="58"/>
    </row>
    <row r="1931" spans="8:8" ht="15.0" customHeight="1">
      <c r="B1931" s="54">
        <v>2075.0</v>
      </c>
      <c r="C1931" s="8"/>
      <c r="D1931" s="8"/>
      <c r="E1931" s="8"/>
      <c r="F1931" s="8"/>
      <c r="G1931" s="8"/>
      <c r="H1931" s="8"/>
      <c r="I1931" s="55"/>
      <c r="J1931" s="78" t="s">
        <v>5846</v>
      </c>
      <c r="K1931" s="22">
        <v>0.0</v>
      </c>
      <c r="L1931" s="22">
        <f>+SUMIF('حركه المخزن الرئيسي اليوميه'!$F:$F,$H:$H,'حركه المخزن الرئيسي اليوميه'!$H:$H)</f>
        <v>0.0</v>
      </c>
      <c r="M1931" s="22">
        <f>+SUMIF('حركه المخزن الرئيسي اليوميه'!$F:$F,$H:$H,'حركه المخزن الرئيسي اليوميه'!$I:$I)</f>
        <v>0.0</v>
      </c>
      <c r="N1931" s="22">
        <f>+K1931+L1931-M1931</f>
        <v>0.0</v>
      </c>
      <c r="O1931" s="22">
        <f>+N1931</f>
        <v>0.0</v>
      </c>
      <c r="P1931" s="22">
        <f>+N1931-O1931</f>
        <v>0.0</v>
      </c>
      <c r="Q1931" s="57"/>
      <c r="R1931" s="58"/>
    </row>
    <row r="1932" spans="8:8" ht="15.0" customHeight="1">
      <c r="B1932" s="54">
        <v>2076.0</v>
      </c>
      <c r="C1932" s="8"/>
      <c r="D1932" s="8"/>
      <c r="E1932" s="8"/>
      <c r="F1932" s="8"/>
      <c r="G1932" s="8"/>
      <c r="H1932" s="8"/>
      <c r="I1932" s="55"/>
      <c r="J1932" s="78" t="s">
        <v>5847</v>
      </c>
      <c r="K1932" s="22">
        <v>0.0</v>
      </c>
      <c r="L1932" s="22">
        <f>+SUMIF('حركه المخزن الرئيسي اليوميه'!$F:$F,$H:$H,'حركه المخزن الرئيسي اليوميه'!$H:$H)</f>
        <v>0.0</v>
      </c>
      <c r="M1932" s="22">
        <f>+SUMIF('حركه المخزن الرئيسي اليوميه'!$F:$F,$H:$H,'حركه المخزن الرئيسي اليوميه'!$I:$I)</f>
        <v>0.0</v>
      </c>
      <c r="N1932" s="22">
        <f>+K1932+L1932-M1932</f>
        <v>0.0</v>
      </c>
      <c r="O1932" s="22">
        <f>+N1932</f>
        <v>0.0</v>
      </c>
      <c r="P1932" s="22">
        <f>+N1932-O1932</f>
        <v>0.0</v>
      </c>
      <c r="Q1932" s="57"/>
      <c r="R1932" s="58"/>
    </row>
    <row r="1933" spans="8:8" ht="15.0" customHeight="1">
      <c r="B1933" s="54">
        <v>2077.0</v>
      </c>
      <c r="C1933" s="8"/>
      <c r="D1933" s="8"/>
      <c r="E1933" s="8"/>
      <c r="F1933" s="8"/>
      <c r="G1933" s="8"/>
      <c r="H1933" s="8"/>
      <c r="I1933" s="55"/>
      <c r="J1933" s="78" t="s">
        <v>5848</v>
      </c>
      <c r="K1933" s="22">
        <v>0.0</v>
      </c>
      <c r="L1933" s="22">
        <f>+SUMIF('حركه المخزن الرئيسي اليوميه'!$F:$F,$H:$H,'حركه المخزن الرئيسي اليوميه'!$H:$H)</f>
        <v>0.0</v>
      </c>
      <c r="M1933" s="22">
        <f>+SUMIF('حركه المخزن الرئيسي اليوميه'!$F:$F,$H:$H,'حركه المخزن الرئيسي اليوميه'!$I:$I)</f>
        <v>0.0</v>
      </c>
      <c r="N1933" s="22">
        <f>+K1933+L1933-M1933</f>
        <v>0.0</v>
      </c>
      <c r="O1933" s="22">
        <f>+N1933</f>
        <v>0.0</v>
      </c>
      <c r="P1933" s="22">
        <f>+N1933-O1933</f>
        <v>0.0</v>
      </c>
      <c r="Q1933" s="57"/>
      <c r="R1933" s="58"/>
    </row>
    <row r="1934" spans="8:8" ht="15.0" customHeight="1">
      <c r="B1934" s="54">
        <v>2078.0</v>
      </c>
      <c r="C1934" s="8"/>
      <c r="D1934" s="8"/>
      <c r="E1934" s="8"/>
      <c r="F1934" s="8"/>
      <c r="G1934" s="8"/>
      <c r="H1934" s="8"/>
      <c r="I1934" s="55"/>
      <c r="J1934" s="78" t="s">
        <v>5849</v>
      </c>
      <c r="K1934" s="22">
        <v>0.0</v>
      </c>
      <c r="L1934" s="22">
        <f>+SUMIF('حركه المخزن الرئيسي اليوميه'!$F:$F,$H:$H,'حركه المخزن الرئيسي اليوميه'!$H:$H)</f>
        <v>0.0</v>
      </c>
      <c r="M1934" s="22">
        <f>+SUMIF('حركه المخزن الرئيسي اليوميه'!$F:$F,$H:$H,'حركه المخزن الرئيسي اليوميه'!$I:$I)</f>
        <v>0.0</v>
      </c>
      <c r="N1934" s="22">
        <f>+K1934+L1934-M1934</f>
        <v>0.0</v>
      </c>
      <c r="O1934" s="22">
        <f>+N1934</f>
        <v>0.0</v>
      </c>
      <c r="P1934" s="22">
        <f>+N1934-O1934</f>
        <v>0.0</v>
      </c>
      <c r="Q1934" s="57"/>
      <c r="R1934" s="58"/>
    </row>
    <row r="1935" spans="8:8" ht="15.0" customHeight="1">
      <c r="B1935" s="54">
        <v>2079.0</v>
      </c>
      <c r="C1935" s="8"/>
      <c r="D1935" s="8"/>
      <c r="E1935" s="8"/>
      <c r="F1935" s="8"/>
      <c r="G1935" s="8"/>
      <c r="H1935" s="8"/>
      <c r="I1935" s="55"/>
      <c r="J1935" s="78" t="s">
        <v>5850</v>
      </c>
      <c r="K1935" s="22">
        <v>0.0</v>
      </c>
      <c r="L1935" s="22">
        <f>+SUMIF('حركه المخزن الرئيسي اليوميه'!$F:$F,$H:$H,'حركه المخزن الرئيسي اليوميه'!$H:$H)</f>
        <v>0.0</v>
      </c>
      <c r="M1935" s="22">
        <f>+SUMIF('حركه المخزن الرئيسي اليوميه'!$F:$F,$H:$H,'حركه المخزن الرئيسي اليوميه'!$I:$I)</f>
        <v>0.0</v>
      </c>
      <c r="N1935" s="22">
        <f>+K1935+L1935-M1935</f>
        <v>0.0</v>
      </c>
      <c r="O1935" s="22">
        <f>+N1935</f>
        <v>0.0</v>
      </c>
      <c r="P1935" s="22">
        <f>+N1935-O1935</f>
        <v>0.0</v>
      </c>
      <c r="Q1935" s="57"/>
      <c r="R1935" s="58"/>
    </row>
    <row r="1936" spans="8:8" ht="15.0" customHeight="1">
      <c r="B1936" s="54">
        <v>2080.0</v>
      </c>
      <c r="C1936" s="8"/>
      <c r="D1936" s="8"/>
      <c r="E1936" s="8"/>
      <c r="F1936" s="8"/>
      <c r="G1936" s="8"/>
      <c r="H1936" s="8"/>
      <c r="I1936" s="55"/>
      <c r="J1936" s="78" t="s">
        <v>5851</v>
      </c>
      <c r="K1936" s="22">
        <v>0.0</v>
      </c>
      <c r="L1936" s="22">
        <f>+SUMIF('حركه المخزن الرئيسي اليوميه'!$F:$F,$H:$H,'حركه المخزن الرئيسي اليوميه'!$H:$H)</f>
        <v>0.0</v>
      </c>
      <c r="M1936" s="22">
        <f>+SUMIF('حركه المخزن الرئيسي اليوميه'!$F:$F,$H:$H,'حركه المخزن الرئيسي اليوميه'!$I:$I)</f>
        <v>0.0</v>
      </c>
      <c r="N1936" s="22">
        <f>+K1936+L1936-M1936</f>
        <v>0.0</v>
      </c>
      <c r="O1936" s="22">
        <f>+N1936</f>
        <v>0.0</v>
      </c>
      <c r="P1936" s="22">
        <f>+N1936-O1936</f>
        <v>0.0</v>
      </c>
      <c r="Q1936" s="57"/>
      <c r="R1936" s="58"/>
    </row>
    <row r="1937" spans="8:8" ht="15.0" customHeight="1">
      <c r="B1937" s="54">
        <v>2081.0</v>
      </c>
      <c r="C1937" s="8"/>
      <c r="D1937" s="8"/>
      <c r="E1937" s="8"/>
      <c r="F1937" s="8"/>
      <c r="G1937" s="8"/>
      <c r="H1937" s="8"/>
      <c r="I1937" s="55"/>
      <c r="J1937" s="78" t="s">
        <v>5852</v>
      </c>
      <c r="K1937" s="22">
        <v>0.0</v>
      </c>
      <c r="L1937" s="22">
        <f>+SUMIF('حركه المخزن الرئيسي اليوميه'!$F:$F,$H:$H,'حركه المخزن الرئيسي اليوميه'!$H:$H)</f>
        <v>0.0</v>
      </c>
      <c r="M1937" s="22">
        <f>+SUMIF('حركه المخزن الرئيسي اليوميه'!$F:$F,$H:$H,'حركه المخزن الرئيسي اليوميه'!$I:$I)</f>
        <v>0.0</v>
      </c>
      <c r="N1937" s="22">
        <f>+K1937+L1937-M1937</f>
        <v>0.0</v>
      </c>
      <c r="O1937" s="22">
        <f>+N1937</f>
        <v>0.0</v>
      </c>
      <c r="P1937" s="22">
        <f>+N1937-O1937</f>
        <v>0.0</v>
      </c>
      <c r="Q1937" s="57"/>
      <c r="R1937" s="58"/>
    </row>
    <row r="1938" spans="8:8" ht="15.0" customHeight="1">
      <c r="B1938" s="54">
        <v>2082.0</v>
      </c>
      <c r="C1938" s="8"/>
      <c r="D1938" s="8"/>
      <c r="E1938" s="8"/>
      <c r="F1938" s="8"/>
      <c r="G1938" s="8"/>
      <c r="H1938" s="8"/>
      <c r="I1938" s="55"/>
      <c r="J1938" s="78" t="s">
        <v>5853</v>
      </c>
      <c r="K1938" s="22">
        <v>0.0</v>
      </c>
      <c r="L1938" s="22">
        <f>+SUMIF('حركه المخزن الرئيسي اليوميه'!$F:$F,$H:$H,'حركه المخزن الرئيسي اليوميه'!$H:$H)</f>
        <v>0.0</v>
      </c>
      <c r="M1938" s="22">
        <f>+SUMIF('حركه المخزن الرئيسي اليوميه'!$F:$F,$H:$H,'حركه المخزن الرئيسي اليوميه'!$I:$I)</f>
        <v>0.0</v>
      </c>
      <c r="N1938" s="22">
        <f>+K1938+L1938-M1938</f>
        <v>0.0</v>
      </c>
      <c r="O1938" s="22">
        <f>+N1938</f>
        <v>0.0</v>
      </c>
      <c r="P1938" s="22">
        <f>+N1938-O1938</f>
        <v>0.0</v>
      </c>
      <c r="Q1938" s="57"/>
      <c r="R1938" s="58"/>
    </row>
    <row r="1939" spans="8:8" ht="15.0" customHeight="1">
      <c r="B1939" s="54">
        <v>2083.0</v>
      </c>
      <c r="C1939" s="8"/>
      <c r="D1939" s="8"/>
      <c r="E1939" s="8"/>
      <c r="F1939" s="8"/>
      <c r="G1939" s="8"/>
      <c r="H1939" s="8"/>
      <c r="I1939" s="55"/>
      <c r="J1939" s="78" t="s">
        <v>5854</v>
      </c>
      <c r="K1939" s="22">
        <v>0.0</v>
      </c>
      <c r="L1939" s="22">
        <f>+SUMIF('حركه المخزن الرئيسي اليوميه'!$F:$F,$H:$H,'حركه المخزن الرئيسي اليوميه'!$H:$H)</f>
        <v>0.0</v>
      </c>
      <c r="M1939" s="22">
        <f>+SUMIF('حركه المخزن الرئيسي اليوميه'!$F:$F,$H:$H,'حركه المخزن الرئيسي اليوميه'!$I:$I)</f>
        <v>0.0</v>
      </c>
      <c r="N1939" s="22">
        <f>+K1939+L1939-M1939</f>
        <v>0.0</v>
      </c>
      <c r="O1939" s="22">
        <f>+N1939</f>
        <v>0.0</v>
      </c>
      <c r="P1939" s="22">
        <f>+N1939-O1939</f>
        <v>0.0</v>
      </c>
      <c r="Q1939" s="57"/>
      <c r="R1939" s="58"/>
    </row>
    <row r="1940" spans="8:8" ht="15.0" customHeight="1">
      <c r="B1940" s="54">
        <v>2084.0</v>
      </c>
      <c r="C1940" s="8"/>
      <c r="D1940" s="8"/>
      <c r="E1940" s="8"/>
      <c r="F1940" s="8"/>
      <c r="G1940" s="8"/>
      <c r="H1940" s="8"/>
      <c r="I1940" s="55"/>
      <c r="J1940" s="78" t="s">
        <v>5855</v>
      </c>
      <c r="K1940" s="22">
        <v>0.0</v>
      </c>
      <c r="L1940" s="22">
        <f>+SUMIF('حركه المخزن الرئيسي اليوميه'!$F:$F,$H:$H,'حركه المخزن الرئيسي اليوميه'!$H:$H)</f>
        <v>0.0</v>
      </c>
      <c r="M1940" s="22">
        <f>+SUMIF('حركه المخزن الرئيسي اليوميه'!$F:$F,$H:$H,'حركه المخزن الرئيسي اليوميه'!$I:$I)</f>
        <v>0.0</v>
      </c>
      <c r="N1940" s="22">
        <f>+K1940+L1940-M1940</f>
        <v>0.0</v>
      </c>
      <c r="O1940" s="22">
        <f>+N1940</f>
        <v>0.0</v>
      </c>
      <c r="P1940" s="22">
        <f>+N1940-O1940</f>
        <v>0.0</v>
      </c>
      <c r="Q1940" s="57"/>
      <c r="R1940" s="58"/>
    </row>
    <row r="1941" spans="8:8" ht="15.0" customHeight="1">
      <c r="B1941" s="54">
        <v>2085.0</v>
      </c>
      <c r="C1941" s="8"/>
      <c r="D1941" s="8"/>
      <c r="E1941" s="8"/>
      <c r="F1941" s="8"/>
      <c r="G1941" s="8"/>
      <c r="H1941" s="8"/>
      <c r="I1941" s="55"/>
      <c r="J1941" s="78" t="s">
        <v>5856</v>
      </c>
      <c r="K1941" s="22">
        <v>0.0</v>
      </c>
      <c r="L1941" s="22">
        <f>+SUMIF('حركه المخزن الرئيسي اليوميه'!$F:$F,$H:$H,'حركه المخزن الرئيسي اليوميه'!$H:$H)</f>
        <v>0.0</v>
      </c>
      <c r="M1941" s="22">
        <f>+SUMIF('حركه المخزن الرئيسي اليوميه'!$F:$F,$H:$H,'حركه المخزن الرئيسي اليوميه'!$I:$I)</f>
        <v>0.0</v>
      </c>
      <c r="N1941" s="22">
        <f>+K1941+L1941-M1941</f>
        <v>0.0</v>
      </c>
      <c r="O1941" s="22">
        <f>+N1941</f>
        <v>0.0</v>
      </c>
      <c r="P1941" s="22">
        <f>+N1941-O1941</f>
        <v>0.0</v>
      </c>
      <c r="Q1941" s="57"/>
      <c r="R1941" s="58"/>
    </row>
    <row r="1942" spans="8:8" ht="15.0" customHeight="1">
      <c r="B1942" s="54">
        <v>2086.0</v>
      </c>
      <c r="C1942" s="8"/>
      <c r="D1942" s="8"/>
      <c r="E1942" s="8"/>
      <c r="F1942" s="8"/>
      <c r="G1942" s="8"/>
      <c r="H1942" s="8"/>
      <c r="I1942" s="55"/>
      <c r="J1942" s="78" t="s">
        <v>5857</v>
      </c>
      <c r="K1942" s="22">
        <v>0.0</v>
      </c>
      <c r="L1942" s="22">
        <f>+SUMIF('حركه المخزن الرئيسي اليوميه'!$F:$F,$H:$H,'حركه المخزن الرئيسي اليوميه'!$H:$H)</f>
        <v>0.0</v>
      </c>
      <c r="M1942" s="22">
        <f>+SUMIF('حركه المخزن الرئيسي اليوميه'!$F:$F,$H:$H,'حركه المخزن الرئيسي اليوميه'!$I:$I)</f>
        <v>0.0</v>
      </c>
      <c r="N1942" s="22">
        <f>+K1942+L1942-M1942</f>
        <v>0.0</v>
      </c>
      <c r="O1942" s="22">
        <f>+N1942</f>
        <v>0.0</v>
      </c>
      <c r="P1942" s="22">
        <f>+N1942-O1942</f>
        <v>0.0</v>
      </c>
      <c r="Q1942" s="57"/>
      <c r="R1942" s="58"/>
    </row>
    <row r="1943" spans="8:8" ht="15.0" customHeight="1">
      <c r="B1943" s="54">
        <v>2087.0</v>
      </c>
      <c r="C1943" s="8"/>
      <c r="D1943" s="8"/>
      <c r="E1943" s="8"/>
      <c r="F1943" s="8"/>
      <c r="G1943" s="8"/>
      <c r="H1943" s="8"/>
      <c r="I1943" s="55"/>
      <c r="J1943" s="78" t="s">
        <v>5858</v>
      </c>
      <c r="K1943" s="22">
        <v>0.0</v>
      </c>
      <c r="L1943" s="22">
        <f>+SUMIF('حركه المخزن الرئيسي اليوميه'!$F:$F,$H:$H,'حركه المخزن الرئيسي اليوميه'!$H:$H)</f>
        <v>0.0</v>
      </c>
      <c r="M1943" s="22">
        <f>+SUMIF('حركه المخزن الرئيسي اليوميه'!$F:$F,$H:$H,'حركه المخزن الرئيسي اليوميه'!$I:$I)</f>
        <v>0.0</v>
      </c>
      <c r="N1943" s="22">
        <f>+K1943+L1943-M1943</f>
        <v>0.0</v>
      </c>
      <c r="O1943" s="22">
        <f>+N1943</f>
        <v>0.0</v>
      </c>
      <c r="P1943" s="22">
        <f>+N1943-O1943</f>
        <v>0.0</v>
      </c>
      <c r="Q1943" s="57"/>
      <c r="R1943" s="58"/>
    </row>
    <row r="1944" spans="8:8" ht="15.0" customHeight="1">
      <c r="B1944" s="54">
        <v>2088.0</v>
      </c>
      <c r="C1944" s="8"/>
      <c r="D1944" s="8"/>
      <c r="E1944" s="8"/>
      <c r="F1944" s="8"/>
      <c r="G1944" s="8"/>
      <c r="H1944" s="8"/>
      <c r="I1944" s="55"/>
      <c r="J1944" s="78" t="s">
        <v>5859</v>
      </c>
      <c r="K1944" s="22">
        <v>0.0</v>
      </c>
      <c r="L1944" s="22">
        <f>+SUMIF('حركه المخزن الرئيسي اليوميه'!$F:$F,$H:$H,'حركه المخزن الرئيسي اليوميه'!$H:$H)</f>
        <v>0.0</v>
      </c>
      <c r="M1944" s="22">
        <f>+SUMIF('حركه المخزن الرئيسي اليوميه'!$F:$F,$H:$H,'حركه المخزن الرئيسي اليوميه'!$I:$I)</f>
        <v>0.0</v>
      </c>
      <c r="N1944" s="22">
        <f>+K1944+L1944-M1944</f>
        <v>0.0</v>
      </c>
      <c r="O1944" s="22">
        <f>+N1944</f>
        <v>0.0</v>
      </c>
      <c r="P1944" s="22">
        <f>+N1944-O1944</f>
        <v>0.0</v>
      </c>
      <c r="Q1944" s="57"/>
      <c r="R1944" s="58"/>
    </row>
    <row r="1945" spans="8:8" ht="15.0" customHeight="1">
      <c r="B1945" s="54">
        <v>2089.0</v>
      </c>
      <c r="C1945" s="8"/>
      <c r="D1945" s="8"/>
      <c r="E1945" s="8"/>
      <c r="F1945" s="8"/>
      <c r="G1945" s="8"/>
      <c r="H1945" s="8"/>
      <c r="I1945" s="55"/>
      <c r="J1945" s="78" t="s">
        <v>5860</v>
      </c>
      <c r="K1945" s="22">
        <v>0.0</v>
      </c>
      <c r="L1945" s="22">
        <f>+SUMIF('حركه المخزن الرئيسي اليوميه'!$F:$F,$H:$H,'حركه المخزن الرئيسي اليوميه'!$H:$H)</f>
        <v>0.0</v>
      </c>
      <c r="M1945" s="22">
        <f>+SUMIF('حركه المخزن الرئيسي اليوميه'!$F:$F,$H:$H,'حركه المخزن الرئيسي اليوميه'!$I:$I)</f>
        <v>0.0</v>
      </c>
      <c r="N1945" s="22">
        <f>+K1945+L1945-M1945</f>
        <v>0.0</v>
      </c>
      <c r="O1945" s="22">
        <f>+N1945</f>
        <v>0.0</v>
      </c>
      <c r="P1945" s="22">
        <f>+N1945-O1945</f>
        <v>0.0</v>
      </c>
      <c r="Q1945" s="57"/>
      <c r="R1945" s="58"/>
    </row>
    <row r="1946" spans="8:8" ht="15.0" customHeight="1">
      <c r="B1946" s="54">
        <v>2090.0</v>
      </c>
      <c r="C1946" s="8"/>
      <c r="D1946" s="8"/>
      <c r="E1946" s="8"/>
      <c r="F1946" s="8"/>
      <c r="G1946" s="8"/>
      <c r="H1946" s="8"/>
      <c r="I1946" s="55"/>
      <c r="J1946" s="78" t="s">
        <v>5861</v>
      </c>
      <c r="K1946" s="22">
        <v>0.0</v>
      </c>
      <c r="L1946" s="22">
        <f>+SUMIF('حركه المخزن الرئيسي اليوميه'!$F:$F,$H:$H,'حركه المخزن الرئيسي اليوميه'!$H:$H)</f>
        <v>0.0</v>
      </c>
      <c r="M1946" s="22">
        <f>+SUMIF('حركه المخزن الرئيسي اليوميه'!$F:$F,$H:$H,'حركه المخزن الرئيسي اليوميه'!$I:$I)</f>
        <v>0.0</v>
      </c>
      <c r="N1946" s="22">
        <f>+K1946+L1946-M1946</f>
        <v>0.0</v>
      </c>
      <c r="O1946" s="22">
        <f>+N1946</f>
        <v>0.0</v>
      </c>
      <c r="P1946" s="22">
        <f>+N1946-O1946</f>
        <v>0.0</v>
      </c>
      <c r="Q1946" s="57"/>
      <c r="R1946" s="58"/>
    </row>
    <row r="1947" spans="8:8" ht="15.0" customHeight="1">
      <c r="B1947" s="54">
        <v>2091.0</v>
      </c>
      <c r="C1947" s="8"/>
      <c r="D1947" s="8"/>
      <c r="E1947" s="8"/>
      <c r="F1947" s="8"/>
      <c r="G1947" s="8"/>
      <c r="H1947" s="8"/>
      <c r="I1947" s="55"/>
      <c r="J1947" s="78" t="s">
        <v>5862</v>
      </c>
      <c r="K1947" s="22">
        <v>0.0</v>
      </c>
      <c r="L1947" s="22">
        <f>+SUMIF('حركه المخزن الرئيسي اليوميه'!$F:$F,$H:$H,'حركه المخزن الرئيسي اليوميه'!$H:$H)</f>
        <v>0.0</v>
      </c>
      <c r="M1947" s="22">
        <f>+SUMIF('حركه المخزن الرئيسي اليوميه'!$F:$F,$H:$H,'حركه المخزن الرئيسي اليوميه'!$I:$I)</f>
        <v>0.0</v>
      </c>
      <c r="N1947" s="22">
        <f>+K1947+L1947-M1947</f>
        <v>0.0</v>
      </c>
      <c r="O1947" s="22">
        <f>+N1947</f>
        <v>0.0</v>
      </c>
      <c r="P1947" s="22">
        <f>+N1947-O1947</f>
        <v>0.0</v>
      </c>
      <c r="Q1947" s="57"/>
      <c r="R1947" s="58"/>
    </row>
    <row r="1948" spans="8:8" ht="15.0" customHeight="1">
      <c r="B1948" s="54">
        <v>2092.0</v>
      </c>
      <c r="C1948" s="8"/>
      <c r="D1948" s="8"/>
      <c r="E1948" s="8"/>
      <c r="F1948" s="8"/>
      <c r="G1948" s="8"/>
      <c r="H1948" s="8"/>
      <c r="I1948" s="55"/>
      <c r="J1948" s="78" t="s">
        <v>5863</v>
      </c>
      <c r="K1948" s="22">
        <v>0.0</v>
      </c>
      <c r="L1948" s="22">
        <f>+SUMIF('حركه المخزن الرئيسي اليوميه'!$F:$F,$H:$H,'حركه المخزن الرئيسي اليوميه'!$H:$H)</f>
        <v>0.0</v>
      </c>
      <c r="M1948" s="22">
        <f>+SUMIF('حركه المخزن الرئيسي اليوميه'!$F:$F,$H:$H,'حركه المخزن الرئيسي اليوميه'!$I:$I)</f>
        <v>0.0</v>
      </c>
      <c r="N1948" s="22">
        <f>+K1948+L1948-M1948</f>
        <v>0.0</v>
      </c>
      <c r="O1948" s="22">
        <f>+N1948</f>
        <v>0.0</v>
      </c>
      <c r="P1948" s="22">
        <f>+N1948-O1948</f>
        <v>0.0</v>
      </c>
      <c r="Q1948" s="57"/>
      <c r="R1948" s="58"/>
    </row>
    <row r="1949" spans="8:8" ht="15.0" customHeight="1">
      <c r="B1949" s="54">
        <v>2093.0</v>
      </c>
      <c r="C1949" s="8"/>
      <c r="D1949" s="8"/>
      <c r="E1949" s="8"/>
      <c r="F1949" s="8"/>
      <c r="G1949" s="8"/>
      <c r="H1949" s="8"/>
      <c r="I1949" s="55"/>
      <c r="J1949" s="78" t="s">
        <v>5864</v>
      </c>
      <c r="K1949" s="22">
        <v>0.0</v>
      </c>
      <c r="L1949" s="22">
        <f>+SUMIF('حركه المخزن الرئيسي اليوميه'!$F:$F,$H:$H,'حركه المخزن الرئيسي اليوميه'!$H:$H)</f>
        <v>0.0</v>
      </c>
      <c r="M1949" s="22">
        <f>+SUMIF('حركه المخزن الرئيسي اليوميه'!$F:$F,$H:$H,'حركه المخزن الرئيسي اليوميه'!$I:$I)</f>
        <v>0.0</v>
      </c>
      <c r="N1949" s="22">
        <f>+K1949+L1949-M1949</f>
        <v>0.0</v>
      </c>
      <c r="O1949" s="22">
        <f>+N1949</f>
        <v>0.0</v>
      </c>
      <c r="P1949" s="22">
        <f>+N1949-O1949</f>
        <v>0.0</v>
      </c>
      <c r="Q1949" s="57"/>
      <c r="R1949" s="58"/>
    </row>
    <row r="1950" spans="8:8" ht="15.0" customHeight="1">
      <c r="B1950" s="54">
        <v>2094.0</v>
      </c>
      <c r="C1950" s="8"/>
      <c r="D1950" s="8"/>
      <c r="E1950" s="8"/>
      <c r="F1950" s="8"/>
      <c r="G1950" s="8"/>
      <c r="H1950" s="8"/>
      <c r="I1950" s="55"/>
      <c r="J1950" s="78" t="s">
        <v>5865</v>
      </c>
      <c r="K1950" s="22">
        <v>0.0</v>
      </c>
      <c r="L1950" s="22">
        <f>+SUMIF('حركه المخزن الرئيسي اليوميه'!$F:$F,$H:$H,'حركه المخزن الرئيسي اليوميه'!$H:$H)</f>
        <v>0.0</v>
      </c>
      <c r="M1950" s="22">
        <f>+SUMIF('حركه المخزن الرئيسي اليوميه'!$F:$F,$H:$H,'حركه المخزن الرئيسي اليوميه'!$I:$I)</f>
        <v>0.0</v>
      </c>
      <c r="N1950" s="22">
        <f>+K1950+L1950-M1950</f>
        <v>0.0</v>
      </c>
      <c r="O1950" s="22">
        <f>+N1950</f>
        <v>0.0</v>
      </c>
      <c r="P1950" s="22">
        <f>+N1950-O1950</f>
        <v>0.0</v>
      </c>
      <c r="Q1950" s="57"/>
      <c r="R1950" s="58"/>
    </row>
    <row r="1951" spans="8:8" ht="15.0" customHeight="1">
      <c r="B1951" s="54">
        <v>2095.0</v>
      </c>
      <c r="C1951" s="8"/>
      <c r="D1951" s="8"/>
      <c r="E1951" s="8"/>
      <c r="F1951" s="8"/>
      <c r="G1951" s="8"/>
      <c r="H1951" s="8"/>
      <c r="I1951" s="55"/>
      <c r="J1951" s="78" t="s">
        <v>5866</v>
      </c>
      <c r="K1951" s="22">
        <v>0.0</v>
      </c>
      <c r="L1951" s="22">
        <f>+SUMIF('حركه المخزن الرئيسي اليوميه'!$F:$F,$H:$H,'حركه المخزن الرئيسي اليوميه'!$H:$H)</f>
        <v>0.0</v>
      </c>
      <c r="M1951" s="22">
        <f>+SUMIF('حركه المخزن الرئيسي اليوميه'!$F:$F,$H:$H,'حركه المخزن الرئيسي اليوميه'!$I:$I)</f>
        <v>0.0</v>
      </c>
      <c r="N1951" s="22">
        <f>+K1951+L1951-M1951</f>
        <v>0.0</v>
      </c>
      <c r="O1951" s="22">
        <f>+N1951</f>
        <v>0.0</v>
      </c>
      <c r="P1951" s="22">
        <f>+N1951-O1951</f>
        <v>0.0</v>
      </c>
      <c r="Q1951" s="57"/>
      <c r="R1951" s="58"/>
    </row>
    <row r="1952" spans="8:8" ht="15.0" customHeight="1">
      <c r="B1952" s="54">
        <v>2096.0</v>
      </c>
      <c r="C1952" s="8"/>
      <c r="D1952" s="8"/>
      <c r="E1952" s="8"/>
      <c r="F1952" s="8"/>
      <c r="G1952" s="8"/>
      <c r="H1952" s="8"/>
      <c r="I1952" s="55"/>
      <c r="J1952" s="78" t="s">
        <v>5867</v>
      </c>
      <c r="K1952" s="22">
        <v>0.0</v>
      </c>
      <c r="L1952" s="22">
        <f>+SUMIF('حركه المخزن الرئيسي اليوميه'!$F:$F,$H:$H,'حركه المخزن الرئيسي اليوميه'!$H:$H)</f>
        <v>0.0</v>
      </c>
      <c r="M1952" s="22">
        <f>+SUMIF('حركه المخزن الرئيسي اليوميه'!$F:$F,$H:$H,'حركه المخزن الرئيسي اليوميه'!$I:$I)</f>
        <v>0.0</v>
      </c>
      <c r="N1952" s="22">
        <f>+K1952+L1952-M1952</f>
        <v>0.0</v>
      </c>
      <c r="O1952" s="22">
        <f>+N1952</f>
        <v>0.0</v>
      </c>
      <c r="P1952" s="22">
        <f>+N1952-O1952</f>
        <v>0.0</v>
      </c>
      <c r="Q1952" s="57"/>
      <c r="R1952" s="58"/>
    </row>
    <row r="1953" spans="8:8" ht="15.0" customHeight="1">
      <c r="B1953" s="54">
        <v>2097.0</v>
      </c>
      <c r="C1953" s="8"/>
      <c r="D1953" s="8"/>
      <c r="E1953" s="8"/>
      <c r="F1953" s="8"/>
      <c r="G1953" s="8"/>
      <c r="H1953" s="8"/>
      <c r="I1953" s="55"/>
      <c r="J1953" s="78" t="s">
        <v>5868</v>
      </c>
      <c r="K1953" s="22">
        <v>0.0</v>
      </c>
      <c r="L1953" s="22">
        <f>+SUMIF('حركه المخزن الرئيسي اليوميه'!$F:$F,$H:$H,'حركه المخزن الرئيسي اليوميه'!$H:$H)</f>
        <v>0.0</v>
      </c>
      <c r="M1953" s="22">
        <f>+SUMIF('حركه المخزن الرئيسي اليوميه'!$F:$F,$H:$H,'حركه المخزن الرئيسي اليوميه'!$I:$I)</f>
        <v>0.0</v>
      </c>
      <c r="N1953" s="22">
        <f>+K1953+L1953-M1953</f>
        <v>0.0</v>
      </c>
      <c r="O1953" s="22">
        <f>+N1953</f>
        <v>0.0</v>
      </c>
      <c r="P1953" s="22">
        <f>+N1953-O1953</f>
        <v>0.0</v>
      </c>
      <c r="Q1953" s="57"/>
      <c r="R1953" s="58"/>
    </row>
    <row r="1954" spans="8:8" ht="15.0" customHeight="1">
      <c r="B1954" s="54">
        <v>2098.0</v>
      </c>
      <c r="C1954" s="8"/>
      <c r="D1954" s="8"/>
      <c r="E1954" s="8"/>
      <c r="F1954" s="8"/>
      <c r="G1954" s="8"/>
      <c r="H1954" s="8"/>
      <c r="I1954" s="55"/>
      <c r="J1954" s="78" t="s">
        <v>5869</v>
      </c>
      <c r="K1954" s="22">
        <v>0.0</v>
      </c>
      <c r="L1954" s="22">
        <f>+SUMIF('حركه المخزن الرئيسي اليوميه'!$F:$F,$H:$H,'حركه المخزن الرئيسي اليوميه'!$H:$H)</f>
        <v>0.0</v>
      </c>
      <c r="M1954" s="22">
        <f>+SUMIF('حركه المخزن الرئيسي اليوميه'!$F:$F,$H:$H,'حركه المخزن الرئيسي اليوميه'!$I:$I)</f>
        <v>0.0</v>
      </c>
      <c r="N1954" s="22">
        <f>+K1954+L1954-M1954</f>
        <v>0.0</v>
      </c>
      <c r="O1954" s="22">
        <f>+N1954</f>
        <v>0.0</v>
      </c>
      <c r="P1954" s="22">
        <f>+N1954-O1954</f>
        <v>0.0</v>
      </c>
      <c r="Q1954" s="57"/>
      <c r="R1954" s="58"/>
    </row>
    <row r="1955" spans="8:8" ht="15.0" customHeight="1">
      <c r="B1955" s="54">
        <v>2099.0</v>
      </c>
      <c r="C1955" s="8"/>
      <c r="D1955" s="8"/>
      <c r="E1955" s="8"/>
      <c r="F1955" s="8"/>
      <c r="G1955" s="8"/>
      <c r="H1955" s="8"/>
      <c r="I1955" s="55"/>
      <c r="J1955" s="78" t="s">
        <v>5870</v>
      </c>
      <c r="K1955" s="22">
        <v>0.0</v>
      </c>
      <c r="L1955" s="22">
        <f>+SUMIF('حركه المخزن الرئيسي اليوميه'!$F:$F,$H:$H,'حركه المخزن الرئيسي اليوميه'!$H:$H)</f>
        <v>0.0</v>
      </c>
      <c r="M1955" s="22">
        <f>+SUMIF('حركه المخزن الرئيسي اليوميه'!$F:$F,$H:$H,'حركه المخزن الرئيسي اليوميه'!$I:$I)</f>
        <v>0.0</v>
      </c>
      <c r="N1955" s="22">
        <f>+K1955+L1955-M1955</f>
        <v>0.0</v>
      </c>
      <c r="O1955" s="22">
        <f>+N1955</f>
        <v>0.0</v>
      </c>
      <c r="P1955" s="22">
        <f>+N1955-O1955</f>
        <v>0.0</v>
      </c>
      <c r="Q1955" s="57"/>
      <c r="R1955" s="58"/>
    </row>
    <row r="1956" spans="8:8" ht="15.0" customHeight="1">
      <c r="B1956" s="54">
        <v>2100.0</v>
      </c>
      <c r="C1956" s="8"/>
      <c r="D1956" s="8"/>
      <c r="E1956" s="8"/>
      <c r="F1956" s="8"/>
      <c r="G1956" s="8"/>
      <c r="H1956" s="8"/>
      <c r="I1956" s="55"/>
      <c r="J1956" s="78" t="s">
        <v>5871</v>
      </c>
      <c r="K1956" s="22">
        <v>0.0</v>
      </c>
      <c r="L1956" s="22">
        <f>+SUMIF('حركه المخزن الرئيسي اليوميه'!$F:$F,$H:$H,'حركه المخزن الرئيسي اليوميه'!$H:$H)</f>
        <v>0.0</v>
      </c>
      <c r="M1956" s="22">
        <f>+SUMIF('حركه المخزن الرئيسي اليوميه'!$F:$F,$H:$H,'حركه المخزن الرئيسي اليوميه'!$I:$I)</f>
        <v>0.0</v>
      </c>
      <c r="N1956" s="22">
        <f>+K1956+L1956-M1956</f>
        <v>0.0</v>
      </c>
      <c r="O1956" s="22">
        <f>+N1956</f>
        <v>0.0</v>
      </c>
      <c r="P1956" s="22">
        <f>+N1956-O1956</f>
        <v>0.0</v>
      </c>
      <c r="Q1956" s="57"/>
      <c r="R1956" s="58"/>
    </row>
    <row r="1957" spans="8:8" ht="15.0" customHeight="1">
      <c r="B1957" s="54">
        <v>2101.0</v>
      </c>
      <c r="C1957" s="8"/>
      <c r="D1957" s="8"/>
      <c r="E1957" s="8"/>
      <c r="F1957" s="8"/>
      <c r="G1957" s="8"/>
      <c r="H1957" s="8"/>
      <c r="I1957" s="55"/>
      <c r="J1957" s="78" t="s">
        <v>5872</v>
      </c>
      <c r="K1957" s="22">
        <v>0.0</v>
      </c>
      <c r="L1957" s="22">
        <f>+SUMIF('حركه المخزن الرئيسي اليوميه'!$F:$F,$H:$H,'حركه المخزن الرئيسي اليوميه'!$H:$H)</f>
        <v>0.0</v>
      </c>
      <c r="M1957" s="22">
        <f>+SUMIF('حركه المخزن الرئيسي اليوميه'!$F:$F,$H:$H,'حركه المخزن الرئيسي اليوميه'!$I:$I)</f>
        <v>0.0</v>
      </c>
      <c r="N1957" s="22">
        <f>+K1957+L1957-M1957</f>
        <v>0.0</v>
      </c>
      <c r="O1957" s="22">
        <f>+N1957</f>
        <v>0.0</v>
      </c>
      <c r="P1957" s="22">
        <f>+N1957-O1957</f>
        <v>0.0</v>
      </c>
      <c r="Q1957" s="57"/>
      <c r="R1957" s="58"/>
    </row>
    <row r="1958" spans="8:8" ht="15.0" customHeight="1">
      <c r="B1958" s="54">
        <v>2102.0</v>
      </c>
      <c r="C1958" s="8"/>
      <c r="D1958" s="8"/>
      <c r="E1958" s="8"/>
      <c r="F1958" s="8"/>
      <c r="G1958" s="8"/>
      <c r="H1958" s="8"/>
      <c r="I1958" s="55"/>
      <c r="J1958" s="78" t="s">
        <v>5873</v>
      </c>
      <c r="K1958" s="22">
        <v>0.0</v>
      </c>
      <c r="L1958" s="22">
        <f>+SUMIF('حركه المخزن الرئيسي اليوميه'!$F:$F,$H:$H,'حركه المخزن الرئيسي اليوميه'!$H:$H)</f>
        <v>0.0</v>
      </c>
      <c r="M1958" s="22">
        <f>+SUMIF('حركه المخزن الرئيسي اليوميه'!$F:$F,$H:$H,'حركه المخزن الرئيسي اليوميه'!$I:$I)</f>
        <v>0.0</v>
      </c>
      <c r="N1958" s="22">
        <f>+K1958+L1958-M1958</f>
        <v>0.0</v>
      </c>
      <c r="O1958" s="22">
        <f>+N1958</f>
        <v>0.0</v>
      </c>
      <c r="P1958" s="22">
        <f>+N1958-O1958</f>
        <v>0.0</v>
      </c>
      <c r="Q1958" s="57"/>
      <c r="R1958" s="58"/>
    </row>
    <row r="1959" spans="8:8" ht="15.0" customHeight="1">
      <c r="B1959" s="54">
        <v>2103.0</v>
      </c>
      <c r="C1959" s="8"/>
      <c r="D1959" s="8"/>
      <c r="E1959" s="8"/>
      <c r="F1959" s="8"/>
      <c r="G1959" s="8"/>
      <c r="H1959" s="8"/>
      <c r="I1959" s="55"/>
      <c r="J1959" s="78" t="s">
        <v>5874</v>
      </c>
      <c r="K1959" s="22">
        <v>0.0</v>
      </c>
      <c r="L1959" s="22">
        <f>+SUMIF('حركه المخزن الرئيسي اليوميه'!$F:$F,$H:$H,'حركه المخزن الرئيسي اليوميه'!$H:$H)</f>
        <v>0.0</v>
      </c>
      <c r="M1959" s="22">
        <f>+SUMIF('حركه المخزن الرئيسي اليوميه'!$F:$F,$H:$H,'حركه المخزن الرئيسي اليوميه'!$I:$I)</f>
        <v>0.0</v>
      </c>
      <c r="N1959" s="22">
        <f>+K1959+L1959-M1959</f>
        <v>0.0</v>
      </c>
      <c r="O1959" s="22">
        <f>+N1959</f>
        <v>0.0</v>
      </c>
      <c r="P1959" s="22">
        <f>+N1959-O1959</f>
        <v>0.0</v>
      </c>
      <c r="Q1959" s="57"/>
      <c r="R1959" s="58"/>
    </row>
    <row r="1960" spans="8:8" ht="15.0" customHeight="1">
      <c r="B1960" s="54">
        <v>2104.0</v>
      </c>
      <c r="C1960" s="8"/>
      <c r="D1960" s="8"/>
      <c r="E1960" s="8"/>
      <c r="F1960" s="8"/>
      <c r="G1960" s="8"/>
      <c r="H1960" s="8"/>
      <c r="I1960" s="55"/>
      <c r="J1960" s="78" t="s">
        <v>5875</v>
      </c>
      <c r="K1960" s="22">
        <v>0.0</v>
      </c>
      <c r="L1960" s="22">
        <f>+SUMIF('حركه المخزن الرئيسي اليوميه'!$F:$F,$H:$H,'حركه المخزن الرئيسي اليوميه'!$H:$H)</f>
        <v>0.0</v>
      </c>
      <c r="M1960" s="22">
        <f>+SUMIF('حركه المخزن الرئيسي اليوميه'!$F:$F,$H:$H,'حركه المخزن الرئيسي اليوميه'!$I:$I)</f>
        <v>0.0</v>
      </c>
      <c r="N1960" s="22">
        <f>+K1960+L1960-M1960</f>
        <v>0.0</v>
      </c>
      <c r="O1960" s="22">
        <f>+N1960</f>
        <v>0.0</v>
      </c>
      <c r="P1960" s="22">
        <f>+N1960-O1960</f>
        <v>0.0</v>
      </c>
      <c r="Q1960" s="57"/>
      <c r="R1960" s="58"/>
    </row>
    <row r="1961" spans="8:8" ht="15.0" customHeight="1">
      <c r="B1961" s="54">
        <v>2105.0</v>
      </c>
      <c r="C1961" s="8"/>
      <c r="D1961" s="8"/>
      <c r="E1961" s="8"/>
      <c r="F1961" s="8"/>
      <c r="G1961" s="8"/>
      <c r="H1961" s="8"/>
      <c r="I1961" s="55"/>
      <c r="J1961" s="78" t="s">
        <v>5876</v>
      </c>
      <c r="K1961" s="22">
        <v>0.0</v>
      </c>
      <c r="L1961" s="22">
        <f>+SUMIF('حركه المخزن الرئيسي اليوميه'!$F:$F,$H:$H,'حركه المخزن الرئيسي اليوميه'!$H:$H)</f>
        <v>0.0</v>
      </c>
      <c r="M1961" s="22">
        <f>+SUMIF('حركه المخزن الرئيسي اليوميه'!$F:$F,$H:$H,'حركه المخزن الرئيسي اليوميه'!$I:$I)</f>
        <v>0.0</v>
      </c>
      <c r="N1961" s="22">
        <f>+K1961+L1961-M1961</f>
        <v>0.0</v>
      </c>
      <c r="O1961" s="22">
        <f>+N1961</f>
        <v>0.0</v>
      </c>
      <c r="P1961" s="22">
        <f>+N1961-O1961</f>
        <v>0.0</v>
      </c>
      <c r="Q1961" s="57"/>
      <c r="R1961" s="58"/>
    </row>
    <row r="1962" spans="8:8" ht="15.0" customHeight="1">
      <c r="B1962" s="54">
        <v>2106.0</v>
      </c>
      <c r="C1962" s="8"/>
      <c r="D1962" s="8"/>
      <c r="E1962" s="8"/>
      <c r="F1962" s="8"/>
      <c r="G1962" s="8"/>
      <c r="H1962" s="8"/>
      <c r="I1962" s="55"/>
      <c r="J1962" s="78" t="s">
        <v>5877</v>
      </c>
      <c r="K1962" s="22">
        <v>0.0</v>
      </c>
      <c r="L1962" s="22">
        <f>+SUMIF('حركه المخزن الرئيسي اليوميه'!$F:$F,$H:$H,'حركه المخزن الرئيسي اليوميه'!$H:$H)</f>
        <v>0.0</v>
      </c>
      <c r="M1962" s="22">
        <f>+SUMIF('حركه المخزن الرئيسي اليوميه'!$F:$F,$H:$H,'حركه المخزن الرئيسي اليوميه'!$I:$I)</f>
        <v>0.0</v>
      </c>
      <c r="N1962" s="22">
        <f>+K1962+L1962-M1962</f>
        <v>0.0</v>
      </c>
      <c r="O1962" s="22">
        <f>+N1962</f>
        <v>0.0</v>
      </c>
      <c r="P1962" s="22">
        <f>+N1962-O1962</f>
        <v>0.0</v>
      </c>
      <c r="Q1962" s="57"/>
      <c r="R1962" s="58"/>
    </row>
    <row r="1963" spans="8:8" ht="15.0" customHeight="1">
      <c r="B1963" s="54">
        <v>2107.0</v>
      </c>
      <c r="C1963" s="8"/>
      <c r="D1963" s="8"/>
      <c r="E1963" s="8"/>
      <c r="F1963" s="8"/>
      <c r="G1963" s="8"/>
      <c r="H1963" s="8"/>
      <c r="I1963" s="55"/>
      <c r="J1963" s="78" t="s">
        <v>5878</v>
      </c>
      <c r="K1963" s="22">
        <v>0.0</v>
      </c>
      <c r="L1963" s="22">
        <f>+SUMIF('حركه المخزن الرئيسي اليوميه'!$F:$F,$H:$H,'حركه المخزن الرئيسي اليوميه'!$H:$H)</f>
        <v>0.0</v>
      </c>
      <c r="M1963" s="22">
        <f>+SUMIF('حركه المخزن الرئيسي اليوميه'!$F:$F,$H:$H,'حركه المخزن الرئيسي اليوميه'!$I:$I)</f>
        <v>0.0</v>
      </c>
      <c r="N1963" s="22">
        <f>+K1963+L1963-M1963</f>
        <v>0.0</v>
      </c>
      <c r="O1963" s="22">
        <f>+N1963</f>
        <v>0.0</v>
      </c>
      <c r="P1963" s="22">
        <f>+N1963-O1963</f>
        <v>0.0</v>
      </c>
      <c r="Q1963" s="57"/>
      <c r="R1963" s="58"/>
    </row>
    <row r="1964" spans="8:8" ht="15.0" customHeight="1">
      <c r="B1964" s="54">
        <v>2108.0</v>
      </c>
      <c r="C1964" s="8"/>
      <c r="D1964" s="8"/>
      <c r="E1964" s="8"/>
      <c r="F1964" s="8"/>
      <c r="G1964" s="8"/>
      <c r="H1964" s="8"/>
      <c r="I1964" s="55"/>
      <c r="J1964" s="78" t="s">
        <v>5879</v>
      </c>
      <c r="K1964" s="22">
        <v>0.0</v>
      </c>
      <c r="L1964" s="22">
        <f>+SUMIF('حركه المخزن الرئيسي اليوميه'!$F:$F,$H:$H,'حركه المخزن الرئيسي اليوميه'!$H:$H)</f>
        <v>0.0</v>
      </c>
      <c r="M1964" s="22">
        <f>+SUMIF('حركه المخزن الرئيسي اليوميه'!$F:$F,$H:$H,'حركه المخزن الرئيسي اليوميه'!$I:$I)</f>
        <v>0.0</v>
      </c>
      <c r="N1964" s="22">
        <f>+K1964+L1964-M1964</f>
        <v>0.0</v>
      </c>
      <c r="O1964" s="22">
        <f>+N1964</f>
        <v>0.0</v>
      </c>
      <c r="P1964" s="22">
        <f>+N1964-O1964</f>
        <v>0.0</v>
      </c>
      <c r="Q1964" s="57"/>
      <c r="R1964" s="58"/>
    </row>
    <row r="1965" spans="8:8" ht="15.0" customHeight="1">
      <c r="B1965" s="54">
        <v>2109.0</v>
      </c>
      <c r="C1965" s="8"/>
      <c r="D1965" s="8"/>
      <c r="E1965" s="8"/>
      <c r="F1965" s="8"/>
      <c r="G1965" s="8"/>
      <c r="H1965" s="8"/>
      <c r="I1965" s="55"/>
      <c r="J1965" s="78" t="s">
        <v>5880</v>
      </c>
      <c r="K1965" s="22">
        <v>0.0</v>
      </c>
      <c r="L1965" s="22">
        <f>+SUMIF('حركه المخزن الرئيسي اليوميه'!$F:$F,$H:$H,'حركه المخزن الرئيسي اليوميه'!$H:$H)</f>
        <v>0.0</v>
      </c>
      <c r="M1965" s="22">
        <f>+SUMIF('حركه المخزن الرئيسي اليوميه'!$F:$F,$H:$H,'حركه المخزن الرئيسي اليوميه'!$I:$I)</f>
        <v>0.0</v>
      </c>
      <c r="N1965" s="22">
        <f>+K1965+L1965-M1965</f>
        <v>0.0</v>
      </c>
      <c r="O1965" s="22">
        <f>+N1965</f>
        <v>0.0</v>
      </c>
      <c r="P1965" s="22">
        <f>+N1965-O1965</f>
        <v>0.0</v>
      </c>
      <c r="Q1965" s="57"/>
      <c r="R1965" s="58"/>
    </row>
    <row r="1966" spans="8:8" ht="15.0" customHeight="1">
      <c r="B1966" s="54">
        <v>2110.0</v>
      </c>
      <c r="C1966" s="8"/>
      <c r="D1966" s="8"/>
      <c r="E1966" s="8"/>
      <c r="F1966" s="8"/>
      <c r="G1966" s="8"/>
      <c r="H1966" s="8"/>
      <c r="I1966" s="55"/>
      <c r="J1966" s="78" t="s">
        <v>5881</v>
      </c>
      <c r="K1966" s="22">
        <v>0.0</v>
      </c>
      <c r="L1966" s="22">
        <f>+SUMIF('حركه المخزن الرئيسي اليوميه'!$F:$F,$H:$H,'حركه المخزن الرئيسي اليوميه'!$H:$H)</f>
        <v>0.0</v>
      </c>
      <c r="M1966" s="22">
        <f>+SUMIF('حركه المخزن الرئيسي اليوميه'!$F:$F,$H:$H,'حركه المخزن الرئيسي اليوميه'!$I:$I)</f>
        <v>0.0</v>
      </c>
      <c r="N1966" s="22">
        <f>+K1966+L1966-M1966</f>
        <v>0.0</v>
      </c>
      <c r="O1966" s="22">
        <f>+N1966</f>
        <v>0.0</v>
      </c>
      <c r="P1966" s="22">
        <f>+N1966-O1966</f>
        <v>0.0</v>
      </c>
      <c r="Q1966" s="57"/>
      <c r="R1966" s="58"/>
    </row>
    <row r="1967" spans="8:8" ht="15.0" customHeight="1">
      <c r="B1967" s="54">
        <v>2111.0</v>
      </c>
      <c r="C1967" s="8"/>
      <c r="D1967" s="8"/>
      <c r="E1967" s="8"/>
      <c r="F1967" s="8"/>
      <c r="G1967" s="8"/>
      <c r="H1967" s="8"/>
      <c r="I1967" s="55"/>
      <c r="J1967" s="78" t="s">
        <v>5882</v>
      </c>
      <c r="K1967" s="22">
        <v>0.0</v>
      </c>
      <c r="L1967" s="22">
        <f>+SUMIF('حركه المخزن الرئيسي اليوميه'!$F:$F,$H:$H,'حركه المخزن الرئيسي اليوميه'!$H:$H)</f>
        <v>0.0</v>
      </c>
      <c r="M1967" s="22">
        <f>+SUMIF('حركه المخزن الرئيسي اليوميه'!$F:$F,$H:$H,'حركه المخزن الرئيسي اليوميه'!$I:$I)</f>
        <v>0.0</v>
      </c>
      <c r="N1967" s="22">
        <f>+K1967+L1967-M1967</f>
        <v>0.0</v>
      </c>
      <c r="O1967" s="22">
        <f>+N1967</f>
        <v>0.0</v>
      </c>
      <c r="P1967" s="22">
        <f>+N1967-O1967</f>
        <v>0.0</v>
      </c>
      <c r="Q1967" s="57"/>
      <c r="R1967" s="58"/>
    </row>
    <row r="1968" spans="8:8" ht="15.0" customHeight="1">
      <c r="B1968" s="54">
        <v>2112.0</v>
      </c>
      <c r="C1968" s="8"/>
      <c r="D1968" s="8"/>
      <c r="E1968" s="8"/>
      <c r="F1968" s="8"/>
      <c r="G1968" s="8"/>
      <c r="H1968" s="8"/>
      <c r="I1968" s="55"/>
      <c r="J1968" s="78" t="s">
        <v>5883</v>
      </c>
      <c r="K1968" s="22">
        <v>0.0</v>
      </c>
      <c r="L1968" s="22">
        <f>+SUMIF('حركه المخزن الرئيسي اليوميه'!$F:$F,$H:$H,'حركه المخزن الرئيسي اليوميه'!$H:$H)</f>
        <v>0.0</v>
      </c>
      <c r="M1968" s="22">
        <f>+SUMIF('حركه المخزن الرئيسي اليوميه'!$F:$F,$H:$H,'حركه المخزن الرئيسي اليوميه'!$I:$I)</f>
        <v>0.0</v>
      </c>
      <c r="N1968" s="22">
        <f>+K1968+L1968-M1968</f>
        <v>0.0</v>
      </c>
      <c r="O1968" s="22">
        <f>+N1968</f>
        <v>0.0</v>
      </c>
      <c r="P1968" s="22">
        <f>+N1968-O1968</f>
        <v>0.0</v>
      </c>
      <c r="Q1968" s="57"/>
      <c r="R1968" s="58"/>
    </row>
    <row r="1969" spans="8:8" ht="15.0" customHeight="1">
      <c r="B1969" s="54">
        <v>2113.0</v>
      </c>
      <c r="C1969" s="8"/>
      <c r="D1969" s="8"/>
      <c r="E1969" s="8"/>
      <c r="F1969" s="8"/>
      <c r="G1969" s="8"/>
      <c r="H1969" s="8"/>
      <c r="I1969" s="55"/>
      <c r="J1969" s="78" t="s">
        <v>5884</v>
      </c>
      <c r="K1969" s="22">
        <v>0.0</v>
      </c>
      <c r="L1969" s="22">
        <f>+SUMIF('حركه المخزن الرئيسي اليوميه'!$F:$F,$H:$H,'حركه المخزن الرئيسي اليوميه'!$H:$H)</f>
        <v>0.0</v>
      </c>
      <c r="M1969" s="22">
        <f>+SUMIF('حركه المخزن الرئيسي اليوميه'!$F:$F,$H:$H,'حركه المخزن الرئيسي اليوميه'!$I:$I)</f>
        <v>0.0</v>
      </c>
      <c r="N1969" s="22">
        <f>+K1969+L1969-M1969</f>
        <v>0.0</v>
      </c>
      <c r="O1969" s="22">
        <f>+N1969</f>
        <v>0.0</v>
      </c>
      <c r="P1969" s="22">
        <f>+N1969-O1969</f>
        <v>0.0</v>
      </c>
      <c r="Q1969" s="57"/>
      <c r="R1969" s="58"/>
    </row>
    <row r="1970" spans="8:8" ht="15.0" customHeight="1">
      <c r="B1970" s="54">
        <v>2114.0</v>
      </c>
      <c r="C1970" s="8"/>
      <c r="D1970" s="8"/>
      <c r="E1970" s="8"/>
      <c r="F1970" s="8"/>
      <c r="G1970" s="8"/>
      <c r="H1970" s="8"/>
      <c r="I1970" s="55"/>
      <c r="J1970" s="78" t="s">
        <v>5885</v>
      </c>
      <c r="K1970" s="22">
        <v>0.0</v>
      </c>
      <c r="L1970" s="22">
        <f>+SUMIF('حركه المخزن الرئيسي اليوميه'!$F:$F,$H:$H,'حركه المخزن الرئيسي اليوميه'!$H:$H)</f>
        <v>0.0</v>
      </c>
      <c r="M1970" s="22">
        <f>+SUMIF('حركه المخزن الرئيسي اليوميه'!$F:$F,$H:$H,'حركه المخزن الرئيسي اليوميه'!$I:$I)</f>
        <v>0.0</v>
      </c>
      <c r="N1970" s="22">
        <f>+K1970+L1970-M1970</f>
        <v>0.0</v>
      </c>
      <c r="O1970" s="22">
        <f>+N1970</f>
        <v>0.0</v>
      </c>
      <c r="P1970" s="22">
        <f>+N1970-O1970</f>
        <v>0.0</v>
      </c>
      <c r="Q1970" s="57"/>
      <c r="R1970" s="58"/>
    </row>
    <row r="1971" spans="8:8" ht="15.0" customHeight="1">
      <c r="B1971" s="54">
        <v>2115.0</v>
      </c>
      <c r="C1971" s="8"/>
      <c r="D1971" s="8"/>
      <c r="E1971" s="8"/>
      <c r="F1971" s="8"/>
      <c r="G1971" s="8"/>
      <c r="H1971" s="8"/>
      <c r="I1971" s="55"/>
      <c r="J1971" s="78" t="s">
        <v>5886</v>
      </c>
      <c r="K1971" s="22">
        <v>0.0</v>
      </c>
      <c r="L1971" s="22">
        <f>+SUMIF('حركه المخزن الرئيسي اليوميه'!$F:$F,$H:$H,'حركه المخزن الرئيسي اليوميه'!$H:$H)</f>
        <v>0.0</v>
      </c>
      <c r="M1971" s="22">
        <f>+SUMIF('حركه المخزن الرئيسي اليوميه'!$F:$F,$H:$H,'حركه المخزن الرئيسي اليوميه'!$I:$I)</f>
        <v>0.0</v>
      </c>
      <c r="N1971" s="22">
        <f>+K1971+L1971-M1971</f>
        <v>0.0</v>
      </c>
      <c r="O1971" s="22">
        <f>+N1971</f>
        <v>0.0</v>
      </c>
      <c r="P1971" s="22">
        <f>+N1971-O1971</f>
        <v>0.0</v>
      </c>
      <c r="Q1971" s="57"/>
      <c r="R1971" s="58"/>
    </row>
    <row r="1972" spans="8:8" ht="15.0" customHeight="1">
      <c r="B1972" s="54">
        <v>2116.0</v>
      </c>
      <c r="C1972" s="8"/>
      <c r="D1972" s="8"/>
      <c r="E1972" s="8"/>
      <c r="F1972" s="8"/>
      <c r="G1972" s="8"/>
      <c r="H1972" s="8"/>
      <c r="I1972" s="55"/>
      <c r="J1972" s="78" t="s">
        <v>5887</v>
      </c>
      <c r="K1972" s="22">
        <v>0.0</v>
      </c>
      <c r="L1972" s="22">
        <f>+SUMIF('حركه المخزن الرئيسي اليوميه'!$F:$F,$H:$H,'حركه المخزن الرئيسي اليوميه'!$H:$H)</f>
        <v>0.0</v>
      </c>
      <c r="M1972" s="22">
        <f>+SUMIF('حركه المخزن الرئيسي اليوميه'!$F:$F,$H:$H,'حركه المخزن الرئيسي اليوميه'!$I:$I)</f>
        <v>0.0</v>
      </c>
      <c r="N1972" s="22">
        <f>+K1972+L1972-M1972</f>
        <v>0.0</v>
      </c>
      <c r="O1972" s="22">
        <f>+N1972</f>
        <v>0.0</v>
      </c>
      <c r="P1972" s="22">
        <f>+N1972-O1972</f>
        <v>0.0</v>
      </c>
      <c r="Q1972" s="57"/>
      <c r="R1972" s="58"/>
    </row>
    <row r="1973" spans="8:8" ht="15.0" customHeight="1">
      <c r="B1973" s="54">
        <v>2117.0</v>
      </c>
      <c r="C1973" s="8"/>
      <c r="D1973" s="8"/>
      <c r="E1973" s="8"/>
      <c r="F1973" s="8"/>
      <c r="G1973" s="8"/>
      <c r="H1973" s="8"/>
      <c r="I1973" s="55"/>
      <c r="J1973" s="78" t="s">
        <v>5888</v>
      </c>
      <c r="K1973" s="22">
        <v>0.0</v>
      </c>
      <c r="L1973" s="22">
        <f>+SUMIF('حركه المخزن الرئيسي اليوميه'!$F:$F,$H:$H,'حركه المخزن الرئيسي اليوميه'!$H:$H)</f>
        <v>0.0</v>
      </c>
      <c r="M1973" s="22">
        <f>+SUMIF('حركه المخزن الرئيسي اليوميه'!$F:$F,$H:$H,'حركه المخزن الرئيسي اليوميه'!$I:$I)</f>
        <v>0.0</v>
      </c>
      <c r="N1973" s="22">
        <f>+K1973+L1973-M1973</f>
        <v>0.0</v>
      </c>
      <c r="O1973" s="22">
        <f>+N1973</f>
        <v>0.0</v>
      </c>
      <c r="P1973" s="22">
        <f>+N1973-O1973</f>
        <v>0.0</v>
      </c>
      <c r="Q1973" s="57"/>
      <c r="R1973" s="58"/>
    </row>
    <row r="1974" spans="8:8" ht="15.0" customHeight="1">
      <c r="B1974" s="54">
        <v>2118.0</v>
      </c>
      <c r="C1974" s="8"/>
      <c r="D1974" s="8"/>
      <c r="E1974" s="8"/>
      <c r="F1974" s="8"/>
      <c r="G1974" s="8"/>
      <c r="H1974" s="8"/>
      <c r="I1974" s="55"/>
      <c r="J1974" s="78" t="s">
        <v>5889</v>
      </c>
      <c r="K1974" s="22">
        <v>0.0</v>
      </c>
      <c r="L1974" s="22">
        <f>+SUMIF('حركه المخزن الرئيسي اليوميه'!$F:$F,$H:$H,'حركه المخزن الرئيسي اليوميه'!$H:$H)</f>
        <v>0.0</v>
      </c>
      <c r="M1974" s="22">
        <f>+SUMIF('حركه المخزن الرئيسي اليوميه'!$F:$F,$H:$H,'حركه المخزن الرئيسي اليوميه'!$I:$I)</f>
        <v>0.0</v>
      </c>
      <c r="N1974" s="22">
        <f>+K1974+L1974-M1974</f>
        <v>0.0</v>
      </c>
      <c r="O1974" s="22">
        <f>+N1974</f>
        <v>0.0</v>
      </c>
      <c r="P1974" s="22">
        <f>+N1974-O1974</f>
        <v>0.0</v>
      </c>
      <c r="Q1974" s="57"/>
      <c r="R1974" s="58"/>
    </row>
    <row r="1975" spans="8:8" ht="15.0" customHeight="1">
      <c r="B1975" s="54">
        <v>2119.0</v>
      </c>
      <c r="C1975" s="8"/>
      <c r="D1975" s="8"/>
      <c r="E1975" s="8"/>
      <c r="F1975" s="8"/>
      <c r="G1975" s="8"/>
      <c r="H1975" s="8"/>
      <c r="I1975" s="55"/>
      <c r="J1975" s="78" t="s">
        <v>5890</v>
      </c>
      <c r="K1975" s="22">
        <v>0.0</v>
      </c>
      <c r="L1975" s="22">
        <f>+SUMIF('حركه المخزن الرئيسي اليوميه'!$F:$F,$H:$H,'حركه المخزن الرئيسي اليوميه'!$H:$H)</f>
        <v>0.0</v>
      </c>
      <c r="M1975" s="22">
        <f>+SUMIF('حركه المخزن الرئيسي اليوميه'!$F:$F,$H:$H,'حركه المخزن الرئيسي اليوميه'!$I:$I)</f>
        <v>0.0</v>
      </c>
      <c r="N1975" s="22">
        <f>+K1975+L1975-M1975</f>
        <v>0.0</v>
      </c>
      <c r="O1975" s="22">
        <f>+N1975</f>
        <v>0.0</v>
      </c>
      <c r="P1975" s="22">
        <f>+N1975-O1975</f>
        <v>0.0</v>
      </c>
      <c r="Q1975" s="57"/>
      <c r="R1975" s="58"/>
    </row>
    <row r="1976" spans="8:8" ht="15.0" customHeight="1">
      <c r="B1976" s="54">
        <v>2120.0</v>
      </c>
      <c r="C1976" s="8"/>
      <c r="D1976" s="8"/>
      <c r="E1976" s="8"/>
      <c r="F1976" s="8"/>
      <c r="G1976" s="8"/>
      <c r="H1976" s="8"/>
      <c r="I1976" s="55"/>
      <c r="J1976" s="78" t="s">
        <v>5891</v>
      </c>
      <c r="K1976" s="22">
        <v>0.0</v>
      </c>
      <c r="L1976" s="22">
        <f>+SUMIF('حركه المخزن الرئيسي اليوميه'!$F:$F,$H:$H,'حركه المخزن الرئيسي اليوميه'!$H:$H)</f>
        <v>0.0</v>
      </c>
      <c r="M1976" s="22">
        <f>+SUMIF('حركه المخزن الرئيسي اليوميه'!$F:$F,$H:$H,'حركه المخزن الرئيسي اليوميه'!$I:$I)</f>
        <v>0.0</v>
      </c>
      <c r="N1976" s="22">
        <f>+K1976+L1976-M1976</f>
        <v>0.0</v>
      </c>
      <c r="O1976" s="22">
        <f>+N1976</f>
        <v>0.0</v>
      </c>
      <c r="P1976" s="22">
        <f>+N1976-O1976</f>
        <v>0.0</v>
      </c>
      <c r="Q1976" s="57"/>
      <c r="R1976" s="58"/>
    </row>
    <row r="1977" spans="8:8" ht="15.0" customHeight="1">
      <c r="B1977" s="54">
        <v>2121.0</v>
      </c>
      <c r="C1977" s="8"/>
      <c r="D1977" s="8"/>
      <c r="E1977" s="8"/>
      <c r="F1977" s="8"/>
      <c r="G1977" s="8"/>
      <c r="H1977" s="8"/>
      <c r="I1977" s="55"/>
      <c r="J1977" s="78" t="s">
        <v>5892</v>
      </c>
      <c r="K1977" s="22">
        <v>0.0</v>
      </c>
      <c r="L1977" s="22">
        <f>+SUMIF('حركه المخزن الرئيسي اليوميه'!$F:$F,$H:$H,'حركه المخزن الرئيسي اليوميه'!$H:$H)</f>
        <v>0.0</v>
      </c>
      <c r="M1977" s="22">
        <f>+SUMIF('حركه المخزن الرئيسي اليوميه'!$F:$F,$H:$H,'حركه المخزن الرئيسي اليوميه'!$I:$I)</f>
        <v>0.0</v>
      </c>
      <c r="N1977" s="22">
        <f>+K1977+L1977-M1977</f>
        <v>0.0</v>
      </c>
      <c r="O1977" s="22">
        <f>+N1977</f>
        <v>0.0</v>
      </c>
      <c r="P1977" s="22">
        <f>+N1977-O1977</f>
        <v>0.0</v>
      </c>
      <c r="Q1977" s="57"/>
      <c r="R1977" s="58"/>
    </row>
    <row r="1978" spans="8:8" ht="15.0" customHeight="1">
      <c r="B1978" s="54">
        <v>2122.0</v>
      </c>
      <c r="C1978" s="8"/>
      <c r="D1978" s="8"/>
      <c r="E1978" s="8"/>
      <c r="F1978" s="8"/>
      <c r="G1978" s="8"/>
      <c r="H1978" s="8"/>
      <c r="I1978" s="55"/>
      <c r="J1978" s="78" t="s">
        <v>5893</v>
      </c>
      <c r="K1978" s="22">
        <v>0.0</v>
      </c>
      <c r="L1978" s="22">
        <f>+SUMIF('حركه المخزن الرئيسي اليوميه'!$F:$F,$H:$H,'حركه المخزن الرئيسي اليوميه'!$H:$H)</f>
        <v>0.0</v>
      </c>
      <c r="M1978" s="22">
        <f>+SUMIF('حركه المخزن الرئيسي اليوميه'!$F:$F,$H:$H,'حركه المخزن الرئيسي اليوميه'!$I:$I)</f>
        <v>0.0</v>
      </c>
      <c r="N1978" s="22">
        <f>+K1978+L1978-M1978</f>
        <v>0.0</v>
      </c>
      <c r="O1978" s="22">
        <f>+N1978</f>
        <v>0.0</v>
      </c>
      <c r="P1978" s="22">
        <f>+N1978-O1978</f>
        <v>0.0</v>
      </c>
      <c r="Q1978" s="57"/>
      <c r="R1978" s="58"/>
    </row>
    <row r="1979" spans="8:8" ht="15.0" customHeight="1">
      <c r="B1979" s="54">
        <v>2123.0</v>
      </c>
      <c r="C1979" s="8"/>
      <c r="D1979" s="8"/>
      <c r="E1979" s="8"/>
      <c r="F1979" s="8"/>
      <c r="G1979" s="8"/>
      <c r="H1979" s="8"/>
      <c r="I1979" s="55"/>
      <c r="J1979" s="78" t="s">
        <v>5894</v>
      </c>
      <c r="K1979" s="22">
        <v>0.0</v>
      </c>
      <c r="L1979" s="22">
        <f>+SUMIF('حركه المخزن الرئيسي اليوميه'!$F:$F,$H:$H,'حركه المخزن الرئيسي اليوميه'!$H:$H)</f>
        <v>0.0</v>
      </c>
      <c r="M1979" s="22">
        <f>+SUMIF('حركه المخزن الرئيسي اليوميه'!$F:$F,$H:$H,'حركه المخزن الرئيسي اليوميه'!$I:$I)</f>
        <v>0.0</v>
      </c>
      <c r="N1979" s="22">
        <f>+K1979+L1979-M1979</f>
        <v>0.0</v>
      </c>
      <c r="O1979" s="22">
        <f>+N1979</f>
        <v>0.0</v>
      </c>
      <c r="P1979" s="22">
        <f>+N1979-O1979</f>
        <v>0.0</v>
      </c>
      <c r="Q1979" s="57"/>
      <c r="R1979" s="58"/>
    </row>
    <row r="1980" spans="8:8" ht="15.0" customHeight="1">
      <c r="B1980" s="54">
        <v>2124.0</v>
      </c>
      <c r="C1980" s="8"/>
      <c r="D1980" s="8"/>
      <c r="E1980" s="8"/>
      <c r="F1980" s="8"/>
      <c r="G1980" s="8"/>
      <c r="H1980" s="8"/>
      <c r="I1980" s="55"/>
      <c r="J1980" s="78" t="s">
        <v>5895</v>
      </c>
      <c r="K1980" s="22">
        <v>0.0</v>
      </c>
      <c r="L1980" s="22">
        <f>+SUMIF('حركه المخزن الرئيسي اليوميه'!$F:$F,$H:$H,'حركه المخزن الرئيسي اليوميه'!$H:$H)</f>
        <v>0.0</v>
      </c>
      <c r="M1980" s="22">
        <f>+SUMIF('حركه المخزن الرئيسي اليوميه'!$F:$F,$H:$H,'حركه المخزن الرئيسي اليوميه'!$I:$I)</f>
        <v>0.0</v>
      </c>
      <c r="N1980" s="22">
        <f>+K1980+L1980-M1980</f>
        <v>0.0</v>
      </c>
      <c r="O1980" s="22">
        <f>+N1980</f>
        <v>0.0</v>
      </c>
      <c r="P1980" s="22">
        <f>+N1980-O1980</f>
        <v>0.0</v>
      </c>
      <c r="Q1980" s="57"/>
      <c r="R1980" s="58"/>
    </row>
    <row r="1981" spans="8:8" ht="15.0" customHeight="1">
      <c r="B1981" s="54">
        <v>2125.0</v>
      </c>
      <c r="C1981" s="8"/>
      <c r="D1981" s="8"/>
      <c r="E1981" s="8"/>
      <c r="F1981" s="8"/>
      <c r="G1981" s="8"/>
      <c r="H1981" s="8"/>
      <c r="I1981" s="55"/>
      <c r="J1981" s="78" t="s">
        <v>5896</v>
      </c>
      <c r="K1981" s="22">
        <v>0.0</v>
      </c>
      <c r="L1981" s="22">
        <f>+SUMIF('حركه المخزن الرئيسي اليوميه'!$F:$F,$H:$H,'حركه المخزن الرئيسي اليوميه'!$H:$H)</f>
        <v>0.0</v>
      </c>
      <c r="M1981" s="22">
        <f>+SUMIF('حركه المخزن الرئيسي اليوميه'!$F:$F,$H:$H,'حركه المخزن الرئيسي اليوميه'!$I:$I)</f>
        <v>0.0</v>
      </c>
      <c r="N1981" s="22">
        <f>+K1981+L1981-M1981</f>
        <v>0.0</v>
      </c>
      <c r="O1981" s="22">
        <f>+N1981</f>
        <v>0.0</v>
      </c>
      <c r="P1981" s="22">
        <f>+N1981-O1981</f>
        <v>0.0</v>
      </c>
      <c r="Q1981" s="57"/>
      <c r="R1981" s="58"/>
    </row>
    <row r="1982" spans="8:8" ht="15.0" customHeight="1">
      <c r="B1982" s="54">
        <v>2126.0</v>
      </c>
      <c r="C1982" s="8"/>
      <c r="D1982" s="8"/>
      <c r="E1982" s="8"/>
      <c r="F1982" s="8"/>
      <c r="G1982" s="8"/>
      <c r="H1982" s="8"/>
      <c r="I1982" s="55"/>
      <c r="J1982" s="78" t="s">
        <v>5897</v>
      </c>
      <c r="K1982" s="22">
        <v>0.0</v>
      </c>
      <c r="L1982" s="22">
        <f>+SUMIF('حركه المخزن الرئيسي اليوميه'!$F:$F,$H:$H,'حركه المخزن الرئيسي اليوميه'!$H:$H)</f>
        <v>0.0</v>
      </c>
      <c r="M1982" s="22">
        <f>+SUMIF('حركه المخزن الرئيسي اليوميه'!$F:$F,$H:$H,'حركه المخزن الرئيسي اليوميه'!$I:$I)</f>
        <v>0.0</v>
      </c>
      <c r="N1982" s="22">
        <f>+K1982+L1982-M1982</f>
        <v>0.0</v>
      </c>
      <c r="O1982" s="22">
        <f>+N1982</f>
        <v>0.0</v>
      </c>
      <c r="P1982" s="22">
        <f>+N1982-O1982</f>
        <v>0.0</v>
      </c>
      <c r="Q1982" s="57"/>
      <c r="R1982" s="58"/>
    </row>
    <row r="1983" spans="8:8" ht="15.0" customHeight="1">
      <c r="B1983" s="54">
        <v>2127.0</v>
      </c>
      <c r="C1983" s="8"/>
      <c r="D1983" s="8"/>
      <c r="E1983" s="8"/>
      <c r="F1983" s="8"/>
      <c r="G1983" s="8"/>
      <c r="H1983" s="8"/>
      <c r="I1983" s="55"/>
      <c r="J1983" s="78" t="s">
        <v>5898</v>
      </c>
      <c r="K1983" s="22">
        <v>0.0</v>
      </c>
      <c r="L1983" s="22">
        <f>+SUMIF('حركه المخزن الرئيسي اليوميه'!$F:$F,$H:$H,'حركه المخزن الرئيسي اليوميه'!$H:$H)</f>
        <v>0.0</v>
      </c>
      <c r="M1983" s="22">
        <f>+SUMIF('حركه المخزن الرئيسي اليوميه'!$F:$F,$H:$H,'حركه المخزن الرئيسي اليوميه'!$I:$I)</f>
        <v>0.0</v>
      </c>
      <c r="N1983" s="22">
        <f>+K1983+L1983-M1983</f>
        <v>0.0</v>
      </c>
      <c r="O1983" s="22">
        <f>+N1983</f>
        <v>0.0</v>
      </c>
      <c r="P1983" s="22">
        <f>+N1983-O1983</f>
        <v>0.0</v>
      </c>
      <c r="Q1983" s="57"/>
      <c r="R1983" s="58"/>
    </row>
    <row r="1984" spans="8:8" ht="15.0" customHeight="1">
      <c r="B1984" s="54">
        <v>2128.0</v>
      </c>
      <c r="C1984" s="8"/>
      <c r="D1984" s="8"/>
      <c r="E1984" s="8"/>
      <c r="F1984" s="8"/>
      <c r="G1984" s="8"/>
      <c r="H1984" s="8"/>
      <c r="I1984" s="55"/>
      <c r="J1984" s="78" t="s">
        <v>5899</v>
      </c>
      <c r="K1984" s="22">
        <v>0.0</v>
      </c>
      <c r="L1984" s="22">
        <f>+SUMIF('حركه المخزن الرئيسي اليوميه'!$F:$F,$H:$H,'حركه المخزن الرئيسي اليوميه'!$H:$H)</f>
        <v>0.0</v>
      </c>
      <c r="M1984" s="22">
        <f>+SUMIF('حركه المخزن الرئيسي اليوميه'!$F:$F,$H:$H,'حركه المخزن الرئيسي اليوميه'!$I:$I)</f>
        <v>0.0</v>
      </c>
      <c r="N1984" s="22">
        <f>+K1984+L1984-M1984</f>
        <v>0.0</v>
      </c>
      <c r="O1984" s="22">
        <f>+N1984</f>
        <v>0.0</v>
      </c>
      <c r="P1984" s="22">
        <f>+N1984-O1984</f>
        <v>0.0</v>
      </c>
      <c r="Q1984" s="57"/>
      <c r="R1984" s="58"/>
    </row>
    <row r="1985" spans="8:8" ht="15.0" customHeight="1">
      <c r="B1985" s="54">
        <v>2129.0</v>
      </c>
      <c r="C1985" s="8"/>
      <c r="D1985" s="8"/>
      <c r="E1985" s="8"/>
      <c r="F1985" s="8"/>
      <c r="G1985" s="8"/>
      <c r="H1985" s="8"/>
      <c r="I1985" s="55"/>
      <c r="J1985" s="78" t="s">
        <v>5900</v>
      </c>
      <c r="K1985" s="22">
        <v>0.0</v>
      </c>
      <c r="L1985" s="22">
        <f>+SUMIF('حركه المخزن الرئيسي اليوميه'!$F:$F,$H:$H,'حركه المخزن الرئيسي اليوميه'!$H:$H)</f>
        <v>0.0</v>
      </c>
      <c r="M1985" s="22">
        <f>+SUMIF('حركه المخزن الرئيسي اليوميه'!$F:$F,$H:$H,'حركه المخزن الرئيسي اليوميه'!$I:$I)</f>
        <v>0.0</v>
      </c>
      <c r="N1985" s="22">
        <f>+K1985+L1985-M1985</f>
        <v>0.0</v>
      </c>
      <c r="O1985" s="22">
        <f>+N1985</f>
        <v>0.0</v>
      </c>
      <c r="P1985" s="22">
        <f>+N1985-O1985</f>
        <v>0.0</v>
      </c>
      <c r="Q1985" s="57"/>
      <c r="R1985" s="58"/>
    </row>
    <row r="1986" spans="8:8" ht="15.0" customHeight="1">
      <c r="B1986" s="54">
        <v>2130.0</v>
      </c>
      <c r="C1986" s="8"/>
      <c r="D1986" s="8"/>
      <c r="E1986" s="8"/>
      <c r="F1986" s="8"/>
      <c r="G1986" s="8"/>
      <c r="H1986" s="8"/>
      <c r="I1986" s="55"/>
      <c r="J1986" s="78" t="s">
        <v>5901</v>
      </c>
      <c r="K1986" s="22">
        <v>0.0</v>
      </c>
      <c r="L1986" s="22">
        <f>+SUMIF('حركه المخزن الرئيسي اليوميه'!$F:$F,$H:$H,'حركه المخزن الرئيسي اليوميه'!$H:$H)</f>
        <v>0.0</v>
      </c>
      <c r="M1986" s="22">
        <f>+SUMIF('حركه المخزن الرئيسي اليوميه'!$F:$F,$H:$H,'حركه المخزن الرئيسي اليوميه'!$I:$I)</f>
        <v>0.0</v>
      </c>
      <c r="N1986" s="22">
        <f>+K1986+L1986-M1986</f>
        <v>0.0</v>
      </c>
      <c r="O1986" s="22">
        <f>+N1986</f>
        <v>0.0</v>
      </c>
      <c r="P1986" s="22">
        <f>+N1986-O1986</f>
        <v>0.0</v>
      </c>
      <c r="Q1986" s="57"/>
      <c r="R1986" s="58"/>
    </row>
    <row r="1987" spans="8:8" ht="15.0" customHeight="1">
      <c r="B1987" s="54">
        <v>2131.0</v>
      </c>
      <c r="C1987" s="8"/>
      <c r="D1987" s="8"/>
      <c r="E1987" s="8"/>
      <c r="F1987" s="8"/>
      <c r="G1987" s="8"/>
      <c r="H1987" s="8"/>
      <c r="I1987" s="55"/>
      <c r="J1987" s="78" t="s">
        <v>5902</v>
      </c>
      <c r="K1987" s="22">
        <v>0.0</v>
      </c>
      <c r="L1987" s="22">
        <f>+SUMIF('حركه المخزن الرئيسي اليوميه'!$F:$F,$H:$H,'حركه المخزن الرئيسي اليوميه'!$H:$H)</f>
        <v>0.0</v>
      </c>
      <c r="M1987" s="22">
        <f>+SUMIF('حركه المخزن الرئيسي اليوميه'!$F:$F,$H:$H,'حركه المخزن الرئيسي اليوميه'!$I:$I)</f>
        <v>0.0</v>
      </c>
      <c r="N1987" s="22">
        <f>+K1987+L1987-M1987</f>
        <v>0.0</v>
      </c>
      <c r="O1987" s="22">
        <f>+N1987</f>
        <v>0.0</v>
      </c>
      <c r="P1987" s="22">
        <f>+N1987-O1987</f>
        <v>0.0</v>
      </c>
      <c r="Q1987" s="57"/>
      <c r="R1987" s="58"/>
    </row>
    <row r="1988" spans="8:8" ht="15.0" customHeight="1">
      <c r="B1988" s="54">
        <v>2132.0</v>
      </c>
      <c r="C1988" s="8"/>
      <c r="D1988" s="8"/>
      <c r="E1988" s="8"/>
      <c r="F1988" s="8"/>
      <c r="G1988" s="8"/>
      <c r="H1988" s="8"/>
      <c r="I1988" s="55"/>
      <c r="J1988" s="78" t="s">
        <v>5903</v>
      </c>
      <c r="K1988" s="22">
        <v>0.0</v>
      </c>
      <c r="L1988" s="22">
        <f>+SUMIF('حركه المخزن الرئيسي اليوميه'!$F:$F,$H:$H,'حركه المخزن الرئيسي اليوميه'!$H:$H)</f>
        <v>0.0</v>
      </c>
      <c r="M1988" s="22">
        <f>+SUMIF('حركه المخزن الرئيسي اليوميه'!$F:$F,$H:$H,'حركه المخزن الرئيسي اليوميه'!$I:$I)</f>
        <v>0.0</v>
      </c>
      <c r="N1988" s="22">
        <f>+K1988+L1988-M1988</f>
        <v>0.0</v>
      </c>
      <c r="O1988" s="22">
        <f>+N1988</f>
        <v>0.0</v>
      </c>
      <c r="P1988" s="22">
        <f>+N1988-O1988</f>
        <v>0.0</v>
      </c>
      <c r="Q1988" s="57"/>
      <c r="R1988" s="58"/>
    </row>
    <row r="1989" spans="8:8" ht="15.0" customHeight="1">
      <c r="B1989" s="54">
        <v>2133.0</v>
      </c>
      <c r="C1989" s="8"/>
      <c r="D1989" s="8"/>
      <c r="E1989" s="8"/>
      <c r="F1989" s="8"/>
      <c r="G1989" s="8"/>
      <c r="H1989" s="8"/>
      <c r="I1989" s="55"/>
      <c r="J1989" s="78" t="s">
        <v>5904</v>
      </c>
      <c r="K1989" s="22">
        <v>0.0</v>
      </c>
      <c r="L1989" s="22">
        <f>+SUMIF('حركه المخزن الرئيسي اليوميه'!$F:$F,$H:$H,'حركه المخزن الرئيسي اليوميه'!$H:$H)</f>
        <v>0.0</v>
      </c>
      <c r="M1989" s="22">
        <f>+SUMIF('حركه المخزن الرئيسي اليوميه'!$F:$F,$H:$H,'حركه المخزن الرئيسي اليوميه'!$I:$I)</f>
        <v>0.0</v>
      </c>
      <c r="N1989" s="22">
        <f>+K1989+L1989-M1989</f>
        <v>0.0</v>
      </c>
      <c r="O1989" s="22">
        <f>+N1989</f>
        <v>0.0</v>
      </c>
      <c r="P1989" s="22">
        <f>+N1989-O1989</f>
        <v>0.0</v>
      </c>
      <c r="Q1989" s="57"/>
      <c r="R1989" s="58"/>
    </row>
    <row r="1990" spans="8:8" ht="15.0" customHeight="1">
      <c r="B1990" s="54">
        <v>2134.0</v>
      </c>
      <c r="C1990" s="8"/>
      <c r="D1990" s="8"/>
      <c r="E1990" s="8"/>
      <c r="F1990" s="8"/>
      <c r="G1990" s="8"/>
      <c r="H1990" s="8"/>
      <c r="I1990" s="55"/>
      <c r="J1990" s="78" t="s">
        <v>5905</v>
      </c>
      <c r="K1990" s="22">
        <v>0.0</v>
      </c>
      <c r="L1990" s="22">
        <f>+SUMIF('حركه المخزن الرئيسي اليوميه'!$F:$F,$H:$H,'حركه المخزن الرئيسي اليوميه'!$H:$H)</f>
        <v>0.0</v>
      </c>
      <c r="M1990" s="22">
        <f>+SUMIF('حركه المخزن الرئيسي اليوميه'!$F:$F,$H:$H,'حركه المخزن الرئيسي اليوميه'!$I:$I)</f>
        <v>0.0</v>
      </c>
      <c r="N1990" s="22">
        <f>+K1990+L1990-M1990</f>
        <v>0.0</v>
      </c>
      <c r="O1990" s="22">
        <f>+N1990</f>
        <v>0.0</v>
      </c>
      <c r="P1990" s="22">
        <f>+N1990-O1990</f>
        <v>0.0</v>
      </c>
      <c r="Q1990" s="57"/>
      <c r="R1990" s="58"/>
    </row>
    <row r="1991" spans="8:8" ht="15.0" customHeight="1">
      <c r="B1991" s="54">
        <v>2135.0</v>
      </c>
      <c r="C1991" s="8"/>
      <c r="D1991" s="8"/>
      <c r="E1991" s="8"/>
      <c r="F1991" s="8"/>
      <c r="G1991" s="8"/>
      <c r="H1991" s="8"/>
      <c r="I1991" s="55"/>
      <c r="J1991" s="78" t="s">
        <v>5906</v>
      </c>
      <c r="K1991" s="22">
        <v>0.0</v>
      </c>
      <c r="L1991" s="22">
        <f>+SUMIF('حركه المخزن الرئيسي اليوميه'!$F:$F,$H:$H,'حركه المخزن الرئيسي اليوميه'!$H:$H)</f>
        <v>0.0</v>
      </c>
      <c r="M1991" s="22">
        <f>+SUMIF('حركه المخزن الرئيسي اليوميه'!$F:$F,$H:$H,'حركه المخزن الرئيسي اليوميه'!$I:$I)</f>
        <v>0.0</v>
      </c>
      <c r="N1991" s="22">
        <f>+K1991+L1991-M1991</f>
        <v>0.0</v>
      </c>
      <c r="O1991" s="22">
        <f>+N1991</f>
        <v>0.0</v>
      </c>
      <c r="P1991" s="22">
        <f>+N1991-O1991</f>
        <v>0.0</v>
      </c>
      <c r="Q1991" s="57"/>
      <c r="R1991" s="58"/>
    </row>
    <row r="1992" spans="8:8" ht="15.0" customHeight="1">
      <c r="B1992" s="54">
        <v>2136.0</v>
      </c>
      <c r="C1992" s="8"/>
      <c r="D1992" s="8"/>
      <c r="E1992" s="8"/>
      <c r="F1992" s="8"/>
      <c r="G1992" s="8"/>
      <c r="H1992" s="8"/>
      <c r="I1992" s="55"/>
      <c r="J1992" s="78" t="s">
        <v>5907</v>
      </c>
      <c r="K1992" s="22">
        <v>0.0</v>
      </c>
      <c r="L1992" s="22">
        <f>+SUMIF('حركه المخزن الرئيسي اليوميه'!$F:$F,$H:$H,'حركه المخزن الرئيسي اليوميه'!$H:$H)</f>
        <v>0.0</v>
      </c>
      <c r="M1992" s="22">
        <f>+SUMIF('حركه المخزن الرئيسي اليوميه'!$F:$F,$H:$H,'حركه المخزن الرئيسي اليوميه'!$I:$I)</f>
        <v>0.0</v>
      </c>
      <c r="N1992" s="22">
        <f>+K1992+L1992-M1992</f>
        <v>0.0</v>
      </c>
      <c r="O1992" s="22">
        <f>+N1992</f>
        <v>0.0</v>
      </c>
      <c r="P1992" s="22">
        <f>+N1992-O1992</f>
        <v>0.0</v>
      </c>
      <c r="Q1992" s="57"/>
      <c r="R1992" s="58"/>
    </row>
    <row r="1993" spans="8:8" ht="15.0" customHeight="1">
      <c r="B1993" s="54">
        <v>2137.0</v>
      </c>
      <c r="C1993" s="8"/>
      <c r="D1993" s="8"/>
      <c r="E1993" s="8"/>
      <c r="F1993" s="8"/>
      <c r="G1993" s="8"/>
      <c r="H1993" s="8"/>
      <c r="I1993" s="55"/>
      <c r="J1993" s="78" t="s">
        <v>5908</v>
      </c>
      <c r="K1993" s="22">
        <v>0.0</v>
      </c>
      <c r="L1993" s="22">
        <f>+SUMIF('حركه المخزن الرئيسي اليوميه'!$F:$F,$H:$H,'حركه المخزن الرئيسي اليوميه'!$H:$H)</f>
        <v>0.0</v>
      </c>
      <c r="M1993" s="22">
        <f>+SUMIF('حركه المخزن الرئيسي اليوميه'!$F:$F,$H:$H,'حركه المخزن الرئيسي اليوميه'!$I:$I)</f>
        <v>0.0</v>
      </c>
      <c r="N1993" s="22">
        <f>+K1993+L1993-M1993</f>
        <v>0.0</v>
      </c>
      <c r="O1993" s="22">
        <f>+N1993</f>
        <v>0.0</v>
      </c>
      <c r="P1993" s="22">
        <f>+N1993-O1993</f>
        <v>0.0</v>
      </c>
      <c r="Q1993" s="57"/>
      <c r="R1993" s="58"/>
    </row>
    <row r="1994" spans="8:8" ht="15.0" customHeight="1">
      <c r="B1994" s="54">
        <v>2138.0</v>
      </c>
      <c r="C1994" s="8"/>
      <c r="D1994" s="8"/>
      <c r="E1994" s="8"/>
      <c r="F1994" s="8"/>
      <c r="G1994" s="8"/>
      <c r="H1994" s="8"/>
      <c r="I1994" s="55"/>
      <c r="J1994" s="78" t="s">
        <v>5909</v>
      </c>
      <c r="K1994" s="22">
        <v>0.0</v>
      </c>
      <c r="L1994" s="22">
        <f>+SUMIF('حركه المخزن الرئيسي اليوميه'!$F:$F,$H:$H,'حركه المخزن الرئيسي اليوميه'!$H:$H)</f>
        <v>0.0</v>
      </c>
      <c r="M1994" s="22">
        <f>+SUMIF('حركه المخزن الرئيسي اليوميه'!$F:$F,$H:$H,'حركه المخزن الرئيسي اليوميه'!$I:$I)</f>
        <v>0.0</v>
      </c>
      <c r="N1994" s="22">
        <f>+K1994+L1994-M1994</f>
        <v>0.0</v>
      </c>
      <c r="O1994" s="22">
        <f>+N1994</f>
        <v>0.0</v>
      </c>
      <c r="P1994" s="22">
        <f>+N1994-O1994</f>
        <v>0.0</v>
      </c>
      <c r="Q1994" s="57"/>
      <c r="R1994" s="58"/>
    </row>
    <row r="1995" spans="8:8" ht="15.0" customHeight="1">
      <c r="B1995" s="54">
        <v>2139.0</v>
      </c>
      <c r="C1995" s="8"/>
      <c r="D1995" s="8"/>
      <c r="E1995" s="8"/>
      <c r="F1995" s="8"/>
      <c r="G1995" s="8"/>
      <c r="H1995" s="8"/>
      <c r="I1995" s="55"/>
      <c r="J1995" s="78" t="s">
        <v>5910</v>
      </c>
      <c r="K1995" s="22">
        <v>0.0</v>
      </c>
      <c r="L1995" s="22">
        <f>+SUMIF('حركه المخزن الرئيسي اليوميه'!$F:$F,$H:$H,'حركه المخزن الرئيسي اليوميه'!$H:$H)</f>
        <v>0.0</v>
      </c>
      <c r="M1995" s="22">
        <f>+SUMIF('حركه المخزن الرئيسي اليوميه'!$F:$F,$H:$H,'حركه المخزن الرئيسي اليوميه'!$I:$I)</f>
        <v>0.0</v>
      </c>
      <c r="N1995" s="22">
        <f>+K1995+L1995-M1995</f>
        <v>0.0</v>
      </c>
      <c r="O1995" s="22">
        <f>+N1995</f>
        <v>0.0</v>
      </c>
      <c r="P1995" s="22">
        <f>+N1995-O1995</f>
        <v>0.0</v>
      </c>
      <c r="Q1995" s="57"/>
      <c r="R1995" s="58"/>
    </row>
    <row r="1996" spans="8:8" ht="15.0" customHeight="1">
      <c r="B1996" s="54">
        <v>2140.0</v>
      </c>
      <c r="C1996" s="8"/>
      <c r="D1996" s="8"/>
      <c r="E1996" s="8"/>
      <c r="F1996" s="8"/>
      <c r="G1996" s="8"/>
      <c r="H1996" s="8"/>
      <c r="I1996" s="55"/>
      <c r="J1996" s="78" t="s">
        <v>5911</v>
      </c>
      <c r="K1996" s="22">
        <v>0.0</v>
      </c>
      <c r="L1996" s="22">
        <f>+SUMIF('حركه المخزن الرئيسي اليوميه'!$F:$F,$H:$H,'حركه المخزن الرئيسي اليوميه'!$H:$H)</f>
        <v>0.0</v>
      </c>
      <c r="M1996" s="22">
        <f>+SUMIF('حركه المخزن الرئيسي اليوميه'!$F:$F,$H:$H,'حركه المخزن الرئيسي اليوميه'!$I:$I)</f>
        <v>0.0</v>
      </c>
      <c r="N1996" s="22">
        <f>+K1996+L1996-M1996</f>
        <v>0.0</v>
      </c>
      <c r="O1996" s="22">
        <f>+N1996</f>
        <v>0.0</v>
      </c>
      <c r="P1996" s="22">
        <f>+N1996-O1996</f>
        <v>0.0</v>
      </c>
      <c r="Q1996" s="57"/>
      <c r="R1996" s="58"/>
    </row>
    <row r="1997" spans="8:8" ht="15.0" customHeight="1">
      <c r="B1997" s="54">
        <v>2141.0</v>
      </c>
      <c r="C1997" s="8"/>
      <c r="D1997" s="8"/>
      <c r="E1997" s="8"/>
      <c r="F1997" s="8"/>
      <c r="G1997" s="8"/>
      <c r="H1997" s="8"/>
      <c r="I1997" s="55"/>
      <c r="J1997" s="78" t="s">
        <v>5912</v>
      </c>
      <c r="K1997" s="22">
        <v>0.0</v>
      </c>
      <c r="L1997" s="22">
        <f>+SUMIF('حركه المخزن الرئيسي اليوميه'!$F:$F,$H:$H,'حركه المخزن الرئيسي اليوميه'!$H:$H)</f>
        <v>0.0</v>
      </c>
      <c r="M1997" s="22">
        <f>+SUMIF('حركه المخزن الرئيسي اليوميه'!$F:$F,$H:$H,'حركه المخزن الرئيسي اليوميه'!$I:$I)</f>
        <v>0.0</v>
      </c>
      <c r="N1997" s="22">
        <f>+K1997+L1997-M1997</f>
        <v>0.0</v>
      </c>
      <c r="O1997" s="22">
        <f>+N1997</f>
        <v>0.0</v>
      </c>
      <c r="P1997" s="22">
        <f>+N1997-O1997</f>
        <v>0.0</v>
      </c>
      <c r="Q1997" s="57"/>
      <c r="R1997" s="58"/>
    </row>
    <row r="1998" spans="8:8" ht="15.0" customHeight="1">
      <c r="B1998" s="54">
        <v>2142.0</v>
      </c>
      <c r="C1998" s="8"/>
      <c r="D1998" s="8"/>
      <c r="E1998" s="8"/>
      <c r="F1998" s="8"/>
      <c r="G1998" s="8"/>
      <c r="H1998" s="8"/>
      <c r="I1998" s="55"/>
      <c r="J1998" s="78" t="s">
        <v>5913</v>
      </c>
      <c r="K1998" s="22">
        <v>0.0</v>
      </c>
      <c r="L1998" s="22">
        <f>+SUMIF('حركه المخزن الرئيسي اليوميه'!$F:$F,$H:$H,'حركه المخزن الرئيسي اليوميه'!$H:$H)</f>
        <v>0.0</v>
      </c>
      <c r="M1998" s="22">
        <f>+SUMIF('حركه المخزن الرئيسي اليوميه'!$F:$F,$H:$H,'حركه المخزن الرئيسي اليوميه'!$I:$I)</f>
        <v>0.0</v>
      </c>
      <c r="N1998" s="22">
        <f>+K1998+L1998-M1998</f>
        <v>0.0</v>
      </c>
      <c r="O1998" s="22">
        <f>+N1998</f>
        <v>0.0</v>
      </c>
      <c r="P1998" s="22">
        <f>+N1998-O1998</f>
        <v>0.0</v>
      </c>
      <c r="Q1998" s="57"/>
      <c r="R1998" s="58"/>
    </row>
    <row r="1999" spans="8:8" ht="15.0" customHeight="1">
      <c r="B1999" s="54">
        <v>2143.0</v>
      </c>
      <c r="C1999" s="8"/>
      <c r="D1999" s="8"/>
      <c r="E1999" s="8"/>
      <c r="F1999" s="8"/>
      <c r="G1999" s="8"/>
      <c r="H1999" s="8"/>
      <c r="I1999" s="55"/>
      <c r="J1999" s="78" t="s">
        <v>5914</v>
      </c>
      <c r="K1999" s="22">
        <v>0.0</v>
      </c>
      <c r="L1999" s="22">
        <f>+SUMIF('حركه المخزن الرئيسي اليوميه'!$F:$F,$H:$H,'حركه المخزن الرئيسي اليوميه'!$H:$H)</f>
        <v>0.0</v>
      </c>
      <c r="M1999" s="22">
        <f>+SUMIF('حركه المخزن الرئيسي اليوميه'!$F:$F,$H:$H,'حركه المخزن الرئيسي اليوميه'!$I:$I)</f>
        <v>0.0</v>
      </c>
      <c r="N1999" s="22">
        <f>+K1999+L1999-M1999</f>
        <v>0.0</v>
      </c>
      <c r="O1999" s="22">
        <f>+N1999</f>
        <v>0.0</v>
      </c>
      <c r="P1999" s="22">
        <f>+N1999-O1999</f>
        <v>0.0</v>
      </c>
      <c r="Q1999" s="57"/>
      <c r="R1999" s="58"/>
    </row>
    <row r="2000" spans="8:8" ht="15.0" customHeight="1">
      <c r="B2000" s="54">
        <v>2144.0</v>
      </c>
      <c r="C2000" s="8"/>
      <c r="D2000" s="8"/>
      <c r="E2000" s="8"/>
      <c r="F2000" s="8"/>
      <c r="G2000" s="8"/>
      <c r="H2000" s="8"/>
      <c r="I2000" s="55"/>
      <c r="J2000" s="78" t="s">
        <v>5915</v>
      </c>
      <c r="K2000" s="22">
        <v>0.0</v>
      </c>
      <c r="L2000" s="22">
        <f>+SUMIF('حركه المخزن الرئيسي اليوميه'!$F:$F,$H:$H,'حركه المخزن الرئيسي اليوميه'!$H:$H)</f>
        <v>0.0</v>
      </c>
      <c r="M2000" s="22">
        <f>+SUMIF('حركه المخزن الرئيسي اليوميه'!$F:$F,$H:$H,'حركه المخزن الرئيسي اليوميه'!$I:$I)</f>
        <v>0.0</v>
      </c>
      <c r="N2000" s="22">
        <f>+K2000+L2000-M2000</f>
        <v>0.0</v>
      </c>
      <c r="O2000" s="22">
        <f>+N2000</f>
        <v>0.0</v>
      </c>
      <c r="P2000" s="22">
        <f>+N2000-O2000</f>
        <v>0.0</v>
      </c>
      <c r="Q2000" s="57"/>
      <c r="R2000" s="58"/>
    </row>
    <row r="2001" spans="8:8" ht="15.0" customHeight="1">
      <c r="B2001" s="54">
        <v>2145.0</v>
      </c>
      <c r="C2001" s="8"/>
      <c r="D2001" s="8"/>
      <c r="E2001" s="8"/>
      <c r="F2001" s="8"/>
      <c r="G2001" s="8"/>
      <c r="H2001" s="8"/>
      <c r="I2001" s="55"/>
      <c r="J2001" s="78" t="s">
        <v>5916</v>
      </c>
      <c r="K2001" s="22">
        <v>0.0</v>
      </c>
      <c r="L2001" s="22">
        <f>+SUMIF('حركه المخزن الرئيسي اليوميه'!$F:$F,$H:$H,'حركه المخزن الرئيسي اليوميه'!$H:$H)</f>
        <v>0.0</v>
      </c>
      <c r="M2001" s="22">
        <f>+SUMIF('حركه المخزن الرئيسي اليوميه'!$F:$F,$H:$H,'حركه المخزن الرئيسي اليوميه'!$I:$I)</f>
        <v>0.0</v>
      </c>
      <c r="N2001" s="22">
        <f>+K2001+L2001-M2001</f>
        <v>0.0</v>
      </c>
      <c r="O2001" s="22">
        <f>+N2001</f>
        <v>0.0</v>
      </c>
      <c r="P2001" s="22">
        <f>+N2001-O2001</f>
        <v>0.0</v>
      </c>
      <c r="Q2001" s="57"/>
      <c r="R2001" s="58"/>
    </row>
    <row r="2002" spans="8:8" ht="15.0" customHeight="1">
      <c r="B2002" s="54">
        <v>2146.0</v>
      </c>
      <c r="C2002" s="8"/>
      <c r="D2002" s="8"/>
      <c r="E2002" s="8"/>
      <c r="F2002" s="8"/>
      <c r="G2002" s="8"/>
      <c r="H2002" s="8"/>
      <c r="I2002" s="55"/>
      <c r="J2002" s="78" t="s">
        <v>5917</v>
      </c>
      <c r="K2002" s="22">
        <v>0.0</v>
      </c>
      <c r="L2002" s="22">
        <f>+SUMIF('حركه المخزن الرئيسي اليوميه'!$F:$F,$H:$H,'حركه المخزن الرئيسي اليوميه'!$H:$H)</f>
        <v>0.0</v>
      </c>
      <c r="M2002" s="22">
        <f>+SUMIF('حركه المخزن الرئيسي اليوميه'!$F:$F,$H:$H,'حركه المخزن الرئيسي اليوميه'!$I:$I)</f>
        <v>0.0</v>
      </c>
      <c r="N2002" s="22">
        <f>+K2002+L2002-M2002</f>
        <v>0.0</v>
      </c>
      <c r="O2002" s="22">
        <f>+N2002</f>
        <v>0.0</v>
      </c>
      <c r="P2002" s="22">
        <f>+N2002-O2002</f>
        <v>0.0</v>
      </c>
      <c r="Q2002" s="57"/>
      <c r="R2002" s="58"/>
    </row>
    <row r="2003" spans="8:8" ht="15.0" customHeight="1">
      <c r="B2003" s="54">
        <v>2147.0</v>
      </c>
      <c r="C2003" s="8"/>
      <c r="D2003" s="8"/>
      <c r="E2003" s="8"/>
      <c r="F2003" s="8"/>
      <c r="G2003" s="8"/>
      <c r="H2003" s="8"/>
      <c r="I2003" s="55"/>
      <c r="J2003" s="78" t="s">
        <v>5918</v>
      </c>
      <c r="K2003" s="22">
        <v>0.0</v>
      </c>
      <c r="L2003" s="22">
        <f>+SUMIF('حركه المخزن الرئيسي اليوميه'!$F:$F,$H:$H,'حركه المخزن الرئيسي اليوميه'!$H:$H)</f>
        <v>0.0</v>
      </c>
      <c r="M2003" s="22">
        <f>+SUMIF('حركه المخزن الرئيسي اليوميه'!$F:$F,$H:$H,'حركه المخزن الرئيسي اليوميه'!$I:$I)</f>
        <v>0.0</v>
      </c>
      <c r="N2003" s="22">
        <f>+K2003+L2003-M2003</f>
        <v>0.0</v>
      </c>
      <c r="O2003" s="22">
        <f>+N2003</f>
        <v>0.0</v>
      </c>
      <c r="P2003" s="22">
        <f>+N2003-O2003</f>
        <v>0.0</v>
      </c>
      <c r="Q2003" s="57"/>
      <c r="R2003" s="58"/>
    </row>
    <row r="2004" spans="8:8" ht="15.0" customHeight="1">
      <c r="B2004" s="54">
        <v>2148.0</v>
      </c>
      <c r="C2004" s="8"/>
      <c r="D2004" s="8"/>
      <c r="E2004" s="8"/>
      <c r="F2004" s="8"/>
      <c r="G2004" s="8"/>
      <c r="H2004" s="8"/>
      <c r="I2004" s="55"/>
      <c r="J2004" s="78" t="s">
        <v>5919</v>
      </c>
      <c r="K2004" s="22">
        <v>0.0</v>
      </c>
      <c r="L2004" s="22">
        <f>+SUMIF('حركه المخزن الرئيسي اليوميه'!$F:$F,$H:$H,'حركه المخزن الرئيسي اليوميه'!$H:$H)</f>
        <v>0.0</v>
      </c>
      <c r="M2004" s="22">
        <f>+SUMIF('حركه المخزن الرئيسي اليوميه'!$F:$F,$H:$H,'حركه المخزن الرئيسي اليوميه'!$I:$I)</f>
        <v>0.0</v>
      </c>
      <c r="N2004" s="22">
        <f>+K2004+L2004-M2004</f>
        <v>0.0</v>
      </c>
      <c r="O2004" s="22">
        <f>+N2004</f>
        <v>0.0</v>
      </c>
      <c r="P2004" s="22">
        <f>+N2004-O2004</f>
        <v>0.0</v>
      </c>
      <c r="Q2004" s="57"/>
      <c r="R2004" s="58"/>
    </row>
    <row r="2005" spans="8:8" ht="15.0" customHeight="1">
      <c r="B2005" s="54">
        <v>2149.0</v>
      </c>
      <c r="C2005" s="8"/>
      <c r="D2005" s="8"/>
      <c r="E2005" s="8"/>
      <c r="F2005" s="8"/>
      <c r="G2005" s="8"/>
      <c r="H2005" s="8"/>
      <c r="I2005" s="55"/>
      <c r="J2005" s="78" t="s">
        <v>5920</v>
      </c>
      <c r="K2005" s="22">
        <v>0.0</v>
      </c>
      <c r="L2005" s="22">
        <f>+SUMIF('حركه المخزن الرئيسي اليوميه'!$F:$F,$H:$H,'حركه المخزن الرئيسي اليوميه'!$H:$H)</f>
        <v>0.0</v>
      </c>
      <c r="M2005" s="22">
        <f>+SUMIF('حركه المخزن الرئيسي اليوميه'!$F:$F,$H:$H,'حركه المخزن الرئيسي اليوميه'!$I:$I)</f>
        <v>0.0</v>
      </c>
      <c r="N2005" s="22">
        <f>+K2005+L2005-M2005</f>
        <v>0.0</v>
      </c>
      <c r="O2005" s="22">
        <f>+N2005</f>
        <v>0.0</v>
      </c>
      <c r="P2005" s="22">
        <f>+N2005-O2005</f>
        <v>0.0</v>
      </c>
      <c r="Q2005" s="57"/>
      <c r="R2005" s="58"/>
    </row>
    <row r="2006" spans="8:8" ht="15.0" customHeight="1">
      <c r="B2006" s="54">
        <v>2150.0</v>
      </c>
      <c r="C2006" s="8"/>
      <c r="D2006" s="8"/>
      <c r="E2006" s="8"/>
      <c r="F2006" s="8"/>
      <c r="G2006" s="8"/>
      <c r="H2006" s="8"/>
      <c r="I2006" s="55"/>
      <c r="J2006" s="78" t="s">
        <v>5921</v>
      </c>
      <c r="K2006" s="22">
        <v>0.0</v>
      </c>
      <c r="L2006" s="22">
        <f>+SUMIF('حركه المخزن الرئيسي اليوميه'!$F:$F,$H:$H,'حركه المخزن الرئيسي اليوميه'!$H:$H)</f>
        <v>0.0</v>
      </c>
      <c r="M2006" s="22">
        <f>+SUMIF('حركه المخزن الرئيسي اليوميه'!$F:$F,$H:$H,'حركه المخزن الرئيسي اليوميه'!$I:$I)</f>
        <v>0.0</v>
      </c>
      <c r="N2006" s="22">
        <f>+K2006+L2006-M2006</f>
        <v>0.0</v>
      </c>
      <c r="O2006" s="22">
        <f>+N2006</f>
        <v>0.0</v>
      </c>
      <c r="P2006" s="22">
        <f>+N2006-O2006</f>
        <v>0.0</v>
      </c>
      <c r="Q2006" s="57"/>
      <c r="R2006" s="58"/>
    </row>
    <row r="2007" spans="8:8" ht="15.0" customHeight="1">
      <c r="B2007" s="54">
        <v>2151.0</v>
      </c>
      <c r="C2007" s="8"/>
      <c r="D2007" s="8"/>
      <c r="E2007" s="8"/>
      <c r="F2007" s="8"/>
      <c r="G2007" s="8"/>
      <c r="H2007" s="8"/>
      <c r="I2007" s="55"/>
      <c r="J2007" s="78" t="s">
        <v>5922</v>
      </c>
      <c r="K2007" s="22">
        <v>0.0</v>
      </c>
      <c r="L2007" s="22">
        <f>+SUMIF('حركه المخزن الرئيسي اليوميه'!$F:$F,$H:$H,'حركه المخزن الرئيسي اليوميه'!$H:$H)</f>
        <v>0.0</v>
      </c>
      <c r="M2007" s="22">
        <f>+SUMIF('حركه المخزن الرئيسي اليوميه'!$F:$F,$H:$H,'حركه المخزن الرئيسي اليوميه'!$I:$I)</f>
        <v>0.0</v>
      </c>
      <c r="N2007" s="22">
        <f>+K2007+L2007-M2007</f>
        <v>0.0</v>
      </c>
      <c r="O2007" s="22">
        <f>+N2007</f>
        <v>0.0</v>
      </c>
      <c r="P2007" s="22">
        <f>+N2007-O2007</f>
        <v>0.0</v>
      </c>
      <c r="Q2007" s="57"/>
      <c r="R2007" s="58"/>
    </row>
    <row r="2008" spans="8:8" ht="15.0" customHeight="1">
      <c r="B2008" s="54">
        <v>2152.0</v>
      </c>
      <c r="C2008" s="8"/>
      <c r="D2008" s="8"/>
      <c r="E2008" s="8"/>
      <c r="F2008" s="8"/>
      <c r="G2008" s="8"/>
      <c r="H2008" s="8"/>
      <c r="I2008" s="55"/>
      <c r="J2008" s="78" t="s">
        <v>5923</v>
      </c>
      <c r="K2008" s="22">
        <v>0.0</v>
      </c>
      <c r="L2008" s="22">
        <f>+SUMIF('حركه المخزن الرئيسي اليوميه'!$F:$F,$H:$H,'حركه المخزن الرئيسي اليوميه'!$H:$H)</f>
        <v>0.0</v>
      </c>
      <c r="M2008" s="22">
        <f>+SUMIF('حركه المخزن الرئيسي اليوميه'!$F:$F,$H:$H,'حركه المخزن الرئيسي اليوميه'!$I:$I)</f>
        <v>0.0</v>
      </c>
      <c r="N2008" s="22">
        <f>+K2008+L2008-M2008</f>
        <v>0.0</v>
      </c>
      <c r="O2008" s="22">
        <f>+N2008</f>
        <v>0.0</v>
      </c>
      <c r="P2008" s="22">
        <f>+N2008-O2008</f>
        <v>0.0</v>
      </c>
      <c r="Q2008" s="57"/>
      <c r="R2008" s="58"/>
    </row>
    <row r="2009" spans="8:8" ht="15.0" customHeight="1">
      <c r="B2009" s="54">
        <v>2153.0</v>
      </c>
      <c r="C2009" s="8"/>
      <c r="D2009" s="8"/>
      <c r="E2009" s="8"/>
      <c r="F2009" s="8"/>
      <c r="G2009" s="8"/>
      <c r="H2009" s="8"/>
      <c r="I2009" s="55"/>
      <c r="J2009" s="78" t="s">
        <v>5924</v>
      </c>
      <c r="K2009" s="22">
        <v>0.0</v>
      </c>
      <c r="L2009" s="22">
        <f>+SUMIF('حركه المخزن الرئيسي اليوميه'!$F:$F,$H:$H,'حركه المخزن الرئيسي اليوميه'!$H:$H)</f>
        <v>0.0</v>
      </c>
      <c r="M2009" s="22">
        <f>+SUMIF('حركه المخزن الرئيسي اليوميه'!$F:$F,$H:$H,'حركه المخزن الرئيسي اليوميه'!$I:$I)</f>
        <v>0.0</v>
      </c>
      <c r="N2009" s="22">
        <f>+K2009+L2009-M2009</f>
        <v>0.0</v>
      </c>
      <c r="O2009" s="22">
        <f>+N2009</f>
        <v>0.0</v>
      </c>
      <c r="P2009" s="22">
        <f>+N2009-O2009</f>
        <v>0.0</v>
      </c>
      <c r="Q2009" s="57"/>
      <c r="R2009" s="58"/>
    </row>
    <row r="2010" spans="8:8" ht="15.0" customHeight="1">
      <c r="B2010" s="54">
        <v>2154.0</v>
      </c>
      <c r="C2010" s="8"/>
      <c r="D2010" s="8"/>
      <c r="E2010" s="8"/>
      <c r="F2010" s="8"/>
      <c r="G2010" s="8"/>
      <c r="H2010" s="8"/>
      <c r="I2010" s="55"/>
      <c r="J2010" s="78" t="s">
        <v>5925</v>
      </c>
      <c r="K2010" s="22">
        <v>0.0</v>
      </c>
      <c r="L2010" s="22">
        <f>+SUMIF('حركه المخزن الرئيسي اليوميه'!$F:$F,$H:$H,'حركه المخزن الرئيسي اليوميه'!$H:$H)</f>
        <v>0.0</v>
      </c>
      <c r="M2010" s="22">
        <f>+SUMIF('حركه المخزن الرئيسي اليوميه'!$F:$F,$H:$H,'حركه المخزن الرئيسي اليوميه'!$I:$I)</f>
        <v>0.0</v>
      </c>
      <c r="N2010" s="22">
        <f>+K2010+L2010-M2010</f>
        <v>0.0</v>
      </c>
      <c r="O2010" s="22">
        <f>+N2010</f>
        <v>0.0</v>
      </c>
      <c r="P2010" s="22">
        <f>+N2010-O2010</f>
        <v>0.0</v>
      </c>
      <c r="Q2010" s="57"/>
      <c r="R2010" s="58"/>
    </row>
    <row r="2011" spans="8:8" ht="15.0" customHeight="1">
      <c r="B2011" s="54">
        <v>2155.0</v>
      </c>
      <c r="C2011" s="8"/>
      <c r="D2011" s="8"/>
      <c r="E2011" s="8"/>
      <c r="F2011" s="8"/>
      <c r="G2011" s="8"/>
      <c r="H2011" s="8"/>
      <c r="I2011" s="55"/>
      <c r="J2011" s="78" t="s">
        <v>5926</v>
      </c>
      <c r="K2011" s="22">
        <v>0.0</v>
      </c>
      <c r="L2011" s="22">
        <f>+SUMIF('حركه المخزن الرئيسي اليوميه'!$F:$F,$H:$H,'حركه المخزن الرئيسي اليوميه'!$H:$H)</f>
        <v>0.0</v>
      </c>
      <c r="M2011" s="22">
        <f>+SUMIF('حركه المخزن الرئيسي اليوميه'!$F:$F,$H:$H,'حركه المخزن الرئيسي اليوميه'!$I:$I)</f>
        <v>0.0</v>
      </c>
      <c r="N2011" s="22">
        <f>+K2011+L2011-M2011</f>
        <v>0.0</v>
      </c>
      <c r="O2011" s="22">
        <f>+N2011</f>
        <v>0.0</v>
      </c>
      <c r="P2011" s="22">
        <f>+N2011-O2011</f>
        <v>0.0</v>
      </c>
      <c r="Q2011" s="57"/>
      <c r="R2011" s="58"/>
    </row>
    <row r="2012" spans="8:8" ht="15.0" customHeight="1">
      <c r="B2012" s="54">
        <v>2156.0</v>
      </c>
      <c r="C2012" s="8"/>
      <c r="D2012" s="8"/>
      <c r="E2012" s="8"/>
      <c r="F2012" s="8"/>
      <c r="G2012" s="8"/>
      <c r="H2012" s="8"/>
      <c r="I2012" s="55"/>
      <c r="J2012" s="78" t="s">
        <v>5927</v>
      </c>
      <c r="K2012" s="22">
        <v>0.0</v>
      </c>
      <c r="L2012" s="22">
        <f>+SUMIF('حركه المخزن الرئيسي اليوميه'!$F:$F,$H:$H,'حركه المخزن الرئيسي اليوميه'!$H:$H)</f>
        <v>0.0</v>
      </c>
      <c r="M2012" s="22">
        <f>+SUMIF('حركه المخزن الرئيسي اليوميه'!$F:$F,$H:$H,'حركه المخزن الرئيسي اليوميه'!$I:$I)</f>
        <v>0.0</v>
      </c>
      <c r="N2012" s="22">
        <f>+K2012+L2012-M2012</f>
        <v>0.0</v>
      </c>
      <c r="O2012" s="22">
        <f>+N2012</f>
        <v>0.0</v>
      </c>
      <c r="P2012" s="22">
        <f>+N2012-O2012</f>
        <v>0.0</v>
      </c>
      <c r="Q2012" s="57"/>
      <c r="R2012" s="58"/>
    </row>
    <row r="2013" spans="8:8" ht="15.0" customHeight="1">
      <c r="B2013" s="54">
        <v>2157.0</v>
      </c>
      <c r="C2013" s="8"/>
      <c r="D2013" s="8"/>
      <c r="E2013" s="8"/>
      <c r="F2013" s="8"/>
      <c r="G2013" s="8"/>
      <c r="H2013" s="8"/>
      <c r="I2013" s="55"/>
      <c r="J2013" s="78" t="s">
        <v>5928</v>
      </c>
      <c r="K2013" s="22">
        <v>0.0</v>
      </c>
      <c r="L2013" s="22">
        <f>+SUMIF('حركه المخزن الرئيسي اليوميه'!$F:$F,$H:$H,'حركه المخزن الرئيسي اليوميه'!$H:$H)</f>
        <v>0.0</v>
      </c>
      <c r="M2013" s="22">
        <f>+SUMIF('حركه المخزن الرئيسي اليوميه'!$F:$F,$H:$H,'حركه المخزن الرئيسي اليوميه'!$I:$I)</f>
        <v>0.0</v>
      </c>
      <c r="N2013" s="22">
        <f>+K2013+L2013-M2013</f>
        <v>0.0</v>
      </c>
      <c r="O2013" s="22">
        <f>+N2013</f>
        <v>0.0</v>
      </c>
      <c r="P2013" s="22">
        <f>+N2013-O2013</f>
        <v>0.0</v>
      </c>
      <c r="Q2013" s="57"/>
      <c r="R2013" s="58"/>
    </row>
    <row r="2014" spans="8:8" ht="15.0" customHeight="1">
      <c r="B2014" s="54">
        <v>2158.0</v>
      </c>
      <c r="C2014" s="8"/>
      <c r="D2014" s="8"/>
      <c r="E2014" s="8"/>
      <c r="F2014" s="8"/>
      <c r="G2014" s="8"/>
      <c r="H2014" s="8"/>
      <c r="I2014" s="55"/>
      <c r="J2014" s="78" t="s">
        <v>5929</v>
      </c>
      <c r="K2014" s="22">
        <v>0.0</v>
      </c>
      <c r="L2014" s="22">
        <f>+SUMIF('حركه المخزن الرئيسي اليوميه'!$F:$F,$H:$H,'حركه المخزن الرئيسي اليوميه'!$H:$H)</f>
        <v>0.0</v>
      </c>
      <c r="M2014" s="22">
        <f>+SUMIF('حركه المخزن الرئيسي اليوميه'!$F:$F,$H:$H,'حركه المخزن الرئيسي اليوميه'!$I:$I)</f>
        <v>0.0</v>
      </c>
      <c r="N2014" s="22">
        <f>+K2014+L2014-M2014</f>
        <v>0.0</v>
      </c>
      <c r="O2014" s="22">
        <f>+N2014</f>
        <v>0.0</v>
      </c>
      <c r="P2014" s="22">
        <f>+N2014-O2014</f>
        <v>0.0</v>
      </c>
      <c r="Q2014" s="57"/>
      <c r="R2014" s="58"/>
    </row>
    <row r="2015" spans="8:8" ht="15.0" customHeight="1">
      <c r="B2015" s="54">
        <v>2159.0</v>
      </c>
      <c r="C2015" s="8"/>
      <c r="D2015" s="8"/>
      <c r="E2015" s="8"/>
      <c r="F2015" s="8"/>
      <c r="G2015" s="8"/>
      <c r="H2015" s="8"/>
      <c r="I2015" s="55"/>
      <c r="J2015" s="78" t="s">
        <v>5930</v>
      </c>
      <c r="K2015" s="22">
        <v>0.0</v>
      </c>
      <c r="L2015" s="22">
        <f>+SUMIF('حركه المخزن الرئيسي اليوميه'!$F:$F,$H:$H,'حركه المخزن الرئيسي اليوميه'!$H:$H)</f>
        <v>0.0</v>
      </c>
      <c r="M2015" s="22">
        <f>+SUMIF('حركه المخزن الرئيسي اليوميه'!$F:$F,$H:$H,'حركه المخزن الرئيسي اليوميه'!$I:$I)</f>
        <v>0.0</v>
      </c>
      <c r="N2015" s="22">
        <f>+K2015+L2015-M2015</f>
        <v>0.0</v>
      </c>
      <c r="O2015" s="22">
        <f>+N2015</f>
        <v>0.0</v>
      </c>
      <c r="P2015" s="22">
        <f>+N2015-O2015</f>
        <v>0.0</v>
      </c>
      <c r="Q2015" s="57"/>
      <c r="R2015" s="58"/>
    </row>
    <row r="2016" spans="8:8" ht="15.0" customHeight="1">
      <c r="B2016" s="54">
        <v>2160.0</v>
      </c>
      <c r="C2016" s="8"/>
      <c r="D2016" s="8"/>
      <c r="E2016" s="8"/>
      <c r="F2016" s="8"/>
      <c r="G2016" s="8"/>
      <c r="H2016" s="8"/>
      <c r="I2016" s="55"/>
      <c r="J2016" s="78" t="s">
        <v>5931</v>
      </c>
      <c r="K2016" s="22">
        <v>0.0</v>
      </c>
      <c r="L2016" s="22">
        <f>+SUMIF('حركه المخزن الرئيسي اليوميه'!$F:$F,$H:$H,'حركه المخزن الرئيسي اليوميه'!$H:$H)</f>
        <v>0.0</v>
      </c>
      <c r="M2016" s="22">
        <f>+SUMIF('حركه المخزن الرئيسي اليوميه'!$F:$F,$H:$H,'حركه المخزن الرئيسي اليوميه'!$I:$I)</f>
        <v>0.0</v>
      </c>
      <c r="N2016" s="22">
        <f>+K2016+L2016-M2016</f>
        <v>0.0</v>
      </c>
      <c r="O2016" s="22">
        <f>+N2016</f>
        <v>0.0</v>
      </c>
      <c r="P2016" s="22">
        <f>+N2016-O2016</f>
        <v>0.0</v>
      </c>
      <c r="Q2016" s="57"/>
      <c r="R2016" s="58"/>
    </row>
    <row r="2017" spans="8:8" ht="15.0" customHeight="1">
      <c r="B2017" s="54">
        <v>2161.0</v>
      </c>
      <c r="C2017" s="8"/>
      <c r="D2017" s="8"/>
      <c r="E2017" s="8"/>
      <c r="F2017" s="8"/>
      <c r="G2017" s="8"/>
      <c r="H2017" s="8"/>
      <c r="I2017" s="55"/>
      <c r="J2017" s="78" t="s">
        <v>5932</v>
      </c>
      <c r="K2017" s="22">
        <v>0.0</v>
      </c>
      <c r="L2017" s="22">
        <f>+SUMIF('حركه المخزن الرئيسي اليوميه'!$F:$F,$H:$H,'حركه المخزن الرئيسي اليوميه'!$H:$H)</f>
        <v>0.0</v>
      </c>
      <c r="M2017" s="22">
        <f>+SUMIF('حركه المخزن الرئيسي اليوميه'!$F:$F,$H:$H,'حركه المخزن الرئيسي اليوميه'!$I:$I)</f>
        <v>0.0</v>
      </c>
      <c r="N2017" s="22">
        <f>+K2017+L2017-M2017</f>
        <v>0.0</v>
      </c>
      <c r="O2017" s="22">
        <f>+N2017</f>
        <v>0.0</v>
      </c>
      <c r="P2017" s="22">
        <f>+N2017-O2017</f>
        <v>0.0</v>
      </c>
      <c r="Q2017" s="57"/>
      <c r="R2017" s="58"/>
    </row>
    <row r="2018" spans="8:8" ht="15.0" customHeight="1">
      <c r="B2018" s="54">
        <v>2162.0</v>
      </c>
      <c r="C2018" s="8"/>
      <c r="D2018" s="8"/>
      <c r="E2018" s="8"/>
      <c r="F2018" s="8"/>
      <c r="G2018" s="8"/>
      <c r="H2018" s="8"/>
      <c r="I2018" s="55"/>
      <c r="J2018" s="78" t="s">
        <v>5933</v>
      </c>
      <c r="K2018" s="22">
        <v>0.0</v>
      </c>
      <c r="L2018" s="22">
        <f>+SUMIF('حركه المخزن الرئيسي اليوميه'!$F:$F,$H:$H,'حركه المخزن الرئيسي اليوميه'!$H:$H)</f>
        <v>0.0</v>
      </c>
      <c r="M2018" s="22">
        <f>+SUMIF('حركه المخزن الرئيسي اليوميه'!$F:$F,$H:$H,'حركه المخزن الرئيسي اليوميه'!$I:$I)</f>
        <v>0.0</v>
      </c>
      <c r="N2018" s="22">
        <f>+K2018+L2018-M2018</f>
        <v>0.0</v>
      </c>
      <c r="O2018" s="22">
        <f>+N2018</f>
        <v>0.0</v>
      </c>
      <c r="P2018" s="22">
        <f>+N2018-O2018</f>
        <v>0.0</v>
      </c>
      <c r="Q2018" s="57"/>
      <c r="R2018" s="58"/>
    </row>
    <row r="2019" spans="8:8" ht="15.0" customHeight="1">
      <c r="B2019" s="54">
        <v>2163.0</v>
      </c>
      <c r="C2019" s="8"/>
      <c r="D2019" s="8"/>
      <c r="E2019" s="8"/>
      <c r="F2019" s="8"/>
      <c r="G2019" s="8"/>
      <c r="H2019" s="8"/>
      <c r="I2019" s="55"/>
      <c r="J2019" s="78" t="s">
        <v>5934</v>
      </c>
      <c r="K2019" s="22">
        <v>0.0</v>
      </c>
      <c r="L2019" s="22">
        <f>+SUMIF('حركه المخزن الرئيسي اليوميه'!$F:$F,$H:$H,'حركه المخزن الرئيسي اليوميه'!$H:$H)</f>
        <v>0.0</v>
      </c>
      <c r="M2019" s="22">
        <f>+SUMIF('حركه المخزن الرئيسي اليوميه'!$F:$F,$H:$H,'حركه المخزن الرئيسي اليوميه'!$I:$I)</f>
        <v>0.0</v>
      </c>
      <c r="N2019" s="22">
        <f>+K2019+L2019-M2019</f>
        <v>0.0</v>
      </c>
      <c r="O2019" s="22">
        <f>+N2019</f>
        <v>0.0</v>
      </c>
      <c r="P2019" s="22">
        <f>+N2019-O2019</f>
        <v>0.0</v>
      </c>
      <c r="Q2019" s="57"/>
      <c r="R2019" s="58"/>
    </row>
    <row r="2020" spans="8:8" ht="15.0" customHeight="1">
      <c r="B2020" s="54">
        <v>2164.0</v>
      </c>
      <c r="C2020" s="8"/>
      <c r="D2020" s="8"/>
      <c r="E2020" s="8"/>
      <c r="F2020" s="8"/>
      <c r="G2020" s="8"/>
      <c r="H2020" s="8"/>
      <c r="I2020" s="55"/>
      <c r="J2020" s="78" t="s">
        <v>5935</v>
      </c>
      <c r="K2020" s="22">
        <v>0.0</v>
      </c>
      <c r="L2020" s="22">
        <f>+SUMIF('حركه المخزن الرئيسي اليوميه'!$F:$F,$H:$H,'حركه المخزن الرئيسي اليوميه'!$H:$H)</f>
        <v>0.0</v>
      </c>
      <c r="M2020" s="22">
        <f>+SUMIF('حركه المخزن الرئيسي اليوميه'!$F:$F,$H:$H,'حركه المخزن الرئيسي اليوميه'!$I:$I)</f>
        <v>0.0</v>
      </c>
      <c r="N2020" s="22">
        <f>+K2020+L2020-M2020</f>
        <v>0.0</v>
      </c>
      <c r="O2020" s="22">
        <f>+N2020</f>
        <v>0.0</v>
      </c>
      <c r="P2020" s="22">
        <f>+N2020-O2020</f>
        <v>0.0</v>
      </c>
      <c r="Q2020" s="57"/>
      <c r="R2020" s="58"/>
    </row>
    <row r="2021" spans="8:8" ht="15.0" customHeight="1">
      <c r="B2021" s="54">
        <v>2165.0</v>
      </c>
      <c r="C2021" s="8"/>
      <c r="D2021" s="8"/>
      <c r="E2021" s="8"/>
      <c r="F2021" s="8"/>
      <c r="G2021" s="8"/>
      <c r="H2021" s="8"/>
      <c r="I2021" s="55"/>
      <c r="J2021" s="78" t="s">
        <v>5936</v>
      </c>
      <c r="K2021" s="22">
        <v>0.0</v>
      </c>
      <c r="L2021" s="22">
        <f>+SUMIF('حركه المخزن الرئيسي اليوميه'!$F:$F,$H:$H,'حركه المخزن الرئيسي اليوميه'!$H:$H)</f>
        <v>0.0</v>
      </c>
      <c r="M2021" s="22">
        <f>+SUMIF('حركه المخزن الرئيسي اليوميه'!$F:$F,$H:$H,'حركه المخزن الرئيسي اليوميه'!$I:$I)</f>
        <v>0.0</v>
      </c>
      <c r="N2021" s="22">
        <f>+K2021+L2021-M2021</f>
        <v>0.0</v>
      </c>
      <c r="O2021" s="22">
        <f>+N2021</f>
        <v>0.0</v>
      </c>
      <c r="P2021" s="22">
        <f>+N2021-O2021</f>
        <v>0.0</v>
      </c>
      <c r="Q2021" s="57"/>
      <c r="R2021" s="58"/>
    </row>
    <row r="2022" spans="8:8" ht="15.0" customHeight="1">
      <c r="B2022" s="54">
        <v>2166.0</v>
      </c>
      <c r="C2022" s="8"/>
      <c r="D2022" s="8"/>
      <c r="E2022" s="8"/>
      <c r="F2022" s="8"/>
      <c r="G2022" s="8"/>
      <c r="H2022" s="8"/>
      <c r="I2022" s="55"/>
      <c r="J2022" s="78" t="s">
        <v>5937</v>
      </c>
      <c r="K2022" s="22">
        <v>0.0</v>
      </c>
      <c r="L2022" s="22">
        <f>+SUMIF('حركه المخزن الرئيسي اليوميه'!$F:$F,$H:$H,'حركه المخزن الرئيسي اليوميه'!$H:$H)</f>
        <v>0.0</v>
      </c>
      <c r="M2022" s="22">
        <f>+SUMIF('حركه المخزن الرئيسي اليوميه'!$F:$F,$H:$H,'حركه المخزن الرئيسي اليوميه'!$I:$I)</f>
        <v>0.0</v>
      </c>
      <c r="N2022" s="22">
        <f>+K2022+L2022-M2022</f>
        <v>0.0</v>
      </c>
      <c r="O2022" s="22">
        <f>+N2022</f>
        <v>0.0</v>
      </c>
      <c r="P2022" s="22">
        <f>+N2022-O2022</f>
        <v>0.0</v>
      </c>
      <c r="Q2022" s="57"/>
      <c r="R2022" s="58"/>
    </row>
    <row r="2023" spans="8:8" ht="15.0" customHeight="1">
      <c r="B2023" s="54">
        <v>2167.0</v>
      </c>
      <c r="C2023" s="8"/>
      <c r="D2023" s="8"/>
      <c r="E2023" s="8"/>
      <c r="F2023" s="8"/>
      <c r="G2023" s="8"/>
      <c r="H2023" s="8"/>
      <c r="I2023" s="55"/>
      <c r="J2023" s="78" t="s">
        <v>5938</v>
      </c>
      <c r="K2023" s="22">
        <v>0.0</v>
      </c>
      <c r="L2023" s="22">
        <f>+SUMIF('حركه المخزن الرئيسي اليوميه'!$F:$F,$H:$H,'حركه المخزن الرئيسي اليوميه'!$H:$H)</f>
        <v>0.0</v>
      </c>
      <c r="M2023" s="22">
        <f>+SUMIF('حركه المخزن الرئيسي اليوميه'!$F:$F,$H:$H,'حركه المخزن الرئيسي اليوميه'!$I:$I)</f>
        <v>0.0</v>
      </c>
      <c r="N2023" s="22">
        <f>+K2023+L2023-M2023</f>
        <v>0.0</v>
      </c>
      <c r="O2023" s="22">
        <f>+N2023</f>
        <v>0.0</v>
      </c>
      <c r="P2023" s="22">
        <f>+N2023-O2023</f>
        <v>0.0</v>
      </c>
      <c r="Q2023" s="57"/>
      <c r="R2023" s="58"/>
    </row>
    <row r="2024" spans="8:8" ht="15.0" customHeight="1">
      <c r="B2024" s="54">
        <v>2168.0</v>
      </c>
      <c r="C2024" s="8"/>
      <c r="D2024" s="8"/>
      <c r="E2024" s="8"/>
      <c r="F2024" s="8"/>
      <c r="G2024" s="8"/>
      <c r="H2024" s="8"/>
      <c r="I2024" s="55"/>
      <c r="J2024" s="78" t="s">
        <v>5939</v>
      </c>
      <c r="K2024" s="22">
        <v>0.0</v>
      </c>
      <c r="L2024" s="22">
        <f>+SUMIF('حركه المخزن الرئيسي اليوميه'!$F:$F,$H:$H,'حركه المخزن الرئيسي اليوميه'!$H:$H)</f>
        <v>0.0</v>
      </c>
      <c r="M2024" s="22">
        <f>+SUMIF('حركه المخزن الرئيسي اليوميه'!$F:$F,$H:$H,'حركه المخزن الرئيسي اليوميه'!$I:$I)</f>
        <v>0.0</v>
      </c>
      <c r="N2024" s="22">
        <f>+K2024+L2024-M2024</f>
        <v>0.0</v>
      </c>
      <c r="O2024" s="22">
        <f>+N2024</f>
        <v>0.0</v>
      </c>
      <c r="P2024" s="22">
        <f>+N2024-O2024</f>
        <v>0.0</v>
      </c>
      <c r="Q2024" s="57"/>
      <c r="R2024" s="58"/>
    </row>
    <row r="2025" spans="8:8" ht="15.0" customHeight="1">
      <c r="B2025" s="54">
        <v>2169.0</v>
      </c>
      <c r="C2025" s="8"/>
      <c r="D2025" s="8"/>
      <c r="E2025" s="8"/>
      <c r="F2025" s="8"/>
      <c r="G2025" s="8"/>
      <c r="H2025" s="8"/>
      <c r="I2025" s="55"/>
      <c r="J2025" s="78" t="s">
        <v>5940</v>
      </c>
      <c r="K2025" s="22">
        <v>0.0</v>
      </c>
      <c r="L2025" s="22">
        <f>+SUMIF('حركه المخزن الرئيسي اليوميه'!$F:$F,$H:$H,'حركه المخزن الرئيسي اليوميه'!$H:$H)</f>
        <v>0.0</v>
      </c>
      <c r="M2025" s="22">
        <f>+SUMIF('حركه المخزن الرئيسي اليوميه'!$F:$F,$H:$H,'حركه المخزن الرئيسي اليوميه'!$I:$I)</f>
        <v>0.0</v>
      </c>
      <c r="N2025" s="22">
        <f>+K2025+L2025-M2025</f>
        <v>0.0</v>
      </c>
      <c r="O2025" s="22">
        <f>+N2025</f>
        <v>0.0</v>
      </c>
      <c r="P2025" s="22">
        <f>+N2025-O2025</f>
        <v>0.0</v>
      </c>
      <c r="Q2025" s="57"/>
      <c r="R2025" s="58"/>
    </row>
    <row r="2026" spans="8:8" ht="15.0" customHeight="1">
      <c r="B2026" s="54">
        <v>2170.0</v>
      </c>
      <c r="C2026" s="8"/>
      <c r="D2026" s="8"/>
      <c r="E2026" s="8"/>
      <c r="F2026" s="8"/>
      <c r="G2026" s="8"/>
      <c r="H2026" s="8"/>
      <c r="I2026" s="55"/>
      <c r="J2026" s="78" t="s">
        <v>5941</v>
      </c>
      <c r="K2026" s="22">
        <v>0.0</v>
      </c>
      <c r="L2026" s="22">
        <f>+SUMIF('حركه المخزن الرئيسي اليوميه'!$F:$F,$H:$H,'حركه المخزن الرئيسي اليوميه'!$H:$H)</f>
        <v>0.0</v>
      </c>
      <c r="M2026" s="22">
        <f>+SUMIF('حركه المخزن الرئيسي اليوميه'!$F:$F,$H:$H,'حركه المخزن الرئيسي اليوميه'!$I:$I)</f>
        <v>0.0</v>
      </c>
      <c r="N2026" s="22">
        <f>+K2026+L2026-M2026</f>
        <v>0.0</v>
      </c>
      <c r="O2026" s="22">
        <f>+N2026</f>
        <v>0.0</v>
      </c>
      <c r="P2026" s="22">
        <f>+N2026-O2026</f>
        <v>0.0</v>
      </c>
      <c r="Q2026" s="57"/>
      <c r="R2026" s="58"/>
    </row>
    <row r="2027" spans="8:8" ht="15.0" customHeight="1">
      <c r="B2027" s="54">
        <v>2171.0</v>
      </c>
      <c r="C2027" s="8"/>
      <c r="D2027" s="8"/>
      <c r="E2027" s="8"/>
      <c r="F2027" s="8"/>
      <c r="G2027" s="8"/>
      <c r="H2027" s="8"/>
      <c r="I2027" s="55"/>
      <c r="J2027" s="78" t="s">
        <v>5942</v>
      </c>
      <c r="K2027" s="22">
        <v>0.0</v>
      </c>
      <c r="L2027" s="22">
        <f>+SUMIF('حركه المخزن الرئيسي اليوميه'!$F:$F,$H:$H,'حركه المخزن الرئيسي اليوميه'!$H:$H)</f>
        <v>0.0</v>
      </c>
      <c r="M2027" s="22">
        <f>+SUMIF('حركه المخزن الرئيسي اليوميه'!$F:$F,$H:$H,'حركه المخزن الرئيسي اليوميه'!$I:$I)</f>
        <v>0.0</v>
      </c>
      <c r="N2027" s="22">
        <f>+K2027+L2027-M2027</f>
        <v>0.0</v>
      </c>
      <c r="O2027" s="22">
        <f>+N2027</f>
        <v>0.0</v>
      </c>
      <c r="P2027" s="22">
        <f>+N2027-O2027</f>
        <v>0.0</v>
      </c>
      <c r="Q2027" s="57"/>
      <c r="R2027" s="58"/>
    </row>
    <row r="2028" spans="8:8" ht="15.0" customHeight="1">
      <c r="B2028" s="54">
        <v>2172.0</v>
      </c>
      <c r="C2028" s="8"/>
      <c r="D2028" s="8"/>
      <c r="E2028" s="8"/>
      <c r="F2028" s="8"/>
      <c r="G2028" s="8"/>
      <c r="H2028" s="8"/>
      <c r="I2028" s="55"/>
      <c r="J2028" s="78" t="s">
        <v>5943</v>
      </c>
      <c r="K2028" s="22">
        <v>0.0</v>
      </c>
      <c r="L2028" s="22">
        <f>+SUMIF('حركه المخزن الرئيسي اليوميه'!$F:$F,$H:$H,'حركه المخزن الرئيسي اليوميه'!$H:$H)</f>
        <v>0.0</v>
      </c>
      <c r="M2028" s="22">
        <f>+SUMIF('حركه المخزن الرئيسي اليوميه'!$F:$F,$H:$H,'حركه المخزن الرئيسي اليوميه'!$I:$I)</f>
        <v>0.0</v>
      </c>
      <c r="N2028" s="22">
        <f>+K2028+L2028-M2028</f>
        <v>0.0</v>
      </c>
      <c r="O2028" s="22">
        <f>+N2028</f>
        <v>0.0</v>
      </c>
      <c r="P2028" s="22">
        <f>+N2028-O2028</f>
        <v>0.0</v>
      </c>
      <c r="Q2028" s="57"/>
      <c r="R2028" s="58"/>
    </row>
    <row r="2029" spans="8:8" ht="15.0" customHeight="1">
      <c r="B2029" s="54">
        <v>2173.0</v>
      </c>
      <c r="C2029" s="8"/>
      <c r="D2029" s="8"/>
      <c r="E2029" s="8"/>
      <c r="F2029" s="8"/>
      <c r="G2029" s="8"/>
      <c r="H2029" s="8"/>
      <c r="I2029" s="55"/>
      <c r="J2029" s="78" t="s">
        <v>5944</v>
      </c>
      <c r="K2029" s="22">
        <v>0.0</v>
      </c>
      <c r="L2029" s="22">
        <f>+SUMIF('حركه المخزن الرئيسي اليوميه'!$F:$F,$H:$H,'حركه المخزن الرئيسي اليوميه'!$H:$H)</f>
        <v>0.0</v>
      </c>
      <c r="M2029" s="22">
        <f>+SUMIF('حركه المخزن الرئيسي اليوميه'!$F:$F,$H:$H,'حركه المخزن الرئيسي اليوميه'!$I:$I)</f>
        <v>0.0</v>
      </c>
      <c r="N2029" s="22">
        <f>+K2029+L2029-M2029</f>
        <v>0.0</v>
      </c>
      <c r="O2029" s="22">
        <f>+N2029</f>
        <v>0.0</v>
      </c>
      <c r="P2029" s="22">
        <f>+N2029-O2029</f>
        <v>0.0</v>
      </c>
      <c r="Q2029" s="57"/>
      <c r="R2029" s="58"/>
    </row>
    <row r="2030" spans="8:8" ht="15.0" customHeight="1">
      <c r="B2030" s="54">
        <v>2174.0</v>
      </c>
      <c r="C2030" s="8"/>
      <c r="D2030" s="8"/>
      <c r="E2030" s="8"/>
      <c r="F2030" s="8"/>
      <c r="G2030" s="8"/>
      <c r="H2030" s="8"/>
      <c r="I2030" s="55"/>
      <c r="J2030" s="78" t="s">
        <v>5945</v>
      </c>
      <c r="K2030" s="22">
        <v>0.0</v>
      </c>
      <c r="L2030" s="22">
        <f>+SUMIF('حركه المخزن الرئيسي اليوميه'!$F:$F,$H:$H,'حركه المخزن الرئيسي اليوميه'!$H:$H)</f>
        <v>0.0</v>
      </c>
      <c r="M2030" s="22">
        <f>+SUMIF('حركه المخزن الرئيسي اليوميه'!$F:$F,$H:$H,'حركه المخزن الرئيسي اليوميه'!$I:$I)</f>
        <v>0.0</v>
      </c>
      <c r="N2030" s="22">
        <f>+K2030+L2030-M2030</f>
        <v>0.0</v>
      </c>
      <c r="O2030" s="22">
        <f>+N2030</f>
        <v>0.0</v>
      </c>
      <c r="P2030" s="22">
        <f>+N2030-O2030</f>
        <v>0.0</v>
      </c>
      <c r="Q2030" s="57"/>
      <c r="R2030" s="58"/>
    </row>
    <row r="2031" spans="8:8" ht="15.0" customHeight="1">
      <c r="B2031" s="54">
        <v>2175.0</v>
      </c>
      <c r="C2031" s="8"/>
      <c r="D2031" s="8"/>
      <c r="E2031" s="8"/>
      <c r="F2031" s="8"/>
      <c r="G2031" s="8"/>
      <c r="H2031" s="8"/>
      <c r="I2031" s="55"/>
      <c r="J2031" s="78" t="s">
        <v>5946</v>
      </c>
      <c r="K2031" s="22">
        <v>0.0</v>
      </c>
      <c r="L2031" s="22">
        <f>+SUMIF('حركه المخزن الرئيسي اليوميه'!$F:$F,$H:$H,'حركه المخزن الرئيسي اليوميه'!$H:$H)</f>
        <v>0.0</v>
      </c>
      <c r="M2031" s="22">
        <f>+SUMIF('حركه المخزن الرئيسي اليوميه'!$F:$F,$H:$H,'حركه المخزن الرئيسي اليوميه'!$I:$I)</f>
        <v>0.0</v>
      </c>
      <c r="N2031" s="22">
        <f>+K2031+L2031-M2031</f>
        <v>0.0</v>
      </c>
      <c r="O2031" s="22">
        <f>+N2031</f>
        <v>0.0</v>
      </c>
      <c r="P2031" s="22">
        <f>+N2031-O2031</f>
        <v>0.0</v>
      </c>
      <c r="Q2031" s="57"/>
      <c r="R2031" s="58"/>
    </row>
    <row r="2032" spans="8:8" ht="15.0" customHeight="1">
      <c r="B2032" s="54">
        <v>2176.0</v>
      </c>
      <c r="C2032" s="8"/>
      <c r="D2032" s="8"/>
      <c r="E2032" s="8"/>
      <c r="F2032" s="8"/>
      <c r="G2032" s="8"/>
      <c r="H2032" s="8"/>
      <c r="I2032" s="55"/>
      <c r="J2032" s="78" t="s">
        <v>5947</v>
      </c>
      <c r="K2032" s="22">
        <v>0.0</v>
      </c>
      <c r="L2032" s="22">
        <f>+SUMIF('حركه المخزن الرئيسي اليوميه'!$F:$F,$H:$H,'حركه المخزن الرئيسي اليوميه'!$H:$H)</f>
        <v>0.0</v>
      </c>
      <c r="M2032" s="22">
        <f>+SUMIF('حركه المخزن الرئيسي اليوميه'!$F:$F,$H:$H,'حركه المخزن الرئيسي اليوميه'!$I:$I)</f>
        <v>0.0</v>
      </c>
      <c r="N2032" s="22">
        <f>+K2032+L2032-M2032</f>
        <v>0.0</v>
      </c>
      <c r="O2032" s="22">
        <f>+N2032</f>
        <v>0.0</v>
      </c>
      <c r="P2032" s="22">
        <f>+N2032-O2032</f>
        <v>0.0</v>
      </c>
      <c r="Q2032" s="57"/>
      <c r="R2032" s="58"/>
    </row>
    <row r="2033" spans="8:8" ht="15.0" customHeight="1">
      <c r="B2033" s="54">
        <v>2177.0</v>
      </c>
      <c r="C2033" s="8"/>
      <c r="D2033" s="8"/>
      <c r="E2033" s="8"/>
      <c r="F2033" s="8"/>
      <c r="G2033" s="8"/>
      <c r="H2033" s="8"/>
      <c r="I2033" s="55"/>
      <c r="J2033" s="78" t="s">
        <v>5948</v>
      </c>
      <c r="K2033" s="22">
        <v>0.0</v>
      </c>
      <c r="L2033" s="22">
        <f>+SUMIF('حركه المخزن الرئيسي اليوميه'!$F:$F,$H:$H,'حركه المخزن الرئيسي اليوميه'!$H:$H)</f>
        <v>0.0</v>
      </c>
      <c r="M2033" s="22">
        <f>+SUMIF('حركه المخزن الرئيسي اليوميه'!$F:$F,$H:$H,'حركه المخزن الرئيسي اليوميه'!$I:$I)</f>
        <v>0.0</v>
      </c>
      <c r="N2033" s="22">
        <f>+K2033+L2033-M2033</f>
        <v>0.0</v>
      </c>
      <c r="O2033" s="22">
        <f>+N2033</f>
        <v>0.0</v>
      </c>
      <c r="P2033" s="22">
        <f>+N2033-O2033</f>
        <v>0.0</v>
      </c>
      <c r="Q2033" s="57"/>
      <c r="R2033" s="58"/>
    </row>
    <row r="2034" spans="8:8" ht="15.0" customHeight="1">
      <c r="B2034" s="54">
        <v>2178.0</v>
      </c>
      <c r="C2034" s="8"/>
      <c r="D2034" s="8"/>
      <c r="E2034" s="8"/>
      <c r="F2034" s="8"/>
      <c r="G2034" s="8"/>
      <c r="H2034" s="8"/>
      <c r="I2034" s="55"/>
      <c r="J2034" s="78" t="s">
        <v>5949</v>
      </c>
      <c r="K2034" s="22">
        <v>0.0</v>
      </c>
      <c r="L2034" s="22">
        <f>+SUMIF('حركه المخزن الرئيسي اليوميه'!$F:$F,$H:$H,'حركه المخزن الرئيسي اليوميه'!$H:$H)</f>
        <v>0.0</v>
      </c>
      <c r="M2034" s="22">
        <f>+SUMIF('حركه المخزن الرئيسي اليوميه'!$F:$F,$H:$H,'حركه المخزن الرئيسي اليوميه'!$I:$I)</f>
        <v>0.0</v>
      </c>
      <c r="N2034" s="22">
        <f>+K2034+L2034-M2034</f>
        <v>0.0</v>
      </c>
      <c r="O2034" s="22">
        <f>+N2034</f>
        <v>0.0</v>
      </c>
      <c r="P2034" s="22">
        <f>+N2034-O2034</f>
        <v>0.0</v>
      </c>
      <c r="Q2034" s="57"/>
      <c r="R2034" s="58"/>
    </row>
    <row r="2035" spans="8:8" ht="15.0" customHeight="1">
      <c r="B2035" s="54">
        <v>2179.0</v>
      </c>
      <c r="C2035" s="8"/>
      <c r="D2035" s="8"/>
      <c r="E2035" s="8"/>
      <c r="F2035" s="8"/>
      <c r="G2035" s="8"/>
      <c r="H2035" s="8"/>
      <c r="I2035" s="55"/>
      <c r="J2035" s="78" t="s">
        <v>5950</v>
      </c>
      <c r="K2035" s="22">
        <v>0.0</v>
      </c>
      <c r="L2035" s="22">
        <f>+SUMIF('حركه المخزن الرئيسي اليوميه'!$F:$F,$H:$H,'حركه المخزن الرئيسي اليوميه'!$H:$H)</f>
        <v>0.0</v>
      </c>
      <c r="M2035" s="22">
        <f>+SUMIF('حركه المخزن الرئيسي اليوميه'!$F:$F,$H:$H,'حركه المخزن الرئيسي اليوميه'!$I:$I)</f>
        <v>0.0</v>
      </c>
      <c r="N2035" s="22">
        <f>+K2035+L2035-M2035</f>
        <v>0.0</v>
      </c>
      <c r="O2035" s="22">
        <f>+N2035</f>
        <v>0.0</v>
      </c>
      <c r="P2035" s="22">
        <f>+N2035-O2035</f>
        <v>0.0</v>
      </c>
      <c r="Q2035" s="57"/>
      <c r="R2035" s="58"/>
    </row>
    <row r="2036" spans="8:8" ht="15.0" customHeight="1">
      <c r="B2036" s="54">
        <v>2180.0</v>
      </c>
      <c r="C2036" s="8"/>
      <c r="D2036" s="8"/>
      <c r="E2036" s="8"/>
      <c r="F2036" s="8"/>
      <c r="G2036" s="8"/>
      <c r="H2036" s="8"/>
      <c r="I2036" s="55"/>
      <c r="J2036" s="78" t="s">
        <v>5951</v>
      </c>
      <c r="K2036" s="22">
        <v>0.0</v>
      </c>
      <c r="L2036" s="22">
        <f>+SUMIF('حركه المخزن الرئيسي اليوميه'!$F:$F,$H:$H,'حركه المخزن الرئيسي اليوميه'!$H:$H)</f>
        <v>0.0</v>
      </c>
      <c r="M2036" s="22">
        <f>+SUMIF('حركه المخزن الرئيسي اليوميه'!$F:$F,$H:$H,'حركه المخزن الرئيسي اليوميه'!$I:$I)</f>
        <v>0.0</v>
      </c>
      <c r="N2036" s="22">
        <f>+K2036+L2036-M2036</f>
        <v>0.0</v>
      </c>
      <c r="O2036" s="22">
        <f>+N2036</f>
        <v>0.0</v>
      </c>
      <c r="P2036" s="22">
        <f>+N2036-O2036</f>
        <v>0.0</v>
      </c>
      <c r="Q2036" s="57"/>
      <c r="R2036" s="58"/>
    </row>
    <row r="2037" spans="8:8" ht="15.0" customHeight="1">
      <c r="B2037" s="54">
        <v>2181.0</v>
      </c>
      <c r="C2037" s="8"/>
      <c r="D2037" s="8"/>
      <c r="E2037" s="8"/>
      <c r="F2037" s="8"/>
      <c r="G2037" s="8"/>
      <c r="H2037" s="8"/>
      <c r="I2037" s="55"/>
      <c r="J2037" s="78" t="s">
        <v>5952</v>
      </c>
      <c r="K2037" s="22">
        <v>0.0</v>
      </c>
      <c r="L2037" s="22">
        <f>+SUMIF('حركه المخزن الرئيسي اليوميه'!$F:$F,$H:$H,'حركه المخزن الرئيسي اليوميه'!$H:$H)</f>
        <v>0.0</v>
      </c>
      <c r="M2037" s="22">
        <f>+SUMIF('حركه المخزن الرئيسي اليوميه'!$F:$F,$H:$H,'حركه المخزن الرئيسي اليوميه'!$I:$I)</f>
        <v>0.0</v>
      </c>
      <c r="N2037" s="22">
        <f>+K2037+L2037-M2037</f>
        <v>0.0</v>
      </c>
      <c r="O2037" s="22">
        <f>+N2037</f>
        <v>0.0</v>
      </c>
      <c r="P2037" s="22">
        <f>+N2037-O2037</f>
        <v>0.0</v>
      </c>
      <c r="Q2037" s="57"/>
      <c r="R2037" s="58"/>
    </row>
    <row r="2038" spans="8:8" ht="15.0" customHeight="1">
      <c r="B2038" s="54">
        <v>2182.0</v>
      </c>
      <c r="C2038" s="8"/>
      <c r="D2038" s="8"/>
      <c r="E2038" s="8"/>
      <c r="F2038" s="8"/>
      <c r="G2038" s="8"/>
      <c r="H2038" s="8"/>
      <c r="I2038" s="55"/>
      <c r="J2038" s="78" t="s">
        <v>5953</v>
      </c>
      <c r="K2038" s="22">
        <v>0.0</v>
      </c>
      <c r="L2038" s="22">
        <f>+SUMIF('حركه المخزن الرئيسي اليوميه'!$F:$F,$H:$H,'حركه المخزن الرئيسي اليوميه'!$H:$H)</f>
        <v>0.0</v>
      </c>
      <c r="M2038" s="22">
        <f>+SUMIF('حركه المخزن الرئيسي اليوميه'!$F:$F,$H:$H,'حركه المخزن الرئيسي اليوميه'!$I:$I)</f>
        <v>0.0</v>
      </c>
      <c r="N2038" s="22">
        <f>+K2038+L2038-M2038</f>
        <v>0.0</v>
      </c>
      <c r="O2038" s="22">
        <f>+N2038</f>
        <v>0.0</v>
      </c>
      <c r="P2038" s="22">
        <f>+N2038-O2038</f>
        <v>0.0</v>
      </c>
      <c r="Q2038" s="57"/>
      <c r="R2038" s="58"/>
    </row>
    <row r="2039" spans="8:8" ht="15.0" customHeight="1">
      <c r="B2039" s="54">
        <v>2183.0</v>
      </c>
      <c r="C2039" s="8"/>
      <c r="D2039" s="8"/>
      <c r="E2039" s="8"/>
      <c r="F2039" s="8"/>
      <c r="G2039" s="8"/>
      <c r="H2039" s="8"/>
      <c r="I2039" s="55"/>
      <c r="J2039" s="78" t="s">
        <v>5954</v>
      </c>
      <c r="K2039" s="22">
        <v>0.0</v>
      </c>
      <c r="L2039" s="22">
        <f>+SUMIF('حركه المخزن الرئيسي اليوميه'!$F:$F,$H:$H,'حركه المخزن الرئيسي اليوميه'!$H:$H)</f>
        <v>0.0</v>
      </c>
      <c r="M2039" s="22">
        <f>+SUMIF('حركه المخزن الرئيسي اليوميه'!$F:$F,$H:$H,'حركه المخزن الرئيسي اليوميه'!$I:$I)</f>
        <v>0.0</v>
      </c>
      <c r="N2039" s="22">
        <f>+K2039+L2039-M2039</f>
        <v>0.0</v>
      </c>
      <c r="O2039" s="22">
        <f>+N2039</f>
        <v>0.0</v>
      </c>
      <c r="P2039" s="22">
        <f>+N2039-O2039</f>
        <v>0.0</v>
      </c>
      <c r="Q2039" s="57"/>
      <c r="R2039" s="58"/>
    </row>
    <row r="2040" spans="8:8" ht="15.0" customHeight="1">
      <c r="B2040" s="54">
        <v>2184.0</v>
      </c>
      <c r="C2040" s="8"/>
      <c r="D2040" s="8"/>
      <c r="E2040" s="8"/>
      <c r="F2040" s="8"/>
      <c r="G2040" s="8"/>
      <c r="H2040" s="8"/>
      <c r="I2040" s="55"/>
      <c r="J2040" s="78" t="s">
        <v>5955</v>
      </c>
      <c r="K2040" s="22">
        <v>0.0</v>
      </c>
      <c r="L2040" s="22">
        <f>+SUMIF('حركه المخزن الرئيسي اليوميه'!$F:$F,$H:$H,'حركه المخزن الرئيسي اليوميه'!$H:$H)</f>
        <v>0.0</v>
      </c>
      <c r="M2040" s="22">
        <f>+SUMIF('حركه المخزن الرئيسي اليوميه'!$F:$F,$H:$H,'حركه المخزن الرئيسي اليوميه'!$I:$I)</f>
        <v>0.0</v>
      </c>
      <c r="N2040" s="22">
        <f>+K2040+L2040-M2040</f>
        <v>0.0</v>
      </c>
      <c r="O2040" s="22">
        <f>+N2040</f>
        <v>0.0</v>
      </c>
      <c r="P2040" s="22">
        <f>+N2040-O2040</f>
        <v>0.0</v>
      </c>
      <c r="Q2040" s="57"/>
      <c r="R2040" s="58"/>
    </row>
    <row r="2041" spans="8:8" ht="15.0" customHeight="1">
      <c r="B2041" s="54">
        <v>2185.0</v>
      </c>
      <c r="C2041" s="8"/>
      <c r="D2041" s="8"/>
      <c r="E2041" s="8"/>
      <c r="F2041" s="8"/>
      <c r="G2041" s="8"/>
      <c r="H2041" s="8"/>
      <c r="I2041" s="55"/>
      <c r="J2041" s="78" t="s">
        <v>5956</v>
      </c>
      <c r="K2041" s="22">
        <v>0.0</v>
      </c>
      <c r="L2041" s="22">
        <f>+SUMIF('حركه المخزن الرئيسي اليوميه'!$F:$F,$H:$H,'حركه المخزن الرئيسي اليوميه'!$H:$H)</f>
        <v>0.0</v>
      </c>
      <c r="M2041" s="22">
        <f>+SUMIF('حركه المخزن الرئيسي اليوميه'!$F:$F,$H:$H,'حركه المخزن الرئيسي اليوميه'!$I:$I)</f>
        <v>0.0</v>
      </c>
      <c r="N2041" s="22">
        <f>+K2041+L2041-M2041</f>
        <v>0.0</v>
      </c>
      <c r="O2041" s="22">
        <f>+N2041</f>
        <v>0.0</v>
      </c>
      <c r="P2041" s="22">
        <f>+N2041-O2041</f>
        <v>0.0</v>
      </c>
      <c r="Q2041" s="57"/>
      <c r="R2041" s="58"/>
    </row>
    <row r="2042" spans="8:8" ht="15.0" customHeight="1">
      <c r="B2042" s="54">
        <v>2186.0</v>
      </c>
      <c r="C2042" s="8"/>
      <c r="D2042" s="8"/>
      <c r="E2042" s="8"/>
      <c r="F2042" s="8"/>
      <c r="G2042" s="8"/>
      <c r="H2042" s="8"/>
      <c r="I2042" s="55"/>
      <c r="J2042" s="78" t="s">
        <v>5957</v>
      </c>
      <c r="K2042" s="22">
        <v>0.0</v>
      </c>
      <c r="L2042" s="22">
        <f>+SUMIF('حركه المخزن الرئيسي اليوميه'!$F:$F,$H:$H,'حركه المخزن الرئيسي اليوميه'!$H:$H)</f>
        <v>0.0</v>
      </c>
      <c r="M2042" s="22">
        <f>+SUMIF('حركه المخزن الرئيسي اليوميه'!$F:$F,$H:$H,'حركه المخزن الرئيسي اليوميه'!$I:$I)</f>
        <v>0.0</v>
      </c>
      <c r="N2042" s="22">
        <f>+K2042+L2042-M2042</f>
        <v>0.0</v>
      </c>
      <c r="O2042" s="22">
        <f>+N2042</f>
        <v>0.0</v>
      </c>
      <c r="P2042" s="22">
        <f>+N2042-O2042</f>
        <v>0.0</v>
      </c>
      <c r="Q2042" s="57"/>
      <c r="R2042" s="58"/>
    </row>
    <row r="2043" spans="8:8" ht="15.0" customHeight="1">
      <c r="B2043" s="54">
        <v>2187.0</v>
      </c>
      <c r="C2043" s="8"/>
      <c r="D2043" s="8"/>
      <c r="E2043" s="8"/>
      <c r="F2043" s="8"/>
      <c r="G2043" s="8"/>
      <c r="H2043" s="8"/>
      <c r="I2043" s="55"/>
      <c r="J2043" s="78" t="s">
        <v>5958</v>
      </c>
      <c r="K2043" s="22">
        <v>0.0</v>
      </c>
      <c r="L2043" s="22">
        <f>+SUMIF('حركه المخزن الرئيسي اليوميه'!$F:$F,$H:$H,'حركه المخزن الرئيسي اليوميه'!$H:$H)</f>
        <v>0.0</v>
      </c>
      <c r="M2043" s="22">
        <f>+SUMIF('حركه المخزن الرئيسي اليوميه'!$F:$F,$H:$H,'حركه المخزن الرئيسي اليوميه'!$I:$I)</f>
        <v>0.0</v>
      </c>
      <c r="N2043" s="22">
        <f>+K2043+L2043-M2043</f>
        <v>0.0</v>
      </c>
      <c r="O2043" s="22">
        <f>+N2043</f>
        <v>0.0</v>
      </c>
      <c r="P2043" s="22">
        <f>+N2043-O2043</f>
        <v>0.0</v>
      </c>
      <c r="Q2043" s="57"/>
      <c r="R2043" s="58"/>
    </row>
    <row r="2044" spans="8:8" ht="15.0" customHeight="1">
      <c r="B2044" s="54">
        <v>2188.0</v>
      </c>
      <c r="C2044" s="8"/>
      <c r="D2044" s="8"/>
      <c r="E2044" s="8"/>
      <c r="F2044" s="8"/>
      <c r="G2044" s="8"/>
      <c r="H2044" s="8"/>
      <c r="I2044" s="55"/>
      <c r="J2044" s="78" t="s">
        <v>5959</v>
      </c>
      <c r="K2044" s="22">
        <v>0.0</v>
      </c>
      <c r="L2044" s="22">
        <f>+SUMIF('حركه المخزن الرئيسي اليوميه'!$F:$F,$H:$H,'حركه المخزن الرئيسي اليوميه'!$H:$H)</f>
        <v>0.0</v>
      </c>
      <c r="M2044" s="22">
        <f>+SUMIF('حركه المخزن الرئيسي اليوميه'!$F:$F,$H:$H,'حركه المخزن الرئيسي اليوميه'!$I:$I)</f>
        <v>0.0</v>
      </c>
      <c r="N2044" s="22">
        <f>+K2044+L2044-M2044</f>
        <v>0.0</v>
      </c>
      <c r="O2044" s="22">
        <f>+N2044</f>
        <v>0.0</v>
      </c>
      <c r="P2044" s="22">
        <f>+N2044-O2044</f>
        <v>0.0</v>
      </c>
      <c r="Q2044" s="57"/>
      <c r="R2044" s="58"/>
    </row>
    <row r="2045" spans="8:8" ht="15.0" customHeight="1">
      <c r="B2045" s="54">
        <v>2189.0</v>
      </c>
      <c r="C2045" s="8"/>
      <c r="D2045" s="8"/>
      <c r="E2045" s="8"/>
      <c r="F2045" s="8"/>
      <c r="G2045" s="8"/>
      <c r="H2045" s="8"/>
      <c r="I2045" s="55"/>
      <c r="J2045" s="78" t="s">
        <v>5960</v>
      </c>
      <c r="K2045" s="22">
        <v>0.0</v>
      </c>
      <c r="L2045" s="22">
        <f>+SUMIF('حركه المخزن الرئيسي اليوميه'!$F:$F,$H:$H,'حركه المخزن الرئيسي اليوميه'!$H:$H)</f>
        <v>0.0</v>
      </c>
      <c r="M2045" s="22">
        <f>+SUMIF('حركه المخزن الرئيسي اليوميه'!$F:$F,$H:$H,'حركه المخزن الرئيسي اليوميه'!$I:$I)</f>
        <v>0.0</v>
      </c>
      <c r="N2045" s="22">
        <f>+K2045+L2045-M2045</f>
        <v>0.0</v>
      </c>
      <c r="O2045" s="22">
        <f>+N2045</f>
        <v>0.0</v>
      </c>
      <c r="P2045" s="22">
        <f>+N2045-O2045</f>
        <v>0.0</v>
      </c>
      <c r="Q2045" s="57"/>
      <c r="R2045" s="58"/>
    </row>
    <row r="2046" spans="8:8" ht="15.0" customHeight="1">
      <c r="B2046" s="54">
        <v>2190.0</v>
      </c>
      <c r="C2046" s="8"/>
      <c r="D2046" s="8"/>
      <c r="E2046" s="8"/>
      <c r="F2046" s="8"/>
      <c r="G2046" s="8"/>
      <c r="H2046" s="8"/>
      <c r="I2046" s="55"/>
      <c r="J2046" s="78" t="s">
        <v>5961</v>
      </c>
      <c r="K2046" s="22">
        <v>0.0</v>
      </c>
      <c r="L2046" s="22">
        <f>+SUMIF('حركه المخزن الرئيسي اليوميه'!$F:$F,$H:$H,'حركه المخزن الرئيسي اليوميه'!$H:$H)</f>
        <v>0.0</v>
      </c>
      <c r="M2046" s="22">
        <f>+SUMIF('حركه المخزن الرئيسي اليوميه'!$F:$F,$H:$H,'حركه المخزن الرئيسي اليوميه'!$I:$I)</f>
        <v>0.0</v>
      </c>
      <c r="N2046" s="22">
        <f>+K2046+L2046-M2046</f>
        <v>0.0</v>
      </c>
      <c r="O2046" s="22">
        <f>+N2046</f>
        <v>0.0</v>
      </c>
      <c r="P2046" s="22">
        <f>+N2046-O2046</f>
        <v>0.0</v>
      </c>
      <c r="Q2046" s="57"/>
      <c r="R2046" s="58"/>
    </row>
    <row r="2047" spans="8:8" ht="15.0" customHeight="1">
      <c r="B2047" s="54">
        <v>2191.0</v>
      </c>
      <c r="C2047" s="8"/>
      <c r="D2047" s="8"/>
      <c r="E2047" s="8"/>
      <c r="F2047" s="8"/>
      <c r="G2047" s="8"/>
      <c r="H2047" s="8"/>
      <c r="I2047" s="55"/>
      <c r="J2047" s="78" t="s">
        <v>5962</v>
      </c>
      <c r="K2047" s="22">
        <v>0.0</v>
      </c>
      <c r="L2047" s="22">
        <f>+SUMIF('حركه المخزن الرئيسي اليوميه'!$F:$F,$H:$H,'حركه المخزن الرئيسي اليوميه'!$H:$H)</f>
        <v>0.0</v>
      </c>
      <c r="M2047" s="22">
        <f>+SUMIF('حركه المخزن الرئيسي اليوميه'!$F:$F,$H:$H,'حركه المخزن الرئيسي اليوميه'!$I:$I)</f>
        <v>0.0</v>
      </c>
      <c r="N2047" s="22">
        <f>+K2047+L2047-M2047</f>
        <v>0.0</v>
      </c>
      <c r="O2047" s="22">
        <f>+N2047</f>
        <v>0.0</v>
      </c>
      <c r="P2047" s="22">
        <f>+N2047-O2047</f>
        <v>0.0</v>
      </c>
      <c r="Q2047" s="57"/>
      <c r="R2047" s="58"/>
    </row>
    <row r="2048" spans="8:8" ht="15.0" customHeight="1">
      <c r="B2048" s="54">
        <v>2192.0</v>
      </c>
      <c r="C2048" s="8"/>
      <c r="D2048" s="8"/>
      <c r="E2048" s="8"/>
      <c r="F2048" s="8"/>
      <c r="G2048" s="8"/>
      <c r="H2048" s="8"/>
      <c r="I2048" s="55"/>
      <c r="J2048" s="78" t="s">
        <v>5963</v>
      </c>
      <c r="K2048" s="22">
        <v>0.0</v>
      </c>
      <c r="L2048" s="22">
        <f>+SUMIF('حركه المخزن الرئيسي اليوميه'!$F:$F,$H:$H,'حركه المخزن الرئيسي اليوميه'!$H:$H)</f>
        <v>0.0</v>
      </c>
      <c r="M2048" s="22">
        <f>+SUMIF('حركه المخزن الرئيسي اليوميه'!$F:$F,$H:$H,'حركه المخزن الرئيسي اليوميه'!$I:$I)</f>
        <v>0.0</v>
      </c>
      <c r="N2048" s="22">
        <f>+K2048+L2048-M2048</f>
        <v>0.0</v>
      </c>
      <c r="O2048" s="22">
        <f>+N2048</f>
        <v>0.0</v>
      </c>
      <c r="P2048" s="22">
        <f>+N2048-O2048</f>
        <v>0.0</v>
      </c>
      <c r="Q2048" s="57"/>
      <c r="R2048" s="58"/>
    </row>
    <row r="2049" spans="8:8" ht="15.0" customHeight="1">
      <c r="B2049" s="54">
        <v>2193.0</v>
      </c>
      <c r="C2049" s="8"/>
      <c r="D2049" s="8"/>
      <c r="E2049" s="8"/>
      <c r="F2049" s="8"/>
      <c r="G2049" s="8"/>
      <c r="H2049" s="8"/>
      <c r="I2049" s="55"/>
      <c r="J2049" s="78" t="s">
        <v>5964</v>
      </c>
      <c r="K2049" s="22">
        <v>0.0</v>
      </c>
      <c r="L2049" s="22">
        <f>+SUMIF('حركه المخزن الرئيسي اليوميه'!$F:$F,$H:$H,'حركه المخزن الرئيسي اليوميه'!$H:$H)</f>
        <v>0.0</v>
      </c>
      <c r="M2049" s="22">
        <f>+SUMIF('حركه المخزن الرئيسي اليوميه'!$F:$F,$H:$H,'حركه المخزن الرئيسي اليوميه'!$I:$I)</f>
        <v>0.0</v>
      </c>
      <c r="N2049" s="22">
        <f>+K2049+L2049-M2049</f>
        <v>0.0</v>
      </c>
      <c r="O2049" s="22">
        <f>+N2049</f>
        <v>0.0</v>
      </c>
      <c r="P2049" s="22">
        <f>+N2049-O2049</f>
        <v>0.0</v>
      </c>
      <c r="Q2049" s="57"/>
      <c r="R2049" s="58"/>
    </row>
    <row r="2050" spans="8:8" ht="15.0" customHeight="1">
      <c r="B2050" s="54">
        <v>2194.0</v>
      </c>
      <c r="C2050" s="8"/>
      <c r="D2050" s="8"/>
      <c r="E2050" s="8"/>
      <c r="F2050" s="8"/>
      <c r="G2050" s="8"/>
      <c r="H2050" s="8"/>
      <c r="I2050" s="55"/>
      <c r="J2050" s="78" t="s">
        <v>5965</v>
      </c>
      <c r="K2050" s="22">
        <v>0.0</v>
      </c>
      <c r="L2050" s="22">
        <f>+SUMIF('حركه المخزن الرئيسي اليوميه'!$F:$F,$H:$H,'حركه المخزن الرئيسي اليوميه'!$H:$H)</f>
        <v>0.0</v>
      </c>
      <c r="M2050" s="22">
        <f>+SUMIF('حركه المخزن الرئيسي اليوميه'!$F:$F,$H:$H,'حركه المخزن الرئيسي اليوميه'!$I:$I)</f>
        <v>0.0</v>
      </c>
      <c r="N2050" s="22">
        <f>+K2050+L2050-M2050</f>
        <v>0.0</v>
      </c>
      <c r="O2050" s="22">
        <f>+N2050</f>
        <v>0.0</v>
      </c>
      <c r="P2050" s="22">
        <f>+N2050-O2050</f>
        <v>0.0</v>
      </c>
      <c r="Q2050" s="57"/>
      <c r="R2050" s="58"/>
    </row>
    <row r="2051" spans="8:8" ht="15.0" customHeight="1">
      <c r="B2051" s="54">
        <v>2195.0</v>
      </c>
      <c r="C2051" s="8"/>
      <c r="D2051" s="8"/>
      <c r="E2051" s="8"/>
      <c r="F2051" s="8"/>
      <c r="G2051" s="8"/>
      <c r="H2051" s="8"/>
      <c r="I2051" s="55"/>
      <c r="J2051" s="78" t="s">
        <v>5966</v>
      </c>
      <c r="K2051" s="22">
        <v>0.0</v>
      </c>
      <c r="L2051" s="22">
        <f>+SUMIF('حركه المخزن الرئيسي اليوميه'!$F:$F,$H:$H,'حركه المخزن الرئيسي اليوميه'!$H:$H)</f>
        <v>0.0</v>
      </c>
      <c r="M2051" s="22">
        <f>+SUMIF('حركه المخزن الرئيسي اليوميه'!$F:$F,$H:$H,'حركه المخزن الرئيسي اليوميه'!$I:$I)</f>
        <v>0.0</v>
      </c>
      <c r="N2051" s="22">
        <f>+K2051+L2051-M2051</f>
        <v>0.0</v>
      </c>
      <c r="O2051" s="22">
        <f>+N2051</f>
        <v>0.0</v>
      </c>
      <c r="P2051" s="22">
        <f>+N2051-O2051</f>
        <v>0.0</v>
      </c>
      <c r="Q2051" s="57"/>
      <c r="R2051" s="58"/>
    </row>
    <row r="2052" spans="8:8" ht="15.0" customHeight="1">
      <c r="B2052" s="54">
        <v>2196.0</v>
      </c>
      <c r="C2052" s="8"/>
      <c r="D2052" s="8"/>
      <c r="E2052" s="8"/>
      <c r="F2052" s="8"/>
      <c r="G2052" s="8"/>
      <c r="H2052" s="8"/>
      <c r="I2052" s="55"/>
      <c r="J2052" s="78" t="s">
        <v>5967</v>
      </c>
      <c r="K2052" s="22">
        <v>0.0</v>
      </c>
      <c r="L2052" s="22">
        <f>+SUMIF('حركه المخزن الرئيسي اليوميه'!$F:$F,$H:$H,'حركه المخزن الرئيسي اليوميه'!$H:$H)</f>
        <v>0.0</v>
      </c>
      <c r="M2052" s="22">
        <f>+SUMIF('حركه المخزن الرئيسي اليوميه'!$F:$F,$H:$H,'حركه المخزن الرئيسي اليوميه'!$I:$I)</f>
        <v>0.0</v>
      </c>
      <c r="N2052" s="22">
        <f>+K2052+L2052-M2052</f>
        <v>0.0</v>
      </c>
      <c r="O2052" s="22">
        <f>+N2052</f>
        <v>0.0</v>
      </c>
      <c r="P2052" s="22">
        <f>+N2052-O2052</f>
        <v>0.0</v>
      </c>
      <c r="Q2052" s="57"/>
      <c r="R2052" s="58"/>
    </row>
    <row r="2053" spans="8:8" ht="15.0" customHeight="1">
      <c r="B2053" s="54">
        <v>2197.0</v>
      </c>
      <c r="C2053" s="8"/>
      <c r="D2053" s="8"/>
      <c r="E2053" s="8"/>
      <c r="F2053" s="8"/>
      <c r="G2053" s="8"/>
      <c r="H2053" s="8"/>
      <c r="I2053" s="55"/>
      <c r="J2053" s="78" t="s">
        <v>5968</v>
      </c>
      <c r="K2053" s="22">
        <v>0.0</v>
      </c>
      <c r="L2053" s="22">
        <f>+SUMIF('حركه المخزن الرئيسي اليوميه'!$F:$F,$H:$H,'حركه المخزن الرئيسي اليوميه'!$H:$H)</f>
        <v>0.0</v>
      </c>
      <c r="M2053" s="22">
        <f>+SUMIF('حركه المخزن الرئيسي اليوميه'!$F:$F,$H:$H,'حركه المخزن الرئيسي اليوميه'!$I:$I)</f>
        <v>0.0</v>
      </c>
      <c r="N2053" s="22">
        <f>+K2053+L2053-M2053</f>
        <v>0.0</v>
      </c>
      <c r="O2053" s="22">
        <f>+N2053</f>
        <v>0.0</v>
      </c>
      <c r="P2053" s="22">
        <f>+N2053-O2053</f>
        <v>0.0</v>
      </c>
      <c r="Q2053" s="57"/>
      <c r="R2053" s="58"/>
    </row>
    <row r="2054" spans="8:8" ht="15.0" customHeight="1">
      <c r="B2054" s="54">
        <v>2198.0</v>
      </c>
      <c r="C2054" s="8"/>
      <c r="D2054" s="8"/>
      <c r="E2054" s="8"/>
      <c r="F2054" s="8"/>
      <c r="G2054" s="8"/>
      <c r="H2054" s="8"/>
      <c r="I2054" s="55"/>
      <c r="J2054" s="78" t="s">
        <v>5969</v>
      </c>
      <c r="K2054" s="22">
        <v>0.0</v>
      </c>
      <c r="L2054" s="22">
        <f>+SUMIF('حركه المخزن الرئيسي اليوميه'!$F:$F,$H:$H,'حركه المخزن الرئيسي اليوميه'!$H:$H)</f>
        <v>0.0</v>
      </c>
      <c r="M2054" s="22">
        <f>+SUMIF('حركه المخزن الرئيسي اليوميه'!$F:$F,$H:$H,'حركه المخزن الرئيسي اليوميه'!$I:$I)</f>
        <v>0.0</v>
      </c>
      <c r="N2054" s="22">
        <f>+K2054+L2054-M2054</f>
        <v>0.0</v>
      </c>
      <c r="O2054" s="22">
        <f>+N2054</f>
        <v>0.0</v>
      </c>
      <c r="P2054" s="22">
        <f>+N2054-O2054</f>
        <v>0.0</v>
      </c>
      <c r="Q2054" s="57"/>
      <c r="R2054" s="58"/>
    </row>
    <row r="2055" spans="8:8" ht="15.0" customHeight="1">
      <c r="B2055" s="54">
        <v>2199.0</v>
      </c>
      <c r="C2055" s="8"/>
      <c r="D2055" s="8"/>
      <c r="E2055" s="8"/>
      <c r="F2055" s="8"/>
      <c r="G2055" s="8"/>
      <c r="H2055" s="8"/>
      <c r="I2055" s="55"/>
      <c r="J2055" s="78" t="s">
        <v>5970</v>
      </c>
      <c r="K2055" s="22">
        <v>0.0</v>
      </c>
      <c r="L2055" s="22">
        <f>+SUMIF('حركه المخزن الرئيسي اليوميه'!$F:$F,$H:$H,'حركه المخزن الرئيسي اليوميه'!$H:$H)</f>
        <v>0.0</v>
      </c>
      <c r="M2055" s="22">
        <f>+SUMIF('حركه المخزن الرئيسي اليوميه'!$F:$F,$H:$H,'حركه المخزن الرئيسي اليوميه'!$I:$I)</f>
        <v>0.0</v>
      </c>
      <c r="N2055" s="22">
        <f>+K2055+L2055-M2055</f>
        <v>0.0</v>
      </c>
      <c r="O2055" s="22">
        <f>+N2055</f>
        <v>0.0</v>
      </c>
      <c r="P2055" s="22">
        <f>+N2055-O2055</f>
        <v>0.0</v>
      </c>
      <c r="Q2055" s="57"/>
      <c r="R2055" s="58"/>
    </row>
    <row r="2056" spans="8:8" ht="15.0" customHeight="1">
      <c r="B2056" s="54">
        <v>2200.0</v>
      </c>
      <c r="C2056" s="8"/>
      <c r="D2056" s="8"/>
      <c r="E2056" s="8"/>
      <c r="F2056" s="8"/>
      <c r="G2056" s="8"/>
      <c r="H2056" s="8"/>
      <c r="I2056" s="55"/>
      <c r="J2056" s="78" t="s">
        <v>5971</v>
      </c>
      <c r="K2056" s="22">
        <v>0.0</v>
      </c>
      <c r="L2056" s="22">
        <f>+SUMIF('حركه المخزن الرئيسي اليوميه'!$F:$F,$H:$H,'حركه المخزن الرئيسي اليوميه'!$H:$H)</f>
        <v>0.0</v>
      </c>
      <c r="M2056" s="22">
        <f>+SUMIF('حركه المخزن الرئيسي اليوميه'!$F:$F,$H:$H,'حركه المخزن الرئيسي اليوميه'!$I:$I)</f>
        <v>0.0</v>
      </c>
      <c r="N2056" s="22">
        <f>+K2056+L2056-M2056</f>
        <v>0.0</v>
      </c>
      <c r="O2056" s="22">
        <f>+N2056</f>
        <v>0.0</v>
      </c>
      <c r="P2056" s="22">
        <f>+N2056-O2056</f>
        <v>0.0</v>
      </c>
      <c r="Q2056" s="57"/>
      <c r="R2056" s="58"/>
    </row>
    <row r="2057" spans="8:8" ht="15.0" customHeight="1">
      <c r="B2057" s="54">
        <v>2201.0</v>
      </c>
      <c r="C2057" s="8"/>
      <c r="D2057" s="8"/>
      <c r="E2057" s="8"/>
      <c r="F2057" s="8"/>
      <c r="G2057" s="8"/>
      <c r="H2057" s="8"/>
      <c r="I2057" s="55"/>
      <c r="J2057" s="78" t="s">
        <v>5972</v>
      </c>
      <c r="K2057" s="22">
        <v>0.0</v>
      </c>
      <c r="L2057" s="22">
        <f>+SUMIF('حركه المخزن الرئيسي اليوميه'!$F:$F,$H:$H,'حركه المخزن الرئيسي اليوميه'!$H:$H)</f>
        <v>0.0</v>
      </c>
      <c r="M2057" s="22">
        <f>+SUMIF('حركه المخزن الرئيسي اليوميه'!$F:$F,$H:$H,'حركه المخزن الرئيسي اليوميه'!$I:$I)</f>
        <v>0.0</v>
      </c>
      <c r="N2057" s="22">
        <f>+K2057+L2057-M2057</f>
        <v>0.0</v>
      </c>
      <c r="O2057" s="22">
        <f>+N2057</f>
        <v>0.0</v>
      </c>
      <c r="P2057" s="22">
        <f>+N2057-O2057</f>
        <v>0.0</v>
      </c>
      <c r="Q2057" s="57"/>
      <c r="R2057" s="58"/>
    </row>
    <row r="2058" spans="8:8" ht="15.0" customHeight="1">
      <c r="B2058" s="54">
        <v>2202.0</v>
      </c>
      <c r="C2058" s="8"/>
      <c r="D2058" s="8"/>
      <c r="E2058" s="8"/>
      <c r="F2058" s="8"/>
      <c r="G2058" s="8"/>
      <c r="H2058" s="8"/>
      <c r="I2058" s="55"/>
      <c r="J2058" s="78" t="s">
        <v>5973</v>
      </c>
      <c r="K2058" s="22">
        <v>0.0</v>
      </c>
      <c r="L2058" s="22">
        <f>+SUMIF('حركه المخزن الرئيسي اليوميه'!$F:$F,$H:$H,'حركه المخزن الرئيسي اليوميه'!$H:$H)</f>
        <v>0.0</v>
      </c>
      <c r="M2058" s="22">
        <f>+SUMIF('حركه المخزن الرئيسي اليوميه'!$F:$F,$H:$H,'حركه المخزن الرئيسي اليوميه'!$I:$I)</f>
        <v>0.0</v>
      </c>
      <c r="N2058" s="22">
        <f>+K2058+L2058-M2058</f>
        <v>0.0</v>
      </c>
      <c r="O2058" s="22">
        <f>+N2058</f>
        <v>0.0</v>
      </c>
      <c r="P2058" s="22">
        <f>+N2058-O2058</f>
        <v>0.0</v>
      </c>
      <c r="Q2058" s="57"/>
      <c r="R2058" s="58"/>
    </row>
    <row r="2059" spans="8:8" ht="15.0" customHeight="1">
      <c r="B2059" s="54">
        <v>2203.0</v>
      </c>
      <c r="C2059" s="8"/>
      <c r="D2059" s="8"/>
      <c r="E2059" s="8"/>
      <c r="F2059" s="8"/>
      <c r="G2059" s="8"/>
      <c r="H2059" s="8"/>
      <c r="I2059" s="55"/>
      <c r="J2059" s="78" t="s">
        <v>5974</v>
      </c>
      <c r="K2059" s="22">
        <v>0.0</v>
      </c>
      <c r="L2059" s="22">
        <f>+SUMIF('حركه المخزن الرئيسي اليوميه'!$F:$F,$H:$H,'حركه المخزن الرئيسي اليوميه'!$H:$H)</f>
        <v>0.0</v>
      </c>
      <c r="M2059" s="22">
        <f>+SUMIF('حركه المخزن الرئيسي اليوميه'!$F:$F,$H:$H,'حركه المخزن الرئيسي اليوميه'!$I:$I)</f>
        <v>0.0</v>
      </c>
      <c r="N2059" s="22">
        <f>+K2059+L2059-M2059</f>
        <v>0.0</v>
      </c>
      <c r="O2059" s="22">
        <f>+N2059</f>
        <v>0.0</v>
      </c>
      <c r="P2059" s="22">
        <f>+N2059-O2059</f>
        <v>0.0</v>
      </c>
      <c r="Q2059" s="57"/>
      <c r="R2059" s="58"/>
    </row>
    <row r="2060" spans="8:8" ht="15.0" customHeight="1">
      <c r="B2060" s="54">
        <v>2204.0</v>
      </c>
      <c r="C2060" s="8"/>
      <c r="D2060" s="8"/>
      <c r="E2060" s="8"/>
      <c r="F2060" s="8"/>
      <c r="G2060" s="8"/>
      <c r="H2060" s="8"/>
      <c r="I2060" s="55"/>
      <c r="J2060" s="78" t="s">
        <v>5975</v>
      </c>
      <c r="K2060" s="22">
        <v>0.0</v>
      </c>
      <c r="L2060" s="22">
        <f>+SUMIF('حركه المخزن الرئيسي اليوميه'!$F:$F,$H:$H,'حركه المخزن الرئيسي اليوميه'!$H:$H)</f>
        <v>0.0</v>
      </c>
      <c r="M2060" s="22">
        <f>+SUMIF('حركه المخزن الرئيسي اليوميه'!$F:$F,$H:$H,'حركه المخزن الرئيسي اليوميه'!$I:$I)</f>
        <v>0.0</v>
      </c>
      <c r="N2060" s="22">
        <f>+K2060+L2060-M2060</f>
        <v>0.0</v>
      </c>
      <c r="O2060" s="22">
        <f>+N2060</f>
        <v>0.0</v>
      </c>
      <c r="P2060" s="22">
        <f>+N2060-O2060</f>
        <v>0.0</v>
      </c>
      <c r="Q2060" s="57"/>
      <c r="R2060" s="58"/>
    </row>
    <row r="2061" spans="8:8" ht="15.0" customHeight="1">
      <c r="B2061" s="54">
        <v>2205.0</v>
      </c>
      <c r="C2061" s="8"/>
      <c r="D2061" s="8"/>
      <c r="E2061" s="8"/>
      <c r="F2061" s="8"/>
      <c r="G2061" s="8"/>
      <c r="H2061" s="8"/>
      <c r="I2061" s="55"/>
      <c r="J2061" s="78" t="s">
        <v>5976</v>
      </c>
      <c r="K2061" s="22">
        <v>0.0</v>
      </c>
      <c r="L2061" s="22">
        <f>+SUMIF('حركه المخزن الرئيسي اليوميه'!$F:$F,$H:$H,'حركه المخزن الرئيسي اليوميه'!$H:$H)</f>
        <v>0.0</v>
      </c>
      <c r="M2061" s="22">
        <f>+SUMIF('حركه المخزن الرئيسي اليوميه'!$F:$F,$H:$H,'حركه المخزن الرئيسي اليوميه'!$I:$I)</f>
        <v>0.0</v>
      </c>
      <c r="N2061" s="22">
        <f>+K2061+L2061-M2061</f>
        <v>0.0</v>
      </c>
      <c r="O2061" s="22">
        <f>+N2061</f>
        <v>0.0</v>
      </c>
      <c r="P2061" s="22">
        <f>+N2061-O2061</f>
        <v>0.0</v>
      </c>
      <c r="Q2061" s="57"/>
      <c r="R2061" s="58"/>
    </row>
    <row r="2062" spans="8:8" ht="15.0" customHeight="1">
      <c r="B2062" s="54">
        <v>2206.0</v>
      </c>
      <c r="C2062" s="8"/>
      <c r="D2062" s="8"/>
      <c r="E2062" s="8"/>
      <c r="F2062" s="8"/>
      <c r="G2062" s="8"/>
      <c r="H2062" s="8"/>
      <c r="I2062" s="55"/>
      <c r="J2062" s="78" t="s">
        <v>5977</v>
      </c>
      <c r="K2062" s="22">
        <v>0.0</v>
      </c>
      <c r="L2062" s="22">
        <f>+SUMIF('حركه المخزن الرئيسي اليوميه'!$F:$F,$H:$H,'حركه المخزن الرئيسي اليوميه'!$H:$H)</f>
        <v>0.0</v>
      </c>
      <c r="M2062" s="22">
        <f>+SUMIF('حركه المخزن الرئيسي اليوميه'!$F:$F,$H:$H,'حركه المخزن الرئيسي اليوميه'!$I:$I)</f>
        <v>0.0</v>
      </c>
      <c r="N2062" s="22">
        <f>+K2062+L2062-M2062</f>
        <v>0.0</v>
      </c>
      <c r="O2062" s="22">
        <f>+N2062</f>
        <v>0.0</v>
      </c>
      <c r="P2062" s="22">
        <f>+N2062-O2062</f>
        <v>0.0</v>
      </c>
      <c r="Q2062" s="57"/>
      <c r="R2062" s="58"/>
    </row>
    <row r="2063" spans="8:8" ht="15.0" customHeight="1">
      <c r="B2063" s="54">
        <v>2207.0</v>
      </c>
      <c r="C2063" s="8"/>
      <c r="D2063" s="8"/>
      <c r="E2063" s="8"/>
      <c r="F2063" s="8"/>
      <c r="G2063" s="8"/>
      <c r="H2063" s="8"/>
      <c r="I2063" s="55"/>
      <c r="J2063" s="78" t="s">
        <v>5978</v>
      </c>
      <c r="K2063" s="22">
        <v>0.0</v>
      </c>
      <c r="L2063" s="22">
        <f>+SUMIF('حركه المخزن الرئيسي اليوميه'!$F:$F,$H:$H,'حركه المخزن الرئيسي اليوميه'!$H:$H)</f>
        <v>0.0</v>
      </c>
      <c r="M2063" s="22">
        <f>+SUMIF('حركه المخزن الرئيسي اليوميه'!$F:$F,$H:$H,'حركه المخزن الرئيسي اليوميه'!$I:$I)</f>
        <v>0.0</v>
      </c>
      <c r="N2063" s="22">
        <f>+K2063+L2063-M2063</f>
        <v>0.0</v>
      </c>
      <c r="O2063" s="22">
        <f>+N2063</f>
        <v>0.0</v>
      </c>
      <c r="P2063" s="22">
        <f>+N2063-O2063</f>
        <v>0.0</v>
      </c>
      <c r="Q2063" s="57"/>
      <c r="R2063" s="58"/>
    </row>
    <row r="2064" spans="8:8" ht="15.0" customHeight="1">
      <c r="B2064" s="54">
        <v>2208.0</v>
      </c>
      <c r="C2064" s="8"/>
      <c r="D2064" s="8"/>
      <c r="E2064" s="8"/>
      <c r="F2064" s="8"/>
      <c r="G2064" s="8"/>
      <c r="H2064" s="8"/>
      <c r="I2064" s="55"/>
      <c r="J2064" s="78" t="s">
        <v>5979</v>
      </c>
      <c r="K2064" s="22">
        <v>0.0</v>
      </c>
      <c r="L2064" s="22">
        <f>+SUMIF('حركه المخزن الرئيسي اليوميه'!$F:$F,$H:$H,'حركه المخزن الرئيسي اليوميه'!$H:$H)</f>
        <v>0.0</v>
      </c>
      <c r="M2064" s="22">
        <f>+SUMIF('حركه المخزن الرئيسي اليوميه'!$F:$F,$H:$H,'حركه المخزن الرئيسي اليوميه'!$I:$I)</f>
        <v>0.0</v>
      </c>
      <c r="N2064" s="22">
        <f>+K2064+L2064-M2064</f>
        <v>0.0</v>
      </c>
      <c r="O2064" s="22">
        <f>+N2064</f>
        <v>0.0</v>
      </c>
      <c r="P2064" s="22">
        <f>+N2064-O2064</f>
        <v>0.0</v>
      </c>
      <c r="Q2064" s="57"/>
      <c r="R2064" s="58"/>
    </row>
    <row r="2065" spans="8:8" ht="15.0" customHeight="1">
      <c r="B2065" s="54">
        <v>2209.0</v>
      </c>
      <c r="C2065" s="8"/>
      <c r="D2065" s="8"/>
      <c r="E2065" s="8"/>
      <c r="F2065" s="8"/>
      <c r="G2065" s="8"/>
      <c r="H2065" s="8"/>
      <c r="I2065" s="55"/>
      <c r="J2065" s="78" t="s">
        <v>5980</v>
      </c>
      <c r="K2065" s="22">
        <v>0.0</v>
      </c>
      <c r="L2065" s="22">
        <f>+SUMIF('حركه المخزن الرئيسي اليوميه'!$F:$F,$H:$H,'حركه المخزن الرئيسي اليوميه'!$H:$H)</f>
        <v>0.0</v>
      </c>
      <c r="M2065" s="22">
        <f>+SUMIF('حركه المخزن الرئيسي اليوميه'!$F:$F,$H:$H,'حركه المخزن الرئيسي اليوميه'!$I:$I)</f>
        <v>0.0</v>
      </c>
      <c r="N2065" s="22">
        <f>+K2065+L2065-M2065</f>
        <v>0.0</v>
      </c>
      <c r="O2065" s="22">
        <f>+N2065</f>
        <v>0.0</v>
      </c>
      <c r="P2065" s="22">
        <f>+N2065-O2065</f>
        <v>0.0</v>
      </c>
      <c r="Q2065" s="57"/>
      <c r="R2065" s="58"/>
    </row>
    <row r="2066" spans="8:8" ht="15.0" customHeight="1">
      <c r="B2066" s="54">
        <v>2210.0</v>
      </c>
      <c r="C2066" s="8"/>
      <c r="D2066" s="8"/>
      <c r="E2066" s="8"/>
      <c r="F2066" s="8"/>
      <c r="G2066" s="8"/>
      <c r="H2066" s="8"/>
      <c r="I2066" s="55"/>
      <c r="J2066" s="78" t="s">
        <v>5981</v>
      </c>
      <c r="K2066" s="22">
        <v>0.0</v>
      </c>
      <c r="L2066" s="22">
        <f>+SUMIF('حركه المخزن الرئيسي اليوميه'!$F:$F,$H:$H,'حركه المخزن الرئيسي اليوميه'!$H:$H)</f>
        <v>0.0</v>
      </c>
      <c r="M2066" s="22">
        <f>+SUMIF('حركه المخزن الرئيسي اليوميه'!$F:$F,$H:$H,'حركه المخزن الرئيسي اليوميه'!$I:$I)</f>
        <v>0.0</v>
      </c>
      <c r="N2066" s="22">
        <f>+K2066+L2066-M2066</f>
        <v>0.0</v>
      </c>
      <c r="O2066" s="22">
        <f>+N2066</f>
        <v>0.0</v>
      </c>
      <c r="P2066" s="22">
        <f>+N2066-O2066</f>
        <v>0.0</v>
      </c>
      <c r="Q2066" s="57"/>
      <c r="R2066" s="58"/>
    </row>
    <row r="2067" spans="8:8" ht="15.0" customHeight="1">
      <c r="B2067" s="54">
        <v>2211.0</v>
      </c>
      <c r="C2067" s="8"/>
      <c r="D2067" s="8"/>
      <c r="E2067" s="8"/>
      <c r="F2067" s="8"/>
      <c r="G2067" s="8"/>
      <c r="H2067" s="8"/>
      <c r="I2067" s="55"/>
      <c r="J2067" s="78" t="s">
        <v>5982</v>
      </c>
      <c r="K2067" s="22">
        <v>0.0</v>
      </c>
      <c r="L2067" s="22">
        <f>+SUMIF('حركه المخزن الرئيسي اليوميه'!$F:$F,$H:$H,'حركه المخزن الرئيسي اليوميه'!$H:$H)</f>
        <v>0.0</v>
      </c>
      <c r="M2067" s="22">
        <f>+SUMIF('حركه المخزن الرئيسي اليوميه'!$F:$F,$H:$H,'حركه المخزن الرئيسي اليوميه'!$I:$I)</f>
        <v>0.0</v>
      </c>
      <c r="N2067" s="22">
        <f>+K2067+L2067-M2067</f>
        <v>0.0</v>
      </c>
      <c r="O2067" s="22">
        <f>+N2067</f>
        <v>0.0</v>
      </c>
      <c r="P2067" s="22">
        <f>+N2067-O2067</f>
        <v>0.0</v>
      </c>
      <c r="Q2067" s="57"/>
      <c r="R2067" s="58"/>
    </row>
    <row r="2068" spans="8:8" ht="15.0" customHeight="1">
      <c r="B2068" s="54">
        <v>2212.0</v>
      </c>
      <c r="C2068" s="8"/>
      <c r="D2068" s="8"/>
      <c r="E2068" s="8"/>
      <c r="F2068" s="8"/>
      <c r="G2068" s="8"/>
      <c r="H2068" s="8"/>
      <c r="I2068" s="55"/>
      <c r="J2068" s="78" t="s">
        <v>5983</v>
      </c>
      <c r="K2068" s="22">
        <v>0.0</v>
      </c>
      <c r="L2068" s="22">
        <f>+SUMIF('حركه المخزن الرئيسي اليوميه'!$F:$F,$H:$H,'حركه المخزن الرئيسي اليوميه'!$H:$H)</f>
        <v>0.0</v>
      </c>
      <c r="M2068" s="22">
        <f>+SUMIF('حركه المخزن الرئيسي اليوميه'!$F:$F,$H:$H,'حركه المخزن الرئيسي اليوميه'!$I:$I)</f>
        <v>0.0</v>
      </c>
      <c r="N2068" s="22">
        <f>+K2068+L2068-M2068</f>
        <v>0.0</v>
      </c>
      <c r="O2068" s="22">
        <f>+N2068</f>
        <v>0.0</v>
      </c>
      <c r="P2068" s="22">
        <f>+N2068-O2068</f>
        <v>0.0</v>
      </c>
      <c r="Q2068" s="57"/>
      <c r="R2068" s="58"/>
    </row>
    <row r="2069" spans="8:8" ht="15.0" customHeight="1">
      <c r="B2069" s="54">
        <v>2213.0</v>
      </c>
      <c r="C2069" s="8"/>
      <c r="D2069" s="8"/>
      <c r="E2069" s="8"/>
      <c r="F2069" s="8"/>
      <c r="G2069" s="8"/>
      <c r="H2069" s="8"/>
      <c r="I2069" s="55"/>
      <c r="J2069" s="78" t="s">
        <v>5984</v>
      </c>
      <c r="K2069" s="22">
        <v>0.0</v>
      </c>
      <c r="L2069" s="22">
        <f>+SUMIF('حركه المخزن الرئيسي اليوميه'!$F:$F,$H:$H,'حركه المخزن الرئيسي اليوميه'!$H:$H)</f>
        <v>0.0</v>
      </c>
      <c r="M2069" s="22">
        <f>+SUMIF('حركه المخزن الرئيسي اليوميه'!$F:$F,$H:$H,'حركه المخزن الرئيسي اليوميه'!$I:$I)</f>
        <v>0.0</v>
      </c>
      <c r="N2069" s="22">
        <f>+K2069+L2069-M2069</f>
        <v>0.0</v>
      </c>
      <c r="O2069" s="22">
        <f>+N2069</f>
        <v>0.0</v>
      </c>
      <c r="P2069" s="22">
        <f>+N2069-O2069</f>
        <v>0.0</v>
      </c>
      <c r="Q2069" s="57"/>
      <c r="R2069" s="58"/>
    </row>
    <row r="2070" spans="8:8" ht="15.0" customHeight="1">
      <c r="B2070" s="54">
        <v>2214.0</v>
      </c>
      <c r="C2070" s="8"/>
      <c r="D2070" s="8"/>
      <c r="E2070" s="8"/>
      <c r="F2070" s="8"/>
      <c r="G2070" s="8"/>
      <c r="H2070" s="8"/>
      <c r="I2070" s="55"/>
      <c r="J2070" s="78" t="s">
        <v>5985</v>
      </c>
      <c r="K2070" s="22">
        <v>0.0</v>
      </c>
      <c r="L2070" s="22">
        <f>+SUMIF('حركه المخزن الرئيسي اليوميه'!$F:$F,$H:$H,'حركه المخزن الرئيسي اليوميه'!$H:$H)</f>
        <v>0.0</v>
      </c>
      <c r="M2070" s="22">
        <f>+SUMIF('حركه المخزن الرئيسي اليوميه'!$F:$F,$H:$H,'حركه المخزن الرئيسي اليوميه'!$I:$I)</f>
        <v>0.0</v>
      </c>
      <c r="N2070" s="22">
        <f>+K2070+L2070-M2070</f>
        <v>0.0</v>
      </c>
      <c r="O2070" s="22">
        <f>+N2070</f>
        <v>0.0</v>
      </c>
      <c r="P2070" s="22">
        <f>+N2070-O2070</f>
        <v>0.0</v>
      </c>
      <c r="Q2070" s="57"/>
      <c r="R2070" s="58"/>
    </row>
    <row r="2071" spans="8:8" ht="15.0" customHeight="1">
      <c r="B2071" s="54">
        <v>2215.0</v>
      </c>
      <c r="C2071" s="8"/>
      <c r="D2071" s="8"/>
      <c r="E2071" s="8"/>
      <c r="F2071" s="8"/>
      <c r="G2071" s="8"/>
      <c r="H2071" s="8"/>
      <c r="I2071" s="55"/>
      <c r="J2071" s="78" t="s">
        <v>5986</v>
      </c>
      <c r="K2071" s="22">
        <v>0.0</v>
      </c>
      <c r="L2071" s="22">
        <f>+SUMIF('حركه المخزن الرئيسي اليوميه'!$F:$F,$H:$H,'حركه المخزن الرئيسي اليوميه'!$H:$H)</f>
        <v>0.0</v>
      </c>
      <c r="M2071" s="22">
        <f>+SUMIF('حركه المخزن الرئيسي اليوميه'!$F:$F,$H:$H,'حركه المخزن الرئيسي اليوميه'!$I:$I)</f>
        <v>0.0</v>
      </c>
      <c r="N2071" s="22">
        <f>+K2071+L2071-M2071</f>
        <v>0.0</v>
      </c>
      <c r="O2071" s="22">
        <f>+N2071</f>
        <v>0.0</v>
      </c>
      <c r="P2071" s="22">
        <f>+N2071-O2071</f>
        <v>0.0</v>
      </c>
      <c r="Q2071" s="57"/>
      <c r="R2071" s="58"/>
    </row>
    <row r="2072" spans="8:8" ht="15.0" customHeight="1">
      <c r="B2072" s="54">
        <v>2216.0</v>
      </c>
      <c r="C2072" s="8"/>
      <c r="D2072" s="8"/>
      <c r="E2072" s="8"/>
      <c r="F2072" s="8"/>
      <c r="G2072" s="8"/>
      <c r="H2072" s="8"/>
      <c r="I2072" s="55"/>
      <c r="J2072" s="78" t="s">
        <v>5987</v>
      </c>
      <c r="K2072" s="22">
        <v>0.0</v>
      </c>
      <c r="L2072" s="22">
        <f>+SUMIF('حركه المخزن الرئيسي اليوميه'!$F:$F,$H:$H,'حركه المخزن الرئيسي اليوميه'!$H:$H)</f>
        <v>0.0</v>
      </c>
      <c r="M2072" s="22">
        <f>+SUMIF('حركه المخزن الرئيسي اليوميه'!$F:$F,$H:$H,'حركه المخزن الرئيسي اليوميه'!$I:$I)</f>
        <v>0.0</v>
      </c>
      <c r="N2072" s="22">
        <f>+K2072+L2072-M2072</f>
        <v>0.0</v>
      </c>
      <c r="O2072" s="22">
        <f>+N2072</f>
        <v>0.0</v>
      </c>
      <c r="P2072" s="22">
        <f>+N2072-O2072</f>
        <v>0.0</v>
      </c>
      <c r="Q2072" s="57"/>
      <c r="R2072" s="58"/>
    </row>
    <row r="2073" spans="8:8" ht="15.0" customHeight="1">
      <c r="B2073" s="54">
        <v>2217.0</v>
      </c>
      <c r="C2073" s="8"/>
      <c r="D2073" s="8"/>
      <c r="E2073" s="8"/>
      <c r="F2073" s="8"/>
      <c r="G2073" s="8"/>
      <c r="H2073" s="8"/>
      <c r="I2073" s="55"/>
      <c r="J2073" s="78" t="s">
        <v>5988</v>
      </c>
      <c r="K2073" s="22">
        <v>0.0</v>
      </c>
      <c r="L2073" s="22">
        <f>+SUMIF('حركه المخزن الرئيسي اليوميه'!$F:$F,$H:$H,'حركه المخزن الرئيسي اليوميه'!$H:$H)</f>
        <v>0.0</v>
      </c>
      <c r="M2073" s="22">
        <f>+SUMIF('حركه المخزن الرئيسي اليوميه'!$F:$F,$H:$H,'حركه المخزن الرئيسي اليوميه'!$I:$I)</f>
        <v>0.0</v>
      </c>
      <c r="N2073" s="22">
        <f>+K2073+L2073-M2073</f>
        <v>0.0</v>
      </c>
      <c r="O2073" s="22">
        <f>+N2073</f>
        <v>0.0</v>
      </c>
      <c r="P2073" s="22">
        <f>+N2073-O2073</f>
        <v>0.0</v>
      </c>
      <c r="Q2073" s="57"/>
      <c r="R2073" s="58"/>
    </row>
    <row r="2074" spans="8:8" ht="15.0" customHeight="1">
      <c r="B2074" s="54">
        <v>2218.0</v>
      </c>
      <c r="C2074" s="8"/>
      <c r="D2074" s="8"/>
      <c r="E2074" s="8"/>
      <c r="F2074" s="8"/>
      <c r="G2074" s="8"/>
      <c r="H2074" s="8"/>
      <c r="I2074" s="55"/>
      <c r="J2074" s="78" t="s">
        <v>5989</v>
      </c>
      <c r="K2074" s="22">
        <v>0.0</v>
      </c>
      <c r="L2074" s="22">
        <f>+SUMIF('حركه المخزن الرئيسي اليوميه'!$F:$F,$H:$H,'حركه المخزن الرئيسي اليوميه'!$H:$H)</f>
        <v>0.0</v>
      </c>
      <c r="M2074" s="22">
        <f>+SUMIF('حركه المخزن الرئيسي اليوميه'!$F:$F,$H:$H,'حركه المخزن الرئيسي اليوميه'!$I:$I)</f>
        <v>0.0</v>
      </c>
      <c r="N2074" s="22">
        <f>+K2074+L2074-M2074</f>
        <v>0.0</v>
      </c>
      <c r="O2074" s="22">
        <f>+N2074</f>
        <v>0.0</v>
      </c>
      <c r="P2074" s="22">
        <f>+N2074-O2074</f>
        <v>0.0</v>
      </c>
      <c r="Q2074" s="57"/>
      <c r="R2074" s="58"/>
    </row>
    <row r="2075" spans="8:8" ht="15.0" customHeight="1">
      <c r="B2075" s="54">
        <v>2219.0</v>
      </c>
      <c r="C2075" s="8"/>
      <c r="D2075" s="8"/>
      <c r="E2075" s="8"/>
      <c r="F2075" s="8"/>
      <c r="G2075" s="8"/>
      <c r="H2075" s="8"/>
      <c r="I2075" s="55"/>
      <c r="J2075" s="78" t="s">
        <v>5990</v>
      </c>
      <c r="K2075" s="22">
        <v>0.0</v>
      </c>
      <c r="L2075" s="22">
        <f>+SUMIF('حركه المخزن الرئيسي اليوميه'!$F:$F,$H:$H,'حركه المخزن الرئيسي اليوميه'!$H:$H)</f>
        <v>0.0</v>
      </c>
      <c r="M2075" s="22">
        <f>+SUMIF('حركه المخزن الرئيسي اليوميه'!$F:$F,$H:$H,'حركه المخزن الرئيسي اليوميه'!$I:$I)</f>
        <v>0.0</v>
      </c>
      <c r="N2075" s="22">
        <f>+K2075+L2075-M2075</f>
        <v>0.0</v>
      </c>
      <c r="O2075" s="22">
        <f>+N2075</f>
        <v>0.0</v>
      </c>
      <c r="P2075" s="22">
        <f>+N2075-O2075</f>
        <v>0.0</v>
      </c>
      <c r="Q2075" s="57"/>
      <c r="R2075" s="58"/>
    </row>
    <row r="2076" spans="8:8" ht="15.0" customHeight="1">
      <c r="B2076" s="54">
        <v>2220.0</v>
      </c>
      <c r="C2076" s="8"/>
      <c r="D2076" s="8"/>
      <c r="E2076" s="8"/>
      <c r="F2076" s="8"/>
      <c r="G2076" s="8"/>
      <c r="H2076" s="8"/>
      <c r="I2076" s="55"/>
      <c r="J2076" s="78" t="s">
        <v>5991</v>
      </c>
      <c r="K2076" s="22">
        <v>0.0</v>
      </c>
      <c r="L2076" s="22">
        <f>+SUMIF('حركه المخزن الرئيسي اليوميه'!$F:$F,$H:$H,'حركه المخزن الرئيسي اليوميه'!$H:$H)</f>
        <v>0.0</v>
      </c>
      <c r="M2076" s="22">
        <f>+SUMIF('حركه المخزن الرئيسي اليوميه'!$F:$F,$H:$H,'حركه المخزن الرئيسي اليوميه'!$I:$I)</f>
        <v>0.0</v>
      </c>
      <c r="N2076" s="22">
        <f>+K2076+L2076-M2076</f>
        <v>0.0</v>
      </c>
      <c r="O2076" s="22">
        <f>+N2076</f>
        <v>0.0</v>
      </c>
      <c r="P2076" s="22">
        <f>+N2076-O2076</f>
        <v>0.0</v>
      </c>
      <c r="Q2076" s="57"/>
      <c r="R2076" s="58"/>
    </row>
    <row r="2077" spans="8:8" ht="15.0" customHeight="1">
      <c r="B2077" s="54">
        <v>2221.0</v>
      </c>
      <c r="C2077" s="8"/>
      <c r="D2077" s="8"/>
      <c r="E2077" s="8"/>
      <c r="F2077" s="8"/>
      <c r="G2077" s="8"/>
      <c r="H2077" s="8"/>
      <c r="I2077" s="55"/>
      <c r="J2077" s="78" t="s">
        <v>5992</v>
      </c>
      <c r="K2077" s="22">
        <v>0.0</v>
      </c>
      <c r="L2077" s="22">
        <f>+SUMIF('حركه المخزن الرئيسي اليوميه'!$F:$F,$H:$H,'حركه المخزن الرئيسي اليوميه'!$H:$H)</f>
        <v>0.0</v>
      </c>
      <c r="M2077" s="22">
        <f>+SUMIF('حركه المخزن الرئيسي اليوميه'!$F:$F,$H:$H,'حركه المخزن الرئيسي اليوميه'!$I:$I)</f>
        <v>0.0</v>
      </c>
      <c r="N2077" s="22">
        <f>+K2077+L2077-M2077</f>
        <v>0.0</v>
      </c>
      <c r="O2077" s="22">
        <f>+N2077</f>
        <v>0.0</v>
      </c>
      <c r="P2077" s="22">
        <f>+N2077-O2077</f>
        <v>0.0</v>
      </c>
      <c r="Q2077" s="57"/>
      <c r="R2077" s="58"/>
    </row>
    <row r="2078" spans="8:8" ht="15.0" customHeight="1">
      <c r="B2078" s="54">
        <v>2222.0</v>
      </c>
      <c r="C2078" s="8"/>
      <c r="D2078" s="8"/>
      <c r="E2078" s="8"/>
      <c r="F2078" s="8"/>
      <c r="G2078" s="8"/>
      <c r="H2078" s="8"/>
      <c r="I2078" s="55"/>
      <c r="J2078" s="78" t="s">
        <v>5993</v>
      </c>
      <c r="K2078" s="22">
        <v>0.0</v>
      </c>
      <c r="L2078" s="22">
        <f>+SUMIF('حركه المخزن الرئيسي اليوميه'!$F:$F,$H:$H,'حركه المخزن الرئيسي اليوميه'!$H:$H)</f>
        <v>0.0</v>
      </c>
      <c r="M2078" s="22">
        <f>+SUMIF('حركه المخزن الرئيسي اليوميه'!$F:$F,$H:$H,'حركه المخزن الرئيسي اليوميه'!$I:$I)</f>
        <v>0.0</v>
      </c>
      <c r="N2078" s="22">
        <f>+K2078+L2078-M2078</f>
        <v>0.0</v>
      </c>
      <c r="O2078" s="22">
        <f>+N2078</f>
        <v>0.0</v>
      </c>
      <c r="P2078" s="22">
        <f>+N2078-O2078</f>
        <v>0.0</v>
      </c>
      <c r="Q2078" s="57"/>
      <c r="R2078" s="58"/>
    </row>
    <row r="2079" spans="8:8" ht="15.0" customHeight="1">
      <c r="B2079" s="54">
        <v>2223.0</v>
      </c>
      <c r="C2079" s="8"/>
      <c r="D2079" s="8"/>
      <c r="E2079" s="8"/>
      <c r="F2079" s="8"/>
      <c r="G2079" s="8"/>
      <c r="H2079" s="8"/>
      <c r="I2079" s="55"/>
      <c r="J2079" s="78" t="s">
        <v>5994</v>
      </c>
      <c r="K2079" s="22">
        <v>0.0</v>
      </c>
      <c r="L2079" s="22">
        <f>+SUMIF('حركه المخزن الرئيسي اليوميه'!$F:$F,$H:$H,'حركه المخزن الرئيسي اليوميه'!$H:$H)</f>
        <v>0.0</v>
      </c>
      <c r="M2079" s="22">
        <f>+SUMIF('حركه المخزن الرئيسي اليوميه'!$F:$F,$H:$H,'حركه المخزن الرئيسي اليوميه'!$I:$I)</f>
        <v>0.0</v>
      </c>
      <c r="N2079" s="22">
        <f>+K2079+L2079-M2079</f>
        <v>0.0</v>
      </c>
      <c r="O2079" s="22">
        <f>+N2079</f>
        <v>0.0</v>
      </c>
      <c r="P2079" s="22">
        <f>+N2079-O2079</f>
        <v>0.0</v>
      </c>
      <c r="Q2079" s="57"/>
      <c r="R2079" s="58"/>
    </row>
    <row r="2080" spans="8:8" ht="15.0" customHeight="1">
      <c r="B2080" s="54">
        <v>2224.0</v>
      </c>
      <c r="C2080" s="8"/>
      <c r="D2080" s="8"/>
      <c r="E2080" s="8"/>
      <c r="F2080" s="8"/>
      <c r="G2080" s="8"/>
      <c r="H2080" s="8"/>
      <c r="I2080" s="55"/>
      <c r="J2080" s="78" t="s">
        <v>5995</v>
      </c>
      <c r="K2080" s="22">
        <v>0.0</v>
      </c>
      <c r="L2080" s="22">
        <f>+SUMIF('حركه المخزن الرئيسي اليوميه'!$F:$F,$H:$H,'حركه المخزن الرئيسي اليوميه'!$H:$H)</f>
        <v>0.0</v>
      </c>
      <c r="M2080" s="22">
        <f>+SUMIF('حركه المخزن الرئيسي اليوميه'!$F:$F,$H:$H,'حركه المخزن الرئيسي اليوميه'!$I:$I)</f>
        <v>0.0</v>
      </c>
      <c r="N2080" s="22">
        <f>+K2080+L2080-M2080</f>
        <v>0.0</v>
      </c>
      <c r="O2080" s="22">
        <f>+N2080</f>
        <v>0.0</v>
      </c>
      <c r="P2080" s="22">
        <f>+N2080-O2080</f>
        <v>0.0</v>
      </c>
      <c r="Q2080" s="57"/>
      <c r="R2080" s="58"/>
    </row>
    <row r="2081" spans="8:8" ht="15.0" customHeight="1">
      <c r="B2081" s="54">
        <v>2225.0</v>
      </c>
      <c r="C2081" s="8"/>
      <c r="D2081" s="8"/>
      <c r="E2081" s="8"/>
      <c r="F2081" s="8"/>
      <c r="G2081" s="8"/>
      <c r="H2081" s="8"/>
      <c r="I2081" s="55"/>
      <c r="J2081" s="78" t="s">
        <v>5996</v>
      </c>
      <c r="K2081" s="22">
        <v>0.0</v>
      </c>
      <c r="L2081" s="22">
        <f>+SUMIF('حركه المخزن الرئيسي اليوميه'!$F:$F,$H:$H,'حركه المخزن الرئيسي اليوميه'!$H:$H)</f>
        <v>0.0</v>
      </c>
      <c r="M2081" s="22">
        <f>+SUMIF('حركه المخزن الرئيسي اليوميه'!$F:$F,$H:$H,'حركه المخزن الرئيسي اليوميه'!$I:$I)</f>
        <v>0.0</v>
      </c>
      <c r="N2081" s="22">
        <f>+K2081+L2081-M2081</f>
        <v>0.0</v>
      </c>
      <c r="O2081" s="22">
        <f>+N2081</f>
        <v>0.0</v>
      </c>
      <c r="P2081" s="22">
        <f>+N2081-O2081</f>
        <v>0.0</v>
      </c>
      <c r="Q2081" s="57"/>
      <c r="R2081" s="58"/>
    </row>
    <row r="2082" spans="8:8" ht="15.0" customHeight="1">
      <c r="B2082" s="54">
        <v>2226.0</v>
      </c>
      <c r="C2082" s="8"/>
      <c r="D2082" s="8"/>
      <c r="E2082" s="8"/>
      <c r="F2082" s="8"/>
      <c r="G2082" s="8"/>
      <c r="H2082" s="8"/>
      <c r="I2082" s="55"/>
      <c r="J2082" s="78" t="s">
        <v>5997</v>
      </c>
      <c r="K2082" s="22">
        <v>0.0</v>
      </c>
      <c r="L2082" s="22">
        <f>+SUMIF('حركه المخزن الرئيسي اليوميه'!$F:$F,$H:$H,'حركه المخزن الرئيسي اليوميه'!$H:$H)</f>
        <v>0.0</v>
      </c>
      <c r="M2082" s="22">
        <f>+SUMIF('حركه المخزن الرئيسي اليوميه'!$F:$F,$H:$H,'حركه المخزن الرئيسي اليوميه'!$I:$I)</f>
        <v>0.0</v>
      </c>
      <c r="N2082" s="22">
        <f>+K2082+L2082-M2082</f>
        <v>0.0</v>
      </c>
      <c r="O2082" s="22">
        <f>+N2082</f>
        <v>0.0</v>
      </c>
      <c r="P2082" s="22">
        <f>+N2082-O2082</f>
        <v>0.0</v>
      </c>
      <c r="Q2082" s="57"/>
      <c r="R2082" s="58"/>
    </row>
    <row r="2083" spans="8:8" ht="15.0" customHeight="1">
      <c r="B2083" s="54">
        <v>2227.0</v>
      </c>
      <c r="C2083" s="8"/>
      <c r="D2083" s="8"/>
      <c r="E2083" s="8"/>
      <c r="F2083" s="8"/>
      <c r="G2083" s="8"/>
      <c r="H2083" s="8"/>
      <c r="I2083" s="55"/>
      <c r="J2083" s="78" t="s">
        <v>5998</v>
      </c>
      <c r="K2083" s="22">
        <v>0.0</v>
      </c>
      <c r="L2083" s="22">
        <f>+SUMIF('حركه المخزن الرئيسي اليوميه'!$F:$F,$H:$H,'حركه المخزن الرئيسي اليوميه'!$H:$H)</f>
        <v>0.0</v>
      </c>
      <c r="M2083" s="22">
        <f>+SUMIF('حركه المخزن الرئيسي اليوميه'!$F:$F,$H:$H,'حركه المخزن الرئيسي اليوميه'!$I:$I)</f>
        <v>0.0</v>
      </c>
      <c r="N2083" s="22">
        <f>+K2083+L2083-M2083</f>
        <v>0.0</v>
      </c>
      <c r="O2083" s="22">
        <f>+N2083</f>
        <v>0.0</v>
      </c>
      <c r="P2083" s="22">
        <f>+N2083-O2083</f>
        <v>0.0</v>
      </c>
      <c r="Q2083" s="57"/>
      <c r="R2083" s="58"/>
    </row>
    <row r="2084" spans="8:8" ht="15.0" customHeight="1">
      <c r="B2084" s="54">
        <v>2228.0</v>
      </c>
      <c r="C2084" s="8"/>
      <c r="D2084" s="8"/>
      <c r="E2084" s="8"/>
      <c r="F2084" s="8"/>
      <c r="G2084" s="8"/>
      <c r="H2084" s="8"/>
      <c r="I2084" s="55"/>
      <c r="J2084" s="78" t="s">
        <v>5999</v>
      </c>
      <c r="K2084" s="22">
        <v>0.0</v>
      </c>
      <c r="L2084" s="22">
        <f>+SUMIF('حركه المخزن الرئيسي اليوميه'!$F:$F,$H:$H,'حركه المخزن الرئيسي اليوميه'!$H:$H)</f>
        <v>0.0</v>
      </c>
      <c r="M2084" s="22">
        <f>+SUMIF('حركه المخزن الرئيسي اليوميه'!$F:$F,$H:$H,'حركه المخزن الرئيسي اليوميه'!$I:$I)</f>
        <v>0.0</v>
      </c>
      <c r="N2084" s="22">
        <f>+K2084+L2084-M2084</f>
        <v>0.0</v>
      </c>
      <c r="O2084" s="22">
        <f>+N2084</f>
        <v>0.0</v>
      </c>
      <c r="P2084" s="22">
        <f>+N2084-O2084</f>
        <v>0.0</v>
      </c>
      <c r="Q2084" s="57"/>
      <c r="R2084" s="58"/>
    </row>
    <row r="2085" spans="8:8" ht="15.0" customHeight="1">
      <c r="B2085" s="54">
        <v>2229.0</v>
      </c>
      <c r="C2085" s="8"/>
      <c r="D2085" s="8"/>
      <c r="E2085" s="8"/>
      <c r="F2085" s="8"/>
      <c r="G2085" s="8"/>
      <c r="H2085" s="8"/>
      <c r="I2085" s="55"/>
      <c r="J2085" s="78" t="s">
        <v>6000</v>
      </c>
      <c r="K2085" s="22">
        <v>0.0</v>
      </c>
      <c r="L2085" s="22">
        <f>+SUMIF('حركه المخزن الرئيسي اليوميه'!$F:$F,$H:$H,'حركه المخزن الرئيسي اليوميه'!$H:$H)</f>
        <v>0.0</v>
      </c>
      <c r="M2085" s="22">
        <f>+SUMIF('حركه المخزن الرئيسي اليوميه'!$F:$F,$H:$H,'حركه المخزن الرئيسي اليوميه'!$I:$I)</f>
        <v>0.0</v>
      </c>
      <c r="N2085" s="22">
        <f>+K2085+L2085-M2085</f>
        <v>0.0</v>
      </c>
      <c r="O2085" s="22">
        <f>+N2085</f>
        <v>0.0</v>
      </c>
      <c r="P2085" s="22">
        <f>+N2085-O2085</f>
        <v>0.0</v>
      </c>
      <c r="Q2085" s="57"/>
      <c r="R2085" s="58"/>
    </row>
    <row r="2086" spans="8:8" ht="15.0" customHeight="1">
      <c r="B2086" s="54">
        <v>2230.0</v>
      </c>
      <c r="C2086" s="8"/>
      <c r="D2086" s="8"/>
      <c r="E2086" s="8"/>
      <c r="F2086" s="8"/>
      <c r="G2086" s="8"/>
      <c r="H2086" s="8"/>
      <c r="I2086" s="55"/>
      <c r="J2086" s="78" t="s">
        <v>6001</v>
      </c>
      <c r="K2086" s="22">
        <v>0.0</v>
      </c>
      <c r="L2086" s="22">
        <f>+SUMIF('حركه المخزن الرئيسي اليوميه'!$F:$F,$H:$H,'حركه المخزن الرئيسي اليوميه'!$H:$H)</f>
        <v>0.0</v>
      </c>
      <c r="M2086" s="22">
        <f>+SUMIF('حركه المخزن الرئيسي اليوميه'!$F:$F,$H:$H,'حركه المخزن الرئيسي اليوميه'!$I:$I)</f>
        <v>0.0</v>
      </c>
      <c r="N2086" s="22">
        <f>+K2086+L2086-M2086</f>
        <v>0.0</v>
      </c>
      <c r="O2086" s="22">
        <f>+N2086</f>
        <v>0.0</v>
      </c>
      <c r="P2086" s="22">
        <f>+N2086-O2086</f>
        <v>0.0</v>
      </c>
      <c r="Q2086" s="57"/>
      <c r="R2086" s="58"/>
    </row>
    <row r="2087" spans="8:8" ht="15.0" customHeight="1">
      <c r="B2087" s="54">
        <v>2231.0</v>
      </c>
      <c r="C2087" s="8"/>
      <c r="D2087" s="8"/>
      <c r="E2087" s="8"/>
      <c r="F2087" s="8"/>
      <c r="G2087" s="8"/>
      <c r="H2087" s="8"/>
      <c r="I2087" s="55"/>
      <c r="J2087" s="78" t="s">
        <v>6002</v>
      </c>
      <c r="K2087" s="22">
        <v>0.0</v>
      </c>
      <c r="L2087" s="22">
        <f>+SUMIF('حركه المخزن الرئيسي اليوميه'!$F:$F,$H:$H,'حركه المخزن الرئيسي اليوميه'!$H:$H)</f>
        <v>0.0</v>
      </c>
      <c r="M2087" s="22">
        <f>+SUMIF('حركه المخزن الرئيسي اليوميه'!$F:$F,$H:$H,'حركه المخزن الرئيسي اليوميه'!$I:$I)</f>
        <v>0.0</v>
      </c>
      <c r="N2087" s="22">
        <f>+K2087+L2087-M2087</f>
        <v>0.0</v>
      </c>
      <c r="O2087" s="22">
        <f>+N2087</f>
        <v>0.0</v>
      </c>
      <c r="P2087" s="22">
        <f>+N2087-O2087</f>
        <v>0.0</v>
      </c>
      <c r="Q2087" s="57"/>
      <c r="R2087" s="58"/>
    </row>
    <row r="2088" spans="8:8" ht="15.0" customHeight="1">
      <c r="B2088" s="54">
        <v>2232.0</v>
      </c>
      <c r="C2088" s="8"/>
      <c r="D2088" s="8"/>
      <c r="E2088" s="8"/>
      <c r="F2088" s="8"/>
      <c r="G2088" s="8"/>
      <c r="H2088" s="8"/>
      <c r="I2088" s="55"/>
      <c r="J2088" s="78" t="s">
        <v>6003</v>
      </c>
      <c r="K2088" s="22">
        <v>0.0</v>
      </c>
      <c r="L2088" s="22">
        <f>+SUMIF('حركه المخزن الرئيسي اليوميه'!$F:$F,$H:$H,'حركه المخزن الرئيسي اليوميه'!$H:$H)</f>
        <v>0.0</v>
      </c>
      <c r="M2088" s="22">
        <f>+SUMIF('حركه المخزن الرئيسي اليوميه'!$F:$F,$H:$H,'حركه المخزن الرئيسي اليوميه'!$I:$I)</f>
        <v>0.0</v>
      </c>
      <c r="N2088" s="22">
        <f>+K2088+L2088-M2088</f>
        <v>0.0</v>
      </c>
      <c r="O2088" s="22">
        <f>+N2088</f>
        <v>0.0</v>
      </c>
      <c r="P2088" s="22">
        <f>+N2088-O2088</f>
        <v>0.0</v>
      </c>
      <c r="Q2088" s="57"/>
      <c r="R2088" s="58"/>
    </row>
    <row r="2089" spans="8:8" ht="15.0" customHeight="1">
      <c r="B2089" s="54">
        <v>2233.0</v>
      </c>
      <c r="C2089" s="8"/>
      <c r="D2089" s="8"/>
      <c r="E2089" s="8"/>
      <c r="F2089" s="8"/>
      <c r="G2089" s="8"/>
      <c r="H2089" s="8"/>
      <c r="I2089" s="55"/>
      <c r="J2089" s="78" t="s">
        <v>6004</v>
      </c>
      <c r="K2089" s="22">
        <v>0.0</v>
      </c>
      <c r="L2089" s="22">
        <f>+SUMIF('حركه المخزن الرئيسي اليوميه'!$F:$F,$H:$H,'حركه المخزن الرئيسي اليوميه'!$H:$H)</f>
        <v>0.0</v>
      </c>
      <c r="M2089" s="22">
        <f>+SUMIF('حركه المخزن الرئيسي اليوميه'!$F:$F,$H:$H,'حركه المخزن الرئيسي اليوميه'!$I:$I)</f>
        <v>0.0</v>
      </c>
      <c r="N2089" s="22">
        <f>+K2089+L2089-M2089</f>
        <v>0.0</v>
      </c>
      <c r="O2089" s="22">
        <f>+N2089</f>
        <v>0.0</v>
      </c>
      <c r="P2089" s="22">
        <f>+N2089-O2089</f>
        <v>0.0</v>
      </c>
      <c r="Q2089" s="57"/>
      <c r="R2089" s="58"/>
    </row>
    <row r="2090" spans="8:8" ht="15.0" customHeight="1">
      <c r="B2090" s="54">
        <v>2234.0</v>
      </c>
      <c r="C2090" s="8"/>
      <c r="D2090" s="8"/>
      <c r="E2090" s="8"/>
      <c r="F2090" s="8"/>
      <c r="G2090" s="8"/>
      <c r="H2090" s="8"/>
      <c r="I2090" s="55"/>
      <c r="J2090" s="78" t="s">
        <v>6005</v>
      </c>
      <c r="K2090" s="22">
        <v>0.0</v>
      </c>
      <c r="L2090" s="22">
        <f>+SUMIF('حركه المخزن الرئيسي اليوميه'!$F:$F,$H:$H,'حركه المخزن الرئيسي اليوميه'!$H:$H)</f>
        <v>0.0</v>
      </c>
      <c r="M2090" s="22">
        <f>+SUMIF('حركه المخزن الرئيسي اليوميه'!$F:$F,$H:$H,'حركه المخزن الرئيسي اليوميه'!$I:$I)</f>
        <v>0.0</v>
      </c>
      <c r="N2090" s="22">
        <f>+K2090+L2090-M2090</f>
        <v>0.0</v>
      </c>
      <c r="O2090" s="22">
        <f>+N2090</f>
        <v>0.0</v>
      </c>
      <c r="P2090" s="22">
        <f>+N2090-O2090</f>
        <v>0.0</v>
      </c>
      <c r="Q2090" s="57"/>
      <c r="R2090" s="58"/>
    </row>
    <row r="2091" spans="8:8" ht="15.0" customHeight="1">
      <c r="B2091" s="54">
        <v>2235.0</v>
      </c>
      <c r="C2091" s="8"/>
      <c r="D2091" s="8"/>
      <c r="E2091" s="8"/>
      <c r="F2091" s="8"/>
      <c r="G2091" s="8"/>
      <c r="H2091" s="8"/>
      <c r="I2091" s="55"/>
      <c r="J2091" s="78" t="s">
        <v>6006</v>
      </c>
      <c r="K2091" s="22">
        <v>0.0</v>
      </c>
      <c r="L2091" s="22">
        <f>+SUMIF('حركه المخزن الرئيسي اليوميه'!$F:$F,$H:$H,'حركه المخزن الرئيسي اليوميه'!$H:$H)</f>
        <v>0.0</v>
      </c>
      <c r="M2091" s="22">
        <f>+SUMIF('حركه المخزن الرئيسي اليوميه'!$F:$F,$H:$H,'حركه المخزن الرئيسي اليوميه'!$I:$I)</f>
        <v>0.0</v>
      </c>
      <c r="N2091" s="22">
        <f>+K2091+L2091-M2091</f>
        <v>0.0</v>
      </c>
      <c r="O2091" s="22">
        <f>+N2091</f>
        <v>0.0</v>
      </c>
      <c r="P2091" s="22">
        <f>+N2091-O2091</f>
        <v>0.0</v>
      </c>
      <c r="Q2091" s="57"/>
      <c r="R2091" s="58"/>
    </row>
    <row r="2092" spans="8:8" ht="15.0" customHeight="1">
      <c r="B2092" s="54">
        <v>2236.0</v>
      </c>
      <c r="C2092" s="8"/>
      <c r="D2092" s="8"/>
      <c r="E2092" s="8"/>
      <c r="F2092" s="8"/>
      <c r="G2092" s="8"/>
      <c r="H2092" s="8"/>
      <c r="I2092" s="55"/>
      <c r="J2092" s="78" t="s">
        <v>6007</v>
      </c>
      <c r="K2092" s="22">
        <v>0.0</v>
      </c>
      <c r="L2092" s="22">
        <f>+SUMIF('حركه المخزن الرئيسي اليوميه'!$F:$F,$H:$H,'حركه المخزن الرئيسي اليوميه'!$H:$H)</f>
        <v>0.0</v>
      </c>
      <c r="M2092" s="22">
        <f>+SUMIF('حركه المخزن الرئيسي اليوميه'!$F:$F,$H:$H,'حركه المخزن الرئيسي اليوميه'!$I:$I)</f>
        <v>0.0</v>
      </c>
      <c r="N2092" s="22">
        <f>+K2092+L2092-M2092</f>
        <v>0.0</v>
      </c>
      <c r="O2092" s="22">
        <f>+N2092</f>
        <v>0.0</v>
      </c>
      <c r="P2092" s="22">
        <f>+N2092-O2092</f>
        <v>0.0</v>
      </c>
      <c r="Q2092" s="57"/>
      <c r="R2092" s="58"/>
    </row>
    <row r="2093" spans="8:8" ht="15.0" customHeight="1">
      <c r="B2093" s="54">
        <v>2237.0</v>
      </c>
      <c r="C2093" s="8"/>
      <c r="D2093" s="8"/>
      <c r="E2093" s="8"/>
      <c r="F2093" s="8"/>
      <c r="G2093" s="8"/>
      <c r="H2093" s="8"/>
      <c r="I2093" s="55"/>
      <c r="J2093" s="78" t="s">
        <v>6008</v>
      </c>
      <c r="K2093" s="22">
        <v>0.0</v>
      </c>
      <c r="L2093" s="22">
        <f>+SUMIF('حركه المخزن الرئيسي اليوميه'!$F:$F,$H:$H,'حركه المخزن الرئيسي اليوميه'!$H:$H)</f>
        <v>0.0</v>
      </c>
      <c r="M2093" s="22">
        <f>+SUMIF('حركه المخزن الرئيسي اليوميه'!$F:$F,$H:$H,'حركه المخزن الرئيسي اليوميه'!$I:$I)</f>
        <v>0.0</v>
      </c>
      <c r="N2093" s="22">
        <f>+K2093+L2093-M2093</f>
        <v>0.0</v>
      </c>
      <c r="O2093" s="22">
        <f>+N2093</f>
        <v>0.0</v>
      </c>
      <c r="P2093" s="22">
        <f>+N2093-O2093</f>
        <v>0.0</v>
      </c>
      <c r="Q2093" s="57"/>
      <c r="R2093" s="58"/>
    </row>
    <row r="2094" spans="8:8" ht="15.0" customHeight="1">
      <c r="B2094" s="54">
        <v>2238.0</v>
      </c>
      <c r="C2094" s="8"/>
      <c r="D2094" s="8"/>
      <c r="E2094" s="8"/>
      <c r="F2094" s="8"/>
      <c r="G2094" s="8"/>
      <c r="H2094" s="8"/>
      <c r="I2094" s="55"/>
      <c r="J2094" s="78" t="s">
        <v>6009</v>
      </c>
      <c r="K2094" s="22">
        <v>0.0</v>
      </c>
      <c r="L2094" s="22">
        <f>+SUMIF('حركه المخزن الرئيسي اليوميه'!$F:$F,$H:$H,'حركه المخزن الرئيسي اليوميه'!$H:$H)</f>
        <v>0.0</v>
      </c>
      <c r="M2094" s="22">
        <f>+SUMIF('حركه المخزن الرئيسي اليوميه'!$F:$F,$H:$H,'حركه المخزن الرئيسي اليوميه'!$I:$I)</f>
        <v>0.0</v>
      </c>
      <c r="N2094" s="22">
        <f>+K2094+L2094-M2094</f>
        <v>0.0</v>
      </c>
      <c r="O2094" s="22">
        <f>+N2094</f>
        <v>0.0</v>
      </c>
      <c r="P2094" s="22">
        <f>+N2094-O2094</f>
        <v>0.0</v>
      </c>
      <c r="Q2094" s="57"/>
      <c r="R2094" s="58"/>
    </row>
    <row r="2095" spans="8:8" ht="15.0" customHeight="1">
      <c r="B2095" s="54">
        <v>2239.0</v>
      </c>
      <c r="C2095" s="8"/>
      <c r="D2095" s="8"/>
      <c r="E2095" s="8"/>
      <c r="F2095" s="8"/>
      <c r="G2095" s="8"/>
      <c r="H2095" s="8"/>
      <c r="I2095" s="55"/>
      <c r="J2095" s="78" t="s">
        <v>6010</v>
      </c>
      <c r="K2095" s="22">
        <v>0.0</v>
      </c>
      <c r="L2095" s="22">
        <f>+SUMIF('حركه المخزن الرئيسي اليوميه'!$F:$F,$H:$H,'حركه المخزن الرئيسي اليوميه'!$H:$H)</f>
        <v>0.0</v>
      </c>
      <c r="M2095" s="22">
        <f>+SUMIF('حركه المخزن الرئيسي اليوميه'!$F:$F,$H:$H,'حركه المخزن الرئيسي اليوميه'!$I:$I)</f>
        <v>0.0</v>
      </c>
      <c r="N2095" s="22">
        <f>+K2095+L2095-M2095</f>
        <v>0.0</v>
      </c>
      <c r="O2095" s="22">
        <f>+N2095</f>
        <v>0.0</v>
      </c>
      <c r="P2095" s="22">
        <f>+N2095-O2095</f>
        <v>0.0</v>
      </c>
      <c r="Q2095" s="57"/>
      <c r="R2095" s="58"/>
    </row>
    <row r="2096" spans="8:8" ht="15.0" customHeight="1">
      <c r="B2096" s="54">
        <v>2240.0</v>
      </c>
      <c r="C2096" s="8"/>
      <c r="D2096" s="8"/>
      <c r="E2096" s="8"/>
      <c r="F2096" s="8"/>
      <c r="G2096" s="8"/>
      <c r="H2096" s="8"/>
      <c r="I2096" s="55"/>
      <c r="J2096" s="78" t="s">
        <v>6011</v>
      </c>
      <c r="K2096" s="22">
        <v>0.0</v>
      </c>
      <c r="L2096" s="22">
        <f>+SUMIF('حركه المخزن الرئيسي اليوميه'!$F:$F,$H:$H,'حركه المخزن الرئيسي اليوميه'!$H:$H)</f>
        <v>0.0</v>
      </c>
      <c r="M2096" s="22">
        <f>+SUMIF('حركه المخزن الرئيسي اليوميه'!$F:$F,$H:$H,'حركه المخزن الرئيسي اليوميه'!$I:$I)</f>
        <v>0.0</v>
      </c>
      <c r="N2096" s="22">
        <f>+K2096+L2096-M2096</f>
        <v>0.0</v>
      </c>
      <c r="O2096" s="22">
        <f>+N2096</f>
        <v>0.0</v>
      </c>
      <c r="P2096" s="22">
        <f>+N2096-O2096</f>
        <v>0.0</v>
      </c>
      <c r="Q2096" s="57"/>
      <c r="R2096" s="58"/>
    </row>
    <row r="2097" spans="8:8" ht="15.0" customHeight="1">
      <c r="B2097" s="54">
        <v>2241.0</v>
      </c>
      <c r="C2097" s="8"/>
      <c r="D2097" s="8"/>
      <c r="E2097" s="8"/>
      <c r="F2097" s="8"/>
      <c r="G2097" s="8"/>
      <c r="H2097" s="8"/>
      <c r="I2097" s="55"/>
      <c r="J2097" s="78" t="s">
        <v>6012</v>
      </c>
      <c r="K2097" s="22">
        <v>0.0</v>
      </c>
      <c r="L2097" s="22">
        <f>+SUMIF('حركه المخزن الرئيسي اليوميه'!$F:$F,$H:$H,'حركه المخزن الرئيسي اليوميه'!$H:$H)</f>
        <v>0.0</v>
      </c>
      <c r="M2097" s="22">
        <f>+SUMIF('حركه المخزن الرئيسي اليوميه'!$F:$F,$H:$H,'حركه المخزن الرئيسي اليوميه'!$I:$I)</f>
        <v>0.0</v>
      </c>
      <c r="N2097" s="22">
        <f>+K2097+L2097-M2097</f>
        <v>0.0</v>
      </c>
      <c r="O2097" s="22">
        <f>+N2097</f>
        <v>0.0</v>
      </c>
      <c r="P2097" s="22">
        <f>+N2097-O2097</f>
        <v>0.0</v>
      </c>
      <c r="Q2097" s="57"/>
      <c r="R2097" s="58"/>
    </row>
    <row r="2098" spans="8:8" ht="15.0" customHeight="1">
      <c r="B2098" s="54">
        <v>2242.0</v>
      </c>
      <c r="C2098" s="8"/>
      <c r="D2098" s="8"/>
      <c r="E2098" s="8"/>
      <c r="F2098" s="8"/>
      <c r="G2098" s="8"/>
      <c r="H2098" s="8"/>
      <c r="I2098" s="55"/>
      <c r="J2098" s="78" t="s">
        <v>6013</v>
      </c>
      <c r="K2098" s="22">
        <v>0.0</v>
      </c>
      <c r="L2098" s="22">
        <f>+SUMIF('حركه المخزن الرئيسي اليوميه'!$F:$F,$H:$H,'حركه المخزن الرئيسي اليوميه'!$H:$H)</f>
        <v>0.0</v>
      </c>
      <c r="M2098" s="22">
        <f>+SUMIF('حركه المخزن الرئيسي اليوميه'!$F:$F,$H:$H,'حركه المخزن الرئيسي اليوميه'!$I:$I)</f>
        <v>0.0</v>
      </c>
      <c r="N2098" s="22">
        <f>+K2098+L2098-M2098</f>
        <v>0.0</v>
      </c>
      <c r="O2098" s="22">
        <f>+N2098</f>
        <v>0.0</v>
      </c>
      <c r="P2098" s="22">
        <f>+N2098-O2098</f>
        <v>0.0</v>
      </c>
      <c r="Q2098" s="57"/>
      <c r="R2098" s="58"/>
    </row>
    <row r="2099" spans="8:8" ht="15.0" customHeight="1">
      <c r="B2099" s="54">
        <v>2243.0</v>
      </c>
      <c r="C2099" s="8"/>
      <c r="D2099" s="8"/>
      <c r="E2099" s="8"/>
      <c r="F2099" s="8"/>
      <c r="G2099" s="8"/>
      <c r="H2099" s="8"/>
      <c r="I2099" s="55"/>
      <c r="J2099" s="78" t="s">
        <v>6014</v>
      </c>
      <c r="K2099" s="22">
        <v>0.0</v>
      </c>
      <c r="L2099" s="22">
        <f>+SUMIF('حركه المخزن الرئيسي اليوميه'!$F:$F,$H:$H,'حركه المخزن الرئيسي اليوميه'!$H:$H)</f>
        <v>0.0</v>
      </c>
      <c r="M2099" s="22">
        <f>+SUMIF('حركه المخزن الرئيسي اليوميه'!$F:$F,$H:$H,'حركه المخزن الرئيسي اليوميه'!$I:$I)</f>
        <v>0.0</v>
      </c>
      <c r="N2099" s="22">
        <f>+K2099+L2099-M2099</f>
        <v>0.0</v>
      </c>
      <c r="O2099" s="22">
        <f>+N2099</f>
        <v>0.0</v>
      </c>
      <c r="P2099" s="22">
        <f>+N2099-O2099</f>
        <v>0.0</v>
      </c>
      <c r="Q2099" s="57"/>
      <c r="R2099" s="58"/>
    </row>
    <row r="2100" spans="8:8" ht="15.0" customHeight="1">
      <c r="B2100" s="54">
        <v>2244.0</v>
      </c>
      <c r="C2100" s="8"/>
      <c r="D2100" s="8"/>
      <c r="E2100" s="8"/>
      <c r="F2100" s="8"/>
      <c r="G2100" s="8"/>
      <c r="H2100" s="8"/>
      <c r="I2100" s="55"/>
      <c r="J2100" s="78" t="s">
        <v>6015</v>
      </c>
      <c r="K2100" s="22">
        <v>0.0</v>
      </c>
      <c r="L2100" s="22">
        <f>+SUMIF('حركه المخزن الرئيسي اليوميه'!$F:$F,$H:$H,'حركه المخزن الرئيسي اليوميه'!$H:$H)</f>
        <v>0.0</v>
      </c>
      <c r="M2100" s="22">
        <f>+SUMIF('حركه المخزن الرئيسي اليوميه'!$F:$F,$H:$H,'حركه المخزن الرئيسي اليوميه'!$I:$I)</f>
        <v>0.0</v>
      </c>
      <c r="N2100" s="22">
        <f>+K2100+L2100-M2100</f>
        <v>0.0</v>
      </c>
      <c r="O2100" s="22">
        <f>+N2100</f>
        <v>0.0</v>
      </c>
      <c r="P2100" s="22">
        <f>+N2100-O2100</f>
        <v>0.0</v>
      </c>
      <c r="Q2100" s="57"/>
      <c r="R2100" s="58"/>
    </row>
    <row r="2101" spans="8:8" ht="15.0" customHeight="1">
      <c r="B2101" s="54">
        <v>2245.0</v>
      </c>
      <c r="C2101" s="8"/>
      <c r="D2101" s="8"/>
      <c r="E2101" s="8"/>
      <c r="F2101" s="8"/>
      <c r="G2101" s="8"/>
      <c r="H2101" s="8"/>
      <c r="I2101" s="55"/>
      <c r="J2101" s="78" t="s">
        <v>6016</v>
      </c>
      <c r="K2101" s="22">
        <v>0.0</v>
      </c>
      <c r="L2101" s="22">
        <f>+SUMIF('حركه المخزن الرئيسي اليوميه'!$F:$F,$H:$H,'حركه المخزن الرئيسي اليوميه'!$H:$H)</f>
        <v>0.0</v>
      </c>
      <c r="M2101" s="22">
        <f>+SUMIF('حركه المخزن الرئيسي اليوميه'!$F:$F,$H:$H,'حركه المخزن الرئيسي اليوميه'!$I:$I)</f>
        <v>0.0</v>
      </c>
      <c r="N2101" s="22">
        <f>+K2101+L2101-M2101</f>
        <v>0.0</v>
      </c>
      <c r="O2101" s="22">
        <f>+N2101</f>
        <v>0.0</v>
      </c>
      <c r="P2101" s="22">
        <f>+N2101-O2101</f>
        <v>0.0</v>
      </c>
      <c r="Q2101" s="57"/>
      <c r="R2101" s="58"/>
    </row>
    <row r="2102" spans="8:8" ht="15.0" customHeight="1">
      <c r="B2102" s="54">
        <v>2246.0</v>
      </c>
      <c r="C2102" s="8"/>
      <c r="D2102" s="8"/>
      <c r="E2102" s="8"/>
      <c r="F2102" s="8"/>
      <c r="G2102" s="8"/>
      <c r="H2102" s="8"/>
      <c r="I2102" s="55"/>
      <c r="J2102" s="78" t="s">
        <v>6017</v>
      </c>
      <c r="K2102" s="22">
        <v>0.0</v>
      </c>
      <c r="L2102" s="22">
        <f>+SUMIF('حركه المخزن الرئيسي اليوميه'!$F:$F,$H:$H,'حركه المخزن الرئيسي اليوميه'!$H:$H)</f>
        <v>0.0</v>
      </c>
      <c r="M2102" s="22">
        <f>+SUMIF('حركه المخزن الرئيسي اليوميه'!$F:$F,$H:$H,'حركه المخزن الرئيسي اليوميه'!$I:$I)</f>
        <v>0.0</v>
      </c>
      <c r="N2102" s="22">
        <f>+K2102+L2102-M2102</f>
        <v>0.0</v>
      </c>
      <c r="O2102" s="22">
        <f>+N2102</f>
        <v>0.0</v>
      </c>
      <c r="P2102" s="22">
        <f>+N2102-O2102</f>
        <v>0.0</v>
      </c>
      <c r="Q2102" s="57"/>
      <c r="R2102" s="58"/>
    </row>
    <row r="2103" spans="8:8" ht="15.0" customHeight="1">
      <c r="B2103" s="54">
        <v>2247.0</v>
      </c>
      <c r="C2103" s="8"/>
      <c r="D2103" s="8"/>
      <c r="E2103" s="8"/>
      <c r="F2103" s="8"/>
      <c r="G2103" s="8"/>
      <c r="H2103" s="8"/>
      <c r="I2103" s="55"/>
      <c r="J2103" s="78" t="s">
        <v>6018</v>
      </c>
      <c r="K2103" s="22">
        <v>0.0</v>
      </c>
      <c r="L2103" s="22">
        <f>+SUMIF('حركه المخزن الرئيسي اليوميه'!$F:$F,$H:$H,'حركه المخزن الرئيسي اليوميه'!$H:$H)</f>
        <v>0.0</v>
      </c>
      <c r="M2103" s="22">
        <f>+SUMIF('حركه المخزن الرئيسي اليوميه'!$F:$F,$H:$H,'حركه المخزن الرئيسي اليوميه'!$I:$I)</f>
        <v>0.0</v>
      </c>
      <c r="N2103" s="22">
        <f>+K2103+L2103-M2103</f>
        <v>0.0</v>
      </c>
      <c r="O2103" s="22">
        <f>+N2103</f>
        <v>0.0</v>
      </c>
      <c r="P2103" s="22">
        <f>+N2103-O2103</f>
        <v>0.0</v>
      </c>
      <c r="Q2103" s="57"/>
      <c r="R2103" s="58"/>
    </row>
    <row r="2104" spans="8:8" ht="15.0" customHeight="1">
      <c r="B2104" s="54">
        <v>2248.0</v>
      </c>
      <c r="C2104" s="8"/>
      <c r="D2104" s="8"/>
      <c r="E2104" s="8"/>
      <c r="F2104" s="8"/>
      <c r="G2104" s="8"/>
      <c r="H2104" s="8"/>
      <c r="I2104" s="55"/>
      <c r="J2104" s="78" t="s">
        <v>6019</v>
      </c>
      <c r="K2104" s="22">
        <v>0.0</v>
      </c>
      <c r="L2104" s="22">
        <f>+SUMIF('حركه المخزن الرئيسي اليوميه'!$F:$F,$H:$H,'حركه المخزن الرئيسي اليوميه'!$H:$H)</f>
        <v>0.0</v>
      </c>
      <c r="M2104" s="22">
        <f>+SUMIF('حركه المخزن الرئيسي اليوميه'!$F:$F,$H:$H,'حركه المخزن الرئيسي اليوميه'!$I:$I)</f>
        <v>0.0</v>
      </c>
      <c r="N2104" s="22">
        <f>+K2104+L2104-M2104</f>
        <v>0.0</v>
      </c>
      <c r="O2104" s="22">
        <f>+N2104</f>
        <v>0.0</v>
      </c>
      <c r="P2104" s="22">
        <f>+N2104-O2104</f>
        <v>0.0</v>
      </c>
      <c r="Q2104" s="57"/>
      <c r="R2104" s="58"/>
    </row>
    <row r="2105" spans="8:8" ht="15.0" customHeight="1">
      <c r="B2105" s="54">
        <v>2249.0</v>
      </c>
      <c r="C2105" s="8"/>
      <c r="D2105" s="8"/>
      <c r="E2105" s="8"/>
      <c r="F2105" s="8"/>
      <c r="G2105" s="8"/>
      <c r="H2105" s="8"/>
      <c r="I2105" s="55"/>
      <c r="J2105" s="78" t="s">
        <v>6020</v>
      </c>
      <c r="K2105" s="22">
        <v>0.0</v>
      </c>
      <c r="L2105" s="22">
        <f>+SUMIF('حركه المخزن الرئيسي اليوميه'!$F:$F,$H:$H,'حركه المخزن الرئيسي اليوميه'!$H:$H)</f>
        <v>0.0</v>
      </c>
      <c r="M2105" s="22">
        <f>+SUMIF('حركه المخزن الرئيسي اليوميه'!$F:$F,$H:$H,'حركه المخزن الرئيسي اليوميه'!$I:$I)</f>
        <v>0.0</v>
      </c>
      <c r="N2105" s="22">
        <f>+K2105+L2105-M2105</f>
        <v>0.0</v>
      </c>
      <c r="O2105" s="22">
        <f>+N2105</f>
        <v>0.0</v>
      </c>
      <c r="P2105" s="22">
        <f>+N2105-O2105</f>
        <v>0.0</v>
      </c>
      <c r="Q2105" s="57"/>
      <c r="R2105" s="58"/>
    </row>
    <row r="2106" spans="8:8" ht="15.0" customHeight="1">
      <c r="B2106" s="54">
        <v>2250.0</v>
      </c>
      <c r="C2106" s="8"/>
      <c r="D2106" s="8"/>
      <c r="E2106" s="8"/>
      <c r="F2106" s="8"/>
      <c r="G2106" s="8"/>
      <c r="H2106" s="8"/>
      <c r="I2106" s="55"/>
      <c r="J2106" s="78" t="s">
        <v>6021</v>
      </c>
      <c r="K2106" s="22">
        <v>0.0</v>
      </c>
      <c r="L2106" s="22">
        <f>+SUMIF('حركه المخزن الرئيسي اليوميه'!$F:$F,$H:$H,'حركه المخزن الرئيسي اليوميه'!$H:$H)</f>
        <v>0.0</v>
      </c>
      <c r="M2106" s="22">
        <f>+SUMIF('حركه المخزن الرئيسي اليوميه'!$F:$F,$H:$H,'حركه المخزن الرئيسي اليوميه'!$I:$I)</f>
        <v>0.0</v>
      </c>
      <c r="N2106" s="22">
        <f>+K2106+L2106-M2106</f>
        <v>0.0</v>
      </c>
      <c r="O2106" s="22">
        <f>+N2106</f>
        <v>0.0</v>
      </c>
      <c r="P2106" s="22">
        <f>+N2106-O2106</f>
        <v>0.0</v>
      </c>
      <c r="Q2106" s="57"/>
      <c r="R2106" s="58"/>
    </row>
    <row r="2107" spans="8:8" ht="15.0" customHeight="1">
      <c r="B2107" s="54">
        <v>2251.0</v>
      </c>
      <c r="C2107" s="8"/>
      <c r="D2107" s="8"/>
      <c r="E2107" s="8"/>
      <c r="F2107" s="8"/>
      <c r="G2107" s="8"/>
      <c r="H2107" s="8"/>
      <c r="I2107" s="55"/>
      <c r="J2107" s="78" t="s">
        <v>6022</v>
      </c>
      <c r="K2107" s="22">
        <v>0.0</v>
      </c>
      <c r="L2107" s="22">
        <f>+SUMIF('حركه المخزن الرئيسي اليوميه'!$F:$F,$H:$H,'حركه المخزن الرئيسي اليوميه'!$H:$H)</f>
        <v>0.0</v>
      </c>
      <c r="M2107" s="22">
        <f>+SUMIF('حركه المخزن الرئيسي اليوميه'!$F:$F,$H:$H,'حركه المخزن الرئيسي اليوميه'!$I:$I)</f>
        <v>0.0</v>
      </c>
      <c r="N2107" s="22">
        <f>+K2107+L2107-M2107</f>
        <v>0.0</v>
      </c>
      <c r="O2107" s="22">
        <f>+N2107</f>
        <v>0.0</v>
      </c>
      <c r="P2107" s="22">
        <f>+N2107-O2107</f>
        <v>0.0</v>
      </c>
      <c r="Q2107" s="57"/>
      <c r="R2107" s="58"/>
    </row>
    <row r="2108" spans="8:8" ht="15.0" customHeight="1">
      <c r="B2108" s="54">
        <v>2252.0</v>
      </c>
      <c r="C2108" s="8"/>
      <c r="D2108" s="8"/>
      <c r="E2108" s="8"/>
      <c r="F2108" s="8"/>
      <c r="G2108" s="8"/>
      <c r="H2108" s="8"/>
      <c r="I2108" s="55"/>
      <c r="J2108" s="78" t="s">
        <v>6023</v>
      </c>
      <c r="K2108" s="22">
        <v>0.0</v>
      </c>
      <c r="L2108" s="22">
        <f>+SUMIF('حركه المخزن الرئيسي اليوميه'!$F:$F,$H:$H,'حركه المخزن الرئيسي اليوميه'!$H:$H)</f>
        <v>0.0</v>
      </c>
      <c r="M2108" s="22">
        <f>+SUMIF('حركه المخزن الرئيسي اليوميه'!$F:$F,$H:$H,'حركه المخزن الرئيسي اليوميه'!$I:$I)</f>
        <v>0.0</v>
      </c>
      <c r="N2108" s="22">
        <f>+K2108+L2108-M2108</f>
        <v>0.0</v>
      </c>
      <c r="O2108" s="22">
        <f>+N2108</f>
        <v>0.0</v>
      </c>
      <c r="P2108" s="22">
        <f>+N2108-O2108</f>
        <v>0.0</v>
      </c>
      <c r="Q2108" s="57"/>
      <c r="R2108" s="58"/>
    </row>
    <row r="2109" spans="8:8" ht="15.0" customHeight="1">
      <c r="B2109" s="54">
        <v>2253.0</v>
      </c>
      <c r="C2109" s="8"/>
      <c r="D2109" s="8"/>
      <c r="E2109" s="8"/>
      <c r="F2109" s="8"/>
      <c r="G2109" s="8"/>
      <c r="H2109" s="8"/>
      <c r="I2109" s="55"/>
      <c r="J2109" s="78" t="s">
        <v>6024</v>
      </c>
      <c r="K2109" s="22">
        <v>0.0</v>
      </c>
      <c r="L2109" s="22">
        <f>+SUMIF('حركه المخزن الرئيسي اليوميه'!$F:$F,$H:$H,'حركه المخزن الرئيسي اليوميه'!$H:$H)</f>
        <v>0.0</v>
      </c>
      <c r="M2109" s="22">
        <f>+SUMIF('حركه المخزن الرئيسي اليوميه'!$F:$F,$H:$H,'حركه المخزن الرئيسي اليوميه'!$I:$I)</f>
        <v>0.0</v>
      </c>
      <c r="N2109" s="22">
        <f>+K2109+L2109-M2109</f>
        <v>0.0</v>
      </c>
      <c r="O2109" s="22">
        <f>+N2109</f>
        <v>0.0</v>
      </c>
      <c r="P2109" s="22">
        <f>+N2109-O2109</f>
        <v>0.0</v>
      </c>
      <c r="Q2109" s="57"/>
      <c r="R2109" s="58"/>
    </row>
    <row r="2110" spans="8:8" ht="15.0" customHeight="1">
      <c r="B2110" s="54">
        <v>2254.0</v>
      </c>
      <c r="C2110" s="8"/>
      <c r="D2110" s="8"/>
      <c r="E2110" s="8"/>
      <c r="F2110" s="8"/>
      <c r="G2110" s="8"/>
      <c r="H2110" s="8"/>
      <c r="I2110" s="55"/>
      <c r="J2110" s="78" t="s">
        <v>6025</v>
      </c>
      <c r="K2110" s="22">
        <v>0.0</v>
      </c>
      <c r="L2110" s="22">
        <f>+SUMIF('حركه المخزن الرئيسي اليوميه'!$F:$F,$H:$H,'حركه المخزن الرئيسي اليوميه'!$H:$H)</f>
        <v>0.0</v>
      </c>
      <c r="M2110" s="22">
        <f>+SUMIF('حركه المخزن الرئيسي اليوميه'!$F:$F,$H:$H,'حركه المخزن الرئيسي اليوميه'!$I:$I)</f>
        <v>0.0</v>
      </c>
      <c r="N2110" s="22">
        <f>+K2110+L2110-M2110</f>
        <v>0.0</v>
      </c>
      <c r="O2110" s="22">
        <f>+N2110</f>
        <v>0.0</v>
      </c>
      <c r="P2110" s="22">
        <f>+N2110-O2110</f>
        <v>0.0</v>
      </c>
      <c r="Q2110" s="57"/>
      <c r="R2110" s="58"/>
    </row>
    <row r="2111" spans="8:8" ht="15.0" customHeight="1">
      <c r="B2111" s="54">
        <v>2255.0</v>
      </c>
      <c r="C2111" s="8"/>
      <c r="D2111" s="8"/>
      <c r="E2111" s="8"/>
      <c r="F2111" s="8"/>
      <c r="G2111" s="8"/>
      <c r="H2111" s="8"/>
      <c r="I2111" s="55"/>
      <c r="J2111" s="78" t="s">
        <v>6026</v>
      </c>
      <c r="K2111" s="22">
        <v>0.0</v>
      </c>
      <c r="L2111" s="22">
        <f>+SUMIF('حركه المخزن الرئيسي اليوميه'!$F:$F,$H:$H,'حركه المخزن الرئيسي اليوميه'!$H:$H)</f>
        <v>0.0</v>
      </c>
      <c r="M2111" s="22">
        <f>+SUMIF('حركه المخزن الرئيسي اليوميه'!$F:$F,$H:$H,'حركه المخزن الرئيسي اليوميه'!$I:$I)</f>
        <v>0.0</v>
      </c>
      <c r="N2111" s="22">
        <f>+K2111+L2111-M2111</f>
        <v>0.0</v>
      </c>
      <c r="O2111" s="22">
        <f>+N2111</f>
        <v>0.0</v>
      </c>
      <c r="P2111" s="22">
        <f>+N2111-O2111</f>
        <v>0.0</v>
      </c>
      <c r="Q2111" s="57"/>
      <c r="R2111" s="58"/>
    </row>
    <row r="2112" spans="8:8" ht="15.0" customHeight="1">
      <c r="B2112" s="54">
        <v>2256.0</v>
      </c>
      <c r="C2112" s="8"/>
      <c r="D2112" s="8"/>
      <c r="E2112" s="8"/>
      <c r="F2112" s="8"/>
      <c r="G2112" s="8"/>
      <c r="H2112" s="8"/>
      <c r="I2112" s="55"/>
      <c r="J2112" s="78" t="s">
        <v>6027</v>
      </c>
      <c r="K2112" s="22">
        <v>0.0</v>
      </c>
      <c r="L2112" s="22">
        <f>+SUMIF('حركه المخزن الرئيسي اليوميه'!$F:$F,$H:$H,'حركه المخزن الرئيسي اليوميه'!$H:$H)</f>
        <v>0.0</v>
      </c>
      <c r="M2112" s="22">
        <f>+SUMIF('حركه المخزن الرئيسي اليوميه'!$F:$F,$H:$H,'حركه المخزن الرئيسي اليوميه'!$I:$I)</f>
        <v>0.0</v>
      </c>
      <c r="N2112" s="22">
        <f>+K2112+L2112-M2112</f>
        <v>0.0</v>
      </c>
      <c r="O2112" s="22">
        <f>+N2112</f>
        <v>0.0</v>
      </c>
      <c r="P2112" s="22">
        <f>+N2112-O2112</f>
        <v>0.0</v>
      </c>
      <c r="Q2112" s="57"/>
      <c r="R2112" s="58"/>
    </row>
    <row r="2113" spans="8:8" ht="15.0" customHeight="1">
      <c r="B2113" s="54">
        <v>2257.0</v>
      </c>
      <c r="C2113" s="8"/>
      <c r="D2113" s="8"/>
      <c r="E2113" s="8"/>
      <c r="F2113" s="8"/>
      <c r="G2113" s="8"/>
      <c r="H2113" s="8"/>
      <c r="I2113" s="55"/>
      <c r="J2113" s="78" t="s">
        <v>6028</v>
      </c>
      <c r="K2113" s="22">
        <v>0.0</v>
      </c>
      <c r="L2113" s="22">
        <f>+SUMIF('حركه المخزن الرئيسي اليوميه'!$F:$F,$H:$H,'حركه المخزن الرئيسي اليوميه'!$H:$H)</f>
        <v>0.0</v>
      </c>
      <c r="M2113" s="22">
        <f>+SUMIF('حركه المخزن الرئيسي اليوميه'!$F:$F,$H:$H,'حركه المخزن الرئيسي اليوميه'!$I:$I)</f>
        <v>0.0</v>
      </c>
      <c r="N2113" s="22">
        <f>+K2113+L2113-M2113</f>
        <v>0.0</v>
      </c>
      <c r="O2113" s="22">
        <f>+N2113</f>
        <v>0.0</v>
      </c>
      <c r="P2113" s="22">
        <f>+N2113-O2113</f>
        <v>0.0</v>
      </c>
      <c r="Q2113" s="57"/>
      <c r="R2113" s="58"/>
    </row>
    <row r="2114" spans="8:8" ht="15.0" customHeight="1">
      <c r="B2114" s="54">
        <v>2258.0</v>
      </c>
      <c r="C2114" s="8"/>
      <c r="D2114" s="8"/>
      <c r="E2114" s="8"/>
      <c r="F2114" s="8"/>
      <c r="G2114" s="8"/>
      <c r="H2114" s="8"/>
      <c r="I2114" s="55"/>
      <c r="J2114" s="78" t="s">
        <v>6029</v>
      </c>
      <c r="K2114" s="22">
        <v>0.0</v>
      </c>
      <c r="L2114" s="22">
        <f>+SUMIF('حركه المخزن الرئيسي اليوميه'!$F:$F,$H:$H,'حركه المخزن الرئيسي اليوميه'!$H:$H)</f>
        <v>0.0</v>
      </c>
      <c r="M2114" s="22">
        <f>+SUMIF('حركه المخزن الرئيسي اليوميه'!$F:$F,$H:$H,'حركه المخزن الرئيسي اليوميه'!$I:$I)</f>
        <v>0.0</v>
      </c>
      <c r="N2114" s="22">
        <f>+K2114+L2114-M2114</f>
        <v>0.0</v>
      </c>
      <c r="O2114" s="22">
        <f>+N2114</f>
        <v>0.0</v>
      </c>
      <c r="P2114" s="22">
        <f>+N2114-O2114</f>
        <v>0.0</v>
      </c>
      <c r="Q2114" s="57"/>
      <c r="R2114" s="58"/>
    </row>
    <row r="2115" spans="8:8" ht="15.0" customHeight="1">
      <c r="B2115" s="54">
        <v>2259.0</v>
      </c>
      <c r="C2115" s="8"/>
      <c r="D2115" s="8"/>
      <c r="E2115" s="8"/>
      <c r="F2115" s="8"/>
      <c r="G2115" s="8"/>
      <c r="H2115" s="8"/>
      <c r="I2115" s="55"/>
      <c r="J2115" s="78" t="s">
        <v>6030</v>
      </c>
      <c r="K2115" s="22">
        <v>0.0</v>
      </c>
      <c r="L2115" s="22">
        <f>+SUMIF('حركه المخزن الرئيسي اليوميه'!$F:$F,$H:$H,'حركه المخزن الرئيسي اليوميه'!$H:$H)</f>
        <v>0.0</v>
      </c>
      <c r="M2115" s="22">
        <f>+SUMIF('حركه المخزن الرئيسي اليوميه'!$F:$F,$H:$H,'حركه المخزن الرئيسي اليوميه'!$I:$I)</f>
        <v>0.0</v>
      </c>
      <c r="N2115" s="22">
        <f>+K2115+L2115-M2115</f>
        <v>0.0</v>
      </c>
      <c r="O2115" s="22">
        <f>+N2115</f>
        <v>0.0</v>
      </c>
      <c r="P2115" s="22">
        <f>+N2115-O2115</f>
        <v>0.0</v>
      </c>
      <c r="Q2115" s="57"/>
      <c r="R2115" s="58"/>
    </row>
    <row r="2116" spans="8:8" ht="15.0" customHeight="1">
      <c r="B2116" s="54">
        <v>2260.0</v>
      </c>
      <c r="C2116" s="8"/>
      <c r="D2116" s="8"/>
      <c r="E2116" s="8"/>
      <c r="F2116" s="8"/>
      <c r="G2116" s="8"/>
      <c r="H2116" s="8"/>
      <c r="I2116" s="55"/>
      <c r="J2116" s="78" t="s">
        <v>6031</v>
      </c>
      <c r="K2116" s="22">
        <v>0.0</v>
      </c>
      <c r="L2116" s="22">
        <f>+SUMIF('حركه المخزن الرئيسي اليوميه'!$F:$F,$H:$H,'حركه المخزن الرئيسي اليوميه'!$H:$H)</f>
        <v>0.0</v>
      </c>
      <c r="M2116" s="22">
        <f>+SUMIF('حركه المخزن الرئيسي اليوميه'!$F:$F,$H:$H,'حركه المخزن الرئيسي اليوميه'!$I:$I)</f>
        <v>0.0</v>
      </c>
      <c r="N2116" s="22">
        <f>+K2116+L2116-M2116</f>
        <v>0.0</v>
      </c>
      <c r="O2116" s="22">
        <f>+N2116</f>
        <v>0.0</v>
      </c>
      <c r="P2116" s="22">
        <f>+N2116-O2116</f>
        <v>0.0</v>
      </c>
      <c r="Q2116" s="57"/>
      <c r="R2116" s="58"/>
    </row>
    <row r="2117" spans="8:8" ht="15.0" customHeight="1">
      <c r="B2117" s="54">
        <v>2261.0</v>
      </c>
      <c r="C2117" s="8"/>
      <c r="D2117" s="8"/>
      <c r="E2117" s="8"/>
      <c r="F2117" s="8"/>
      <c r="G2117" s="8"/>
      <c r="H2117" s="8"/>
      <c r="I2117" s="55"/>
      <c r="J2117" s="78" t="s">
        <v>6032</v>
      </c>
      <c r="K2117" s="22">
        <v>0.0</v>
      </c>
      <c r="L2117" s="22">
        <f>+SUMIF('حركه المخزن الرئيسي اليوميه'!$F:$F,$H:$H,'حركه المخزن الرئيسي اليوميه'!$H:$H)</f>
        <v>0.0</v>
      </c>
      <c r="M2117" s="22">
        <f>+SUMIF('حركه المخزن الرئيسي اليوميه'!$F:$F,$H:$H,'حركه المخزن الرئيسي اليوميه'!$I:$I)</f>
        <v>0.0</v>
      </c>
      <c r="N2117" s="22">
        <f>+K2117+L2117-M2117</f>
        <v>0.0</v>
      </c>
      <c r="O2117" s="22">
        <f>+N2117</f>
        <v>0.0</v>
      </c>
      <c r="P2117" s="22">
        <f>+N2117-O2117</f>
        <v>0.0</v>
      </c>
      <c r="Q2117" s="57"/>
      <c r="R2117" s="58"/>
    </row>
    <row r="2118" spans="8:8" ht="15.0" customHeight="1">
      <c r="B2118" s="54">
        <v>2262.0</v>
      </c>
      <c r="C2118" s="8"/>
      <c r="D2118" s="8"/>
      <c r="E2118" s="8"/>
      <c r="F2118" s="8"/>
      <c r="G2118" s="8"/>
      <c r="H2118" s="8"/>
      <c r="I2118" s="55"/>
      <c r="J2118" s="78" t="s">
        <v>6033</v>
      </c>
      <c r="K2118" s="22">
        <v>0.0</v>
      </c>
      <c r="L2118" s="22">
        <f>+SUMIF('حركه المخزن الرئيسي اليوميه'!$F:$F,$H:$H,'حركه المخزن الرئيسي اليوميه'!$H:$H)</f>
        <v>0.0</v>
      </c>
      <c r="M2118" s="22">
        <f>+SUMIF('حركه المخزن الرئيسي اليوميه'!$F:$F,$H:$H,'حركه المخزن الرئيسي اليوميه'!$I:$I)</f>
        <v>0.0</v>
      </c>
      <c r="N2118" s="22">
        <f>+K2118+L2118-M2118</f>
        <v>0.0</v>
      </c>
      <c r="O2118" s="22">
        <f>+N2118</f>
        <v>0.0</v>
      </c>
      <c r="P2118" s="22">
        <f>+N2118-O2118</f>
        <v>0.0</v>
      </c>
      <c r="Q2118" s="57"/>
      <c r="R2118" s="58"/>
    </row>
    <row r="2119" spans="8:8" ht="15.0" customHeight="1">
      <c r="B2119" s="54">
        <v>2263.0</v>
      </c>
      <c r="C2119" s="8"/>
      <c r="D2119" s="8"/>
      <c r="E2119" s="8"/>
      <c r="F2119" s="8"/>
      <c r="G2119" s="8"/>
      <c r="H2119" s="8"/>
      <c r="I2119" s="55"/>
      <c r="J2119" s="78" t="s">
        <v>6034</v>
      </c>
      <c r="K2119" s="22">
        <v>0.0</v>
      </c>
      <c r="L2119" s="22">
        <f>+SUMIF('حركه المخزن الرئيسي اليوميه'!$F:$F,$H:$H,'حركه المخزن الرئيسي اليوميه'!$H:$H)</f>
        <v>0.0</v>
      </c>
      <c r="M2119" s="22">
        <f>+SUMIF('حركه المخزن الرئيسي اليوميه'!$F:$F,$H:$H,'حركه المخزن الرئيسي اليوميه'!$I:$I)</f>
        <v>0.0</v>
      </c>
      <c r="N2119" s="22">
        <f>+K2119+L2119-M2119</f>
        <v>0.0</v>
      </c>
      <c r="O2119" s="22">
        <f>+N2119</f>
        <v>0.0</v>
      </c>
      <c r="P2119" s="22">
        <f>+N2119-O2119</f>
        <v>0.0</v>
      </c>
      <c r="Q2119" s="57"/>
      <c r="R2119" s="58"/>
    </row>
    <row r="2120" spans="8:8" ht="15.0" customHeight="1">
      <c r="B2120" s="54">
        <v>2264.0</v>
      </c>
      <c r="C2120" s="8"/>
      <c r="D2120" s="8"/>
      <c r="E2120" s="8"/>
      <c r="F2120" s="8"/>
      <c r="G2120" s="8"/>
      <c r="H2120" s="8"/>
      <c r="I2120" s="55"/>
      <c r="J2120" s="78" t="s">
        <v>6035</v>
      </c>
      <c r="K2120" s="22">
        <v>0.0</v>
      </c>
      <c r="L2120" s="22">
        <f>+SUMIF('حركه المخزن الرئيسي اليوميه'!$F:$F,$H:$H,'حركه المخزن الرئيسي اليوميه'!$H:$H)</f>
        <v>0.0</v>
      </c>
      <c r="M2120" s="22">
        <f>+SUMIF('حركه المخزن الرئيسي اليوميه'!$F:$F,$H:$H,'حركه المخزن الرئيسي اليوميه'!$I:$I)</f>
        <v>0.0</v>
      </c>
      <c r="N2120" s="22">
        <f>+K2120+L2120-M2120</f>
        <v>0.0</v>
      </c>
      <c r="O2120" s="22">
        <f>+N2120</f>
        <v>0.0</v>
      </c>
      <c r="P2120" s="22">
        <f>+N2120-O2120</f>
        <v>0.0</v>
      </c>
      <c r="Q2120" s="57"/>
      <c r="R2120" s="58"/>
    </row>
    <row r="2121" spans="8:8" ht="15.0" customHeight="1">
      <c r="B2121" s="54">
        <v>2265.0</v>
      </c>
      <c r="C2121" s="8"/>
      <c r="D2121" s="8"/>
      <c r="E2121" s="8"/>
      <c r="F2121" s="8"/>
      <c r="G2121" s="8"/>
      <c r="H2121" s="8"/>
      <c r="I2121" s="55"/>
      <c r="J2121" s="78" t="s">
        <v>6036</v>
      </c>
      <c r="K2121" s="22">
        <v>0.0</v>
      </c>
      <c r="L2121" s="22">
        <f>+SUMIF('حركه المخزن الرئيسي اليوميه'!$F:$F,$H:$H,'حركه المخزن الرئيسي اليوميه'!$H:$H)</f>
        <v>0.0</v>
      </c>
      <c r="M2121" s="22">
        <f>+SUMIF('حركه المخزن الرئيسي اليوميه'!$F:$F,$H:$H,'حركه المخزن الرئيسي اليوميه'!$I:$I)</f>
        <v>0.0</v>
      </c>
      <c r="N2121" s="22">
        <f>+K2121+L2121-M2121</f>
        <v>0.0</v>
      </c>
      <c r="O2121" s="22">
        <f>+N2121</f>
        <v>0.0</v>
      </c>
      <c r="P2121" s="22">
        <f>+N2121-O2121</f>
        <v>0.0</v>
      </c>
      <c r="Q2121" s="57"/>
      <c r="R2121" s="58"/>
    </row>
    <row r="2122" spans="8:8" ht="15.0" customHeight="1">
      <c r="B2122" s="54">
        <v>2266.0</v>
      </c>
      <c r="C2122" s="8"/>
      <c r="D2122" s="8"/>
      <c r="E2122" s="8"/>
      <c r="F2122" s="8"/>
      <c r="G2122" s="8"/>
      <c r="H2122" s="8"/>
      <c r="I2122" s="55"/>
      <c r="J2122" s="78" t="s">
        <v>6037</v>
      </c>
      <c r="K2122" s="22">
        <v>0.0</v>
      </c>
      <c r="L2122" s="22">
        <f>+SUMIF('حركه المخزن الرئيسي اليوميه'!$F:$F,$H:$H,'حركه المخزن الرئيسي اليوميه'!$H:$H)</f>
        <v>0.0</v>
      </c>
      <c r="M2122" s="22">
        <f>+SUMIF('حركه المخزن الرئيسي اليوميه'!$F:$F,$H:$H,'حركه المخزن الرئيسي اليوميه'!$I:$I)</f>
        <v>0.0</v>
      </c>
      <c r="N2122" s="22">
        <f>+K2122+L2122-M2122</f>
        <v>0.0</v>
      </c>
      <c r="O2122" s="22">
        <f>+N2122</f>
        <v>0.0</v>
      </c>
      <c r="P2122" s="22">
        <f>+N2122-O2122</f>
        <v>0.0</v>
      </c>
      <c r="Q2122" s="57"/>
      <c r="R2122" s="58"/>
    </row>
    <row r="2123" spans="8:8" ht="15.0" customHeight="1">
      <c r="B2123" s="54">
        <v>2267.0</v>
      </c>
      <c r="C2123" s="8"/>
      <c r="D2123" s="8"/>
      <c r="E2123" s="8"/>
      <c r="F2123" s="8"/>
      <c r="G2123" s="8"/>
      <c r="H2123" s="8"/>
      <c r="I2123" s="55"/>
      <c r="J2123" s="78" t="s">
        <v>6038</v>
      </c>
      <c r="K2123" s="22">
        <v>0.0</v>
      </c>
      <c r="L2123" s="22">
        <f>+SUMIF('حركه المخزن الرئيسي اليوميه'!$F:$F,$H:$H,'حركه المخزن الرئيسي اليوميه'!$H:$H)</f>
        <v>0.0</v>
      </c>
      <c r="M2123" s="22">
        <f>+SUMIF('حركه المخزن الرئيسي اليوميه'!$F:$F,$H:$H,'حركه المخزن الرئيسي اليوميه'!$I:$I)</f>
        <v>0.0</v>
      </c>
      <c r="N2123" s="22">
        <f>+K2123+L2123-M2123</f>
        <v>0.0</v>
      </c>
      <c r="O2123" s="22">
        <f>+N2123</f>
        <v>0.0</v>
      </c>
      <c r="P2123" s="22">
        <f>+N2123-O2123</f>
        <v>0.0</v>
      </c>
      <c r="Q2123" s="57"/>
      <c r="R2123" s="58"/>
    </row>
    <row r="2124" spans="8:8" ht="15.0" customHeight="1">
      <c r="B2124" s="54">
        <v>2268.0</v>
      </c>
      <c r="C2124" s="8"/>
      <c r="D2124" s="8"/>
      <c r="E2124" s="8"/>
      <c r="F2124" s="8"/>
      <c r="G2124" s="8"/>
      <c r="H2124" s="8"/>
      <c r="I2124" s="55"/>
      <c r="J2124" s="78" t="s">
        <v>6039</v>
      </c>
      <c r="K2124" s="22">
        <v>0.0</v>
      </c>
      <c r="L2124" s="22">
        <f>+SUMIF('حركه المخزن الرئيسي اليوميه'!$F:$F,$H:$H,'حركه المخزن الرئيسي اليوميه'!$H:$H)</f>
        <v>0.0</v>
      </c>
      <c r="M2124" s="22">
        <f>+SUMIF('حركه المخزن الرئيسي اليوميه'!$F:$F,$H:$H,'حركه المخزن الرئيسي اليوميه'!$I:$I)</f>
        <v>0.0</v>
      </c>
      <c r="N2124" s="22">
        <f>+K2124+L2124-M2124</f>
        <v>0.0</v>
      </c>
      <c r="O2124" s="22">
        <f>+N2124</f>
        <v>0.0</v>
      </c>
      <c r="P2124" s="22">
        <f>+N2124-O2124</f>
        <v>0.0</v>
      </c>
      <c r="Q2124" s="57"/>
      <c r="R2124" s="58"/>
    </row>
    <row r="2125" spans="8:8" ht="15.0" customHeight="1">
      <c r="B2125" s="54">
        <v>2269.0</v>
      </c>
      <c r="C2125" s="8"/>
      <c r="D2125" s="8"/>
      <c r="E2125" s="8"/>
      <c r="F2125" s="8"/>
      <c r="G2125" s="8"/>
      <c r="H2125" s="8"/>
      <c r="I2125" s="55"/>
      <c r="J2125" s="78" t="s">
        <v>6040</v>
      </c>
      <c r="K2125" s="22">
        <v>0.0</v>
      </c>
      <c r="L2125" s="22">
        <f>+SUMIF('حركه المخزن الرئيسي اليوميه'!$F:$F,$H:$H,'حركه المخزن الرئيسي اليوميه'!$H:$H)</f>
        <v>0.0</v>
      </c>
      <c r="M2125" s="22">
        <f>+SUMIF('حركه المخزن الرئيسي اليوميه'!$F:$F,$H:$H,'حركه المخزن الرئيسي اليوميه'!$I:$I)</f>
        <v>0.0</v>
      </c>
      <c r="N2125" s="22">
        <f>+K2125+L2125-M2125</f>
        <v>0.0</v>
      </c>
      <c r="O2125" s="22">
        <f>+N2125</f>
        <v>0.0</v>
      </c>
      <c r="P2125" s="22">
        <f>+N2125-O2125</f>
        <v>0.0</v>
      </c>
      <c r="Q2125" s="57"/>
      <c r="R2125" s="58"/>
    </row>
    <row r="2126" spans="8:8" ht="15.0" customHeight="1">
      <c r="B2126" s="54">
        <v>2270.0</v>
      </c>
      <c r="C2126" s="8"/>
      <c r="D2126" s="8"/>
      <c r="E2126" s="8"/>
      <c r="F2126" s="8"/>
      <c r="G2126" s="8"/>
      <c r="H2126" s="8"/>
      <c r="I2126" s="55"/>
      <c r="J2126" s="78" t="s">
        <v>6041</v>
      </c>
      <c r="K2126" s="22">
        <v>0.0</v>
      </c>
      <c r="L2126" s="22">
        <f>+SUMIF('حركه المخزن الرئيسي اليوميه'!$F:$F,$H:$H,'حركه المخزن الرئيسي اليوميه'!$H:$H)</f>
        <v>0.0</v>
      </c>
      <c r="M2126" s="22">
        <f>+SUMIF('حركه المخزن الرئيسي اليوميه'!$F:$F,$H:$H,'حركه المخزن الرئيسي اليوميه'!$I:$I)</f>
        <v>0.0</v>
      </c>
      <c r="N2126" s="22">
        <f>+K2126+L2126-M2126</f>
        <v>0.0</v>
      </c>
      <c r="O2126" s="22">
        <f>+N2126</f>
        <v>0.0</v>
      </c>
      <c r="P2126" s="22">
        <f>+N2126-O2126</f>
        <v>0.0</v>
      </c>
      <c r="Q2126" s="57"/>
      <c r="R2126" s="58"/>
    </row>
    <row r="2127" spans="8:8" ht="15.0" customHeight="1">
      <c r="B2127" s="54">
        <v>2271.0</v>
      </c>
      <c r="C2127" s="8"/>
      <c r="D2127" s="8"/>
      <c r="E2127" s="8"/>
      <c r="F2127" s="8"/>
      <c r="G2127" s="8"/>
      <c r="H2127" s="8"/>
      <c r="I2127" s="55"/>
      <c r="J2127" s="78" t="s">
        <v>6042</v>
      </c>
      <c r="K2127" s="22">
        <v>0.0</v>
      </c>
      <c r="L2127" s="22">
        <f>+SUMIF('حركه المخزن الرئيسي اليوميه'!$F:$F,$H:$H,'حركه المخزن الرئيسي اليوميه'!$H:$H)</f>
        <v>0.0</v>
      </c>
      <c r="M2127" s="22">
        <f>+SUMIF('حركه المخزن الرئيسي اليوميه'!$F:$F,$H:$H,'حركه المخزن الرئيسي اليوميه'!$I:$I)</f>
        <v>0.0</v>
      </c>
      <c r="N2127" s="22">
        <f>+K2127+L2127-M2127</f>
        <v>0.0</v>
      </c>
      <c r="O2127" s="22">
        <f>+N2127</f>
        <v>0.0</v>
      </c>
      <c r="P2127" s="22">
        <f>+N2127-O2127</f>
        <v>0.0</v>
      </c>
      <c r="Q2127" s="57"/>
      <c r="R2127" s="58"/>
    </row>
    <row r="2128" spans="8:8" ht="15.0" customHeight="1">
      <c r="B2128" s="54">
        <v>2272.0</v>
      </c>
      <c r="C2128" s="8"/>
      <c r="D2128" s="8"/>
      <c r="E2128" s="8"/>
      <c r="F2128" s="8"/>
      <c r="G2128" s="8"/>
      <c r="H2128" s="8"/>
      <c r="I2128" s="55"/>
      <c r="J2128" s="78" t="s">
        <v>6043</v>
      </c>
      <c r="K2128" s="22">
        <v>0.0</v>
      </c>
      <c r="L2128" s="22">
        <f>+SUMIF('حركه المخزن الرئيسي اليوميه'!$F:$F,$H:$H,'حركه المخزن الرئيسي اليوميه'!$H:$H)</f>
        <v>0.0</v>
      </c>
      <c r="M2128" s="22">
        <f>+SUMIF('حركه المخزن الرئيسي اليوميه'!$F:$F,$H:$H,'حركه المخزن الرئيسي اليوميه'!$I:$I)</f>
        <v>0.0</v>
      </c>
      <c r="N2128" s="22">
        <f>+K2128+L2128-M2128</f>
        <v>0.0</v>
      </c>
      <c r="O2128" s="22">
        <f>+N2128</f>
        <v>0.0</v>
      </c>
      <c r="P2128" s="22">
        <f>+N2128-O2128</f>
        <v>0.0</v>
      </c>
      <c r="Q2128" s="57"/>
      <c r="R2128" s="58"/>
    </row>
    <row r="2129" spans="8:8" ht="15.0" customHeight="1">
      <c r="B2129" s="54">
        <v>2273.0</v>
      </c>
      <c r="C2129" s="8"/>
      <c r="D2129" s="8"/>
      <c r="E2129" s="8"/>
      <c r="F2129" s="8"/>
      <c r="G2129" s="8"/>
      <c r="H2129" s="8"/>
      <c r="I2129" s="55"/>
      <c r="J2129" s="78" t="s">
        <v>6044</v>
      </c>
      <c r="K2129" s="22">
        <v>0.0</v>
      </c>
      <c r="L2129" s="22">
        <f>+SUMIF('حركه المخزن الرئيسي اليوميه'!$F:$F,$H:$H,'حركه المخزن الرئيسي اليوميه'!$H:$H)</f>
        <v>0.0</v>
      </c>
      <c r="M2129" s="22">
        <f>+SUMIF('حركه المخزن الرئيسي اليوميه'!$F:$F,$H:$H,'حركه المخزن الرئيسي اليوميه'!$I:$I)</f>
        <v>0.0</v>
      </c>
      <c r="N2129" s="22">
        <f>+K2129+L2129-M2129</f>
        <v>0.0</v>
      </c>
      <c r="O2129" s="22">
        <f>+N2129</f>
        <v>0.0</v>
      </c>
      <c r="P2129" s="22">
        <f>+N2129-O2129</f>
        <v>0.0</v>
      </c>
      <c r="Q2129" s="57"/>
      <c r="R2129" s="58"/>
    </row>
    <row r="2130" spans="8:8" ht="15.0" customHeight="1">
      <c r="B2130" s="54">
        <v>2274.0</v>
      </c>
      <c r="C2130" s="8"/>
      <c r="D2130" s="8"/>
      <c r="E2130" s="8"/>
      <c r="F2130" s="8"/>
      <c r="G2130" s="8"/>
      <c r="H2130" s="8"/>
      <c r="I2130" s="55"/>
      <c r="J2130" s="78" t="s">
        <v>6045</v>
      </c>
      <c r="K2130" s="22">
        <v>0.0</v>
      </c>
      <c r="L2130" s="22">
        <f>+SUMIF('حركه المخزن الرئيسي اليوميه'!$F:$F,$H:$H,'حركه المخزن الرئيسي اليوميه'!$H:$H)</f>
        <v>0.0</v>
      </c>
      <c r="M2130" s="22">
        <f>+SUMIF('حركه المخزن الرئيسي اليوميه'!$F:$F,$H:$H,'حركه المخزن الرئيسي اليوميه'!$I:$I)</f>
        <v>0.0</v>
      </c>
      <c r="N2130" s="22">
        <f>+K2130+L2130-M2130</f>
        <v>0.0</v>
      </c>
      <c r="O2130" s="22">
        <f>+N2130</f>
        <v>0.0</v>
      </c>
      <c r="P2130" s="22">
        <f>+N2130-O2130</f>
        <v>0.0</v>
      </c>
      <c r="Q2130" s="57"/>
      <c r="R2130" s="58"/>
    </row>
    <row r="2131" spans="8:8" ht="15.0" customHeight="1">
      <c r="B2131" s="54">
        <v>2275.0</v>
      </c>
      <c r="C2131" s="8"/>
      <c r="D2131" s="8"/>
      <c r="E2131" s="8"/>
      <c r="F2131" s="8"/>
      <c r="G2131" s="8"/>
      <c r="H2131" s="8"/>
      <c r="I2131" s="55"/>
      <c r="J2131" s="78" t="s">
        <v>6046</v>
      </c>
      <c r="K2131" s="22">
        <v>0.0</v>
      </c>
      <c r="L2131" s="22">
        <f>+SUMIF('حركه المخزن الرئيسي اليوميه'!$F:$F,$H:$H,'حركه المخزن الرئيسي اليوميه'!$H:$H)</f>
        <v>0.0</v>
      </c>
      <c r="M2131" s="22">
        <f>+SUMIF('حركه المخزن الرئيسي اليوميه'!$F:$F,$H:$H,'حركه المخزن الرئيسي اليوميه'!$I:$I)</f>
        <v>0.0</v>
      </c>
      <c r="N2131" s="22">
        <f>+K2131+L2131-M2131</f>
        <v>0.0</v>
      </c>
      <c r="O2131" s="22">
        <f>+N2131</f>
        <v>0.0</v>
      </c>
      <c r="P2131" s="22">
        <f>+N2131-O2131</f>
        <v>0.0</v>
      </c>
      <c r="Q2131" s="57"/>
      <c r="R2131" s="58"/>
    </row>
    <row r="2132" spans="8:8" ht="15.0" customHeight="1">
      <c r="B2132" s="54">
        <v>2276.0</v>
      </c>
      <c r="C2132" s="8"/>
      <c r="D2132" s="8"/>
      <c r="E2132" s="8"/>
      <c r="F2132" s="8"/>
      <c r="G2132" s="8"/>
      <c r="H2132" s="8"/>
      <c r="I2132" s="55"/>
      <c r="J2132" s="78" t="s">
        <v>6047</v>
      </c>
      <c r="K2132" s="22">
        <v>0.0</v>
      </c>
      <c r="L2132" s="22">
        <f>+SUMIF('حركه المخزن الرئيسي اليوميه'!$F:$F,$H:$H,'حركه المخزن الرئيسي اليوميه'!$H:$H)</f>
        <v>0.0</v>
      </c>
      <c r="M2132" s="22">
        <f>+SUMIF('حركه المخزن الرئيسي اليوميه'!$F:$F,$H:$H,'حركه المخزن الرئيسي اليوميه'!$I:$I)</f>
        <v>0.0</v>
      </c>
      <c r="N2132" s="22">
        <f>+K2132+L2132-M2132</f>
        <v>0.0</v>
      </c>
      <c r="O2132" s="22">
        <f>+N2132</f>
        <v>0.0</v>
      </c>
      <c r="P2132" s="22">
        <f>+N2132-O2132</f>
        <v>0.0</v>
      </c>
      <c r="Q2132" s="57"/>
      <c r="R2132" s="58"/>
    </row>
    <row r="2133" spans="8:8" ht="15.0" customHeight="1">
      <c r="B2133" s="54">
        <v>2277.0</v>
      </c>
      <c r="C2133" s="8"/>
      <c r="D2133" s="8"/>
      <c r="E2133" s="8"/>
      <c r="F2133" s="8"/>
      <c r="G2133" s="8"/>
      <c r="H2133" s="8"/>
      <c r="I2133" s="55"/>
      <c r="J2133" s="78" t="s">
        <v>6048</v>
      </c>
      <c r="K2133" s="22">
        <v>0.0</v>
      </c>
      <c r="L2133" s="22">
        <f>+SUMIF('حركه المخزن الرئيسي اليوميه'!$F:$F,$H:$H,'حركه المخزن الرئيسي اليوميه'!$H:$H)</f>
        <v>0.0</v>
      </c>
      <c r="M2133" s="22">
        <f>+SUMIF('حركه المخزن الرئيسي اليوميه'!$F:$F,$H:$H,'حركه المخزن الرئيسي اليوميه'!$I:$I)</f>
        <v>0.0</v>
      </c>
      <c r="N2133" s="22">
        <f>+K2133+L2133-M2133</f>
        <v>0.0</v>
      </c>
      <c r="O2133" s="22">
        <f>+N2133</f>
        <v>0.0</v>
      </c>
      <c r="P2133" s="22">
        <f>+N2133-O2133</f>
        <v>0.0</v>
      </c>
      <c r="Q2133" s="57"/>
      <c r="R2133" s="58"/>
    </row>
    <row r="2134" spans="8:8" ht="15.0" customHeight="1">
      <c r="B2134" s="54">
        <v>2278.0</v>
      </c>
      <c r="C2134" s="8"/>
      <c r="D2134" s="8"/>
      <c r="E2134" s="8"/>
      <c r="F2134" s="8"/>
      <c r="G2134" s="8"/>
      <c r="H2134" s="8"/>
      <c r="I2134" s="55"/>
      <c r="J2134" s="78" t="s">
        <v>6049</v>
      </c>
      <c r="K2134" s="22">
        <v>0.0</v>
      </c>
      <c r="L2134" s="22">
        <f>+SUMIF('حركه المخزن الرئيسي اليوميه'!$F:$F,$H:$H,'حركه المخزن الرئيسي اليوميه'!$H:$H)</f>
        <v>0.0</v>
      </c>
      <c r="M2134" s="22">
        <f>+SUMIF('حركه المخزن الرئيسي اليوميه'!$F:$F,$H:$H,'حركه المخزن الرئيسي اليوميه'!$I:$I)</f>
        <v>0.0</v>
      </c>
      <c r="N2134" s="22">
        <f>+K2134+L2134-M2134</f>
        <v>0.0</v>
      </c>
      <c r="O2134" s="22">
        <f>+N2134</f>
        <v>0.0</v>
      </c>
      <c r="P2134" s="22">
        <f>+N2134-O2134</f>
        <v>0.0</v>
      </c>
      <c r="Q2134" s="57"/>
      <c r="R2134" s="58"/>
    </row>
    <row r="2135" spans="8:8" ht="15.0" customHeight="1">
      <c r="B2135" s="54">
        <v>2279.0</v>
      </c>
      <c r="C2135" s="8"/>
      <c r="D2135" s="8"/>
      <c r="E2135" s="8"/>
      <c r="F2135" s="8"/>
      <c r="G2135" s="8"/>
      <c r="H2135" s="8"/>
      <c r="I2135" s="55"/>
      <c r="J2135" s="78" t="s">
        <v>6050</v>
      </c>
      <c r="K2135" s="22">
        <v>0.0</v>
      </c>
      <c r="L2135" s="22">
        <f>+SUMIF('حركه المخزن الرئيسي اليوميه'!$F:$F,$H:$H,'حركه المخزن الرئيسي اليوميه'!$H:$H)</f>
        <v>0.0</v>
      </c>
      <c r="M2135" s="22">
        <f>+SUMIF('حركه المخزن الرئيسي اليوميه'!$F:$F,$H:$H,'حركه المخزن الرئيسي اليوميه'!$I:$I)</f>
        <v>0.0</v>
      </c>
      <c r="N2135" s="22">
        <f>+K2135+L2135-M2135</f>
        <v>0.0</v>
      </c>
      <c r="O2135" s="22">
        <f>+N2135</f>
        <v>0.0</v>
      </c>
      <c r="P2135" s="22">
        <f>+N2135-O2135</f>
        <v>0.0</v>
      </c>
      <c r="Q2135" s="57"/>
      <c r="R2135" s="58"/>
    </row>
    <row r="2136" spans="8:8" ht="15.0" customHeight="1">
      <c r="B2136" s="54">
        <v>2280.0</v>
      </c>
      <c r="C2136" s="8"/>
      <c r="D2136" s="8"/>
      <c r="E2136" s="8"/>
      <c r="F2136" s="8"/>
      <c r="G2136" s="8"/>
      <c r="H2136" s="8"/>
      <c r="I2136" s="55"/>
      <c r="J2136" s="78" t="s">
        <v>6051</v>
      </c>
      <c r="K2136" s="22">
        <v>0.0</v>
      </c>
      <c r="L2136" s="22">
        <f>+SUMIF('حركه المخزن الرئيسي اليوميه'!$F:$F,$H:$H,'حركه المخزن الرئيسي اليوميه'!$H:$H)</f>
        <v>0.0</v>
      </c>
      <c r="M2136" s="22">
        <f>+SUMIF('حركه المخزن الرئيسي اليوميه'!$F:$F,$H:$H,'حركه المخزن الرئيسي اليوميه'!$I:$I)</f>
        <v>0.0</v>
      </c>
      <c r="N2136" s="22">
        <f>+K2136+L2136-M2136</f>
        <v>0.0</v>
      </c>
      <c r="O2136" s="22">
        <f>+N2136</f>
        <v>0.0</v>
      </c>
      <c r="P2136" s="22">
        <f>+N2136-O2136</f>
        <v>0.0</v>
      </c>
      <c r="Q2136" s="57"/>
      <c r="R2136" s="58"/>
    </row>
    <row r="2137" spans="8:8" ht="15.0" customHeight="1">
      <c r="B2137" s="54">
        <v>2281.0</v>
      </c>
      <c r="C2137" s="8"/>
      <c r="D2137" s="8"/>
      <c r="E2137" s="8"/>
      <c r="F2137" s="8"/>
      <c r="G2137" s="8"/>
      <c r="H2137" s="8"/>
      <c r="I2137" s="55"/>
      <c r="J2137" s="78" t="s">
        <v>6052</v>
      </c>
      <c r="K2137" s="22">
        <v>0.0</v>
      </c>
      <c r="L2137" s="22">
        <f>+SUMIF('حركه المخزن الرئيسي اليوميه'!$F:$F,$H:$H,'حركه المخزن الرئيسي اليوميه'!$H:$H)</f>
        <v>0.0</v>
      </c>
      <c r="M2137" s="22">
        <f>+SUMIF('حركه المخزن الرئيسي اليوميه'!$F:$F,$H:$H,'حركه المخزن الرئيسي اليوميه'!$I:$I)</f>
        <v>0.0</v>
      </c>
      <c r="N2137" s="22">
        <f>+K2137+L2137-M2137</f>
        <v>0.0</v>
      </c>
      <c r="O2137" s="22">
        <f>+N2137</f>
        <v>0.0</v>
      </c>
      <c r="P2137" s="22">
        <f>+N2137-O2137</f>
        <v>0.0</v>
      </c>
      <c r="Q2137" s="57"/>
      <c r="R2137" s="58"/>
    </row>
    <row r="2138" spans="8:8" ht="15.0" customHeight="1">
      <c r="B2138" s="54">
        <v>2282.0</v>
      </c>
      <c r="C2138" s="8"/>
      <c r="D2138" s="8"/>
      <c r="E2138" s="8"/>
      <c r="F2138" s="8"/>
      <c r="G2138" s="8"/>
      <c r="H2138" s="8"/>
      <c r="I2138" s="55"/>
      <c r="J2138" s="78" t="s">
        <v>6053</v>
      </c>
      <c r="K2138" s="22">
        <v>0.0</v>
      </c>
      <c r="L2138" s="22">
        <f>+SUMIF('حركه المخزن الرئيسي اليوميه'!$F:$F,$H:$H,'حركه المخزن الرئيسي اليوميه'!$H:$H)</f>
        <v>0.0</v>
      </c>
      <c r="M2138" s="22">
        <f>+SUMIF('حركه المخزن الرئيسي اليوميه'!$F:$F,$H:$H,'حركه المخزن الرئيسي اليوميه'!$I:$I)</f>
        <v>0.0</v>
      </c>
      <c r="N2138" s="22">
        <f>+K2138+L2138-M2138</f>
        <v>0.0</v>
      </c>
      <c r="O2138" s="22">
        <f>+N2138</f>
        <v>0.0</v>
      </c>
      <c r="P2138" s="22">
        <f>+N2138-O2138</f>
        <v>0.0</v>
      </c>
      <c r="Q2138" s="57"/>
      <c r="R2138" s="58"/>
    </row>
    <row r="2139" spans="8:8" ht="15.0" customHeight="1">
      <c r="B2139" s="54">
        <v>2283.0</v>
      </c>
      <c r="C2139" s="8"/>
      <c r="D2139" s="8"/>
      <c r="E2139" s="8"/>
      <c r="F2139" s="8"/>
      <c r="G2139" s="8"/>
      <c r="H2139" s="8"/>
      <c r="I2139" s="55"/>
      <c r="J2139" s="78" t="s">
        <v>6054</v>
      </c>
      <c r="K2139" s="22">
        <v>0.0</v>
      </c>
      <c r="L2139" s="22">
        <f>+SUMIF('حركه المخزن الرئيسي اليوميه'!$F:$F,$H:$H,'حركه المخزن الرئيسي اليوميه'!$H:$H)</f>
        <v>0.0</v>
      </c>
      <c r="M2139" s="22">
        <f>+SUMIF('حركه المخزن الرئيسي اليوميه'!$F:$F,$H:$H,'حركه المخزن الرئيسي اليوميه'!$I:$I)</f>
        <v>0.0</v>
      </c>
      <c r="N2139" s="22">
        <f>+K2139+L2139-M2139</f>
        <v>0.0</v>
      </c>
      <c r="O2139" s="22">
        <f>+N2139</f>
        <v>0.0</v>
      </c>
      <c r="P2139" s="22">
        <f>+N2139-O2139</f>
        <v>0.0</v>
      </c>
      <c r="Q2139" s="57"/>
      <c r="R2139" s="58"/>
    </row>
    <row r="2140" spans="8:8" ht="15.0" customHeight="1">
      <c r="B2140" s="54">
        <v>2284.0</v>
      </c>
      <c r="C2140" s="8"/>
      <c r="D2140" s="8"/>
      <c r="E2140" s="8"/>
      <c r="F2140" s="8"/>
      <c r="G2140" s="8"/>
      <c r="H2140" s="8"/>
      <c r="I2140" s="55"/>
      <c r="J2140" s="78" t="s">
        <v>6055</v>
      </c>
      <c r="K2140" s="22">
        <v>0.0</v>
      </c>
      <c r="L2140" s="22">
        <f>+SUMIF('حركه المخزن الرئيسي اليوميه'!$F:$F,$H:$H,'حركه المخزن الرئيسي اليوميه'!$H:$H)</f>
        <v>0.0</v>
      </c>
      <c r="M2140" s="22">
        <f>+SUMIF('حركه المخزن الرئيسي اليوميه'!$F:$F,$H:$H,'حركه المخزن الرئيسي اليوميه'!$I:$I)</f>
        <v>0.0</v>
      </c>
      <c r="N2140" s="22">
        <f>+K2140+L2140-M2140</f>
        <v>0.0</v>
      </c>
      <c r="O2140" s="22">
        <f>+N2140</f>
        <v>0.0</v>
      </c>
      <c r="P2140" s="22">
        <f>+N2140-O2140</f>
        <v>0.0</v>
      </c>
      <c r="Q2140" s="57"/>
      <c r="R2140" s="58"/>
    </row>
    <row r="2141" spans="8:8" ht="15.0" customHeight="1">
      <c r="B2141" s="54">
        <v>2285.0</v>
      </c>
      <c r="C2141" s="8"/>
      <c r="D2141" s="8"/>
      <c r="E2141" s="8"/>
      <c r="F2141" s="8"/>
      <c r="G2141" s="8"/>
      <c r="H2141" s="8"/>
      <c r="I2141" s="55"/>
      <c r="J2141" s="78" t="s">
        <v>6056</v>
      </c>
      <c r="K2141" s="22">
        <v>0.0</v>
      </c>
      <c r="L2141" s="22">
        <f>+SUMIF('حركه المخزن الرئيسي اليوميه'!$F:$F,$H:$H,'حركه المخزن الرئيسي اليوميه'!$H:$H)</f>
        <v>0.0</v>
      </c>
      <c r="M2141" s="22">
        <f>+SUMIF('حركه المخزن الرئيسي اليوميه'!$F:$F,$H:$H,'حركه المخزن الرئيسي اليوميه'!$I:$I)</f>
        <v>0.0</v>
      </c>
      <c r="N2141" s="22">
        <f>+K2141+L2141-M2141</f>
        <v>0.0</v>
      </c>
      <c r="O2141" s="22">
        <f>+N2141</f>
        <v>0.0</v>
      </c>
      <c r="P2141" s="22">
        <f>+N2141-O2141</f>
        <v>0.0</v>
      </c>
      <c r="Q2141" s="57"/>
      <c r="R2141" s="58"/>
    </row>
    <row r="2142" spans="8:8" ht="15.0" customHeight="1">
      <c r="B2142" s="54">
        <v>2286.0</v>
      </c>
      <c r="C2142" s="8"/>
      <c r="D2142" s="8"/>
      <c r="E2142" s="8"/>
      <c r="F2142" s="8"/>
      <c r="G2142" s="8"/>
      <c r="H2142" s="8"/>
      <c r="I2142" s="55"/>
      <c r="J2142" s="78" t="s">
        <v>6057</v>
      </c>
      <c r="K2142" s="22">
        <v>0.0</v>
      </c>
      <c r="L2142" s="22">
        <f>+SUMIF('حركه المخزن الرئيسي اليوميه'!$F:$F,$H:$H,'حركه المخزن الرئيسي اليوميه'!$H:$H)</f>
        <v>0.0</v>
      </c>
      <c r="M2142" s="22">
        <f>+SUMIF('حركه المخزن الرئيسي اليوميه'!$F:$F,$H:$H,'حركه المخزن الرئيسي اليوميه'!$I:$I)</f>
        <v>0.0</v>
      </c>
      <c r="N2142" s="22">
        <f>+K2142+L2142-M2142</f>
        <v>0.0</v>
      </c>
      <c r="O2142" s="22">
        <f>+N2142</f>
        <v>0.0</v>
      </c>
      <c r="P2142" s="22">
        <f>+N2142-O2142</f>
        <v>0.0</v>
      </c>
      <c r="Q2142" s="57"/>
      <c r="R2142" s="58"/>
    </row>
    <row r="2143" spans="8:8" ht="15.0" customHeight="1">
      <c r="B2143" s="54">
        <v>2287.0</v>
      </c>
      <c r="C2143" s="8"/>
      <c r="D2143" s="8"/>
      <c r="E2143" s="8"/>
      <c r="F2143" s="8"/>
      <c r="G2143" s="8"/>
      <c r="H2143" s="8"/>
      <c r="I2143" s="55"/>
      <c r="J2143" s="78" t="s">
        <v>6058</v>
      </c>
      <c r="K2143" s="22">
        <v>0.0</v>
      </c>
      <c r="L2143" s="22">
        <f>+SUMIF('حركه المخزن الرئيسي اليوميه'!$F:$F,$H:$H,'حركه المخزن الرئيسي اليوميه'!$H:$H)</f>
        <v>0.0</v>
      </c>
      <c r="M2143" s="22">
        <f>+SUMIF('حركه المخزن الرئيسي اليوميه'!$F:$F,$H:$H,'حركه المخزن الرئيسي اليوميه'!$I:$I)</f>
        <v>0.0</v>
      </c>
      <c r="N2143" s="22">
        <f>+K2143+L2143-M2143</f>
        <v>0.0</v>
      </c>
      <c r="O2143" s="22">
        <f>+N2143</f>
        <v>0.0</v>
      </c>
      <c r="P2143" s="22">
        <f>+N2143-O2143</f>
        <v>0.0</v>
      </c>
      <c r="Q2143" s="57"/>
      <c r="R2143" s="58"/>
    </row>
    <row r="2144" spans="8:8" ht="15.0" customHeight="1">
      <c r="B2144" s="54">
        <v>2288.0</v>
      </c>
      <c r="C2144" s="8"/>
      <c r="D2144" s="8"/>
      <c r="E2144" s="8"/>
      <c r="F2144" s="8"/>
      <c r="G2144" s="8"/>
      <c r="H2144" s="8"/>
      <c r="I2144" s="55"/>
      <c r="J2144" s="78" t="s">
        <v>6059</v>
      </c>
      <c r="K2144" s="22">
        <v>0.0</v>
      </c>
      <c r="L2144" s="22">
        <f>+SUMIF('حركه المخزن الرئيسي اليوميه'!$F:$F,$H:$H,'حركه المخزن الرئيسي اليوميه'!$H:$H)</f>
        <v>0.0</v>
      </c>
      <c r="M2144" s="22">
        <f>+SUMIF('حركه المخزن الرئيسي اليوميه'!$F:$F,$H:$H,'حركه المخزن الرئيسي اليوميه'!$I:$I)</f>
        <v>0.0</v>
      </c>
      <c r="N2144" s="22">
        <f>+K2144+L2144-M2144</f>
        <v>0.0</v>
      </c>
      <c r="O2144" s="22">
        <f>+N2144</f>
        <v>0.0</v>
      </c>
      <c r="P2144" s="22">
        <f>+N2144-O2144</f>
        <v>0.0</v>
      </c>
      <c r="Q2144" s="57"/>
      <c r="R2144" s="58"/>
    </row>
    <row r="2145" spans="8:8" ht="15.0" customHeight="1">
      <c r="B2145" s="54">
        <v>2289.0</v>
      </c>
      <c r="C2145" s="8"/>
      <c r="D2145" s="8"/>
      <c r="E2145" s="8"/>
      <c r="F2145" s="8"/>
      <c r="G2145" s="8"/>
      <c r="H2145" s="8"/>
      <c r="I2145" s="55"/>
      <c r="J2145" s="78" t="s">
        <v>6060</v>
      </c>
      <c r="K2145" s="22">
        <v>0.0</v>
      </c>
      <c r="L2145" s="22">
        <f>+SUMIF('حركه المخزن الرئيسي اليوميه'!$F:$F,$H:$H,'حركه المخزن الرئيسي اليوميه'!$H:$H)</f>
        <v>0.0</v>
      </c>
      <c r="M2145" s="22">
        <f>+SUMIF('حركه المخزن الرئيسي اليوميه'!$F:$F,$H:$H,'حركه المخزن الرئيسي اليوميه'!$I:$I)</f>
        <v>0.0</v>
      </c>
      <c r="N2145" s="22">
        <f>+K2145+L2145-M2145</f>
        <v>0.0</v>
      </c>
      <c r="O2145" s="22">
        <f>+N2145</f>
        <v>0.0</v>
      </c>
      <c r="P2145" s="22">
        <f>+N2145-O2145</f>
        <v>0.0</v>
      </c>
      <c r="Q2145" s="57"/>
      <c r="R2145" s="58"/>
    </row>
    <row r="2146" spans="8:8" ht="15.0" customHeight="1">
      <c r="B2146" s="54">
        <v>2290.0</v>
      </c>
      <c r="C2146" s="8"/>
      <c r="D2146" s="8"/>
      <c r="E2146" s="8"/>
      <c r="F2146" s="8"/>
      <c r="G2146" s="8"/>
      <c r="H2146" s="8"/>
      <c r="I2146" s="55"/>
      <c r="J2146" s="78" t="s">
        <v>6061</v>
      </c>
      <c r="K2146" s="22">
        <v>0.0</v>
      </c>
      <c r="L2146" s="22">
        <f>+SUMIF('حركه المخزن الرئيسي اليوميه'!$F:$F,$H:$H,'حركه المخزن الرئيسي اليوميه'!$H:$H)</f>
        <v>0.0</v>
      </c>
      <c r="M2146" s="22">
        <f>+SUMIF('حركه المخزن الرئيسي اليوميه'!$F:$F,$H:$H,'حركه المخزن الرئيسي اليوميه'!$I:$I)</f>
        <v>0.0</v>
      </c>
      <c r="N2146" s="22">
        <f>+K2146+L2146-M2146</f>
        <v>0.0</v>
      </c>
      <c r="O2146" s="22">
        <f>+N2146</f>
        <v>0.0</v>
      </c>
      <c r="P2146" s="22">
        <f>+N2146-O2146</f>
        <v>0.0</v>
      </c>
      <c r="Q2146" s="57"/>
      <c r="R2146" s="58"/>
    </row>
    <row r="2147" spans="8:8" ht="15.0" customHeight="1">
      <c r="B2147" s="54">
        <v>2291.0</v>
      </c>
      <c r="C2147" s="8"/>
      <c r="D2147" s="8"/>
      <c r="E2147" s="8"/>
      <c r="F2147" s="8"/>
      <c r="G2147" s="8"/>
      <c r="H2147" s="8"/>
      <c r="I2147" s="55"/>
      <c r="J2147" s="78" t="s">
        <v>6062</v>
      </c>
      <c r="K2147" s="22">
        <v>0.0</v>
      </c>
      <c r="L2147" s="22">
        <f>+SUMIF('حركه المخزن الرئيسي اليوميه'!$F:$F,$H:$H,'حركه المخزن الرئيسي اليوميه'!$H:$H)</f>
        <v>0.0</v>
      </c>
      <c r="M2147" s="22">
        <f>+SUMIF('حركه المخزن الرئيسي اليوميه'!$F:$F,$H:$H,'حركه المخزن الرئيسي اليوميه'!$I:$I)</f>
        <v>0.0</v>
      </c>
      <c r="N2147" s="22">
        <f>+K2147+L2147-M2147</f>
        <v>0.0</v>
      </c>
      <c r="O2147" s="22">
        <f>+N2147</f>
        <v>0.0</v>
      </c>
      <c r="P2147" s="22">
        <f>+N2147-O2147</f>
        <v>0.0</v>
      </c>
      <c r="Q2147" s="57"/>
      <c r="R2147" s="58"/>
    </row>
    <row r="2148" spans="8:8" ht="15.0" customHeight="1">
      <c r="B2148" s="54">
        <v>2292.0</v>
      </c>
      <c r="C2148" s="8"/>
      <c r="D2148" s="8"/>
      <c r="E2148" s="8"/>
      <c r="F2148" s="8"/>
      <c r="G2148" s="8"/>
      <c r="H2148" s="8"/>
      <c r="I2148" s="55"/>
      <c r="J2148" s="78" t="s">
        <v>6063</v>
      </c>
      <c r="K2148" s="22">
        <v>0.0</v>
      </c>
      <c r="L2148" s="22">
        <f>+SUMIF('حركه المخزن الرئيسي اليوميه'!$F:$F,$H:$H,'حركه المخزن الرئيسي اليوميه'!$H:$H)</f>
        <v>0.0</v>
      </c>
      <c r="M2148" s="22">
        <f>+SUMIF('حركه المخزن الرئيسي اليوميه'!$F:$F,$H:$H,'حركه المخزن الرئيسي اليوميه'!$I:$I)</f>
        <v>0.0</v>
      </c>
      <c r="N2148" s="22">
        <f>+K2148+L2148-M2148</f>
        <v>0.0</v>
      </c>
      <c r="O2148" s="22">
        <f>+N2148</f>
        <v>0.0</v>
      </c>
      <c r="P2148" s="22">
        <f>+N2148-O2148</f>
        <v>0.0</v>
      </c>
      <c r="Q2148" s="57"/>
      <c r="R2148" s="58"/>
    </row>
    <row r="2149" spans="8:8" ht="15.0" customHeight="1">
      <c r="B2149" s="54">
        <v>2293.0</v>
      </c>
      <c r="C2149" s="8"/>
      <c r="D2149" s="8"/>
      <c r="E2149" s="8"/>
      <c r="F2149" s="8"/>
      <c r="G2149" s="8"/>
      <c r="H2149" s="8"/>
      <c r="I2149" s="55"/>
      <c r="J2149" s="78" t="s">
        <v>6064</v>
      </c>
      <c r="K2149" s="22">
        <v>0.0</v>
      </c>
      <c r="L2149" s="22">
        <f>+SUMIF('حركه المخزن الرئيسي اليوميه'!$F:$F,$H:$H,'حركه المخزن الرئيسي اليوميه'!$H:$H)</f>
        <v>0.0</v>
      </c>
      <c r="M2149" s="22">
        <f>+SUMIF('حركه المخزن الرئيسي اليوميه'!$F:$F,$H:$H,'حركه المخزن الرئيسي اليوميه'!$I:$I)</f>
        <v>0.0</v>
      </c>
      <c r="N2149" s="22">
        <f>+K2149+L2149-M2149</f>
        <v>0.0</v>
      </c>
      <c r="O2149" s="22">
        <f>+N2149</f>
        <v>0.0</v>
      </c>
      <c r="P2149" s="22">
        <f>+N2149-O2149</f>
        <v>0.0</v>
      </c>
      <c r="Q2149" s="57"/>
      <c r="R2149" s="58"/>
    </row>
    <row r="2150" spans="8:8" ht="15.0" customHeight="1">
      <c r="B2150" s="54">
        <v>2294.0</v>
      </c>
      <c r="C2150" s="8"/>
      <c r="D2150" s="8"/>
      <c r="E2150" s="8"/>
      <c r="F2150" s="8"/>
      <c r="G2150" s="8"/>
      <c r="H2150" s="8"/>
      <c r="I2150" s="55"/>
      <c r="J2150" s="78" t="s">
        <v>6065</v>
      </c>
      <c r="K2150" s="22">
        <v>0.0</v>
      </c>
      <c r="L2150" s="22">
        <f>+SUMIF('حركه المخزن الرئيسي اليوميه'!$F:$F,$H:$H,'حركه المخزن الرئيسي اليوميه'!$H:$H)</f>
        <v>0.0</v>
      </c>
      <c r="M2150" s="22">
        <f>+SUMIF('حركه المخزن الرئيسي اليوميه'!$F:$F,$H:$H,'حركه المخزن الرئيسي اليوميه'!$I:$I)</f>
        <v>0.0</v>
      </c>
      <c r="N2150" s="22">
        <f>+K2150+L2150-M2150</f>
        <v>0.0</v>
      </c>
      <c r="O2150" s="22">
        <f>+N2150</f>
        <v>0.0</v>
      </c>
      <c r="P2150" s="22">
        <f>+N2150-O2150</f>
        <v>0.0</v>
      </c>
      <c r="Q2150" s="57"/>
      <c r="R2150" s="58"/>
    </row>
    <row r="2151" spans="8:8" ht="15.0" customHeight="1">
      <c r="B2151" s="54">
        <v>2295.0</v>
      </c>
      <c r="C2151" s="8"/>
      <c r="D2151" s="8"/>
      <c r="E2151" s="8"/>
      <c r="F2151" s="8"/>
      <c r="G2151" s="8"/>
      <c r="H2151" s="8"/>
      <c r="I2151" s="55"/>
      <c r="J2151" s="78" t="s">
        <v>6066</v>
      </c>
      <c r="K2151" s="22">
        <v>0.0</v>
      </c>
      <c r="L2151" s="22">
        <f>+SUMIF('حركه المخزن الرئيسي اليوميه'!$F:$F,$H:$H,'حركه المخزن الرئيسي اليوميه'!$H:$H)</f>
        <v>0.0</v>
      </c>
      <c r="M2151" s="22">
        <f>+SUMIF('حركه المخزن الرئيسي اليوميه'!$F:$F,$H:$H,'حركه المخزن الرئيسي اليوميه'!$I:$I)</f>
        <v>0.0</v>
      </c>
      <c r="N2151" s="22">
        <f>+K2151+L2151-M2151</f>
        <v>0.0</v>
      </c>
      <c r="O2151" s="22">
        <f>+N2151</f>
        <v>0.0</v>
      </c>
      <c r="P2151" s="22">
        <f>+N2151-O2151</f>
        <v>0.0</v>
      </c>
      <c r="Q2151" s="57"/>
      <c r="R2151" s="58"/>
    </row>
    <row r="2152" spans="8:8" ht="15.0" customHeight="1">
      <c r="B2152" s="54">
        <v>2296.0</v>
      </c>
      <c r="C2152" s="8"/>
      <c r="D2152" s="8"/>
      <c r="E2152" s="8"/>
      <c r="F2152" s="8"/>
      <c r="G2152" s="8"/>
      <c r="H2152" s="8"/>
      <c r="I2152" s="55"/>
      <c r="J2152" s="78" t="s">
        <v>6067</v>
      </c>
      <c r="K2152" s="22">
        <v>0.0</v>
      </c>
      <c r="L2152" s="22">
        <f>+SUMIF('حركه المخزن الرئيسي اليوميه'!$F:$F,$H:$H,'حركه المخزن الرئيسي اليوميه'!$H:$H)</f>
        <v>0.0</v>
      </c>
      <c r="M2152" s="22">
        <f>+SUMIF('حركه المخزن الرئيسي اليوميه'!$F:$F,$H:$H,'حركه المخزن الرئيسي اليوميه'!$I:$I)</f>
        <v>0.0</v>
      </c>
      <c r="N2152" s="22">
        <f>+K2152+L2152-M2152</f>
        <v>0.0</v>
      </c>
      <c r="O2152" s="22">
        <f>+N2152</f>
        <v>0.0</v>
      </c>
      <c r="P2152" s="22">
        <f>+N2152-O2152</f>
        <v>0.0</v>
      </c>
      <c r="Q2152" s="57"/>
      <c r="R2152" s="58"/>
    </row>
    <row r="2153" spans="8:8" ht="15.0" customHeight="1">
      <c r="B2153" s="54">
        <v>2297.0</v>
      </c>
      <c r="C2153" s="8"/>
      <c r="D2153" s="8"/>
      <c r="E2153" s="8"/>
      <c r="F2153" s="8"/>
      <c r="G2153" s="8"/>
      <c r="H2153" s="8"/>
      <c r="I2153" s="55"/>
      <c r="J2153" s="78" t="s">
        <v>6068</v>
      </c>
      <c r="K2153" s="22">
        <v>0.0</v>
      </c>
      <c r="L2153" s="22">
        <f>+SUMIF('حركه المخزن الرئيسي اليوميه'!$F:$F,$H:$H,'حركه المخزن الرئيسي اليوميه'!$H:$H)</f>
        <v>0.0</v>
      </c>
      <c r="M2153" s="22">
        <f>+SUMIF('حركه المخزن الرئيسي اليوميه'!$F:$F,$H:$H,'حركه المخزن الرئيسي اليوميه'!$I:$I)</f>
        <v>0.0</v>
      </c>
      <c r="N2153" s="22">
        <f>+K2153+L2153-M2153</f>
        <v>0.0</v>
      </c>
      <c r="O2153" s="22">
        <f>+N2153</f>
        <v>0.0</v>
      </c>
      <c r="P2153" s="22">
        <f>+N2153-O2153</f>
        <v>0.0</v>
      </c>
      <c r="Q2153" s="57"/>
      <c r="R2153" s="58"/>
    </row>
    <row r="2154" spans="8:8" ht="15.0" customHeight="1">
      <c r="B2154" s="54">
        <v>2298.0</v>
      </c>
      <c r="C2154" s="8"/>
      <c r="D2154" s="8"/>
      <c r="E2154" s="8"/>
      <c r="F2154" s="8"/>
      <c r="G2154" s="8"/>
      <c r="H2154" s="8"/>
      <c r="I2154" s="55"/>
      <c r="J2154" s="78" t="s">
        <v>6069</v>
      </c>
      <c r="K2154" s="22">
        <v>0.0</v>
      </c>
      <c r="L2154" s="22">
        <f>+SUMIF('حركه المخزن الرئيسي اليوميه'!$F:$F,$H:$H,'حركه المخزن الرئيسي اليوميه'!$H:$H)</f>
        <v>0.0</v>
      </c>
      <c r="M2154" s="22">
        <f>+SUMIF('حركه المخزن الرئيسي اليوميه'!$F:$F,$H:$H,'حركه المخزن الرئيسي اليوميه'!$I:$I)</f>
        <v>0.0</v>
      </c>
      <c r="N2154" s="22">
        <f>+K2154+L2154-M2154</f>
        <v>0.0</v>
      </c>
      <c r="O2154" s="22">
        <f>+N2154</f>
        <v>0.0</v>
      </c>
      <c r="P2154" s="22">
        <f>+N2154-O2154</f>
        <v>0.0</v>
      </c>
      <c r="Q2154" s="57"/>
      <c r="R2154" s="58"/>
    </row>
    <row r="2155" spans="8:8" ht="15.0" customHeight="1">
      <c r="B2155" s="54">
        <v>2299.0</v>
      </c>
      <c r="C2155" s="8"/>
      <c r="D2155" s="8"/>
      <c r="E2155" s="8"/>
      <c r="F2155" s="8"/>
      <c r="G2155" s="8"/>
      <c r="H2155" s="8"/>
      <c r="I2155" s="55"/>
      <c r="J2155" s="78" t="s">
        <v>6070</v>
      </c>
      <c r="K2155" s="22">
        <v>0.0</v>
      </c>
      <c r="L2155" s="22">
        <f>+SUMIF('حركه المخزن الرئيسي اليوميه'!$F:$F,$H:$H,'حركه المخزن الرئيسي اليوميه'!$H:$H)</f>
        <v>0.0</v>
      </c>
      <c r="M2155" s="22">
        <f>+SUMIF('حركه المخزن الرئيسي اليوميه'!$F:$F,$H:$H,'حركه المخزن الرئيسي اليوميه'!$I:$I)</f>
        <v>0.0</v>
      </c>
      <c r="N2155" s="22">
        <f>+K2155+L2155-M2155</f>
        <v>0.0</v>
      </c>
      <c r="O2155" s="22">
        <f>+N2155</f>
        <v>0.0</v>
      </c>
      <c r="P2155" s="22">
        <f>+N2155-O2155</f>
        <v>0.0</v>
      </c>
      <c r="Q2155" s="57"/>
      <c r="R2155" s="58"/>
    </row>
    <row r="2156" spans="8:8" ht="15.0" customHeight="1">
      <c r="B2156" s="54">
        <v>2300.0</v>
      </c>
      <c r="C2156" s="8"/>
      <c r="D2156" s="8"/>
      <c r="E2156" s="8"/>
      <c r="F2156" s="8"/>
      <c r="G2156" s="8"/>
      <c r="H2156" s="8"/>
      <c r="I2156" s="55"/>
      <c r="J2156" s="78" t="s">
        <v>6071</v>
      </c>
      <c r="K2156" s="22">
        <v>0.0</v>
      </c>
      <c r="L2156" s="22">
        <f>+SUMIF('حركه المخزن الرئيسي اليوميه'!$F:$F,$H:$H,'حركه المخزن الرئيسي اليوميه'!$H:$H)</f>
        <v>0.0</v>
      </c>
      <c r="M2156" s="22">
        <f>+SUMIF('حركه المخزن الرئيسي اليوميه'!$F:$F,$H:$H,'حركه المخزن الرئيسي اليوميه'!$I:$I)</f>
        <v>0.0</v>
      </c>
      <c r="N2156" s="22">
        <f>+K2156+L2156-M2156</f>
        <v>0.0</v>
      </c>
      <c r="O2156" s="22">
        <f>+N2156</f>
        <v>0.0</v>
      </c>
      <c r="P2156" s="22">
        <f>+N2156-O2156</f>
        <v>0.0</v>
      </c>
      <c r="Q2156" s="57"/>
      <c r="R2156" s="58"/>
    </row>
    <row r="2157" spans="8:8" ht="15.0" customHeight="1">
      <c r="B2157" s="54">
        <v>2301.0</v>
      </c>
      <c r="C2157" s="8"/>
      <c r="D2157" s="8"/>
      <c r="E2157" s="8"/>
      <c r="F2157" s="8"/>
      <c r="G2157" s="8"/>
      <c r="H2157" s="8"/>
      <c r="I2157" s="55"/>
      <c r="J2157" s="78" t="s">
        <v>6072</v>
      </c>
      <c r="K2157" s="22">
        <v>0.0</v>
      </c>
      <c r="L2157" s="22">
        <f>+SUMIF('حركه المخزن الرئيسي اليوميه'!$F:$F,$H:$H,'حركه المخزن الرئيسي اليوميه'!$H:$H)</f>
        <v>0.0</v>
      </c>
      <c r="M2157" s="22">
        <f>+SUMIF('حركه المخزن الرئيسي اليوميه'!$F:$F,$H:$H,'حركه المخزن الرئيسي اليوميه'!$I:$I)</f>
        <v>0.0</v>
      </c>
      <c r="N2157" s="22">
        <f>+K2157+L2157-M2157</f>
        <v>0.0</v>
      </c>
      <c r="O2157" s="22">
        <f>+N2157</f>
        <v>0.0</v>
      </c>
      <c r="P2157" s="22">
        <f>+N2157-O2157</f>
        <v>0.0</v>
      </c>
      <c r="Q2157" s="57"/>
      <c r="R2157" s="58"/>
    </row>
    <row r="2158" spans="8:8" ht="15.0" customHeight="1">
      <c r="B2158" s="54">
        <v>2302.0</v>
      </c>
      <c r="C2158" s="8"/>
      <c r="D2158" s="8"/>
      <c r="E2158" s="8"/>
      <c r="F2158" s="8"/>
      <c r="G2158" s="8"/>
      <c r="H2158" s="8"/>
      <c r="I2158" s="55"/>
      <c r="J2158" s="78" t="s">
        <v>6073</v>
      </c>
      <c r="K2158" s="22">
        <v>0.0</v>
      </c>
      <c r="L2158" s="22">
        <f>+SUMIF('حركه المخزن الرئيسي اليوميه'!$F:$F,$H:$H,'حركه المخزن الرئيسي اليوميه'!$H:$H)</f>
        <v>0.0</v>
      </c>
      <c r="M2158" s="22">
        <f>+SUMIF('حركه المخزن الرئيسي اليوميه'!$F:$F,$H:$H,'حركه المخزن الرئيسي اليوميه'!$I:$I)</f>
        <v>0.0</v>
      </c>
      <c r="N2158" s="22">
        <f>+K2158+L2158-M2158</f>
        <v>0.0</v>
      </c>
      <c r="O2158" s="22">
        <f>+N2158</f>
        <v>0.0</v>
      </c>
      <c r="P2158" s="22">
        <f>+N2158-O2158</f>
        <v>0.0</v>
      </c>
      <c r="Q2158" s="57"/>
      <c r="R2158" s="58"/>
    </row>
    <row r="2159" spans="8:8" ht="15.0" customHeight="1">
      <c r="B2159" s="54">
        <v>2303.0</v>
      </c>
      <c r="C2159" s="8"/>
      <c r="D2159" s="8"/>
      <c r="E2159" s="8"/>
      <c r="F2159" s="8"/>
      <c r="G2159" s="8"/>
      <c r="H2159" s="8"/>
      <c r="I2159" s="55"/>
      <c r="J2159" s="78" t="s">
        <v>6074</v>
      </c>
      <c r="K2159" s="22">
        <v>0.0</v>
      </c>
      <c r="L2159" s="22">
        <f>+SUMIF('حركه المخزن الرئيسي اليوميه'!$F:$F,$H:$H,'حركه المخزن الرئيسي اليوميه'!$H:$H)</f>
        <v>0.0</v>
      </c>
      <c r="M2159" s="22">
        <f>+SUMIF('حركه المخزن الرئيسي اليوميه'!$F:$F,$H:$H,'حركه المخزن الرئيسي اليوميه'!$I:$I)</f>
        <v>0.0</v>
      </c>
      <c r="N2159" s="22">
        <f>+K2159+L2159-M2159</f>
        <v>0.0</v>
      </c>
      <c r="O2159" s="22">
        <f>+N2159</f>
        <v>0.0</v>
      </c>
      <c r="P2159" s="22">
        <f>+N2159-O2159</f>
        <v>0.0</v>
      </c>
      <c r="Q2159" s="57"/>
      <c r="R2159" s="58"/>
    </row>
    <row r="2160" spans="8:8" ht="15.0" customHeight="1">
      <c r="B2160" s="54">
        <v>2304.0</v>
      </c>
      <c r="C2160" s="8"/>
      <c r="D2160" s="8"/>
      <c r="E2160" s="8"/>
      <c r="F2160" s="8"/>
      <c r="G2160" s="8"/>
      <c r="H2160" s="8"/>
      <c r="I2160" s="55"/>
      <c r="J2160" s="78" t="s">
        <v>6075</v>
      </c>
      <c r="K2160" s="22">
        <v>0.0</v>
      </c>
      <c r="L2160" s="22">
        <f>+SUMIF('حركه المخزن الرئيسي اليوميه'!$F:$F,$H:$H,'حركه المخزن الرئيسي اليوميه'!$H:$H)</f>
        <v>0.0</v>
      </c>
      <c r="M2160" s="22">
        <f>+SUMIF('حركه المخزن الرئيسي اليوميه'!$F:$F,$H:$H,'حركه المخزن الرئيسي اليوميه'!$I:$I)</f>
        <v>0.0</v>
      </c>
      <c r="N2160" s="22">
        <f>+K2160+L2160-M2160</f>
        <v>0.0</v>
      </c>
      <c r="O2160" s="22">
        <f>+N2160</f>
        <v>0.0</v>
      </c>
      <c r="P2160" s="22">
        <f>+N2160-O2160</f>
        <v>0.0</v>
      </c>
      <c r="Q2160" s="57"/>
      <c r="R2160" s="58"/>
    </row>
    <row r="2161" spans="8:8" ht="15.0" customHeight="1">
      <c r="B2161" s="54">
        <v>2305.0</v>
      </c>
      <c r="C2161" s="8"/>
      <c r="D2161" s="8"/>
      <c r="E2161" s="8"/>
      <c r="F2161" s="8"/>
      <c r="G2161" s="8"/>
      <c r="H2161" s="8"/>
      <c r="I2161" s="55"/>
      <c r="J2161" s="78" t="s">
        <v>6076</v>
      </c>
      <c r="K2161" s="22">
        <v>0.0</v>
      </c>
      <c r="L2161" s="22">
        <f>+SUMIF('حركه المخزن الرئيسي اليوميه'!$F:$F,$H:$H,'حركه المخزن الرئيسي اليوميه'!$H:$H)</f>
        <v>0.0</v>
      </c>
      <c r="M2161" s="22">
        <f>+SUMIF('حركه المخزن الرئيسي اليوميه'!$F:$F,$H:$H,'حركه المخزن الرئيسي اليوميه'!$I:$I)</f>
        <v>0.0</v>
      </c>
      <c r="N2161" s="22">
        <f>+K2161+L2161-M2161</f>
        <v>0.0</v>
      </c>
      <c r="O2161" s="22">
        <f>+N2161</f>
        <v>0.0</v>
      </c>
      <c r="P2161" s="22">
        <f>+N2161-O2161</f>
        <v>0.0</v>
      </c>
      <c r="Q2161" s="57"/>
      <c r="R2161" s="58"/>
    </row>
    <row r="2162" spans="8:8" ht="15.0" customHeight="1">
      <c r="B2162" s="54">
        <v>2306.0</v>
      </c>
      <c r="C2162" s="8"/>
      <c r="D2162" s="8"/>
      <c r="E2162" s="8"/>
      <c r="F2162" s="8"/>
      <c r="G2162" s="8"/>
      <c r="H2162" s="8"/>
      <c r="I2162" s="55"/>
      <c r="J2162" s="78" t="s">
        <v>6077</v>
      </c>
      <c r="K2162" s="22">
        <v>0.0</v>
      </c>
      <c r="L2162" s="22">
        <f>+SUMIF('حركه المخزن الرئيسي اليوميه'!$F:$F,$H:$H,'حركه المخزن الرئيسي اليوميه'!$H:$H)</f>
        <v>0.0</v>
      </c>
      <c r="M2162" s="22">
        <f>+SUMIF('حركه المخزن الرئيسي اليوميه'!$F:$F,$H:$H,'حركه المخزن الرئيسي اليوميه'!$I:$I)</f>
        <v>0.0</v>
      </c>
      <c r="N2162" s="22">
        <f>+K2162+L2162-M2162</f>
        <v>0.0</v>
      </c>
      <c r="O2162" s="22">
        <f>+N2162</f>
        <v>0.0</v>
      </c>
      <c r="P2162" s="22">
        <f>+N2162-O2162</f>
        <v>0.0</v>
      </c>
      <c r="Q2162" s="57"/>
      <c r="R2162" s="58"/>
    </row>
    <row r="2163" spans="8:8" ht="15.0" customHeight="1">
      <c r="B2163" s="54">
        <v>2307.0</v>
      </c>
      <c r="C2163" s="8"/>
      <c r="D2163" s="8"/>
      <c r="E2163" s="8"/>
      <c r="F2163" s="8"/>
      <c r="G2163" s="8"/>
      <c r="H2163" s="8"/>
      <c r="I2163" s="55"/>
      <c r="J2163" s="78" t="s">
        <v>6078</v>
      </c>
      <c r="K2163" s="22">
        <v>0.0</v>
      </c>
      <c r="L2163" s="22">
        <f>+SUMIF('حركه المخزن الرئيسي اليوميه'!$F:$F,$H:$H,'حركه المخزن الرئيسي اليوميه'!$H:$H)</f>
        <v>0.0</v>
      </c>
      <c r="M2163" s="22">
        <f>+SUMIF('حركه المخزن الرئيسي اليوميه'!$F:$F,$H:$H,'حركه المخزن الرئيسي اليوميه'!$I:$I)</f>
        <v>0.0</v>
      </c>
      <c r="N2163" s="22">
        <f>+K2163+L2163-M2163</f>
        <v>0.0</v>
      </c>
      <c r="O2163" s="22">
        <f>+N2163</f>
        <v>0.0</v>
      </c>
      <c r="P2163" s="22">
        <f>+N2163-O2163</f>
        <v>0.0</v>
      </c>
      <c r="Q2163" s="57"/>
      <c r="R2163" s="58"/>
    </row>
    <row r="2164" spans="8:8" ht="15.0" customHeight="1">
      <c r="B2164" s="54">
        <v>2308.0</v>
      </c>
      <c r="C2164" s="8"/>
      <c r="D2164" s="8"/>
      <c r="E2164" s="8"/>
      <c r="F2164" s="8"/>
      <c r="G2164" s="8"/>
      <c r="H2164" s="8"/>
      <c r="I2164" s="55"/>
      <c r="J2164" s="78" t="s">
        <v>6079</v>
      </c>
      <c r="K2164" s="22">
        <v>0.0</v>
      </c>
      <c r="L2164" s="22">
        <f>+SUMIF('حركه المخزن الرئيسي اليوميه'!$F:$F,$H:$H,'حركه المخزن الرئيسي اليوميه'!$H:$H)</f>
        <v>0.0</v>
      </c>
      <c r="M2164" s="22">
        <f>+SUMIF('حركه المخزن الرئيسي اليوميه'!$F:$F,$H:$H,'حركه المخزن الرئيسي اليوميه'!$I:$I)</f>
        <v>0.0</v>
      </c>
      <c r="N2164" s="22">
        <f>+K2164+L2164-M2164</f>
        <v>0.0</v>
      </c>
      <c r="O2164" s="22">
        <f>+N2164</f>
        <v>0.0</v>
      </c>
      <c r="P2164" s="22">
        <f>+N2164-O2164</f>
        <v>0.0</v>
      </c>
      <c r="Q2164" s="57"/>
      <c r="R2164" s="58"/>
    </row>
    <row r="2165" spans="8:8" ht="15.0" customHeight="1">
      <c r="B2165" s="54">
        <v>2309.0</v>
      </c>
      <c r="C2165" s="8"/>
      <c r="D2165" s="8"/>
      <c r="E2165" s="8"/>
      <c r="F2165" s="8"/>
      <c r="G2165" s="8"/>
      <c r="H2165" s="8"/>
      <c r="I2165" s="55"/>
      <c r="J2165" s="78" t="s">
        <v>6080</v>
      </c>
      <c r="K2165" s="22">
        <v>0.0</v>
      </c>
      <c r="L2165" s="22">
        <f>+SUMIF('حركه المخزن الرئيسي اليوميه'!$F:$F,$H:$H,'حركه المخزن الرئيسي اليوميه'!$H:$H)</f>
        <v>0.0</v>
      </c>
      <c r="M2165" s="22">
        <f>+SUMIF('حركه المخزن الرئيسي اليوميه'!$F:$F,$H:$H,'حركه المخزن الرئيسي اليوميه'!$I:$I)</f>
        <v>0.0</v>
      </c>
      <c r="N2165" s="22">
        <f>+K2165+L2165-M2165</f>
        <v>0.0</v>
      </c>
      <c r="O2165" s="22">
        <f>+N2165</f>
        <v>0.0</v>
      </c>
      <c r="P2165" s="22">
        <f>+N2165-O2165</f>
        <v>0.0</v>
      </c>
      <c r="Q2165" s="57"/>
      <c r="R2165" s="58"/>
    </row>
    <row r="2166" spans="8:8" ht="15.0" customHeight="1">
      <c r="B2166" s="54">
        <v>2310.0</v>
      </c>
      <c r="C2166" s="8"/>
      <c r="D2166" s="8"/>
      <c r="E2166" s="8"/>
      <c r="F2166" s="8"/>
      <c r="G2166" s="8"/>
      <c r="H2166" s="8"/>
      <c r="I2166" s="55"/>
      <c r="J2166" s="78" t="s">
        <v>6081</v>
      </c>
      <c r="K2166" s="22">
        <v>0.0</v>
      </c>
      <c r="L2166" s="22">
        <f>+SUMIF('حركه المخزن الرئيسي اليوميه'!$F:$F,$H:$H,'حركه المخزن الرئيسي اليوميه'!$H:$H)</f>
        <v>0.0</v>
      </c>
      <c r="M2166" s="22">
        <f>+SUMIF('حركه المخزن الرئيسي اليوميه'!$F:$F,$H:$H,'حركه المخزن الرئيسي اليوميه'!$I:$I)</f>
        <v>0.0</v>
      </c>
      <c r="N2166" s="22">
        <f>+K2166+L2166-M2166</f>
        <v>0.0</v>
      </c>
      <c r="O2166" s="22">
        <f>+N2166</f>
        <v>0.0</v>
      </c>
      <c r="P2166" s="22">
        <f>+N2166-O2166</f>
        <v>0.0</v>
      </c>
      <c r="Q2166" s="57"/>
      <c r="R2166" s="58"/>
    </row>
    <row r="2167" spans="8:8" ht="15.0" customHeight="1">
      <c r="B2167" s="54">
        <v>2311.0</v>
      </c>
      <c r="C2167" s="8"/>
      <c r="D2167" s="8"/>
      <c r="E2167" s="8"/>
      <c r="F2167" s="8"/>
      <c r="G2167" s="8"/>
      <c r="H2167" s="8"/>
      <c r="I2167" s="55"/>
      <c r="J2167" s="78" t="s">
        <v>6082</v>
      </c>
      <c r="K2167" s="22">
        <v>0.0</v>
      </c>
      <c r="L2167" s="22">
        <f>+SUMIF('حركه المخزن الرئيسي اليوميه'!$F:$F,$H:$H,'حركه المخزن الرئيسي اليوميه'!$H:$H)</f>
        <v>0.0</v>
      </c>
      <c r="M2167" s="22">
        <f>+SUMIF('حركه المخزن الرئيسي اليوميه'!$F:$F,$H:$H,'حركه المخزن الرئيسي اليوميه'!$I:$I)</f>
        <v>0.0</v>
      </c>
      <c r="N2167" s="22">
        <f>+K2167+L2167-M2167</f>
        <v>0.0</v>
      </c>
      <c r="O2167" s="22">
        <f>+N2167</f>
        <v>0.0</v>
      </c>
      <c r="P2167" s="22">
        <f>+N2167-O2167</f>
        <v>0.0</v>
      </c>
      <c r="Q2167" s="57"/>
      <c r="R2167" s="58"/>
    </row>
    <row r="2168" spans="8:8" ht="15.0" customHeight="1">
      <c r="B2168" s="54">
        <v>2312.0</v>
      </c>
      <c r="C2168" s="8"/>
      <c r="D2168" s="8"/>
      <c r="E2168" s="8"/>
      <c r="F2168" s="8"/>
      <c r="G2168" s="8"/>
      <c r="H2168" s="8"/>
      <c r="I2168" s="55"/>
      <c r="J2168" s="78" t="s">
        <v>6083</v>
      </c>
      <c r="K2168" s="22">
        <v>0.0</v>
      </c>
      <c r="L2168" s="22">
        <f>+SUMIF('حركه المخزن الرئيسي اليوميه'!$F:$F,$H:$H,'حركه المخزن الرئيسي اليوميه'!$H:$H)</f>
        <v>0.0</v>
      </c>
      <c r="M2168" s="22">
        <f>+SUMIF('حركه المخزن الرئيسي اليوميه'!$F:$F,$H:$H,'حركه المخزن الرئيسي اليوميه'!$I:$I)</f>
        <v>0.0</v>
      </c>
      <c r="N2168" s="22">
        <f>+K2168+L2168-M2168</f>
        <v>0.0</v>
      </c>
      <c r="O2168" s="22">
        <f>+N2168</f>
        <v>0.0</v>
      </c>
      <c r="P2168" s="22">
        <f>+N2168-O2168</f>
        <v>0.0</v>
      </c>
      <c r="Q2168" s="57"/>
      <c r="R2168" s="58"/>
    </row>
    <row r="2169" spans="8:8" ht="15.0" customHeight="1">
      <c r="B2169" s="54">
        <v>2313.0</v>
      </c>
      <c r="C2169" s="8"/>
      <c r="D2169" s="8"/>
      <c r="E2169" s="8"/>
      <c r="F2169" s="8"/>
      <c r="G2169" s="8"/>
      <c r="H2169" s="8"/>
      <c r="I2169" s="55"/>
      <c r="J2169" s="78" t="s">
        <v>6084</v>
      </c>
      <c r="K2169" s="22">
        <v>0.0</v>
      </c>
      <c r="L2169" s="22">
        <f>+SUMIF('حركه المخزن الرئيسي اليوميه'!$F:$F,$H:$H,'حركه المخزن الرئيسي اليوميه'!$H:$H)</f>
        <v>0.0</v>
      </c>
      <c r="M2169" s="22">
        <f>+SUMIF('حركه المخزن الرئيسي اليوميه'!$F:$F,$H:$H,'حركه المخزن الرئيسي اليوميه'!$I:$I)</f>
        <v>0.0</v>
      </c>
      <c r="N2169" s="22">
        <f>+K2169+L2169-M2169</f>
        <v>0.0</v>
      </c>
      <c r="O2169" s="22">
        <f>+N2169</f>
        <v>0.0</v>
      </c>
      <c r="P2169" s="22">
        <f>+N2169-O2169</f>
        <v>0.0</v>
      </c>
      <c r="Q2169" s="57"/>
      <c r="R2169" s="58"/>
    </row>
    <row r="2170" spans="8:8" ht="15.0" customHeight="1">
      <c r="B2170" s="54">
        <v>2314.0</v>
      </c>
      <c r="C2170" s="8"/>
      <c r="D2170" s="8"/>
      <c r="E2170" s="8"/>
      <c r="F2170" s="8"/>
      <c r="G2170" s="8"/>
      <c r="H2170" s="8"/>
      <c r="I2170" s="55"/>
      <c r="J2170" s="78" t="s">
        <v>6085</v>
      </c>
      <c r="K2170" s="22">
        <v>0.0</v>
      </c>
      <c r="L2170" s="22">
        <f>+SUMIF('حركه المخزن الرئيسي اليوميه'!$F:$F,$H:$H,'حركه المخزن الرئيسي اليوميه'!$H:$H)</f>
        <v>0.0</v>
      </c>
      <c r="M2170" s="22">
        <f>+SUMIF('حركه المخزن الرئيسي اليوميه'!$F:$F,$H:$H,'حركه المخزن الرئيسي اليوميه'!$I:$I)</f>
        <v>0.0</v>
      </c>
      <c r="N2170" s="22">
        <f>+K2170+L2170-M2170</f>
        <v>0.0</v>
      </c>
      <c r="O2170" s="22">
        <f>+N2170</f>
        <v>0.0</v>
      </c>
      <c r="P2170" s="22">
        <f>+N2170-O2170</f>
        <v>0.0</v>
      </c>
      <c r="Q2170" s="57"/>
      <c r="R2170" s="58"/>
    </row>
    <row r="2171" spans="8:8" ht="15.0" customHeight="1">
      <c r="B2171" s="54">
        <v>2315.0</v>
      </c>
      <c r="C2171" s="8"/>
      <c r="D2171" s="8"/>
      <c r="E2171" s="8"/>
      <c r="F2171" s="8"/>
      <c r="G2171" s="8"/>
      <c r="H2171" s="8"/>
      <c r="I2171" s="55"/>
      <c r="J2171" s="78" t="s">
        <v>6086</v>
      </c>
      <c r="K2171" s="22">
        <v>0.0</v>
      </c>
      <c r="L2171" s="22">
        <f>+SUMIF('حركه المخزن الرئيسي اليوميه'!$F:$F,$H:$H,'حركه المخزن الرئيسي اليوميه'!$H:$H)</f>
        <v>0.0</v>
      </c>
      <c r="M2171" s="22">
        <f>+SUMIF('حركه المخزن الرئيسي اليوميه'!$F:$F,$H:$H,'حركه المخزن الرئيسي اليوميه'!$I:$I)</f>
        <v>0.0</v>
      </c>
      <c r="N2171" s="22">
        <f>+K2171+L2171-M2171</f>
        <v>0.0</v>
      </c>
      <c r="O2171" s="22">
        <f>+N2171</f>
        <v>0.0</v>
      </c>
      <c r="P2171" s="22">
        <f>+N2171-O2171</f>
        <v>0.0</v>
      </c>
      <c r="Q2171" s="57"/>
      <c r="R2171" s="58"/>
    </row>
    <row r="2172" spans="8:8" ht="15.0" customHeight="1">
      <c r="B2172" s="54">
        <v>2316.0</v>
      </c>
      <c r="C2172" s="8"/>
      <c r="D2172" s="8"/>
      <c r="E2172" s="8"/>
      <c r="F2172" s="8"/>
      <c r="G2172" s="8"/>
      <c r="H2172" s="8"/>
      <c r="I2172" s="55"/>
      <c r="J2172" s="78" t="s">
        <v>6087</v>
      </c>
      <c r="K2172" s="22">
        <v>0.0</v>
      </c>
      <c r="L2172" s="22">
        <f>+SUMIF('حركه المخزن الرئيسي اليوميه'!$F:$F,$H:$H,'حركه المخزن الرئيسي اليوميه'!$H:$H)</f>
        <v>0.0</v>
      </c>
      <c r="M2172" s="22">
        <f>+SUMIF('حركه المخزن الرئيسي اليوميه'!$F:$F,$H:$H,'حركه المخزن الرئيسي اليوميه'!$I:$I)</f>
        <v>0.0</v>
      </c>
      <c r="N2172" s="22">
        <f>+K2172+L2172-M2172</f>
        <v>0.0</v>
      </c>
      <c r="O2172" s="22">
        <f>+N2172</f>
        <v>0.0</v>
      </c>
      <c r="P2172" s="22">
        <f>+N2172-O2172</f>
        <v>0.0</v>
      </c>
      <c r="Q2172" s="57"/>
      <c r="R2172" s="58"/>
    </row>
    <row r="2173" spans="8:8" ht="15.0" customHeight="1">
      <c r="B2173" s="54">
        <v>2317.0</v>
      </c>
      <c r="C2173" s="8"/>
      <c r="D2173" s="8"/>
      <c r="E2173" s="8"/>
      <c r="F2173" s="8"/>
      <c r="G2173" s="8"/>
      <c r="H2173" s="8"/>
      <c r="I2173" s="55"/>
      <c r="J2173" s="78" t="s">
        <v>6088</v>
      </c>
      <c r="K2173" s="22">
        <v>0.0</v>
      </c>
      <c r="L2173" s="22">
        <f>+SUMIF('حركه المخزن الرئيسي اليوميه'!$F:$F,$H:$H,'حركه المخزن الرئيسي اليوميه'!$H:$H)</f>
        <v>0.0</v>
      </c>
      <c r="M2173" s="22">
        <f>+SUMIF('حركه المخزن الرئيسي اليوميه'!$F:$F,$H:$H,'حركه المخزن الرئيسي اليوميه'!$I:$I)</f>
        <v>0.0</v>
      </c>
      <c r="N2173" s="22">
        <f>+K2173+L2173-M2173</f>
        <v>0.0</v>
      </c>
      <c r="O2173" s="22">
        <f>+N2173</f>
        <v>0.0</v>
      </c>
      <c r="P2173" s="22">
        <f>+N2173-O2173</f>
        <v>0.0</v>
      </c>
      <c r="Q2173" s="57"/>
      <c r="R2173" s="58"/>
    </row>
    <row r="2174" spans="8:8" ht="15.0" customHeight="1">
      <c r="B2174" s="54">
        <v>2318.0</v>
      </c>
      <c r="C2174" s="8"/>
      <c r="D2174" s="8"/>
      <c r="E2174" s="8"/>
      <c r="F2174" s="8"/>
      <c r="G2174" s="8"/>
      <c r="H2174" s="8"/>
      <c r="I2174" s="55"/>
      <c r="J2174" s="78" t="s">
        <v>6089</v>
      </c>
      <c r="K2174" s="22">
        <v>0.0</v>
      </c>
      <c r="L2174" s="22">
        <f>+SUMIF('حركه المخزن الرئيسي اليوميه'!$F:$F,$H:$H,'حركه المخزن الرئيسي اليوميه'!$H:$H)</f>
        <v>0.0</v>
      </c>
      <c r="M2174" s="22">
        <f>+SUMIF('حركه المخزن الرئيسي اليوميه'!$F:$F,$H:$H,'حركه المخزن الرئيسي اليوميه'!$I:$I)</f>
        <v>0.0</v>
      </c>
      <c r="N2174" s="22">
        <f>+K2174+L2174-M2174</f>
        <v>0.0</v>
      </c>
      <c r="O2174" s="22">
        <f>+N2174</f>
        <v>0.0</v>
      </c>
      <c r="P2174" s="22">
        <f>+N2174-O2174</f>
        <v>0.0</v>
      </c>
      <c r="Q2174" s="57"/>
      <c r="R2174" s="58"/>
    </row>
    <row r="2175" spans="8:8" ht="15.0" customHeight="1">
      <c r="B2175" s="54">
        <v>2319.0</v>
      </c>
      <c r="C2175" s="8"/>
      <c r="D2175" s="8"/>
      <c r="E2175" s="8"/>
      <c r="F2175" s="8"/>
      <c r="G2175" s="8"/>
      <c r="H2175" s="8"/>
      <c r="I2175" s="55"/>
      <c r="J2175" s="78" t="s">
        <v>6090</v>
      </c>
      <c r="K2175" s="22">
        <v>0.0</v>
      </c>
      <c r="L2175" s="22">
        <f>+SUMIF('حركه المخزن الرئيسي اليوميه'!$F:$F,$H:$H,'حركه المخزن الرئيسي اليوميه'!$H:$H)</f>
        <v>0.0</v>
      </c>
      <c r="M2175" s="22">
        <f>+SUMIF('حركه المخزن الرئيسي اليوميه'!$F:$F,$H:$H,'حركه المخزن الرئيسي اليوميه'!$I:$I)</f>
        <v>0.0</v>
      </c>
      <c r="N2175" s="22">
        <f>+K2175+L2175-M2175</f>
        <v>0.0</v>
      </c>
      <c r="O2175" s="22">
        <f>+N2175</f>
        <v>0.0</v>
      </c>
      <c r="P2175" s="22">
        <f>+N2175-O2175</f>
        <v>0.0</v>
      </c>
      <c r="Q2175" s="57"/>
      <c r="R2175" s="58"/>
    </row>
    <row r="2176" spans="8:8" ht="15.0" customHeight="1">
      <c r="B2176" s="54">
        <v>2320.0</v>
      </c>
      <c r="C2176" s="8"/>
      <c r="D2176" s="8"/>
      <c r="E2176" s="8"/>
      <c r="F2176" s="8"/>
      <c r="G2176" s="8"/>
      <c r="H2176" s="8"/>
      <c r="I2176" s="55"/>
      <c r="J2176" s="78" t="s">
        <v>6091</v>
      </c>
      <c r="K2176" s="22">
        <v>0.0</v>
      </c>
      <c r="L2176" s="22">
        <f>+SUMIF('حركه المخزن الرئيسي اليوميه'!$F:$F,$H:$H,'حركه المخزن الرئيسي اليوميه'!$H:$H)</f>
        <v>0.0</v>
      </c>
      <c r="M2176" s="22">
        <f>+SUMIF('حركه المخزن الرئيسي اليوميه'!$F:$F,$H:$H,'حركه المخزن الرئيسي اليوميه'!$I:$I)</f>
        <v>0.0</v>
      </c>
      <c r="N2176" s="22">
        <f>+K2176+L2176-M2176</f>
        <v>0.0</v>
      </c>
      <c r="O2176" s="22">
        <f>+N2176</f>
        <v>0.0</v>
      </c>
      <c r="P2176" s="22">
        <f>+N2176-O2176</f>
        <v>0.0</v>
      </c>
      <c r="Q2176" s="57"/>
      <c r="R2176" s="58"/>
    </row>
    <row r="2177" spans="8:8" ht="15.0" customHeight="1">
      <c r="B2177" s="54">
        <v>2321.0</v>
      </c>
      <c r="C2177" s="8"/>
      <c r="D2177" s="8"/>
      <c r="E2177" s="8"/>
      <c r="F2177" s="8"/>
      <c r="G2177" s="8"/>
      <c r="H2177" s="8"/>
      <c r="I2177" s="55"/>
      <c r="J2177" s="78" t="s">
        <v>6092</v>
      </c>
      <c r="K2177" s="22">
        <v>0.0</v>
      </c>
      <c r="L2177" s="22">
        <f>+SUMIF('حركه المخزن الرئيسي اليوميه'!$F:$F,$H:$H,'حركه المخزن الرئيسي اليوميه'!$H:$H)</f>
        <v>0.0</v>
      </c>
      <c r="M2177" s="22">
        <f>+SUMIF('حركه المخزن الرئيسي اليوميه'!$F:$F,$H:$H,'حركه المخزن الرئيسي اليوميه'!$I:$I)</f>
        <v>0.0</v>
      </c>
      <c r="N2177" s="22">
        <f>+K2177+L2177-M2177</f>
        <v>0.0</v>
      </c>
      <c r="O2177" s="22">
        <f>+N2177</f>
        <v>0.0</v>
      </c>
      <c r="P2177" s="22">
        <f>+N2177-O2177</f>
        <v>0.0</v>
      </c>
      <c r="Q2177" s="57"/>
      <c r="R2177" s="58"/>
    </row>
    <row r="2178" spans="8:8" ht="15.0" customHeight="1">
      <c r="B2178" s="54">
        <v>2322.0</v>
      </c>
      <c r="C2178" s="8"/>
      <c r="D2178" s="8"/>
      <c r="E2178" s="8"/>
      <c r="F2178" s="8"/>
      <c r="G2178" s="8"/>
      <c r="H2178" s="8"/>
      <c r="I2178" s="55"/>
      <c r="J2178" s="78" t="s">
        <v>6093</v>
      </c>
      <c r="K2178" s="22">
        <v>0.0</v>
      </c>
      <c r="L2178" s="22">
        <f>+SUMIF('حركه المخزن الرئيسي اليوميه'!$F:$F,$H:$H,'حركه المخزن الرئيسي اليوميه'!$H:$H)</f>
        <v>0.0</v>
      </c>
      <c r="M2178" s="22">
        <f>+SUMIF('حركه المخزن الرئيسي اليوميه'!$F:$F,$H:$H,'حركه المخزن الرئيسي اليوميه'!$I:$I)</f>
        <v>0.0</v>
      </c>
      <c r="N2178" s="22">
        <f>+K2178+L2178-M2178</f>
        <v>0.0</v>
      </c>
      <c r="O2178" s="22">
        <f>+N2178</f>
        <v>0.0</v>
      </c>
      <c r="P2178" s="22">
        <f>+N2178-O2178</f>
        <v>0.0</v>
      </c>
      <c r="Q2178" s="57"/>
      <c r="R2178" s="58"/>
    </row>
    <row r="2179" spans="8:8" ht="15.0" customHeight="1">
      <c r="B2179" s="54">
        <v>2323.0</v>
      </c>
      <c r="C2179" s="8"/>
      <c r="D2179" s="8"/>
      <c r="E2179" s="8"/>
      <c r="F2179" s="8"/>
      <c r="G2179" s="8"/>
      <c r="H2179" s="8"/>
      <c r="I2179" s="55"/>
      <c r="J2179" s="78" t="s">
        <v>6094</v>
      </c>
      <c r="K2179" s="22">
        <v>0.0</v>
      </c>
      <c r="L2179" s="22">
        <f>+SUMIF('حركه المخزن الرئيسي اليوميه'!$F:$F,$H:$H,'حركه المخزن الرئيسي اليوميه'!$H:$H)</f>
        <v>0.0</v>
      </c>
      <c r="M2179" s="22">
        <f>+SUMIF('حركه المخزن الرئيسي اليوميه'!$F:$F,$H:$H,'حركه المخزن الرئيسي اليوميه'!$I:$I)</f>
        <v>0.0</v>
      </c>
      <c r="N2179" s="22">
        <f>+K2179+L2179-M2179</f>
        <v>0.0</v>
      </c>
      <c r="O2179" s="22">
        <f>+N2179</f>
        <v>0.0</v>
      </c>
      <c r="P2179" s="22">
        <f>+N2179-O2179</f>
        <v>0.0</v>
      </c>
      <c r="Q2179" s="57"/>
      <c r="R2179" s="58"/>
    </row>
    <row r="2180" spans="8:8" ht="15.0" customHeight="1">
      <c r="B2180" s="54">
        <v>2324.0</v>
      </c>
      <c r="C2180" s="8"/>
      <c r="D2180" s="8"/>
      <c r="E2180" s="8"/>
      <c r="F2180" s="8"/>
      <c r="G2180" s="8"/>
      <c r="H2180" s="8"/>
      <c r="I2180" s="55"/>
      <c r="J2180" s="78" t="s">
        <v>6095</v>
      </c>
      <c r="K2180" s="22">
        <v>0.0</v>
      </c>
      <c r="L2180" s="22">
        <f>+SUMIF('حركه المخزن الرئيسي اليوميه'!$F:$F,$H:$H,'حركه المخزن الرئيسي اليوميه'!$H:$H)</f>
        <v>0.0</v>
      </c>
      <c r="M2180" s="22">
        <f>+SUMIF('حركه المخزن الرئيسي اليوميه'!$F:$F,$H:$H,'حركه المخزن الرئيسي اليوميه'!$I:$I)</f>
        <v>0.0</v>
      </c>
      <c r="N2180" s="22">
        <f>+K2180+L2180-M2180</f>
        <v>0.0</v>
      </c>
      <c r="O2180" s="22">
        <f>+N2180</f>
        <v>0.0</v>
      </c>
      <c r="P2180" s="22">
        <f>+N2180-O2180</f>
        <v>0.0</v>
      </c>
      <c r="Q2180" s="57"/>
      <c r="R2180" s="58"/>
    </row>
    <row r="2181" spans="8:8" ht="15.0" customHeight="1">
      <c r="B2181" s="54">
        <v>2325.0</v>
      </c>
      <c r="C2181" s="8"/>
      <c r="D2181" s="8"/>
      <c r="E2181" s="8"/>
      <c r="F2181" s="8"/>
      <c r="G2181" s="8"/>
      <c r="H2181" s="8"/>
      <c r="I2181" s="55"/>
      <c r="J2181" s="78" t="s">
        <v>6096</v>
      </c>
      <c r="K2181" s="22">
        <v>0.0</v>
      </c>
      <c r="L2181" s="22">
        <f>+SUMIF('حركه المخزن الرئيسي اليوميه'!$F:$F,$H:$H,'حركه المخزن الرئيسي اليوميه'!$H:$H)</f>
        <v>0.0</v>
      </c>
      <c r="M2181" s="22">
        <f>+SUMIF('حركه المخزن الرئيسي اليوميه'!$F:$F,$H:$H,'حركه المخزن الرئيسي اليوميه'!$I:$I)</f>
        <v>0.0</v>
      </c>
      <c r="N2181" s="22">
        <f>+K2181+L2181-M2181</f>
        <v>0.0</v>
      </c>
      <c r="O2181" s="22">
        <f>+N2181</f>
        <v>0.0</v>
      </c>
      <c r="P2181" s="22">
        <f>+N2181-O2181</f>
        <v>0.0</v>
      </c>
      <c r="Q2181" s="57"/>
      <c r="R2181" s="58"/>
    </row>
    <row r="2182" spans="8:8" ht="15.0" customHeight="1">
      <c r="B2182" s="54">
        <v>2326.0</v>
      </c>
      <c r="C2182" s="8"/>
      <c r="D2182" s="8"/>
      <c r="E2182" s="8"/>
      <c r="F2182" s="8"/>
      <c r="G2182" s="8"/>
      <c r="H2182" s="8"/>
      <c r="I2182" s="55"/>
      <c r="J2182" s="78" t="s">
        <v>6097</v>
      </c>
      <c r="K2182" s="22">
        <v>0.0</v>
      </c>
      <c r="L2182" s="22">
        <f>+SUMIF('حركه المخزن الرئيسي اليوميه'!$F:$F,$H:$H,'حركه المخزن الرئيسي اليوميه'!$H:$H)</f>
        <v>0.0</v>
      </c>
      <c r="M2182" s="22">
        <f>+SUMIF('حركه المخزن الرئيسي اليوميه'!$F:$F,$H:$H,'حركه المخزن الرئيسي اليوميه'!$I:$I)</f>
        <v>0.0</v>
      </c>
      <c r="N2182" s="22">
        <f>+K2182+L2182-M2182</f>
        <v>0.0</v>
      </c>
      <c r="O2182" s="22">
        <f>+N2182</f>
        <v>0.0</v>
      </c>
      <c r="P2182" s="22">
        <f>+N2182-O2182</f>
        <v>0.0</v>
      </c>
      <c r="Q2182" s="57"/>
      <c r="R2182" s="58"/>
    </row>
    <row r="2183" spans="8:8" ht="15.0" customHeight="1">
      <c r="B2183" s="54">
        <v>2327.0</v>
      </c>
      <c r="C2183" s="8"/>
      <c r="D2183" s="8"/>
      <c r="E2183" s="8"/>
      <c r="F2183" s="8"/>
      <c r="G2183" s="8"/>
      <c r="H2183" s="8"/>
      <c r="I2183" s="55"/>
      <c r="J2183" s="78" t="s">
        <v>6098</v>
      </c>
      <c r="K2183" s="22">
        <v>0.0</v>
      </c>
      <c r="L2183" s="22">
        <f>+SUMIF('حركه المخزن الرئيسي اليوميه'!$F:$F,$H:$H,'حركه المخزن الرئيسي اليوميه'!$H:$H)</f>
        <v>0.0</v>
      </c>
      <c r="M2183" s="22">
        <f>+SUMIF('حركه المخزن الرئيسي اليوميه'!$F:$F,$H:$H,'حركه المخزن الرئيسي اليوميه'!$I:$I)</f>
        <v>0.0</v>
      </c>
      <c r="N2183" s="22">
        <f>+K2183+L2183-M2183</f>
        <v>0.0</v>
      </c>
      <c r="O2183" s="22">
        <f>+N2183</f>
        <v>0.0</v>
      </c>
      <c r="P2183" s="22">
        <f>+N2183-O2183</f>
        <v>0.0</v>
      </c>
      <c r="Q2183" s="57"/>
      <c r="R2183" s="58"/>
    </row>
    <row r="2184" spans="8:8" ht="15.0" customHeight="1">
      <c r="B2184" s="54">
        <v>2328.0</v>
      </c>
      <c r="C2184" s="8"/>
      <c r="D2184" s="8"/>
      <c r="E2184" s="8"/>
      <c r="F2184" s="8"/>
      <c r="G2184" s="8"/>
      <c r="H2184" s="8"/>
      <c r="I2184" s="55"/>
      <c r="J2184" s="78" t="s">
        <v>6099</v>
      </c>
      <c r="K2184" s="22">
        <v>0.0</v>
      </c>
      <c r="L2184" s="22">
        <f>+SUMIF('حركه المخزن الرئيسي اليوميه'!$F:$F,$H:$H,'حركه المخزن الرئيسي اليوميه'!$H:$H)</f>
        <v>0.0</v>
      </c>
      <c r="M2184" s="22">
        <f>+SUMIF('حركه المخزن الرئيسي اليوميه'!$F:$F,$H:$H,'حركه المخزن الرئيسي اليوميه'!$I:$I)</f>
        <v>0.0</v>
      </c>
      <c r="N2184" s="22">
        <f>+K2184+L2184-M2184</f>
        <v>0.0</v>
      </c>
      <c r="O2184" s="22">
        <f>+N2184</f>
        <v>0.0</v>
      </c>
      <c r="P2184" s="22">
        <f>+N2184-O2184</f>
        <v>0.0</v>
      </c>
      <c r="Q2184" s="57"/>
      <c r="R2184" s="58"/>
    </row>
    <row r="2185" spans="8:8" ht="15.0" customHeight="1">
      <c r="B2185" s="54">
        <v>2329.0</v>
      </c>
      <c r="C2185" s="8"/>
      <c r="D2185" s="8"/>
      <c r="E2185" s="8"/>
      <c r="F2185" s="8"/>
      <c r="G2185" s="8"/>
      <c r="H2185" s="8"/>
      <c r="I2185" s="55"/>
      <c r="J2185" s="78" t="s">
        <v>6100</v>
      </c>
      <c r="K2185" s="22">
        <v>0.0</v>
      </c>
      <c r="L2185" s="22">
        <f>+SUMIF('حركه المخزن الرئيسي اليوميه'!$F:$F,$H:$H,'حركه المخزن الرئيسي اليوميه'!$H:$H)</f>
        <v>0.0</v>
      </c>
      <c r="M2185" s="22">
        <f>+SUMIF('حركه المخزن الرئيسي اليوميه'!$F:$F,$H:$H,'حركه المخزن الرئيسي اليوميه'!$I:$I)</f>
        <v>0.0</v>
      </c>
      <c r="N2185" s="22">
        <f>+K2185+L2185-M2185</f>
        <v>0.0</v>
      </c>
      <c r="O2185" s="22">
        <f>+N2185</f>
        <v>0.0</v>
      </c>
      <c r="P2185" s="22">
        <f>+N2185-O2185</f>
        <v>0.0</v>
      </c>
      <c r="Q2185" s="57"/>
      <c r="R2185" s="58"/>
    </row>
    <row r="2186" spans="8:8" ht="15.0" customHeight="1">
      <c r="B2186" s="54">
        <v>2330.0</v>
      </c>
      <c r="C2186" s="8"/>
      <c r="D2186" s="8"/>
      <c r="E2186" s="8"/>
      <c r="F2186" s="8"/>
      <c r="G2186" s="8"/>
      <c r="H2186" s="8"/>
      <c r="I2186" s="55"/>
      <c r="J2186" s="78" t="s">
        <v>6101</v>
      </c>
      <c r="K2186" s="22">
        <v>0.0</v>
      </c>
      <c r="L2186" s="22">
        <f>+SUMIF('حركه المخزن الرئيسي اليوميه'!$F:$F,$H:$H,'حركه المخزن الرئيسي اليوميه'!$H:$H)</f>
        <v>0.0</v>
      </c>
      <c r="M2186" s="22">
        <f>+SUMIF('حركه المخزن الرئيسي اليوميه'!$F:$F,$H:$H,'حركه المخزن الرئيسي اليوميه'!$I:$I)</f>
        <v>0.0</v>
      </c>
      <c r="N2186" s="22">
        <f>+K2186+L2186-M2186</f>
        <v>0.0</v>
      </c>
      <c r="O2186" s="22">
        <f>+N2186</f>
        <v>0.0</v>
      </c>
      <c r="P2186" s="22">
        <f>+N2186-O2186</f>
        <v>0.0</v>
      </c>
      <c r="Q2186" s="57"/>
      <c r="R2186" s="58"/>
    </row>
    <row r="2187" spans="8:8" ht="15.0" customHeight="1">
      <c r="B2187" s="54">
        <v>2331.0</v>
      </c>
      <c r="C2187" s="8"/>
      <c r="D2187" s="8"/>
      <c r="E2187" s="8"/>
      <c r="F2187" s="8"/>
      <c r="G2187" s="8"/>
      <c r="H2187" s="8"/>
      <c r="I2187" s="55"/>
      <c r="J2187" s="78" t="s">
        <v>6102</v>
      </c>
      <c r="K2187" s="22">
        <v>0.0</v>
      </c>
      <c r="L2187" s="22">
        <f>+SUMIF('حركه المخزن الرئيسي اليوميه'!$F:$F,$H:$H,'حركه المخزن الرئيسي اليوميه'!$H:$H)</f>
        <v>0.0</v>
      </c>
      <c r="M2187" s="22">
        <f>+SUMIF('حركه المخزن الرئيسي اليوميه'!$F:$F,$H:$H,'حركه المخزن الرئيسي اليوميه'!$I:$I)</f>
        <v>0.0</v>
      </c>
      <c r="N2187" s="22">
        <f>+K2187+L2187-M2187</f>
        <v>0.0</v>
      </c>
      <c r="O2187" s="22">
        <f>+N2187</f>
        <v>0.0</v>
      </c>
      <c r="P2187" s="22">
        <f>+N2187-O2187</f>
        <v>0.0</v>
      </c>
      <c r="Q2187" s="57"/>
      <c r="R2187" s="58"/>
    </row>
    <row r="2188" spans="8:8" ht="15.0" customHeight="1">
      <c r="B2188" s="54">
        <v>2332.0</v>
      </c>
      <c r="C2188" s="8"/>
      <c r="D2188" s="8"/>
      <c r="E2188" s="8"/>
      <c r="F2188" s="8"/>
      <c r="G2188" s="8"/>
      <c r="H2188" s="8"/>
      <c r="I2188" s="55"/>
      <c r="J2188" s="78" t="s">
        <v>6103</v>
      </c>
      <c r="K2188" s="22">
        <v>0.0</v>
      </c>
      <c r="L2188" s="22">
        <f>+SUMIF('حركه المخزن الرئيسي اليوميه'!$F:$F,$H:$H,'حركه المخزن الرئيسي اليوميه'!$H:$H)</f>
        <v>0.0</v>
      </c>
      <c r="M2188" s="22">
        <f>+SUMIF('حركه المخزن الرئيسي اليوميه'!$F:$F,$H:$H,'حركه المخزن الرئيسي اليوميه'!$I:$I)</f>
        <v>0.0</v>
      </c>
      <c r="N2188" s="22">
        <f>+K2188+L2188-M2188</f>
        <v>0.0</v>
      </c>
      <c r="O2188" s="22">
        <f>+N2188</f>
        <v>0.0</v>
      </c>
      <c r="P2188" s="22">
        <f>+N2188-O2188</f>
        <v>0.0</v>
      </c>
      <c r="Q2188" s="57"/>
      <c r="R2188" s="58"/>
    </row>
    <row r="2189" spans="8:8" ht="15.0" customHeight="1">
      <c r="B2189" s="54">
        <v>2333.0</v>
      </c>
      <c r="C2189" s="8"/>
      <c r="D2189" s="8"/>
      <c r="E2189" s="8"/>
      <c r="F2189" s="8"/>
      <c r="G2189" s="8"/>
      <c r="H2189" s="8"/>
      <c r="I2189" s="55"/>
      <c r="J2189" s="78" t="s">
        <v>6104</v>
      </c>
      <c r="K2189" s="22">
        <v>0.0</v>
      </c>
      <c r="L2189" s="22">
        <f>+SUMIF('حركه المخزن الرئيسي اليوميه'!$F:$F,$H:$H,'حركه المخزن الرئيسي اليوميه'!$H:$H)</f>
        <v>0.0</v>
      </c>
      <c r="M2189" s="22">
        <f>+SUMIF('حركه المخزن الرئيسي اليوميه'!$F:$F,$H:$H,'حركه المخزن الرئيسي اليوميه'!$I:$I)</f>
        <v>0.0</v>
      </c>
      <c r="N2189" s="22">
        <f>+K2189+L2189-M2189</f>
        <v>0.0</v>
      </c>
      <c r="O2189" s="22">
        <f>+N2189</f>
        <v>0.0</v>
      </c>
      <c r="P2189" s="22">
        <f>+N2189-O2189</f>
        <v>0.0</v>
      </c>
      <c r="Q2189" s="57"/>
      <c r="R2189" s="58"/>
    </row>
    <row r="2190" spans="8:8" ht="15.0" customHeight="1">
      <c r="B2190" s="54">
        <v>2334.0</v>
      </c>
      <c r="C2190" s="8"/>
      <c r="D2190" s="8"/>
      <c r="E2190" s="8"/>
      <c r="F2190" s="8"/>
      <c r="G2190" s="8"/>
      <c r="H2190" s="8"/>
      <c r="I2190" s="55"/>
      <c r="J2190" s="78" t="s">
        <v>6105</v>
      </c>
      <c r="K2190" s="22">
        <v>0.0</v>
      </c>
      <c r="L2190" s="22">
        <f>+SUMIF('حركه المخزن الرئيسي اليوميه'!$F:$F,$H:$H,'حركه المخزن الرئيسي اليوميه'!$H:$H)</f>
        <v>0.0</v>
      </c>
      <c r="M2190" s="22">
        <f>+SUMIF('حركه المخزن الرئيسي اليوميه'!$F:$F,$H:$H,'حركه المخزن الرئيسي اليوميه'!$I:$I)</f>
        <v>0.0</v>
      </c>
      <c r="N2190" s="22">
        <f>+K2190+L2190-M2190</f>
        <v>0.0</v>
      </c>
      <c r="O2190" s="22">
        <f>+N2190</f>
        <v>0.0</v>
      </c>
      <c r="P2190" s="22">
        <f>+N2190-O2190</f>
        <v>0.0</v>
      </c>
      <c r="Q2190" s="57"/>
      <c r="R2190" s="58"/>
    </row>
    <row r="2191" spans="8:8" ht="15.0" customHeight="1">
      <c r="B2191" s="54">
        <v>2335.0</v>
      </c>
      <c r="C2191" s="8"/>
      <c r="D2191" s="8"/>
      <c r="E2191" s="8"/>
      <c r="F2191" s="8"/>
      <c r="G2191" s="8"/>
      <c r="H2191" s="8"/>
      <c r="I2191" s="55"/>
      <c r="J2191" s="78" t="s">
        <v>6106</v>
      </c>
      <c r="K2191" s="22">
        <v>0.0</v>
      </c>
      <c r="L2191" s="22">
        <f>+SUMIF('حركه المخزن الرئيسي اليوميه'!$F:$F,$H:$H,'حركه المخزن الرئيسي اليوميه'!$H:$H)</f>
        <v>0.0</v>
      </c>
      <c r="M2191" s="22">
        <f>+SUMIF('حركه المخزن الرئيسي اليوميه'!$F:$F,$H:$H,'حركه المخزن الرئيسي اليوميه'!$I:$I)</f>
        <v>0.0</v>
      </c>
      <c r="N2191" s="22">
        <f>+K2191+L2191-M2191</f>
        <v>0.0</v>
      </c>
      <c r="O2191" s="22">
        <f>+N2191</f>
        <v>0.0</v>
      </c>
      <c r="P2191" s="22">
        <f>+N2191-O2191</f>
        <v>0.0</v>
      </c>
      <c r="Q2191" s="57"/>
      <c r="R2191" s="58"/>
    </row>
    <row r="2192" spans="8:8" ht="15.0" customHeight="1">
      <c r="B2192" s="54">
        <v>2336.0</v>
      </c>
      <c r="C2192" s="8"/>
      <c r="D2192" s="8"/>
      <c r="E2192" s="8"/>
      <c r="F2192" s="8"/>
      <c r="G2192" s="8"/>
      <c r="H2192" s="8"/>
      <c r="I2192" s="55"/>
      <c r="J2192" s="78" t="s">
        <v>6107</v>
      </c>
      <c r="K2192" s="22">
        <v>0.0</v>
      </c>
      <c r="L2192" s="22">
        <f>+SUMIF('حركه المخزن الرئيسي اليوميه'!$F:$F,$H:$H,'حركه المخزن الرئيسي اليوميه'!$H:$H)</f>
        <v>0.0</v>
      </c>
      <c r="M2192" s="22">
        <f>+SUMIF('حركه المخزن الرئيسي اليوميه'!$F:$F,$H:$H,'حركه المخزن الرئيسي اليوميه'!$I:$I)</f>
        <v>0.0</v>
      </c>
      <c r="N2192" s="22">
        <f>+K2192+L2192-M2192</f>
        <v>0.0</v>
      </c>
      <c r="O2192" s="22">
        <f>+N2192</f>
        <v>0.0</v>
      </c>
      <c r="P2192" s="22">
        <f>+N2192-O2192</f>
        <v>0.0</v>
      </c>
      <c r="Q2192" s="57"/>
      <c r="R2192" s="58"/>
    </row>
    <row r="2193" spans="8:8" ht="15.0" customHeight="1">
      <c r="B2193" s="54">
        <v>2337.0</v>
      </c>
      <c r="C2193" s="8"/>
      <c r="D2193" s="8"/>
      <c r="E2193" s="8"/>
      <c r="F2193" s="8"/>
      <c r="G2193" s="8"/>
      <c r="H2193" s="8"/>
      <c r="I2193" s="55"/>
      <c r="J2193" s="78" t="s">
        <v>6108</v>
      </c>
      <c r="K2193" s="22">
        <v>0.0</v>
      </c>
      <c r="L2193" s="22">
        <f>+SUMIF('حركه المخزن الرئيسي اليوميه'!$F:$F,$H:$H,'حركه المخزن الرئيسي اليوميه'!$H:$H)</f>
        <v>0.0</v>
      </c>
      <c r="M2193" s="22">
        <f>+SUMIF('حركه المخزن الرئيسي اليوميه'!$F:$F,$H:$H,'حركه المخزن الرئيسي اليوميه'!$I:$I)</f>
        <v>0.0</v>
      </c>
      <c r="N2193" s="22">
        <f>+K2193+L2193-M2193</f>
        <v>0.0</v>
      </c>
      <c r="O2193" s="22">
        <f>+N2193</f>
        <v>0.0</v>
      </c>
      <c r="P2193" s="22">
        <f>+N2193-O2193</f>
        <v>0.0</v>
      </c>
      <c r="Q2193" s="57"/>
      <c r="R2193" s="58"/>
    </row>
    <row r="2194" spans="8:8" ht="15.0" customHeight="1">
      <c r="B2194" s="54">
        <v>2338.0</v>
      </c>
      <c r="C2194" s="8"/>
      <c r="D2194" s="8"/>
      <c r="E2194" s="8"/>
      <c r="F2194" s="8"/>
      <c r="G2194" s="8"/>
      <c r="H2194" s="8"/>
      <c r="I2194" s="55"/>
      <c r="J2194" s="78" t="s">
        <v>6109</v>
      </c>
      <c r="K2194" s="22">
        <v>0.0</v>
      </c>
      <c r="L2194" s="22">
        <f>+SUMIF('حركه المخزن الرئيسي اليوميه'!$F:$F,$H:$H,'حركه المخزن الرئيسي اليوميه'!$H:$H)</f>
        <v>0.0</v>
      </c>
      <c r="M2194" s="22">
        <f>+SUMIF('حركه المخزن الرئيسي اليوميه'!$F:$F,$H:$H,'حركه المخزن الرئيسي اليوميه'!$I:$I)</f>
        <v>0.0</v>
      </c>
      <c r="N2194" s="22">
        <f>+K2194+L2194-M2194</f>
        <v>0.0</v>
      </c>
      <c r="O2194" s="22">
        <f>+N2194</f>
        <v>0.0</v>
      </c>
      <c r="P2194" s="22">
        <f>+N2194-O2194</f>
        <v>0.0</v>
      </c>
      <c r="Q2194" s="57"/>
      <c r="R2194" s="58"/>
    </row>
    <row r="2195" spans="8:8" ht="15.0" customHeight="1">
      <c r="B2195" s="54">
        <v>2339.0</v>
      </c>
      <c r="C2195" s="8"/>
      <c r="D2195" s="8"/>
      <c r="E2195" s="8"/>
      <c r="F2195" s="8"/>
      <c r="G2195" s="8"/>
      <c r="H2195" s="8"/>
      <c r="I2195" s="55"/>
      <c r="J2195" s="78" t="s">
        <v>6110</v>
      </c>
      <c r="K2195" s="22">
        <v>0.0</v>
      </c>
      <c r="L2195" s="22">
        <f>+SUMIF('حركه المخزن الرئيسي اليوميه'!$F:$F,$H:$H,'حركه المخزن الرئيسي اليوميه'!$H:$H)</f>
        <v>0.0</v>
      </c>
      <c r="M2195" s="22">
        <f>+SUMIF('حركه المخزن الرئيسي اليوميه'!$F:$F,$H:$H,'حركه المخزن الرئيسي اليوميه'!$I:$I)</f>
        <v>0.0</v>
      </c>
      <c r="N2195" s="22">
        <f>+K2195+L2195-M2195</f>
        <v>0.0</v>
      </c>
      <c r="O2195" s="22">
        <f>+N2195</f>
        <v>0.0</v>
      </c>
      <c r="P2195" s="22">
        <f>+N2195-O2195</f>
        <v>0.0</v>
      </c>
      <c r="Q2195" s="57"/>
      <c r="R2195" s="58"/>
    </row>
    <row r="2196" spans="8:8" ht="15.0" customHeight="1">
      <c r="B2196" s="54">
        <v>2340.0</v>
      </c>
      <c r="C2196" s="8"/>
      <c r="D2196" s="8"/>
      <c r="E2196" s="8"/>
      <c r="F2196" s="8"/>
      <c r="G2196" s="8"/>
      <c r="H2196" s="8"/>
      <c r="I2196" s="55"/>
      <c r="J2196" s="78" t="s">
        <v>6111</v>
      </c>
      <c r="K2196" s="22">
        <v>0.0</v>
      </c>
      <c r="L2196" s="22">
        <f>+SUMIF('حركه المخزن الرئيسي اليوميه'!$F:$F,$H:$H,'حركه المخزن الرئيسي اليوميه'!$H:$H)</f>
        <v>0.0</v>
      </c>
      <c r="M2196" s="22">
        <f>+SUMIF('حركه المخزن الرئيسي اليوميه'!$F:$F,$H:$H,'حركه المخزن الرئيسي اليوميه'!$I:$I)</f>
        <v>0.0</v>
      </c>
      <c r="N2196" s="22">
        <f>+K2196+L2196-M2196</f>
        <v>0.0</v>
      </c>
      <c r="O2196" s="22">
        <f>+N2196</f>
        <v>0.0</v>
      </c>
      <c r="P2196" s="22">
        <f>+N2196-O2196</f>
        <v>0.0</v>
      </c>
      <c r="Q2196" s="57"/>
      <c r="R2196" s="58"/>
    </row>
    <row r="2197" spans="8:8" ht="15.0" customHeight="1">
      <c r="B2197" s="54">
        <v>2341.0</v>
      </c>
      <c r="C2197" s="8"/>
      <c r="D2197" s="8"/>
      <c r="E2197" s="8"/>
      <c r="F2197" s="8"/>
      <c r="G2197" s="8"/>
      <c r="H2197" s="8"/>
      <c r="I2197" s="55"/>
      <c r="J2197" s="78" t="s">
        <v>6112</v>
      </c>
      <c r="K2197" s="22">
        <v>0.0</v>
      </c>
      <c r="L2197" s="22">
        <f>+SUMIF('حركه المخزن الرئيسي اليوميه'!$F:$F,$H:$H,'حركه المخزن الرئيسي اليوميه'!$H:$H)</f>
        <v>0.0</v>
      </c>
      <c r="M2197" s="22">
        <f>+SUMIF('حركه المخزن الرئيسي اليوميه'!$F:$F,$H:$H,'حركه المخزن الرئيسي اليوميه'!$I:$I)</f>
        <v>0.0</v>
      </c>
      <c r="N2197" s="22">
        <f>+K2197+L2197-M2197</f>
        <v>0.0</v>
      </c>
      <c r="O2197" s="22">
        <f>+N2197</f>
        <v>0.0</v>
      </c>
      <c r="P2197" s="22">
        <f>+N2197-O2197</f>
        <v>0.0</v>
      </c>
      <c r="Q2197" s="57"/>
      <c r="R2197" s="58"/>
    </row>
    <row r="2198" spans="8:8" ht="15.0" customHeight="1">
      <c r="B2198" s="54">
        <v>2342.0</v>
      </c>
      <c r="C2198" s="8"/>
      <c r="D2198" s="8"/>
      <c r="E2198" s="8"/>
      <c r="F2198" s="8"/>
      <c r="G2198" s="8"/>
      <c r="H2198" s="8"/>
      <c r="I2198" s="55"/>
      <c r="J2198" s="78" t="s">
        <v>6113</v>
      </c>
      <c r="K2198" s="22">
        <v>0.0</v>
      </c>
      <c r="L2198" s="22">
        <f>+SUMIF('حركه المخزن الرئيسي اليوميه'!$F:$F,$H:$H,'حركه المخزن الرئيسي اليوميه'!$H:$H)</f>
        <v>0.0</v>
      </c>
      <c r="M2198" s="22">
        <f>+SUMIF('حركه المخزن الرئيسي اليوميه'!$F:$F,$H:$H,'حركه المخزن الرئيسي اليوميه'!$I:$I)</f>
        <v>0.0</v>
      </c>
      <c r="N2198" s="22">
        <f>+K2198+L2198-M2198</f>
        <v>0.0</v>
      </c>
      <c r="O2198" s="22">
        <f>+N2198</f>
        <v>0.0</v>
      </c>
      <c r="P2198" s="22">
        <f>+N2198-O2198</f>
        <v>0.0</v>
      </c>
      <c r="Q2198" s="57"/>
      <c r="R2198" s="58"/>
    </row>
    <row r="2199" spans="8:8" ht="15.0" customHeight="1">
      <c r="B2199" s="54">
        <v>2343.0</v>
      </c>
      <c r="C2199" s="8"/>
      <c r="D2199" s="8"/>
      <c r="E2199" s="8"/>
      <c r="F2199" s="8"/>
      <c r="G2199" s="8"/>
      <c r="H2199" s="8"/>
      <c r="I2199" s="55"/>
      <c r="J2199" s="78" t="s">
        <v>6114</v>
      </c>
      <c r="K2199" s="22">
        <v>0.0</v>
      </c>
      <c r="L2199" s="22">
        <f>+SUMIF('حركه المخزن الرئيسي اليوميه'!$F:$F,$H:$H,'حركه المخزن الرئيسي اليوميه'!$H:$H)</f>
        <v>0.0</v>
      </c>
      <c r="M2199" s="22">
        <f>+SUMIF('حركه المخزن الرئيسي اليوميه'!$F:$F,$H:$H,'حركه المخزن الرئيسي اليوميه'!$I:$I)</f>
        <v>0.0</v>
      </c>
      <c r="N2199" s="22">
        <f>+K2199+L2199-M2199</f>
        <v>0.0</v>
      </c>
      <c r="O2199" s="22">
        <f>+N2199</f>
        <v>0.0</v>
      </c>
      <c r="P2199" s="22">
        <f>+N2199-O2199</f>
        <v>0.0</v>
      </c>
      <c r="Q2199" s="57"/>
      <c r="R2199" s="58"/>
    </row>
    <row r="2200" spans="8:8" ht="15.0" customHeight="1">
      <c r="B2200" s="54">
        <v>2344.0</v>
      </c>
      <c r="C2200" s="8"/>
      <c r="D2200" s="8"/>
      <c r="E2200" s="8"/>
      <c r="F2200" s="8"/>
      <c r="G2200" s="8"/>
      <c r="H2200" s="8"/>
      <c r="I2200" s="55"/>
      <c r="J2200" s="78" t="s">
        <v>6115</v>
      </c>
      <c r="K2200" s="22">
        <v>0.0</v>
      </c>
      <c r="L2200" s="22">
        <f>+SUMIF('حركه المخزن الرئيسي اليوميه'!$F:$F,$H:$H,'حركه المخزن الرئيسي اليوميه'!$H:$H)</f>
        <v>0.0</v>
      </c>
      <c r="M2200" s="22">
        <f>+SUMIF('حركه المخزن الرئيسي اليوميه'!$F:$F,$H:$H,'حركه المخزن الرئيسي اليوميه'!$I:$I)</f>
        <v>0.0</v>
      </c>
      <c r="N2200" s="22">
        <f>+K2200+L2200-M2200</f>
        <v>0.0</v>
      </c>
      <c r="O2200" s="22">
        <f>+N2200</f>
        <v>0.0</v>
      </c>
      <c r="P2200" s="22">
        <f>+N2200-O2200</f>
        <v>0.0</v>
      </c>
      <c r="Q2200" s="57"/>
      <c r="R2200" s="58"/>
    </row>
    <row r="2201" spans="8:8" ht="15.0" customHeight="1">
      <c r="B2201" s="54">
        <v>2345.0</v>
      </c>
      <c r="C2201" s="8"/>
      <c r="D2201" s="8"/>
      <c r="E2201" s="8"/>
      <c r="F2201" s="8"/>
      <c r="G2201" s="8"/>
      <c r="H2201" s="8"/>
      <c r="I2201" s="55"/>
      <c r="J2201" s="78" t="s">
        <v>6116</v>
      </c>
      <c r="K2201" s="22">
        <v>0.0</v>
      </c>
      <c r="L2201" s="22">
        <f>+SUMIF('حركه المخزن الرئيسي اليوميه'!$F:$F,$H:$H,'حركه المخزن الرئيسي اليوميه'!$H:$H)</f>
        <v>0.0</v>
      </c>
      <c r="M2201" s="22">
        <f>+SUMIF('حركه المخزن الرئيسي اليوميه'!$F:$F,$H:$H,'حركه المخزن الرئيسي اليوميه'!$I:$I)</f>
        <v>0.0</v>
      </c>
      <c r="N2201" s="22">
        <f>+K2201+L2201-M2201</f>
        <v>0.0</v>
      </c>
      <c r="O2201" s="22">
        <f>+N2201</f>
        <v>0.0</v>
      </c>
      <c r="P2201" s="22">
        <f>+N2201-O2201</f>
        <v>0.0</v>
      </c>
      <c r="Q2201" s="57"/>
      <c r="R2201" s="58"/>
    </row>
    <row r="2202" spans="8:8" ht="15.0" customHeight="1">
      <c r="B2202" s="54">
        <v>2346.0</v>
      </c>
      <c r="C2202" s="8"/>
      <c r="D2202" s="8"/>
      <c r="E2202" s="8"/>
      <c r="F2202" s="8"/>
      <c r="G2202" s="8"/>
      <c r="H2202" s="8"/>
      <c r="I2202" s="55"/>
      <c r="J2202" s="78" t="s">
        <v>6117</v>
      </c>
      <c r="K2202" s="22">
        <v>0.0</v>
      </c>
      <c r="L2202" s="22">
        <f>+SUMIF('حركه المخزن الرئيسي اليوميه'!$F:$F,$H:$H,'حركه المخزن الرئيسي اليوميه'!$H:$H)</f>
        <v>0.0</v>
      </c>
      <c r="M2202" s="22">
        <f>+SUMIF('حركه المخزن الرئيسي اليوميه'!$F:$F,$H:$H,'حركه المخزن الرئيسي اليوميه'!$I:$I)</f>
        <v>0.0</v>
      </c>
      <c r="N2202" s="22">
        <f>+K2202+L2202-M2202</f>
        <v>0.0</v>
      </c>
      <c r="O2202" s="22">
        <f>+N2202</f>
        <v>0.0</v>
      </c>
      <c r="P2202" s="22">
        <f>+N2202-O2202</f>
        <v>0.0</v>
      </c>
      <c r="Q2202" s="57"/>
      <c r="R2202" s="58"/>
    </row>
    <row r="2203" spans="8:8" ht="15.0" customHeight="1">
      <c r="B2203" s="54">
        <v>2347.0</v>
      </c>
      <c r="C2203" s="8"/>
      <c r="D2203" s="8"/>
      <c r="E2203" s="8"/>
      <c r="F2203" s="8"/>
      <c r="G2203" s="8"/>
      <c r="H2203" s="8"/>
      <c r="I2203" s="55"/>
      <c r="J2203" s="78" t="s">
        <v>6118</v>
      </c>
      <c r="K2203" s="22">
        <v>0.0</v>
      </c>
      <c r="L2203" s="22">
        <f>+SUMIF('حركه المخزن الرئيسي اليوميه'!$F:$F,$H:$H,'حركه المخزن الرئيسي اليوميه'!$H:$H)</f>
        <v>0.0</v>
      </c>
      <c r="M2203" s="22">
        <f>+SUMIF('حركه المخزن الرئيسي اليوميه'!$F:$F,$H:$H,'حركه المخزن الرئيسي اليوميه'!$I:$I)</f>
        <v>0.0</v>
      </c>
      <c r="N2203" s="22">
        <f>+K2203+L2203-M2203</f>
        <v>0.0</v>
      </c>
      <c r="O2203" s="22">
        <f>+N2203</f>
        <v>0.0</v>
      </c>
      <c r="P2203" s="22">
        <f>+N2203-O2203</f>
        <v>0.0</v>
      </c>
      <c r="Q2203" s="57"/>
      <c r="R2203" s="58"/>
    </row>
    <row r="2204" spans="8:8" ht="15.0" customHeight="1">
      <c r="B2204" s="54">
        <v>2348.0</v>
      </c>
      <c r="C2204" s="8"/>
      <c r="D2204" s="8"/>
      <c r="E2204" s="8"/>
      <c r="F2204" s="8"/>
      <c r="G2204" s="8"/>
      <c r="H2204" s="8"/>
      <c r="I2204" s="55"/>
      <c r="J2204" s="78" t="s">
        <v>6119</v>
      </c>
      <c r="K2204" s="22">
        <v>0.0</v>
      </c>
      <c r="L2204" s="22">
        <f>+SUMIF('حركه المخزن الرئيسي اليوميه'!$F:$F,$H:$H,'حركه المخزن الرئيسي اليوميه'!$H:$H)</f>
        <v>0.0</v>
      </c>
      <c r="M2204" s="22">
        <f>+SUMIF('حركه المخزن الرئيسي اليوميه'!$F:$F,$H:$H,'حركه المخزن الرئيسي اليوميه'!$I:$I)</f>
        <v>0.0</v>
      </c>
      <c r="N2204" s="22">
        <f>+K2204+L2204-M2204</f>
        <v>0.0</v>
      </c>
      <c r="O2204" s="22">
        <f>+N2204</f>
        <v>0.0</v>
      </c>
      <c r="P2204" s="22">
        <f>+N2204-O2204</f>
        <v>0.0</v>
      </c>
      <c r="Q2204" s="57"/>
      <c r="R2204" s="58"/>
    </row>
    <row r="2205" spans="8:8" ht="15.0" customHeight="1">
      <c r="B2205" s="54">
        <v>2349.0</v>
      </c>
      <c r="C2205" s="8"/>
      <c r="D2205" s="8"/>
      <c r="E2205" s="8"/>
      <c r="F2205" s="8"/>
      <c r="G2205" s="8"/>
      <c r="H2205" s="8"/>
      <c r="I2205" s="55"/>
      <c r="J2205" s="78" t="s">
        <v>6120</v>
      </c>
      <c r="K2205" s="22">
        <v>0.0</v>
      </c>
      <c r="L2205" s="22">
        <f>+SUMIF('حركه المخزن الرئيسي اليوميه'!$F:$F,$H:$H,'حركه المخزن الرئيسي اليوميه'!$H:$H)</f>
        <v>0.0</v>
      </c>
      <c r="M2205" s="22">
        <f>+SUMIF('حركه المخزن الرئيسي اليوميه'!$F:$F,$H:$H,'حركه المخزن الرئيسي اليوميه'!$I:$I)</f>
        <v>0.0</v>
      </c>
      <c r="N2205" s="22">
        <f>+K2205+L2205-M2205</f>
        <v>0.0</v>
      </c>
      <c r="O2205" s="22">
        <f>+N2205</f>
        <v>0.0</v>
      </c>
      <c r="P2205" s="22">
        <f>+N2205-O2205</f>
        <v>0.0</v>
      </c>
      <c r="Q2205" s="57"/>
      <c r="R2205" s="58"/>
    </row>
    <row r="2206" spans="8:8" ht="15.0" customHeight="1">
      <c r="B2206" s="54">
        <v>2350.0</v>
      </c>
      <c r="C2206" s="8"/>
      <c r="D2206" s="8"/>
      <c r="E2206" s="8"/>
      <c r="F2206" s="8"/>
      <c r="G2206" s="8"/>
      <c r="H2206" s="8"/>
      <c r="I2206" s="55"/>
      <c r="J2206" s="78" t="s">
        <v>6121</v>
      </c>
      <c r="K2206" s="22">
        <v>0.0</v>
      </c>
      <c r="L2206" s="22">
        <f>+SUMIF('حركه المخزن الرئيسي اليوميه'!$F:$F,$H:$H,'حركه المخزن الرئيسي اليوميه'!$H:$H)</f>
        <v>0.0</v>
      </c>
      <c r="M2206" s="22">
        <f>+SUMIF('حركه المخزن الرئيسي اليوميه'!$F:$F,$H:$H,'حركه المخزن الرئيسي اليوميه'!$I:$I)</f>
        <v>0.0</v>
      </c>
      <c r="N2206" s="22">
        <f>+K2206+L2206-M2206</f>
        <v>0.0</v>
      </c>
      <c r="O2206" s="22">
        <f>+N2206</f>
        <v>0.0</v>
      </c>
      <c r="P2206" s="22">
        <f>+N2206-O2206</f>
        <v>0.0</v>
      </c>
      <c r="Q2206" s="57"/>
      <c r="R2206" s="58"/>
    </row>
    <row r="2207" spans="8:8" ht="15.0" customHeight="1">
      <c r="B2207" s="54">
        <v>2351.0</v>
      </c>
      <c r="C2207" s="8"/>
      <c r="D2207" s="8"/>
      <c r="E2207" s="8"/>
      <c r="F2207" s="8"/>
      <c r="G2207" s="8"/>
      <c r="H2207" s="8"/>
      <c r="I2207" s="55"/>
      <c r="J2207" s="78" t="s">
        <v>6122</v>
      </c>
      <c r="K2207" s="22">
        <v>0.0</v>
      </c>
      <c r="L2207" s="22">
        <f>+SUMIF('حركه المخزن الرئيسي اليوميه'!$F:$F,$H:$H,'حركه المخزن الرئيسي اليوميه'!$H:$H)</f>
        <v>0.0</v>
      </c>
      <c r="M2207" s="22">
        <f>+SUMIF('حركه المخزن الرئيسي اليوميه'!$F:$F,$H:$H,'حركه المخزن الرئيسي اليوميه'!$I:$I)</f>
        <v>0.0</v>
      </c>
      <c r="N2207" s="22">
        <f>+K2207+L2207-M2207</f>
        <v>0.0</v>
      </c>
      <c r="O2207" s="22">
        <f>+N2207</f>
        <v>0.0</v>
      </c>
      <c r="P2207" s="22">
        <f>+N2207-O2207</f>
        <v>0.0</v>
      </c>
      <c r="Q2207" s="57"/>
      <c r="R2207" s="58"/>
    </row>
    <row r="2208" spans="8:8" ht="15.0" customHeight="1">
      <c r="B2208" s="54">
        <v>2352.0</v>
      </c>
      <c r="C2208" s="8"/>
      <c r="D2208" s="8"/>
      <c r="E2208" s="8"/>
      <c r="F2208" s="8"/>
      <c r="G2208" s="8"/>
      <c r="H2208" s="8"/>
      <c r="I2208" s="55"/>
      <c r="J2208" s="78" t="s">
        <v>6123</v>
      </c>
      <c r="K2208" s="22">
        <v>0.0</v>
      </c>
      <c r="L2208" s="22">
        <f>+SUMIF('حركه المخزن الرئيسي اليوميه'!$F:$F,$H:$H,'حركه المخزن الرئيسي اليوميه'!$H:$H)</f>
        <v>0.0</v>
      </c>
      <c r="M2208" s="22">
        <f>+SUMIF('حركه المخزن الرئيسي اليوميه'!$F:$F,$H:$H,'حركه المخزن الرئيسي اليوميه'!$I:$I)</f>
        <v>0.0</v>
      </c>
      <c r="N2208" s="22">
        <f>+K2208+L2208-M2208</f>
        <v>0.0</v>
      </c>
      <c r="O2208" s="22">
        <f>+N2208</f>
        <v>0.0</v>
      </c>
      <c r="P2208" s="22">
        <f>+N2208-O2208</f>
        <v>0.0</v>
      </c>
      <c r="Q2208" s="57"/>
      <c r="R2208" s="58"/>
    </row>
    <row r="2209" spans="8:8" ht="15.0" customHeight="1">
      <c r="B2209" s="54">
        <v>2353.0</v>
      </c>
      <c r="C2209" s="8"/>
      <c r="D2209" s="8"/>
      <c r="E2209" s="8"/>
      <c r="F2209" s="8"/>
      <c r="G2209" s="8"/>
      <c r="H2209" s="8"/>
      <c r="I2209" s="55"/>
      <c r="J2209" s="78" t="s">
        <v>6124</v>
      </c>
      <c r="K2209" s="22">
        <v>0.0</v>
      </c>
      <c r="L2209" s="22">
        <f>+SUMIF('حركه المخزن الرئيسي اليوميه'!$F:$F,$H:$H,'حركه المخزن الرئيسي اليوميه'!$H:$H)</f>
        <v>0.0</v>
      </c>
      <c r="M2209" s="22">
        <f>+SUMIF('حركه المخزن الرئيسي اليوميه'!$F:$F,$H:$H,'حركه المخزن الرئيسي اليوميه'!$I:$I)</f>
        <v>0.0</v>
      </c>
      <c r="N2209" s="22">
        <f>+K2209+L2209-M2209</f>
        <v>0.0</v>
      </c>
      <c r="O2209" s="22">
        <f>+N2209</f>
        <v>0.0</v>
      </c>
      <c r="P2209" s="22">
        <f>+N2209-O2209</f>
        <v>0.0</v>
      </c>
      <c r="Q2209" s="57"/>
      <c r="R2209" s="58"/>
    </row>
    <row r="2210" spans="8:8" ht="15.0" customHeight="1">
      <c r="B2210" s="54">
        <v>2354.0</v>
      </c>
      <c r="C2210" s="8"/>
      <c r="D2210" s="8"/>
      <c r="E2210" s="8"/>
      <c r="F2210" s="8"/>
      <c r="G2210" s="8"/>
      <c r="H2210" s="8"/>
      <c r="I2210" s="55"/>
      <c r="J2210" s="78" t="s">
        <v>6125</v>
      </c>
      <c r="K2210" s="22">
        <v>0.0</v>
      </c>
      <c r="L2210" s="22">
        <f>+SUMIF('حركه المخزن الرئيسي اليوميه'!$F:$F,$H:$H,'حركه المخزن الرئيسي اليوميه'!$H:$H)</f>
        <v>0.0</v>
      </c>
      <c r="M2210" s="22">
        <f>+SUMIF('حركه المخزن الرئيسي اليوميه'!$F:$F,$H:$H,'حركه المخزن الرئيسي اليوميه'!$I:$I)</f>
        <v>0.0</v>
      </c>
      <c r="N2210" s="22">
        <f>+K2210+L2210-M2210</f>
        <v>0.0</v>
      </c>
      <c r="O2210" s="22">
        <f>+N2210</f>
        <v>0.0</v>
      </c>
      <c r="P2210" s="22">
        <f>+N2210-O2210</f>
        <v>0.0</v>
      </c>
      <c r="Q2210" s="57"/>
      <c r="R2210" s="58"/>
    </row>
    <row r="2211" spans="8:8" ht="15.0" customHeight="1">
      <c r="B2211" s="54">
        <v>2355.0</v>
      </c>
      <c r="C2211" s="8"/>
      <c r="D2211" s="8"/>
      <c r="E2211" s="8"/>
      <c r="F2211" s="8"/>
      <c r="G2211" s="8"/>
      <c r="H2211" s="8"/>
      <c r="I2211" s="55"/>
      <c r="J2211" s="78" t="s">
        <v>6126</v>
      </c>
      <c r="K2211" s="22">
        <v>0.0</v>
      </c>
      <c r="L2211" s="22">
        <f>+SUMIF('حركه المخزن الرئيسي اليوميه'!$F:$F,$H:$H,'حركه المخزن الرئيسي اليوميه'!$H:$H)</f>
        <v>0.0</v>
      </c>
      <c r="M2211" s="22">
        <f>+SUMIF('حركه المخزن الرئيسي اليوميه'!$F:$F,$H:$H,'حركه المخزن الرئيسي اليوميه'!$I:$I)</f>
        <v>0.0</v>
      </c>
      <c r="N2211" s="22">
        <f>+K2211+L2211-M2211</f>
        <v>0.0</v>
      </c>
      <c r="O2211" s="22">
        <f>+N2211</f>
        <v>0.0</v>
      </c>
      <c r="P2211" s="22">
        <f>+N2211-O2211</f>
        <v>0.0</v>
      </c>
      <c r="Q2211" s="57"/>
      <c r="R2211" s="58"/>
    </row>
    <row r="2212" spans="8:8" ht="15.0" customHeight="1">
      <c r="B2212" s="54">
        <v>2356.0</v>
      </c>
      <c r="C2212" s="8"/>
      <c r="D2212" s="8"/>
      <c r="E2212" s="8"/>
      <c r="F2212" s="8"/>
      <c r="G2212" s="8"/>
      <c r="H2212" s="8"/>
      <c r="I2212" s="55"/>
      <c r="J2212" s="78" t="s">
        <v>6127</v>
      </c>
      <c r="K2212" s="22">
        <v>0.0</v>
      </c>
      <c r="L2212" s="22">
        <f>+SUMIF('حركه المخزن الرئيسي اليوميه'!$F:$F,$H:$H,'حركه المخزن الرئيسي اليوميه'!$H:$H)</f>
        <v>0.0</v>
      </c>
      <c r="M2212" s="22">
        <f>+SUMIF('حركه المخزن الرئيسي اليوميه'!$F:$F,$H:$H,'حركه المخزن الرئيسي اليوميه'!$I:$I)</f>
        <v>0.0</v>
      </c>
      <c r="N2212" s="22">
        <f>+K2212+L2212-M2212</f>
        <v>0.0</v>
      </c>
      <c r="O2212" s="22">
        <f>+N2212</f>
        <v>0.0</v>
      </c>
      <c r="P2212" s="22">
        <f>+N2212-O2212</f>
        <v>0.0</v>
      </c>
      <c r="Q2212" s="57"/>
      <c r="R2212" s="58"/>
    </row>
    <row r="2213" spans="8:8" ht="15.0" customHeight="1">
      <c r="B2213" s="54">
        <v>2357.0</v>
      </c>
      <c r="C2213" s="8"/>
      <c r="D2213" s="8"/>
      <c r="E2213" s="8"/>
      <c r="F2213" s="8"/>
      <c r="G2213" s="8"/>
      <c r="H2213" s="8"/>
      <c r="I2213" s="55"/>
      <c r="J2213" s="78" t="s">
        <v>6128</v>
      </c>
      <c r="K2213" s="22">
        <v>0.0</v>
      </c>
      <c r="L2213" s="22">
        <f>+SUMIF('حركه المخزن الرئيسي اليوميه'!$F:$F,$H:$H,'حركه المخزن الرئيسي اليوميه'!$H:$H)</f>
        <v>0.0</v>
      </c>
      <c r="M2213" s="22">
        <f>+SUMIF('حركه المخزن الرئيسي اليوميه'!$F:$F,$H:$H,'حركه المخزن الرئيسي اليوميه'!$I:$I)</f>
        <v>0.0</v>
      </c>
      <c r="N2213" s="22">
        <f>+K2213+L2213-M2213</f>
        <v>0.0</v>
      </c>
      <c r="O2213" s="22">
        <f>+N2213</f>
        <v>0.0</v>
      </c>
      <c r="P2213" s="22">
        <f>+N2213-O2213</f>
        <v>0.0</v>
      </c>
      <c r="Q2213" s="57"/>
      <c r="R2213" s="58"/>
    </row>
    <row r="2214" spans="8:8" ht="15.0" customHeight="1">
      <c r="B2214" s="54">
        <v>2358.0</v>
      </c>
      <c r="C2214" s="8"/>
      <c r="D2214" s="8"/>
      <c r="E2214" s="8"/>
      <c r="F2214" s="8"/>
      <c r="G2214" s="8"/>
      <c r="H2214" s="8"/>
      <c r="I2214" s="55"/>
      <c r="J2214" s="78" t="s">
        <v>6129</v>
      </c>
      <c r="K2214" s="22">
        <v>0.0</v>
      </c>
      <c r="L2214" s="22">
        <f>+SUMIF('حركه المخزن الرئيسي اليوميه'!$F:$F,$H:$H,'حركه المخزن الرئيسي اليوميه'!$H:$H)</f>
        <v>0.0</v>
      </c>
      <c r="M2214" s="22">
        <f>+SUMIF('حركه المخزن الرئيسي اليوميه'!$F:$F,$H:$H,'حركه المخزن الرئيسي اليوميه'!$I:$I)</f>
        <v>0.0</v>
      </c>
      <c r="N2214" s="22">
        <f>+K2214+L2214-M2214</f>
        <v>0.0</v>
      </c>
      <c r="O2214" s="22">
        <f>+N2214</f>
        <v>0.0</v>
      </c>
      <c r="P2214" s="22">
        <f>+N2214-O2214</f>
        <v>0.0</v>
      </c>
      <c r="Q2214" s="57"/>
      <c r="R2214" s="58"/>
    </row>
    <row r="2215" spans="8:8" ht="15.0" customHeight="1">
      <c r="B2215" s="54">
        <v>2359.0</v>
      </c>
      <c r="C2215" s="8"/>
      <c r="D2215" s="8"/>
      <c r="E2215" s="8"/>
      <c r="F2215" s="8"/>
      <c r="G2215" s="8"/>
      <c r="H2215" s="8"/>
      <c r="I2215" s="55"/>
      <c r="J2215" s="78" t="s">
        <v>6130</v>
      </c>
      <c r="K2215" s="22">
        <v>0.0</v>
      </c>
      <c r="L2215" s="22">
        <f>+SUMIF('حركه المخزن الرئيسي اليوميه'!$F:$F,$H:$H,'حركه المخزن الرئيسي اليوميه'!$H:$H)</f>
        <v>0.0</v>
      </c>
      <c r="M2215" s="22">
        <f>+SUMIF('حركه المخزن الرئيسي اليوميه'!$F:$F,$H:$H,'حركه المخزن الرئيسي اليوميه'!$I:$I)</f>
        <v>0.0</v>
      </c>
      <c r="N2215" s="22">
        <f>+K2215+L2215-M2215</f>
        <v>0.0</v>
      </c>
      <c r="O2215" s="22">
        <f>+N2215</f>
        <v>0.0</v>
      </c>
      <c r="P2215" s="22">
        <f>+N2215-O2215</f>
        <v>0.0</v>
      </c>
      <c r="Q2215" s="57"/>
      <c r="R2215" s="58"/>
    </row>
    <row r="2216" spans="8:8" ht="15.0" customHeight="1">
      <c r="B2216" s="54">
        <v>2360.0</v>
      </c>
      <c r="C2216" s="8"/>
      <c r="D2216" s="8"/>
      <c r="E2216" s="8"/>
      <c r="F2216" s="8"/>
      <c r="G2216" s="8"/>
      <c r="H2216" s="8"/>
      <c r="I2216" s="55"/>
      <c r="J2216" s="78" t="s">
        <v>6131</v>
      </c>
      <c r="K2216" s="22">
        <v>0.0</v>
      </c>
      <c r="L2216" s="22">
        <f>+SUMIF('حركه المخزن الرئيسي اليوميه'!$F:$F,$H:$H,'حركه المخزن الرئيسي اليوميه'!$H:$H)</f>
        <v>0.0</v>
      </c>
      <c r="M2216" s="22">
        <f>+SUMIF('حركه المخزن الرئيسي اليوميه'!$F:$F,$H:$H,'حركه المخزن الرئيسي اليوميه'!$I:$I)</f>
        <v>0.0</v>
      </c>
      <c r="N2216" s="22">
        <f>+K2216+L2216-M2216</f>
        <v>0.0</v>
      </c>
      <c r="O2216" s="22">
        <f>+N2216</f>
        <v>0.0</v>
      </c>
      <c r="P2216" s="22">
        <f>+N2216-O2216</f>
        <v>0.0</v>
      </c>
      <c r="Q2216" s="57"/>
      <c r="R2216" s="58"/>
    </row>
    <row r="2217" spans="8:8" ht="15.0" customHeight="1">
      <c r="B2217" s="54">
        <v>2361.0</v>
      </c>
      <c r="C2217" s="8"/>
      <c r="D2217" s="8"/>
      <c r="E2217" s="8"/>
      <c r="F2217" s="8"/>
      <c r="G2217" s="8"/>
      <c r="H2217" s="8"/>
      <c r="I2217" s="55"/>
      <c r="J2217" s="78" t="s">
        <v>6132</v>
      </c>
      <c r="K2217" s="22">
        <v>0.0</v>
      </c>
      <c r="L2217" s="22">
        <f>+SUMIF('حركه المخزن الرئيسي اليوميه'!$F:$F,$H:$H,'حركه المخزن الرئيسي اليوميه'!$H:$H)</f>
        <v>0.0</v>
      </c>
      <c r="M2217" s="22">
        <f>+SUMIF('حركه المخزن الرئيسي اليوميه'!$F:$F,$H:$H,'حركه المخزن الرئيسي اليوميه'!$I:$I)</f>
        <v>0.0</v>
      </c>
      <c r="N2217" s="22">
        <f>+K2217+L2217-M2217</f>
        <v>0.0</v>
      </c>
      <c r="O2217" s="22">
        <f>+N2217</f>
        <v>0.0</v>
      </c>
      <c r="P2217" s="22">
        <f>+N2217-O2217</f>
        <v>0.0</v>
      </c>
      <c r="Q2217" s="57"/>
      <c r="R2217" s="58"/>
    </row>
    <row r="2218" spans="8:8" ht="15.0" customHeight="1">
      <c r="B2218" s="54">
        <v>2362.0</v>
      </c>
      <c r="C2218" s="8"/>
      <c r="D2218" s="8"/>
      <c r="E2218" s="8"/>
      <c r="F2218" s="8"/>
      <c r="G2218" s="8"/>
      <c r="H2218" s="8"/>
      <c r="I2218" s="55"/>
      <c r="J2218" s="78" t="s">
        <v>6133</v>
      </c>
      <c r="K2218" s="22">
        <v>0.0</v>
      </c>
      <c r="L2218" s="22">
        <f>+SUMIF('حركه المخزن الرئيسي اليوميه'!$F:$F,$H:$H,'حركه المخزن الرئيسي اليوميه'!$H:$H)</f>
        <v>0.0</v>
      </c>
      <c r="M2218" s="22">
        <f>+SUMIF('حركه المخزن الرئيسي اليوميه'!$F:$F,$H:$H,'حركه المخزن الرئيسي اليوميه'!$I:$I)</f>
        <v>0.0</v>
      </c>
      <c r="N2218" s="22">
        <f>+K2218+L2218-M2218</f>
        <v>0.0</v>
      </c>
      <c r="O2218" s="22">
        <f>+N2218</f>
        <v>0.0</v>
      </c>
      <c r="P2218" s="22">
        <f>+N2218-O2218</f>
        <v>0.0</v>
      </c>
      <c r="Q2218" s="57"/>
      <c r="R2218" s="58"/>
    </row>
    <row r="2219" spans="8:8" ht="15.0" customHeight="1">
      <c r="B2219" s="54">
        <v>2363.0</v>
      </c>
      <c r="C2219" s="8"/>
      <c r="D2219" s="8"/>
      <c r="E2219" s="8"/>
      <c r="F2219" s="8"/>
      <c r="G2219" s="8"/>
      <c r="H2219" s="8"/>
      <c r="I2219" s="55"/>
      <c r="J2219" s="78" t="s">
        <v>6134</v>
      </c>
      <c r="K2219" s="22">
        <v>0.0</v>
      </c>
      <c r="L2219" s="22">
        <f>+SUMIF('حركه المخزن الرئيسي اليوميه'!$F:$F,$H:$H,'حركه المخزن الرئيسي اليوميه'!$H:$H)</f>
        <v>0.0</v>
      </c>
      <c r="M2219" s="22">
        <f>+SUMIF('حركه المخزن الرئيسي اليوميه'!$F:$F,$H:$H,'حركه المخزن الرئيسي اليوميه'!$I:$I)</f>
        <v>0.0</v>
      </c>
      <c r="N2219" s="22">
        <f>+K2219+L2219-M2219</f>
        <v>0.0</v>
      </c>
      <c r="O2219" s="22">
        <f>+N2219</f>
        <v>0.0</v>
      </c>
      <c r="P2219" s="22">
        <f>+N2219-O2219</f>
        <v>0.0</v>
      </c>
      <c r="Q2219" s="57"/>
      <c r="R2219" s="58"/>
    </row>
    <row r="2220" spans="8:8" ht="15.0" customHeight="1">
      <c r="B2220" s="54">
        <v>2364.0</v>
      </c>
      <c r="C2220" s="8"/>
      <c r="D2220" s="8"/>
      <c r="E2220" s="8"/>
      <c r="F2220" s="8"/>
      <c r="G2220" s="8"/>
      <c r="H2220" s="8"/>
      <c r="I2220" s="55"/>
      <c r="J2220" s="78" t="s">
        <v>6135</v>
      </c>
      <c r="K2220" s="22">
        <v>0.0</v>
      </c>
      <c r="L2220" s="22">
        <f>+SUMIF('حركه المخزن الرئيسي اليوميه'!$F:$F,$H:$H,'حركه المخزن الرئيسي اليوميه'!$H:$H)</f>
        <v>0.0</v>
      </c>
      <c r="M2220" s="22">
        <f>+SUMIF('حركه المخزن الرئيسي اليوميه'!$F:$F,$H:$H,'حركه المخزن الرئيسي اليوميه'!$I:$I)</f>
        <v>0.0</v>
      </c>
      <c r="N2220" s="22">
        <f>+K2220+L2220-M2220</f>
        <v>0.0</v>
      </c>
      <c r="O2220" s="22">
        <f>+N2220</f>
        <v>0.0</v>
      </c>
      <c r="P2220" s="22">
        <f>+N2220-O2220</f>
        <v>0.0</v>
      </c>
      <c r="Q2220" s="57"/>
      <c r="R2220" s="58"/>
    </row>
    <row r="2221" spans="8:8" ht="15.0" customHeight="1">
      <c r="B2221" s="54">
        <v>2365.0</v>
      </c>
      <c r="C2221" s="8"/>
      <c r="D2221" s="8"/>
      <c r="E2221" s="8"/>
      <c r="F2221" s="8"/>
      <c r="G2221" s="8"/>
      <c r="H2221" s="8"/>
      <c r="I2221" s="55"/>
      <c r="J2221" s="78" t="s">
        <v>6136</v>
      </c>
      <c r="K2221" s="22">
        <v>0.0</v>
      </c>
      <c r="L2221" s="22">
        <f>+SUMIF('حركه المخزن الرئيسي اليوميه'!$F:$F,$H:$H,'حركه المخزن الرئيسي اليوميه'!$H:$H)</f>
        <v>0.0</v>
      </c>
      <c r="M2221" s="22">
        <f>+SUMIF('حركه المخزن الرئيسي اليوميه'!$F:$F,$H:$H,'حركه المخزن الرئيسي اليوميه'!$I:$I)</f>
        <v>0.0</v>
      </c>
      <c r="N2221" s="22">
        <f>+K2221+L2221-M2221</f>
        <v>0.0</v>
      </c>
      <c r="O2221" s="22">
        <f>+N2221</f>
        <v>0.0</v>
      </c>
      <c r="P2221" s="22">
        <f>+N2221-O2221</f>
        <v>0.0</v>
      </c>
      <c r="Q2221" s="57"/>
      <c r="R2221" s="58"/>
    </row>
    <row r="2222" spans="8:8" ht="15.0" customHeight="1">
      <c r="B2222" s="54">
        <v>2366.0</v>
      </c>
      <c r="C2222" s="8"/>
      <c r="D2222" s="8"/>
      <c r="E2222" s="8"/>
      <c r="F2222" s="8"/>
      <c r="G2222" s="8"/>
      <c r="H2222" s="8"/>
      <c r="I2222" s="55"/>
      <c r="J2222" s="78" t="s">
        <v>6137</v>
      </c>
      <c r="K2222" s="22">
        <v>0.0</v>
      </c>
      <c r="L2222" s="22">
        <f>+SUMIF('حركه المخزن الرئيسي اليوميه'!$F:$F,$H:$H,'حركه المخزن الرئيسي اليوميه'!$H:$H)</f>
        <v>0.0</v>
      </c>
      <c r="M2222" s="22">
        <f>+SUMIF('حركه المخزن الرئيسي اليوميه'!$F:$F,$H:$H,'حركه المخزن الرئيسي اليوميه'!$I:$I)</f>
        <v>0.0</v>
      </c>
      <c r="N2222" s="22">
        <f>+K2222+L2222-M2222</f>
        <v>0.0</v>
      </c>
      <c r="O2222" s="22">
        <f>+N2222</f>
        <v>0.0</v>
      </c>
      <c r="P2222" s="22">
        <f>+N2222-O2222</f>
        <v>0.0</v>
      </c>
      <c r="Q2222" s="57"/>
      <c r="R2222" s="58"/>
    </row>
    <row r="2223" spans="8:8" ht="15.0" customHeight="1">
      <c r="B2223" s="54">
        <v>2367.0</v>
      </c>
      <c r="C2223" s="8"/>
      <c r="D2223" s="8"/>
      <c r="E2223" s="8"/>
      <c r="F2223" s="8"/>
      <c r="G2223" s="8"/>
      <c r="H2223" s="8"/>
      <c r="I2223" s="55"/>
      <c r="J2223" s="78" t="s">
        <v>6138</v>
      </c>
      <c r="K2223" s="22">
        <v>0.0</v>
      </c>
      <c r="L2223" s="22">
        <f>+SUMIF('حركه المخزن الرئيسي اليوميه'!$F:$F,$H:$H,'حركه المخزن الرئيسي اليوميه'!$H:$H)</f>
        <v>0.0</v>
      </c>
      <c r="M2223" s="22">
        <f>+SUMIF('حركه المخزن الرئيسي اليوميه'!$F:$F,$H:$H,'حركه المخزن الرئيسي اليوميه'!$I:$I)</f>
        <v>0.0</v>
      </c>
      <c r="N2223" s="22">
        <f>+K2223+L2223-M2223</f>
        <v>0.0</v>
      </c>
      <c r="O2223" s="22">
        <f>+N2223</f>
        <v>0.0</v>
      </c>
      <c r="P2223" s="22">
        <f>+N2223-O2223</f>
        <v>0.0</v>
      </c>
      <c r="Q2223" s="57"/>
      <c r="R2223" s="58"/>
    </row>
    <row r="2224" spans="8:8" ht="15.0" customHeight="1">
      <c r="B2224" s="54">
        <v>2368.0</v>
      </c>
      <c r="C2224" s="8"/>
      <c r="D2224" s="8"/>
      <c r="E2224" s="8"/>
      <c r="F2224" s="8"/>
      <c r="G2224" s="8"/>
      <c r="H2224" s="8"/>
      <c r="I2224" s="55"/>
      <c r="J2224" s="78" t="s">
        <v>6139</v>
      </c>
      <c r="K2224" s="22">
        <v>0.0</v>
      </c>
      <c r="L2224" s="22">
        <f>+SUMIF('حركه المخزن الرئيسي اليوميه'!$F:$F,$H:$H,'حركه المخزن الرئيسي اليوميه'!$H:$H)</f>
        <v>0.0</v>
      </c>
      <c r="M2224" s="22">
        <f>+SUMIF('حركه المخزن الرئيسي اليوميه'!$F:$F,$H:$H,'حركه المخزن الرئيسي اليوميه'!$I:$I)</f>
        <v>0.0</v>
      </c>
      <c r="N2224" s="22">
        <f>+K2224+L2224-M2224</f>
        <v>0.0</v>
      </c>
      <c r="O2224" s="22">
        <f>+N2224</f>
        <v>0.0</v>
      </c>
      <c r="P2224" s="22">
        <f>+N2224-O2224</f>
        <v>0.0</v>
      </c>
      <c r="Q2224" s="57"/>
      <c r="R2224" s="58"/>
    </row>
    <row r="2225" spans="8:8" ht="15.0" customHeight="1">
      <c r="B2225" s="54">
        <v>2369.0</v>
      </c>
      <c r="C2225" s="8"/>
      <c r="D2225" s="8"/>
      <c r="E2225" s="8"/>
      <c r="F2225" s="8"/>
      <c r="G2225" s="8"/>
      <c r="H2225" s="8"/>
      <c r="I2225" s="55"/>
      <c r="J2225" s="78" t="s">
        <v>6140</v>
      </c>
      <c r="K2225" s="22">
        <v>0.0</v>
      </c>
      <c r="L2225" s="22">
        <f>+SUMIF('حركه المخزن الرئيسي اليوميه'!$F:$F,$H:$H,'حركه المخزن الرئيسي اليوميه'!$H:$H)</f>
        <v>0.0</v>
      </c>
      <c r="M2225" s="22">
        <f>+SUMIF('حركه المخزن الرئيسي اليوميه'!$F:$F,$H:$H,'حركه المخزن الرئيسي اليوميه'!$I:$I)</f>
        <v>0.0</v>
      </c>
      <c r="N2225" s="22">
        <f>+K2225+L2225-M2225</f>
        <v>0.0</v>
      </c>
      <c r="O2225" s="22">
        <f>+N2225</f>
        <v>0.0</v>
      </c>
      <c r="P2225" s="22">
        <f>+N2225-O2225</f>
        <v>0.0</v>
      </c>
      <c r="Q2225" s="57"/>
      <c r="R2225" s="58"/>
    </row>
    <row r="2226" spans="8:8" ht="15.0" customHeight="1">
      <c r="B2226" s="54">
        <v>2370.0</v>
      </c>
      <c r="C2226" s="8"/>
      <c r="D2226" s="8"/>
      <c r="E2226" s="8"/>
      <c r="F2226" s="8"/>
      <c r="G2226" s="8"/>
      <c r="H2226" s="8"/>
      <c r="I2226" s="55"/>
      <c r="J2226" s="78" t="s">
        <v>6141</v>
      </c>
      <c r="K2226" s="22">
        <v>0.0</v>
      </c>
      <c r="L2226" s="22">
        <f>+SUMIF('حركه المخزن الرئيسي اليوميه'!$F:$F,$H:$H,'حركه المخزن الرئيسي اليوميه'!$H:$H)</f>
        <v>0.0</v>
      </c>
      <c r="M2226" s="22">
        <f>+SUMIF('حركه المخزن الرئيسي اليوميه'!$F:$F,$H:$H,'حركه المخزن الرئيسي اليوميه'!$I:$I)</f>
        <v>0.0</v>
      </c>
      <c r="N2226" s="22">
        <f>+K2226+L2226-M2226</f>
        <v>0.0</v>
      </c>
      <c r="O2226" s="22">
        <f>+N2226</f>
        <v>0.0</v>
      </c>
      <c r="P2226" s="22">
        <f>+N2226-O2226</f>
        <v>0.0</v>
      </c>
      <c r="Q2226" s="57"/>
      <c r="R2226" s="58"/>
    </row>
    <row r="2227" spans="8:8" ht="15.0" customHeight="1">
      <c r="B2227" s="54">
        <v>2371.0</v>
      </c>
      <c r="C2227" s="8"/>
      <c r="D2227" s="8"/>
      <c r="E2227" s="8"/>
      <c r="F2227" s="8"/>
      <c r="G2227" s="8"/>
      <c r="H2227" s="8"/>
      <c r="I2227" s="55"/>
      <c r="J2227" s="78" t="s">
        <v>6142</v>
      </c>
      <c r="K2227" s="22">
        <v>0.0</v>
      </c>
      <c r="L2227" s="22">
        <f>+SUMIF('حركه المخزن الرئيسي اليوميه'!$F:$F,$H:$H,'حركه المخزن الرئيسي اليوميه'!$H:$H)</f>
        <v>0.0</v>
      </c>
      <c r="M2227" s="22">
        <f>+SUMIF('حركه المخزن الرئيسي اليوميه'!$F:$F,$H:$H,'حركه المخزن الرئيسي اليوميه'!$I:$I)</f>
        <v>0.0</v>
      </c>
      <c r="N2227" s="22">
        <f>+K2227+L2227-M2227</f>
        <v>0.0</v>
      </c>
      <c r="O2227" s="22">
        <f>+N2227</f>
        <v>0.0</v>
      </c>
      <c r="P2227" s="22">
        <f>+N2227-O2227</f>
        <v>0.0</v>
      </c>
      <c r="Q2227" s="57"/>
      <c r="R2227" s="58"/>
    </row>
    <row r="2228" spans="8:8" ht="15.0" customHeight="1">
      <c r="B2228" s="54">
        <v>2372.0</v>
      </c>
      <c r="C2228" s="8"/>
      <c r="D2228" s="8"/>
      <c r="E2228" s="8"/>
      <c r="F2228" s="8"/>
      <c r="G2228" s="8"/>
      <c r="H2228" s="8"/>
      <c r="I2228" s="55"/>
      <c r="J2228" s="78" t="s">
        <v>6143</v>
      </c>
      <c r="K2228" s="22">
        <v>0.0</v>
      </c>
      <c r="L2228" s="22">
        <f>+SUMIF('حركه المخزن الرئيسي اليوميه'!$F:$F,$H:$H,'حركه المخزن الرئيسي اليوميه'!$H:$H)</f>
        <v>0.0</v>
      </c>
      <c r="M2228" s="22">
        <f>+SUMIF('حركه المخزن الرئيسي اليوميه'!$F:$F,$H:$H,'حركه المخزن الرئيسي اليوميه'!$I:$I)</f>
        <v>0.0</v>
      </c>
      <c r="N2228" s="22">
        <f>+K2228+L2228-M2228</f>
        <v>0.0</v>
      </c>
      <c r="O2228" s="22">
        <f>+N2228</f>
        <v>0.0</v>
      </c>
      <c r="P2228" s="22">
        <f>+N2228-O2228</f>
        <v>0.0</v>
      </c>
      <c r="Q2228" s="57"/>
      <c r="R2228" s="58"/>
    </row>
    <row r="2229" spans="8:8" ht="15.0" customHeight="1">
      <c r="B2229" s="54">
        <v>2373.0</v>
      </c>
      <c r="C2229" s="8"/>
      <c r="D2229" s="8"/>
      <c r="E2229" s="8"/>
      <c r="F2229" s="8"/>
      <c r="G2229" s="8"/>
      <c r="H2229" s="8"/>
      <c r="I2229" s="55"/>
      <c r="J2229" s="78" t="s">
        <v>6144</v>
      </c>
      <c r="K2229" s="22">
        <v>0.0</v>
      </c>
      <c r="L2229" s="22">
        <f>+SUMIF('حركه المخزن الرئيسي اليوميه'!$F:$F,$H:$H,'حركه المخزن الرئيسي اليوميه'!$H:$H)</f>
        <v>0.0</v>
      </c>
      <c r="M2229" s="22">
        <f>+SUMIF('حركه المخزن الرئيسي اليوميه'!$F:$F,$H:$H,'حركه المخزن الرئيسي اليوميه'!$I:$I)</f>
        <v>0.0</v>
      </c>
      <c r="N2229" s="22">
        <f>+K2229+L2229-M2229</f>
        <v>0.0</v>
      </c>
      <c r="O2229" s="22">
        <f>+N2229</f>
        <v>0.0</v>
      </c>
      <c r="P2229" s="22">
        <f>+N2229-O2229</f>
        <v>0.0</v>
      </c>
      <c r="Q2229" s="57"/>
      <c r="R2229" s="58"/>
    </row>
    <row r="2230" spans="8:8" ht="15.0" customHeight="1">
      <c r="B2230" s="54">
        <v>2374.0</v>
      </c>
      <c r="C2230" s="8"/>
      <c r="D2230" s="8"/>
      <c r="E2230" s="8"/>
      <c r="F2230" s="8"/>
      <c r="G2230" s="8"/>
      <c r="H2230" s="8"/>
      <c r="I2230" s="55"/>
      <c r="J2230" s="78" t="s">
        <v>6145</v>
      </c>
      <c r="K2230" s="22">
        <v>0.0</v>
      </c>
      <c r="L2230" s="22">
        <f>+SUMIF('حركه المخزن الرئيسي اليوميه'!$F:$F,$H:$H,'حركه المخزن الرئيسي اليوميه'!$H:$H)</f>
        <v>0.0</v>
      </c>
      <c r="M2230" s="22">
        <f>+SUMIF('حركه المخزن الرئيسي اليوميه'!$F:$F,$H:$H,'حركه المخزن الرئيسي اليوميه'!$I:$I)</f>
        <v>0.0</v>
      </c>
      <c r="N2230" s="22">
        <f>+K2230+L2230-M2230</f>
        <v>0.0</v>
      </c>
      <c r="O2230" s="22">
        <f>+N2230</f>
        <v>0.0</v>
      </c>
      <c r="P2230" s="22">
        <f>+N2230-O2230</f>
        <v>0.0</v>
      </c>
      <c r="Q2230" s="57"/>
      <c r="R2230" s="58"/>
    </row>
    <row r="2231" spans="8:8" ht="15.0" customHeight="1">
      <c r="B2231" s="54">
        <v>2375.0</v>
      </c>
      <c r="C2231" s="8"/>
      <c r="D2231" s="8"/>
      <c r="E2231" s="8"/>
      <c r="F2231" s="8"/>
      <c r="G2231" s="8"/>
      <c r="H2231" s="8"/>
      <c r="I2231" s="55"/>
      <c r="J2231" s="78" t="s">
        <v>6146</v>
      </c>
      <c r="K2231" s="22">
        <v>0.0</v>
      </c>
      <c r="L2231" s="22">
        <f>+SUMIF('حركه المخزن الرئيسي اليوميه'!$F:$F,$H:$H,'حركه المخزن الرئيسي اليوميه'!$H:$H)</f>
        <v>0.0</v>
      </c>
      <c r="M2231" s="22">
        <f>+SUMIF('حركه المخزن الرئيسي اليوميه'!$F:$F,$H:$H,'حركه المخزن الرئيسي اليوميه'!$I:$I)</f>
        <v>0.0</v>
      </c>
      <c r="N2231" s="22">
        <f>+K2231+L2231-M2231</f>
        <v>0.0</v>
      </c>
      <c r="O2231" s="22">
        <f>+N2231</f>
        <v>0.0</v>
      </c>
      <c r="P2231" s="22">
        <f>+N2231-O2231</f>
        <v>0.0</v>
      </c>
      <c r="Q2231" s="57"/>
      <c r="R2231" s="58"/>
    </row>
    <row r="2232" spans="8:8" ht="15.0" customHeight="1">
      <c r="B2232" s="54">
        <v>2376.0</v>
      </c>
      <c r="C2232" s="8"/>
      <c r="D2232" s="8"/>
      <c r="E2232" s="8"/>
      <c r="F2232" s="8"/>
      <c r="G2232" s="8"/>
      <c r="H2232" s="8"/>
      <c r="I2232" s="55"/>
      <c r="J2232" s="78" t="s">
        <v>6147</v>
      </c>
      <c r="K2232" s="22">
        <v>0.0</v>
      </c>
      <c r="L2232" s="22">
        <f>+SUMIF('حركه المخزن الرئيسي اليوميه'!$F:$F,$H:$H,'حركه المخزن الرئيسي اليوميه'!$H:$H)</f>
        <v>0.0</v>
      </c>
      <c r="M2232" s="22">
        <f>+SUMIF('حركه المخزن الرئيسي اليوميه'!$F:$F,$H:$H,'حركه المخزن الرئيسي اليوميه'!$I:$I)</f>
        <v>0.0</v>
      </c>
      <c r="N2232" s="22">
        <f>+K2232+L2232-M2232</f>
        <v>0.0</v>
      </c>
      <c r="O2232" s="22">
        <f>+N2232</f>
        <v>0.0</v>
      </c>
      <c r="P2232" s="22">
        <f>+N2232-O2232</f>
        <v>0.0</v>
      </c>
      <c r="Q2232" s="57"/>
      <c r="R2232" s="58"/>
    </row>
    <row r="2233" spans="8:8" ht="15.0" customHeight="1">
      <c r="B2233" s="54">
        <v>2377.0</v>
      </c>
      <c r="C2233" s="8"/>
      <c r="D2233" s="8"/>
      <c r="E2233" s="8"/>
      <c r="F2233" s="8"/>
      <c r="G2233" s="8"/>
      <c r="H2233" s="8"/>
      <c r="I2233" s="55"/>
      <c r="J2233" s="78" t="s">
        <v>6148</v>
      </c>
      <c r="K2233" s="22">
        <v>0.0</v>
      </c>
      <c r="L2233" s="22">
        <f>+SUMIF('حركه المخزن الرئيسي اليوميه'!$F:$F,$H:$H,'حركه المخزن الرئيسي اليوميه'!$H:$H)</f>
        <v>0.0</v>
      </c>
      <c r="M2233" s="22">
        <f>+SUMIF('حركه المخزن الرئيسي اليوميه'!$F:$F,$H:$H,'حركه المخزن الرئيسي اليوميه'!$I:$I)</f>
        <v>0.0</v>
      </c>
      <c r="N2233" s="22">
        <f>+K2233+L2233-M2233</f>
        <v>0.0</v>
      </c>
      <c r="O2233" s="22">
        <f>+N2233</f>
        <v>0.0</v>
      </c>
      <c r="P2233" s="22">
        <f>+N2233-O2233</f>
        <v>0.0</v>
      </c>
      <c r="Q2233" s="57"/>
      <c r="R2233" s="58"/>
    </row>
    <row r="2234" spans="8:8" ht="15.0" customHeight="1">
      <c r="B2234" s="54">
        <v>2378.0</v>
      </c>
      <c r="C2234" s="8"/>
      <c r="D2234" s="8"/>
      <c r="E2234" s="8"/>
      <c r="F2234" s="8"/>
      <c r="G2234" s="8"/>
      <c r="H2234" s="8"/>
      <c r="I2234" s="55"/>
      <c r="J2234" s="78" t="s">
        <v>6149</v>
      </c>
      <c r="K2234" s="22">
        <v>0.0</v>
      </c>
      <c r="L2234" s="22">
        <f>+SUMIF('حركه المخزن الرئيسي اليوميه'!$F:$F,$H:$H,'حركه المخزن الرئيسي اليوميه'!$H:$H)</f>
        <v>0.0</v>
      </c>
      <c r="M2234" s="22">
        <f>+SUMIF('حركه المخزن الرئيسي اليوميه'!$F:$F,$H:$H,'حركه المخزن الرئيسي اليوميه'!$I:$I)</f>
        <v>0.0</v>
      </c>
      <c r="N2234" s="22">
        <f>+K2234+L2234-M2234</f>
        <v>0.0</v>
      </c>
      <c r="O2234" s="22">
        <f>+N2234</f>
        <v>0.0</v>
      </c>
      <c r="P2234" s="22">
        <f>+N2234-O2234</f>
        <v>0.0</v>
      </c>
      <c r="Q2234" s="57"/>
      <c r="R2234" s="58"/>
    </row>
    <row r="2235" spans="8:8" ht="15.0" customHeight="1">
      <c r="B2235" s="54">
        <v>2379.0</v>
      </c>
      <c r="C2235" s="8"/>
      <c r="D2235" s="8"/>
      <c r="E2235" s="8"/>
      <c r="F2235" s="8"/>
      <c r="G2235" s="8"/>
      <c r="H2235" s="8"/>
      <c r="I2235" s="55"/>
      <c r="J2235" s="78" t="s">
        <v>6150</v>
      </c>
      <c r="K2235" s="22">
        <v>0.0</v>
      </c>
      <c r="L2235" s="22">
        <f>+SUMIF('حركه المخزن الرئيسي اليوميه'!$F:$F,$H:$H,'حركه المخزن الرئيسي اليوميه'!$H:$H)</f>
        <v>0.0</v>
      </c>
      <c r="M2235" s="22">
        <f>+SUMIF('حركه المخزن الرئيسي اليوميه'!$F:$F,$H:$H,'حركه المخزن الرئيسي اليوميه'!$I:$I)</f>
        <v>0.0</v>
      </c>
      <c r="N2235" s="22">
        <f>+K2235+L2235-M2235</f>
        <v>0.0</v>
      </c>
      <c r="O2235" s="22">
        <f>+N2235</f>
        <v>0.0</v>
      </c>
      <c r="P2235" s="22">
        <f>+N2235-O2235</f>
        <v>0.0</v>
      </c>
      <c r="Q2235" s="57"/>
      <c r="R2235" s="58"/>
    </row>
    <row r="2236" spans="8:8" ht="15.0" customHeight="1">
      <c r="B2236" s="54">
        <v>2380.0</v>
      </c>
      <c r="C2236" s="8"/>
      <c r="D2236" s="8"/>
      <c r="E2236" s="8"/>
      <c r="F2236" s="8"/>
      <c r="G2236" s="8"/>
      <c r="H2236" s="8"/>
      <c r="I2236" s="55"/>
      <c r="J2236" s="78" t="s">
        <v>6151</v>
      </c>
      <c r="K2236" s="22">
        <v>0.0</v>
      </c>
      <c r="L2236" s="22">
        <f>+SUMIF('حركه المخزن الرئيسي اليوميه'!$F:$F,$H:$H,'حركه المخزن الرئيسي اليوميه'!$H:$H)</f>
        <v>0.0</v>
      </c>
      <c r="M2236" s="22">
        <f>+SUMIF('حركه المخزن الرئيسي اليوميه'!$F:$F,$H:$H,'حركه المخزن الرئيسي اليوميه'!$I:$I)</f>
        <v>0.0</v>
      </c>
      <c r="N2236" s="22">
        <f>+K2236+L2236-M2236</f>
        <v>0.0</v>
      </c>
      <c r="O2236" s="22">
        <f>+N2236</f>
        <v>0.0</v>
      </c>
      <c r="P2236" s="22">
        <f>+N2236-O2236</f>
        <v>0.0</v>
      </c>
      <c r="Q2236" s="57"/>
      <c r="R2236" s="58"/>
    </row>
    <row r="2237" spans="8:8" ht="15.0" customHeight="1">
      <c r="B2237" s="54">
        <v>2381.0</v>
      </c>
      <c r="C2237" s="8"/>
      <c r="D2237" s="8"/>
      <c r="E2237" s="8"/>
      <c r="F2237" s="8"/>
      <c r="G2237" s="8"/>
      <c r="H2237" s="8"/>
      <c r="I2237" s="55"/>
      <c r="J2237" s="78" t="s">
        <v>6152</v>
      </c>
      <c r="K2237" s="22">
        <v>0.0</v>
      </c>
      <c r="L2237" s="22">
        <f>+SUMIF('حركه المخزن الرئيسي اليوميه'!$F:$F,$H:$H,'حركه المخزن الرئيسي اليوميه'!$H:$H)</f>
        <v>0.0</v>
      </c>
      <c r="M2237" s="22">
        <f>+SUMIF('حركه المخزن الرئيسي اليوميه'!$F:$F,$H:$H,'حركه المخزن الرئيسي اليوميه'!$I:$I)</f>
        <v>0.0</v>
      </c>
      <c r="N2237" s="22">
        <f>+K2237+L2237-M2237</f>
        <v>0.0</v>
      </c>
      <c r="O2237" s="22">
        <f>+N2237</f>
        <v>0.0</v>
      </c>
      <c r="P2237" s="22">
        <f>+N2237-O2237</f>
        <v>0.0</v>
      </c>
      <c r="Q2237" s="57"/>
      <c r="R2237" s="58"/>
    </row>
    <row r="2238" spans="8:8" ht="15.0" customHeight="1">
      <c r="B2238" s="54">
        <v>2382.0</v>
      </c>
      <c r="C2238" s="8"/>
      <c r="D2238" s="8"/>
      <c r="E2238" s="8"/>
      <c r="F2238" s="8"/>
      <c r="G2238" s="8"/>
      <c r="H2238" s="8"/>
      <c r="I2238" s="55"/>
      <c r="J2238" s="78" t="s">
        <v>6153</v>
      </c>
      <c r="K2238" s="22">
        <v>0.0</v>
      </c>
      <c r="L2238" s="22">
        <f>+SUMIF('حركه المخزن الرئيسي اليوميه'!$F:$F,$H:$H,'حركه المخزن الرئيسي اليوميه'!$H:$H)</f>
        <v>0.0</v>
      </c>
      <c r="M2238" s="22">
        <f>+SUMIF('حركه المخزن الرئيسي اليوميه'!$F:$F,$H:$H,'حركه المخزن الرئيسي اليوميه'!$I:$I)</f>
        <v>0.0</v>
      </c>
      <c r="N2238" s="22">
        <f>+K2238+L2238-M2238</f>
        <v>0.0</v>
      </c>
      <c r="O2238" s="22">
        <f>+N2238</f>
        <v>0.0</v>
      </c>
      <c r="P2238" s="22">
        <f>+N2238-O2238</f>
        <v>0.0</v>
      </c>
      <c r="Q2238" s="57"/>
      <c r="R2238" s="58"/>
    </row>
    <row r="2239" spans="8:8" ht="15.0" customHeight="1">
      <c r="B2239" s="54">
        <v>2383.0</v>
      </c>
      <c r="C2239" s="8"/>
      <c r="D2239" s="8"/>
      <c r="E2239" s="8"/>
      <c r="F2239" s="8"/>
      <c r="G2239" s="8"/>
      <c r="H2239" s="8"/>
      <c r="I2239" s="55"/>
      <c r="J2239" s="78" t="s">
        <v>6154</v>
      </c>
      <c r="K2239" s="22">
        <v>0.0</v>
      </c>
      <c r="L2239" s="22">
        <f>+SUMIF('حركه المخزن الرئيسي اليوميه'!$F:$F,$H:$H,'حركه المخزن الرئيسي اليوميه'!$H:$H)</f>
        <v>0.0</v>
      </c>
      <c r="M2239" s="22">
        <f>+SUMIF('حركه المخزن الرئيسي اليوميه'!$F:$F,$H:$H,'حركه المخزن الرئيسي اليوميه'!$I:$I)</f>
        <v>0.0</v>
      </c>
      <c r="N2239" s="22">
        <f>+K2239+L2239-M2239</f>
        <v>0.0</v>
      </c>
      <c r="O2239" s="22">
        <f>+N2239</f>
        <v>0.0</v>
      </c>
      <c r="P2239" s="22">
        <f>+N2239-O2239</f>
        <v>0.0</v>
      </c>
      <c r="Q2239" s="57"/>
      <c r="R2239" s="58"/>
    </row>
    <row r="2240" spans="8:8" ht="15.0" customHeight="1">
      <c r="B2240" s="54">
        <v>2384.0</v>
      </c>
      <c r="C2240" s="8"/>
      <c r="D2240" s="8"/>
      <c r="E2240" s="8"/>
      <c r="F2240" s="8"/>
      <c r="G2240" s="8"/>
      <c r="H2240" s="8"/>
      <c r="I2240" s="55"/>
      <c r="J2240" s="78" t="s">
        <v>6155</v>
      </c>
      <c r="K2240" s="22">
        <v>0.0</v>
      </c>
      <c r="L2240" s="22">
        <f>+SUMIF('حركه المخزن الرئيسي اليوميه'!$F:$F,$H:$H,'حركه المخزن الرئيسي اليوميه'!$H:$H)</f>
        <v>0.0</v>
      </c>
      <c r="M2240" s="22">
        <f>+SUMIF('حركه المخزن الرئيسي اليوميه'!$F:$F,$H:$H,'حركه المخزن الرئيسي اليوميه'!$I:$I)</f>
        <v>0.0</v>
      </c>
      <c r="N2240" s="22">
        <f>+K2240+L2240-M2240</f>
        <v>0.0</v>
      </c>
      <c r="O2240" s="22">
        <f>+N2240</f>
        <v>0.0</v>
      </c>
      <c r="P2240" s="22">
        <f>+N2240-O2240</f>
        <v>0.0</v>
      </c>
      <c r="Q2240" s="57"/>
      <c r="R2240" s="58"/>
    </row>
    <row r="2241" spans="8:8" ht="15.0" customHeight="1">
      <c r="B2241" s="54">
        <v>2385.0</v>
      </c>
      <c r="C2241" s="8"/>
      <c r="D2241" s="8"/>
      <c r="E2241" s="8"/>
      <c r="F2241" s="8"/>
      <c r="G2241" s="8"/>
      <c r="H2241" s="8"/>
      <c r="I2241" s="55"/>
      <c r="J2241" s="78" t="s">
        <v>6156</v>
      </c>
      <c r="K2241" s="22">
        <v>0.0</v>
      </c>
      <c r="L2241" s="22">
        <f>+SUMIF('حركه المخزن الرئيسي اليوميه'!$F:$F,$H:$H,'حركه المخزن الرئيسي اليوميه'!$H:$H)</f>
        <v>0.0</v>
      </c>
      <c r="M2241" s="22">
        <f>+SUMIF('حركه المخزن الرئيسي اليوميه'!$F:$F,$H:$H,'حركه المخزن الرئيسي اليوميه'!$I:$I)</f>
        <v>0.0</v>
      </c>
      <c r="N2241" s="22">
        <f>+K2241+L2241-M2241</f>
        <v>0.0</v>
      </c>
      <c r="O2241" s="22">
        <f>+N2241</f>
        <v>0.0</v>
      </c>
      <c r="P2241" s="22">
        <f>+N2241-O2241</f>
        <v>0.0</v>
      </c>
      <c r="Q2241" s="57"/>
      <c r="R2241" s="58"/>
    </row>
    <row r="2242" spans="8:8" ht="15.0" customHeight="1">
      <c r="B2242" s="54">
        <v>2386.0</v>
      </c>
      <c r="C2242" s="8"/>
      <c r="D2242" s="8"/>
      <c r="E2242" s="8"/>
      <c r="F2242" s="8"/>
      <c r="G2242" s="8"/>
      <c r="H2242" s="8"/>
      <c r="I2242" s="55"/>
      <c r="J2242" s="78" t="s">
        <v>6157</v>
      </c>
      <c r="K2242" s="22">
        <v>0.0</v>
      </c>
      <c r="L2242" s="22">
        <f>+SUMIF('حركه المخزن الرئيسي اليوميه'!$F:$F,$H:$H,'حركه المخزن الرئيسي اليوميه'!$H:$H)</f>
        <v>0.0</v>
      </c>
      <c r="M2242" s="22">
        <f>+SUMIF('حركه المخزن الرئيسي اليوميه'!$F:$F,$H:$H,'حركه المخزن الرئيسي اليوميه'!$I:$I)</f>
        <v>0.0</v>
      </c>
      <c r="N2242" s="22">
        <f>+K2242+L2242-M2242</f>
        <v>0.0</v>
      </c>
      <c r="O2242" s="22">
        <f>+N2242</f>
        <v>0.0</v>
      </c>
      <c r="P2242" s="22">
        <f>+N2242-O2242</f>
        <v>0.0</v>
      </c>
      <c r="Q2242" s="57"/>
      <c r="R2242" s="58"/>
    </row>
    <row r="2243" spans="8:8" ht="15.0" customHeight="1">
      <c r="B2243" s="54">
        <v>2387.0</v>
      </c>
      <c r="C2243" s="8"/>
      <c r="D2243" s="8"/>
      <c r="E2243" s="8"/>
      <c r="F2243" s="8"/>
      <c r="G2243" s="8"/>
      <c r="H2243" s="8"/>
      <c r="I2243" s="55"/>
      <c r="J2243" s="78" t="s">
        <v>6158</v>
      </c>
      <c r="K2243" s="22">
        <v>0.0</v>
      </c>
      <c r="L2243" s="22">
        <f>+SUMIF('حركه المخزن الرئيسي اليوميه'!$F:$F,$H:$H,'حركه المخزن الرئيسي اليوميه'!$H:$H)</f>
        <v>0.0</v>
      </c>
      <c r="M2243" s="22">
        <f>+SUMIF('حركه المخزن الرئيسي اليوميه'!$F:$F,$H:$H,'حركه المخزن الرئيسي اليوميه'!$I:$I)</f>
        <v>0.0</v>
      </c>
      <c r="N2243" s="22">
        <f>+K2243+L2243-M2243</f>
        <v>0.0</v>
      </c>
      <c r="O2243" s="22">
        <f>+N2243</f>
        <v>0.0</v>
      </c>
      <c r="P2243" s="22">
        <f>+N2243-O2243</f>
        <v>0.0</v>
      </c>
      <c r="Q2243" s="57"/>
      <c r="R2243" s="58"/>
    </row>
    <row r="2244" spans="8:8" ht="15.0" customHeight="1">
      <c r="B2244" s="54">
        <v>2388.0</v>
      </c>
      <c r="C2244" s="8"/>
      <c r="D2244" s="8"/>
      <c r="E2244" s="8"/>
      <c r="F2244" s="8"/>
      <c r="G2244" s="8"/>
      <c r="H2244" s="8"/>
      <c r="I2244" s="55"/>
      <c r="J2244" s="78" t="s">
        <v>6159</v>
      </c>
      <c r="K2244" s="22">
        <v>0.0</v>
      </c>
      <c r="L2244" s="22">
        <f>+SUMIF('حركه المخزن الرئيسي اليوميه'!$F:$F,$H:$H,'حركه المخزن الرئيسي اليوميه'!$H:$H)</f>
        <v>0.0</v>
      </c>
      <c r="M2244" s="22">
        <f>+SUMIF('حركه المخزن الرئيسي اليوميه'!$F:$F,$H:$H,'حركه المخزن الرئيسي اليوميه'!$I:$I)</f>
        <v>0.0</v>
      </c>
      <c r="N2244" s="22">
        <f>+K2244+L2244-M2244</f>
        <v>0.0</v>
      </c>
      <c r="O2244" s="22">
        <f>+N2244</f>
        <v>0.0</v>
      </c>
      <c r="P2244" s="22">
        <f>+N2244-O2244</f>
        <v>0.0</v>
      </c>
      <c r="Q2244" s="57"/>
      <c r="R2244" s="58"/>
    </row>
    <row r="2245" spans="8:8" ht="15.0" customHeight="1">
      <c r="B2245" s="54">
        <v>2389.0</v>
      </c>
      <c r="C2245" s="8"/>
      <c r="D2245" s="8"/>
      <c r="E2245" s="8"/>
      <c r="F2245" s="8"/>
      <c r="G2245" s="8"/>
      <c r="H2245" s="8"/>
      <c r="I2245" s="55"/>
      <c r="J2245" s="78" t="s">
        <v>6160</v>
      </c>
      <c r="K2245" s="22">
        <v>0.0</v>
      </c>
      <c r="L2245" s="22">
        <f>+SUMIF('حركه المخزن الرئيسي اليوميه'!$F:$F,$H:$H,'حركه المخزن الرئيسي اليوميه'!$H:$H)</f>
        <v>0.0</v>
      </c>
      <c r="M2245" s="22">
        <f>+SUMIF('حركه المخزن الرئيسي اليوميه'!$F:$F,$H:$H,'حركه المخزن الرئيسي اليوميه'!$I:$I)</f>
        <v>0.0</v>
      </c>
      <c r="N2245" s="22">
        <f>+K2245+L2245-M2245</f>
        <v>0.0</v>
      </c>
      <c r="O2245" s="22">
        <f>+N2245</f>
        <v>0.0</v>
      </c>
      <c r="P2245" s="22">
        <f>+N2245-O2245</f>
        <v>0.0</v>
      </c>
      <c r="Q2245" s="57"/>
      <c r="R2245" s="58"/>
    </row>
    <row r="2246" spans="8:8" ht="15.0" customHeight="1">
      <c r="B2246" s="54">
        <v>2390.0</v>
      </c>
      <c r="C2246" s="8"/>
      <c r="D2246" s="8"/>
      <c r="E2246" s="8"/>
      <c r="F2246" s="8"/>
      <c r="G2246" s="8"/>
      <c r="H2246" s="8"/>
      <c r="I2246" s="55"/>
      <c r="J2246" s="78" t="s">
        <v>6161</v>
      </c>
      <c r="K2246" s="22">
        <v>0.0</v>
      </c>
      <c r="L2246" s="22">
        <f>+SUMIF('حركه المخزن الرئيسي اليوميه'!$F:$F,$H:$H,'حركه المخزن الرئيسي اليوميه'!$H:$H)</f>
        <v>0.0</v>
      </c>
      <c r="M2246" s="22">
        <f>+SUMIF('حركه المخزن الرئيسي اليوميه'!$F:$F,$H:$H,'حركه المخزن الرئيسي اليوميه'!$I:$I)</f>
        <v>0.0</v>
      </c>
      <c r="N2246" s="22">
        <f>+K2246+L2246-M2246</f>
        <v>0.0</v>
      </c>
      <c r="O2246" s="22">
        <f>+N2246</f>
        <v>0.0</v>
      </c>
      <c r="P2246" s="22">
        <f>+N2246-O2246</f>
        <v>0.0</v>
      </c>
      <c r="Q2246" s="57"/>
      <c r="R2246" s="58"/>
    </row>
    <row r="2247" spans="8:8" ht="15.0" customHeight="1">
      <c r="B2247" s="54">
        <v>2391.0</v>
      </c>
      <c r="C2247" s="8"/>
      <c r="D2247" s="8"/>
      <c r="E2247" s="8"/>
      <c r="F2247" s="8"/>
      <c r="G2247" s="8"/>
      <c r="H2247" s="8"/>
      <c r="I2247" s="55"/>
      <c r="J2247" s="78" t="s">
        <v>6162</v>
      </c>
      <c r="K2247" s="22">
        <v>0.0</v>
      </c>
      <c r="L2247" s="22">
        <f>+SUMIF('حركه المخزن الرئيسي اليوميه'!$F:$F,$H:$H,'حركه المخزن الرئيسي اليوميه'!$H:$H)</f>
        <v>0.0</v>
      </c>
      <c r="M2247" s="22">
        <f>+SUMIF('حركه المخزن الرئيسي اليوميه'!$F:$F,$H:$H,'حركه المخزن الرئيسي اليوميه'!$I:$I)</f>
        <v>0.0</v>
      </c>
      <c r="N2247" s="22">
        <f>+K2247+L2247-M2247</f>
        <v>0.0</v>
      </c>
      <c r="O2247" s="22">
        <f>+N2247</f>
        <v>0.0</v>
      </c>
      <c r="P2247" s="22">
        <f>+N2247-O2247</f>
        <v>0.0</v>
      </c>
      <c r="Q2247" s="57"/>
      <c r="R2247" s="58"/>
    </row>
    <row r="2248" spans="8:8" ht="15.0" customHeight="1">
      <c r="B2248" s="54">
        <v>2392.0</v>
      </c>
      <c r="C2248" s="8"/>
      <c r="D2248" s="8"/>
      <c r="E2248" s="8"/>
      <c r="F2248" s="8"/>
      <c r="G2248" s="8"/>
      <c r="H2248" s="8"/>
      <c r="I2248" s="55"/>
      <c r="J2248" s="78" t="s">
        <v>6163</v>
      </c>
      <c r="K2248" s="22">
        <v>0.0</v>
      </c>
      <c r="L2248" s="22">
        <f>+SUMIF('حركه المخزن الرئيسي اليوميه'!$F:$F,$H:$H,'حركه المخزن الرئيسي اليوميه'!$H:$H)</f>
        <v>0.0</v>
      </c>
      <c r="M2248" s="22">
        <f>+SUMIF('حركه المخزن الرئيسي اليوميه'!$F:$F,$H:$H,'حركه المخزن الرئيسي اليوميه'!$I:$I)</f>
        <v>0.0</v>
      </c>
      <c r="N2248" s="22">
        <f>+K2248+L2248-M2248</f>
        <v>0.0</v>
      </c>
      <c r="O2248" s="22">
        <f>+N2248</f>
        <v>0.0</v>
      </c>
      <c r="P2248" s="22">
        <f>+N2248-O2248</f>
        <v>0.0</v>
      </c>
      <c r="Q2248" s="57"/>
      <c r="R2248" s="58"/>
    </row>
    <row r="2249" spans="8:8" ht="15.0" customHeight="1">
      <c r="B2249" s="54">
        <v>2393.0</v>
      </c>
      <c r="C2249" s="8"/>
      <c r="D2249" s="8"/>
      <c r="E2249" s="8"/>
      <c r="F2249" s="8"/>
      <c r="G2249" s="8"/>
      <c r="H2249" s="8"/>
      <c r="I2249" s="55"/>
      <c r="J2249" s="78" t="s">
        <v>6164</v>
      </c>
      <c r="K2249" s="22">
        <v>0.0</v>
      </c>
      <c r="L2249" s="22">
        <f>+SUMIF('حركه المخزن الرئيسي اليوميه'!$F:$F,$H:$H,'حركه المخزن الرئيسي اليوميه'!$H:$H)</f>
        <v>0.0</v>
      </c>
      <c r="M2249" s="22">
        <f>+SUMIF('حركه المخزن الرئيسي اليوميه'!$F:$F,$H:$H,'حركه المخزن الرئيسي اليوميه'!$I:$I)</f>
        <v>0.0</v>
      </c>
      <c r="N2249" s="22">
        <f>+K2249+L2249-M2249</f>
        <v>0.0</v>
      </c>
      <c r="O2249" s="22">
        <f>+N2249</f>
        <v>0.0</v>
      </c>
      <c r="P2249" s="22">
        <f>+N2249-O2249</f>
        <v>0.0</v>
      </c>
      <c r="Q2249" s="57"/>
      <c r="R2249" s="58"/>
    </row>
    <row r="2250" spans="8:8" ht="15.0" customHeight="1">
      <c r="B2250" s="54">
        <v>2394.0</v>
      </c>
      <c r="C2250" s="8"/>
      <c r="D2250" s="8"/>
      <c r="E2250" s="8"/>
      <c r="F2250" s="8"/>
      <c r="G2250" s="8"/>
      <c r="H2250" s="8"/>
      <c r="I2250" s="55"/>
      <c r="J2250" s="78" t="s">
        <v>6165</v>
      </c>
      <c r="K2250" s="22">
        <v>0.0</v>
      </c>
      <c r="L2250" s="22">
        <f>+SUMIF('حركه المخزن الرئيسي اليوميه'!$F:$F,$H:$H,'حركه المخزن الرئيسي اليوميه'!$H:$H)</f>
        <v>0.0</v>
      </c>
      <c r="M2250" s="22">
        <f>+SUMIF('حركه المخزن الرئيسي اليوميه'!$F:$F,$H:$H,'حركه المخزن الرئيسي اليوميه'!$I:$I)</f>
        <v>0.0</v>
      </c>
      <c r="N2250" s="22">
        <f>+K2250+L2250-M2250</f>
        <v>0.0</v>
      </c>
      <c r="O2250" s="22">
        <f>+N2250</f>
        <v>0.0</v>
      </c>
      <c r="P2250" s="22">
        <f>+N2250-O2250</f>
        <v>0.0</v>
      </c>
      <c r="Q2250" s="57"/>
      <c r="R2250" s="58"/>
    </row>
    <row r="2251" spans="8:8" ht="15.0" customHeight="1">
      <c r="B2251" s="54">
        <v>2395.0</v>
      </c>
      <c r="C2251" s="8"/>
      <c r="D2251" s="8"/>
      <c r="E2251" s="8"/>
      <c r="F2251" s="8"/>
      <c r="G2251" s="8"/>
      <c r="H2251" s="8"/>
      <c r="I2251" s="55"/>
      <c r="J2251" s="78" t="s">
        <v>6166</v>
      </c>
      <c r="K2251" s="22">
        <v>0.0</v>
      </c>
      <c r="L2251" s="22">
        <f>+SUMIF('حركه المخزن الرئيسي اليوميه'!$F:$F,$H:$H,'حركه المخزن الرئيسي اليوميه'!$H:$H)</f>
        <v>0.0</v>
      </c>
      <c r="M2251" s="22">
        <f>+SUMIF('حركه المخزن الرئيسي اليوميه'!$F:$F,$H:$H,'حركه المخزن الرئيسي اليوميه'!$I:$I)</f>
        <v>0.0</v>
      </c>
      <c r="N2251" s="22">
        <f>+K2251+L2251-M2251</f>
        <v>0.0</v>
      </c>
      <c r="O2251" s="22">
        <f>+N2251</f>
        <v>0.0</v>
      </c>
      <c r="P2251" s="22">
        <f>+N2251-O2251</f>
        <v>0.0</v>
      </c>
      <c r="Q2251" s="57"/>
      <c r="R2251" s="58"/>
    </row>
    <row r="2252" spans="8:8" ht="15.0" customHeight="1">
      <c r="B2252" s="54">
        <v>2396.0</v>
      </c>
      <c r="C2252" s="8"/>
      <c r="D2252" s="8"/>
      <c r="E2252" s="8"/>
      <c r="F2252" s="8"/>
      <c r="G2252" s="8"/>
      <c r="H2252" s="8"/>
      <c r="I2252" s="55"/>
      <c r="J2252" s="78" t="s">
        <v>6167</v>
      </c>
      <c r="K2252" s="22">
        <v>0.0</v>
      </c>
      <c r="L2252" s="22">
        <f>+SUMIF('حركه المخزن الرئيسي اليوميه'!$F:$F,$H:$H,'حركه المخزن الرئيسي اليوميه'!$H:$H)</f>
        <v>0.0</v>
      </c>
      <c r="M2252" s="22">
        <f>+SUMIF('حركه المخزن الرئيسي اليوميه'!$F:$F,$H:$H,'حركه المخزن الرئيسي اليوميه'!$I:$I)</f>
        <v>0.0</v>
      </c>
      <c r="N2252" s="22">
        <f>+K2252+L2252-M2252</f>
        <v>0.0</v>
      </c>
      <c r="O2252" s="22">
        <f>+N2252</f>
        <v>0.0</v>
      </c>
      <c r="P2252" s="22">
        <f>+N2252-O2252</f>
        <v>0.0</v>
      </c>
      <c r="Q2252" s="57"/>
      <c r="R2252" s="58"/>
    </row>
    <row r="2253" spans="8:8" ht="15.0" customHeight="1">
      <c r="B2253" s="54">
        <v>2397.0</v>
      </c>
      <c r="C2253" s="8"/>
      <c r="D2253" s="8"/>
      <c r="E2253" s="8"/>
      <c r="F2253" s="8"/>
      <c r="G2253" s="8"/>
      <c r="H2253" s="8"/>
      <c r="I2253" s="55"/>
      <c r="J2253" s="78" t="s">
        <v>6168</v>
      </c>
      <c r="K2253" s="22">
        <v>0.0</v>
      </c>
      <c r="L2253" s="22">
        <f>+SUMIF('حركه المخزن الرئيسي اليوميه'!$F:$F,$H:$H,'حركه المخزن الرئيسي اليوميه'!$H:$H)</f>
        <v>0.0</v>
      </c>
      <c r="M2253" s="22">
        <f>+SUMIF('حركه المخزن الرئيسي اليوميه'!$F:$F,$H:$H,'حركه المخزن الرئيسي اليوميه'!$I:$I)</f>
        <v>0.0</v>
      </c>
      <c r="N2253" s="22">
        <f>+K2253+L2253-M2253</f>
        <v>0.0</v>
      </c>
      <c r="O2253" s="22">
        <f>+N2253</f>
        <v>0.0</v>
      </c>
      <c r="P2253" s="22">
        <f>+N2253-O2253</f>
        <v>0.0</v>
      </c>
      <c r="Q2253" s="57"/>
      <c r="R2253" s="58"/>
    </row>
    <row r="2254" spans="8:8" ht="15.0" customHeight="1">
      <c r="B2254" s="54">
        <v>2398.0</v>
      </c>
      <c r="C2254" s="8"/>
      <c r="D2254" s="8"/>
      <c r="E2254" s="8"/>
      <c r="F2254" s="8"/>
      <c r="G2254" s="8"/>
      <c r="H2254" s="8"/>
      <c r="I2254" s="55"/>
      <c r="J2254" s="78" t="s">
        <v>6169</v>
      </c>
      <c r="K2254" s="22">
        <v>0.0</v>
      </c>
      <c r="L2254" s="22">
        <f>+SUMIF('حركه المخزن الرئيسي اليوميه'!$F:$F,$H:$H,'حركه المخزن الرئيسي اليوميه'!$H:$H)</f>
        <v>0.0</v>
      </c>
      <c r="M2254" s="22">
        <f>+SUMIF('حركه المخزن الرئيسي اليوميه'!$F:$F,$H:$H,'حركه المخزن الرئيسي اليوميه'!$I:$I)</f>
        <v>0.0</v>
      </c>
      <c r="N2254" s="22">
        <f>+K2254+L2254-M2254</f>
        <v>0.0</v>
      </c>
      <c r="O2254" s="22">
        <f>+N2254</f>
        <v>0.0</v>
      </c>
      <c r="P2254" s="22">
        <f>+N2254-O2254</f>
        <v>0.0</v>
      </c>
      <c r="Q2254" s="57"/>
      <c r="R2254" s="58"/>
    </row>
    <row r="2255" spans="8:8" ht="15.0" customHeight="1">
      <c r="B2255" s="54">
        <v>2399.0</v>
      </c>
      <c r="C2255" s="8"/>
      <c r="D2255" s="8"/>
      <c r="E2255" s="8"/>
      <c r="F2255" s="8"/>
      <c r="G2255" s="8"/>
      <c r="H2255" s="8"/>
      <c r="I2255" s="55"/>
      <c r="J2255" s="78" t="s">
        <v>6170</v>
      </c>
      <c r="K2255" s="22">
        <v>0.0</v>
      </c>
      <c r="L2255" s="22">
        <f>+SUMIF('حركه المخزن الرئيسي اليوميه'!$F:$F,$H:$H,'حركه المخزن الرئيسي اليوميه'!$H:$H)</f>
        <v>0.0</v>
      </c>
      <c r="M2255" s="22">
        <f>+SUMIF('حركه المخزن الرئيسي اليوميه'!$F:$F,$H:$H,'حركه المخزن الرئيسي اليوميه'!$I:$I)</f>
        <v>0.0</v>
      </c>
      <c r="N2255" s="22">
        <f>+K2255+L2255-M2255</f>
        <v>0.0</v>
      </c>
      <c r="O2255" s="22">
        <f>+N2255</f>
        <v>0.0</v>
      </c>
      <c r="P2255" s="22">
        <f>+N2255-O2255</f>
        <v>0.0</v>
      </c>
      <c r="Q2255" s="57"/>
      <c r="R2255" s="58"/>
    </row>
    <row r="2256" spans="8:8" ht="15.0" customHeight="1">
      <c r="B2256" s="54">
        <v>2400.0</v>
      </c>
      <c r="C2256" s="8"/>
      <c r="D2256" s="8"/>
      <c r="E2256" s="8"/>
      <c r="F2256" s="8"/>
      <c r="G2256" s="8"/>
      <c r="H2256" s="8"/>
      <c r="I2256" s="55"/>
      <c r="J2256" s="78" t="s">
        <v>6171</v>
      </c>
      <c r="K2256" s="22">
        <v>0.0</v>
      </c>
      <c r="L2256" s="22">
        <f>+SUMIF('حركه المخزن الرئيسي اليوميه'!$F:$F,$H:$H,'حركه المخزن الرئيسي اليوميه'!$H:$H)</f>
        <v>0.0</v>
      </c>
      <c r="M2256" s="22">
        <f>+SUMIF('حركه المخزن الرئيسي اليوميه'!$F:$F,$H:$H,'حركه المخزن الرئيسي اليوميه'!$I:$I)</f>
        <v>0.0</v>
      </c>
      <c r="N2256" s="22">
        <f>+K2256+L2256-M2256</f>
        <v>0.0</v>
      </c>
      <c r="O2256" s="22">
        <f>+N2256</f>
        <v>0.0</v>
      </c>
      <c r="P2256" s="22">
        <f>+N2256-O2256</f>
        <v>0.0</v>
      </c>
      <c r="Q2256" s="57"/>
      <c r="R2256" s="58"/>
    </row>
    <row r="2257" spans="8:8" ht="15.0" customHeight="1">
      <c r="B2257" s="54">
        <v>2401.0</v>
      </c>
      <c r="C2257" s="8"/>
      <c r="D2257" s="8"/>
      <c r="E2257" s="8"/>
      <c r="F2257" s="8"/>
      <c r="G2257" s="8"/>
      <c r="H2257" s="8"/>
      <c r="I2257" s="55"/>
      <c r="J2257" s="78" t="s">
        <v>6172</v>
      </c>
      <c r="K2257" s="22">
        <v>0.0</v>
      </c>
      <c r="L2257" s="22">
        <f>+SUMIF('حركه المخزن الرئيسي اليوميه'!$F:$F,$H:$H,'حركه المخزن الرئيسي اليوميه'!$H:$H)</f>
        <v>0.0</v>
      </c>
      <c r="M2257" s="22">
        <f>+SUMIF('حركه المخزن الرئيسي اليوميه'!$F:$F,$H:$H,'حركه المخزن الرئيسي اليوميه'!$I:$I)</f>
        <v>0.0</v>
      </c>
      <c r="N2257" s="22">
        <f>+K2257+L2257-M2257</f>
        <v>0.0</v>
      </c>
      <c r="O2257" s="22">
        <f>+N2257</f>
        <v>0.0</v>
      </c>
      <c r="P2257" s="22">
        <f>+N2257-O2257</f>
        <v>0.0</v>
      </c>
      <c r="Q2257" s="57"/>
      <c r="R2257" s="58"/>
    </row>
    <row r="2258" spans="8:8" ht="15.0" customHeight="1">
      <c r="B2258" s="54">
        <v>2402.0</v>
      </c>
      <c r="C2258" s="8"/>
      <c r="D2258" s="8"/>
      <c r="E2258" s="8"/>
      <c r="F2258" s="8"/>
      <c r="G2258" s="8"/>
      <c r="H2258" s="8"/>
      <c r="I2258" s="55"/>
      <c r="J2258" s="78" t="s">
        <v>6173</v>
      </c>
      <c r="K2258" s="22">
        <v>0.0</v>
      </c>
      <c r="L2258" s="22">
        <f>+SUMIF('حركه المخزن الرئيسي اليوميه'!$F:$F,$H:$H,'حركه المخزن الرئيسي اليوميه'!$H:$H)</f>
        <v>0.0</v>
      </c>
      <c r="M2258" s="22">
        <f>+SUMIF('حركه المخزن الرئيسي اليوميه'!$F:$F,$H:$H,'حركه المخزن الرئيسي اليوميه'!$I:$I)</f>
        <v>0.0</v>
      </c>
      <c r="N2258" s="22">
        <f>+K2258+L2258-M2258</f>
        <v>0.0</v>
      </c>
      <c r="O2258" s="22">
        <f>+N2258</f>
        <v>0.0</v>
      </c>
      <c r="P2258" s="22">
        <f>+N2258-O2258</f>
        <v>0.0</v>
      </c>
      <c r="Q2258" s="57"/>
      <c r="R2258" s="58"/>
    </row>
    <row r="2259" spans="8:8" ht="15.0" customHeight="1">
      <c r="B2259" s="54">
        <v>2403.0</v>
      </c>
      <c r="C2259" s="8"/>
      <c r="D2259" s="8"/>
      <c r="E2259" s="8"/>
      <c r="F2259" s="8"/>
      <c r="G2259" s="8"/>
      <c r="H2259" s="8"/>
      <c r="I2259" s="55"/>
      <c r="J2259" s="78" t="s">
        <v>6174</v>
      </c>
      <c r="K2259" s="22">
        <v>0.0</v>
      </c>
      <c r="L2259" s="22">
        <f>+SUMIF('حركه المخزن الرئيسي اليوميه'!$F:$F,$H:$H,'حركه المخزن الرئيسي اليوميه'!$H:$H)</f>
        <v>0.0</v>
      </c>
      <c r="M2259" s="22">
        <f>+SUMIF('حركه المخزن الرئيسي اليوميه'!$F:$F,$H:$H,'حركه المخزن الرئيسي اليوميه'!$I:$I)</f>
        <v>0.0</v>
      </c>
      <c r="N2259" s="22">
        <f>+K2259+L2259-M2259</f>
        <v>0.0</v>
      </c>
      <c r="O2259" s="22">
        <f>+N2259</f>
        <v>0.0</v>
      </c>
      <c r="P2259" s="22">
        <f>+N2259-O2259</f>
        <v>0.0</v>
      </c>
      <c r="Q2259" s="57"/>
      <c r="R2259" s="58"/>
    </row>
    <row r="2260" spans="8:8" ht="15.0" customHeight="1">
      <c r="B2260" s="54">
        <v>2404.0</v>
      </c>
      <c r="C2260" s="8"/>
      <c r="D2260" s="8"/>
      <c r="E2260" s="8"/>
      <c r="F2260" s="8"/>
      <c r="G2260" s="8"/>
      <c r="H2260" s="8"/>
      <c r="I2260" s="55"/>
      <c r="J2260" s="78" t="s">
        <v>6175</v>
      </c>
      <c r="K2260" s="22">
        <v>0.0</v>
      </c>
      <c r="L2260" s="22">
        <f>+SUMIF('حركه المخزن الرئيسي اليوميه'!$F:$F,$H:$H,'حركه المخزن الرئيسي اليوميه'!$H:$H)</f>
        <v>0.0</v>
      </c>
      <c r="M2260" s="22">
        <f>+SUMIF('حركه المخزن الرئيسي اليوميه'!$F:$F,$H:$H,'حركه المخزن الرئيسي اليوميه'!$I:$I)</f>
        <v>0.0</v>
      </c>
      <c r="N2260" s="22">
        <f>+K2260+L2260-M2260</f>
        <v>0.0</v>
      </c>
      <c r="O2260" s="22">
        <f>+N2260</f>
        <v>0.0</v>
      </c>
      <c r="P2260" s="22">
        <f>+N2260-O2260</f>
        <v>0.0</v>
      </c>
      <c r="Q2260" s="57"/>
      <c r="R2260" s="58"/>
    </row>
    <row r="2261" spans="8:8" ht="15.0" customHeight="1">
      <c r="B2261" s="54">
        <v>2405.0</v>
      </c>
      <c r="C2261" s="8"/>
      <c r="D2261" s="8"/>
      <c r="E2261" s="8"/>
      <c r="F2261" s="8"/>
      <c r="G2261" s="8"/>
      <c r="H2261" s="8"/>
      <c r="I2261" s="55"/>
      <c r="J2261" s="78" t="s">
        <v>6176</v>
      </c>
      <c r="K2261" s="22">
        <v>0.0</v>
      </c>
      <c r="L2261" s="22">
        <f>+SUMIF('حركه المخزن الرئيسي اليوميه'!$F:$F,$H:$H,'حركه المخزن الرئيسي اليوميه'!$H:$H)</f>
        <v>0.0</v>
      </c>
      <c r="M2261" s="22">
        <f>+SUMIF('حركه المخزن الرئيسي اليوميه'!$F:$F,$H:$H,'حركه المخزن الرئيسي اليوميه'!$I:$I)</f>
        <v>0.0</v>
      </c>
      <c r="N2261" s="22">
        <f>+K2261+L2261-M2261</f>
        <v>0.0</v>
      </c>
      <c r="O2261" s="22">
        <f>+N2261</f>
        <v>0.0</v>
      </c>
      <c r="P2261" s="22">
        <f>+N2261-O2261</f>
        <v>0.0</v>
      </c>
      <c r="Q2261" s="57"/>
      <c r="R2261" s="58"/>
    </row>
    <row r="2262" spans="8:8" ht="15.0" customHeight="1">
      <c r="B2262" s="54">
        <v>2406.0</v>
      </c>
      <c r="C2262" s="8"/>
      <c r="D2262" s="8"/>
      <c r="E2262" s="8"/>
      <c r="F2262" s="8"/>
      <c r="G2262" s="8"/>
      <c r="H2262" s="8"/>
      <c r="I2262" s="55"/>
      <c r="J2262" s="78" t="s">
        <v>6177</v>
      </c>
      <c r="K2262" s="22">
        <v>0.0</v>
      </c>
      <c r="L2262" s="22">
        <f>+SUMIF('حركه المخزن الرئيسي اليوميه'!$F:$F,$H:$H,'حركه المخزن الرئيسي اليوميه'!$H:$H)</f>
        <v>0.0</v>
      </c>
      <c r="M2262" s="22">
        <f>+SUMIF('حركه المخزن الرئيسي اليوميه'!$F:$F,$H:$H,'حركه المخزن الرئيسي اليوميه'!$I:$I)</f>
        <v>0.0</v>
      </c>
      <c r="N2262" s="22">
        <f>+K2262+L2262-M2262</f>
        <v>0.0</v>
      </c>
      <c r="O2262" s="22">
        <f>+N2262</f>
        <v>0.0</v>
      </c>
      <c r="P2262" s="22">
        <f>+N2262-O2262</f>
        <v>0.0</v>
      </c>
      <c r="Q2262" s="57"/>
      <c r="R2262" s="58"/>
    </row>
    <row r="2263" spans="8:8" ht="15.0" customHeight="1">
      <c r="B2263" s="54">
        <v>2407.0</v>
      </c>
      <c r="C2263" s="8"/>
      <c r="D2263" s="8"/>
      <c r="E2263" s="8"/>
      <c r="F2263" s="8"/>
      <c r="G2263" s="8"/>
      <c r="H2263" s="8"/>
      <c r="I2263" s="55"/>
      <c r="J2263" s="78" t="s">
        <v>6178</v>
      </c>
      <c r="K2263" s="22">
        <v>0.0</v>
      </c>
      <c r="L2263" s="22">
        <f>+SUMIF('حركه المخزن الرئيسي اليوميه'!$F:$F,$H:$H,'حركه المخزن الرئيسي اليوميه'!$H:$H)</f>
        <v>0.0</v>
      </c>
      <c r="M2263" s="22">
        <f>+SUMIF('حركه المخزن الرئيسي اليوميه'!$F:$F,$H:$H,'حركه المخزن الرئيسي اليوميه'!$I:$I)</f>
        <v>0.0</v>
      </c>
      <c r="N2263" s="22">
        <f>+K2263+L2263-M2263</f>
        <v>0.0</v>
      </c>
      <c r="O2263" s="22">
        <f>+N2263</f>
        <v>0.0</v>
      </c>
      <c r="P2263" s="22">
        <f>+N2263-O2263</f>
        <v>0.0</v>
      </c>
      <c r="Q2263" s="57"/>
      <c r="R2263" s="58"/>
    </row>
    <row r="2264" spans="8:8" ht="15.0" customHeight="1">
      <c r="B2264" s="54">
        <v>2408.0</v>
      </c>
      <c r="C2264" s="8"/>
      <c r="D2264" s="8"/>
      <c r="E2264" s="8"/>
      <c r="F2264" s="8"/>
      <c r="G2264" s="8"/>
      <c r="H2264" s="8"/>
      <c r="I2264" s="55"/>
      <c r="J2264" s="78" t="s">
        <v>6179</v>
      </c>
      <c r="K2264" s="22">
        <v>0.0</v>
      </c>
      <c r="L2264" s="22">
        <f>+SUMIF('حركه المخزن الرئيسي اليوميه'!$F:$F,$H:$H,'حركه المخزن الرئيسي اليوميه'!$H:$H)</f>
        <v>0.0</v>
      </c>
      <c r="M2264" s="22">
        <f>+SUMIF('حركه المخزن الرئيسي اليوميه'!$F:$F,$H:$H,'حركه المخزن الرئيسي اليوميه'!$I:$I)</f>
        <v>0.0</v>
      </c>
      <c r="N2264" s="22">
        <f>+K2264+L2264-M2264</f>
        <v>0.0</v>
      </c>
      <c r="O2264" s="22">
        <f>+N2264</f>
        <v>0.0</v>
      </c>
      <c r="P2264" s="22">
        <f>+N2264-O2264</f>
        <v>0.0</v>
      </c>
      <c r="Q2264" s="57"/>
      <c r="R2264" s="58"/>
    </row>
    <row r="2265" spans="8:8" ht="15.0" customHeight="1">
      <c r="B2265" s="54">
        <v>2409.0</v>
      </c>
      <c r="C2265" s="8"/>
      <c r="D2265" s="8"/>
      <c r="E2265" s="8"/>
      <c r="F2265" s="8"/>
      <c r="G2265" s="8"/>
      <c r="H2265" s="8"/>
      <c r="I2265" s="55"/>
      <c r="J2265" s="78" t="s">
        <v>6180</v>
      </c>
      <c r="K2265" s="22">
        <v>0.0</v>
      </c>
      <c r="L2265" s="22">
        <f>+SUMIF('حركه المخزن الرئيسي اليوميه'!$F:$F,$H:$H,'حركه المخزن الرئيسي اليوميه'!$H:$H)</f>
        <v>0.0</v>
      </c>
      <c r="M2265" s="22">
        <f>+SUMIF('حركه المخزن الرئيسي اليوميه'!$F:$F,$H:$H,'حركه المخزن الرئيسي اليوميه'!$I:$I)</f>
        <v>0.0</v>
      </c>
      <c r="N2265" s="22">
        <f>+K2265+L2265-M2265</f>
        <v>0.0</v>
      </c>
      <c r="O2265" s="22">
        <f>+N2265</f>
        <v>0.0</v>
      </c>
      <c r="P2265" s="22">
        <f>+N2265-O2265</f>
        <v>0.0</v>
      </c>
      <c r="Q2265" s="57"/>
      <c r="R2265" s="58"/>
    </row>
    <row r="2266" spans="8:8" ht="15.0" customHeight="1">
      <c r="B2266" s="54">
        <v>2410.0</v>
      </c>
      <c r="C2266" s="8"/>
      <c r="D2266" s="8"/>
      <c r="E2266" s="8"/>
      <c r="F2266" s="8"/>
      <c r="G2266" s="8"/>
      <c r="H2266" s="8"/>
      <c r="I2266" s="55"/>
      <c r="J2266" s="78" t="s">
        <v>6181</v>
      </c>
      <c r="K2266" s="22">
        <v>0.0</v>
      </c>
      <c r="L2266" s="22">
        <f>+SUMIF('حركه المخزن الرئيسي اليوميه'!$F:$F,$H:$H,'حركه المخزن الرئيسي اليوميه'!$H:$H)</f>
        <v>0.0</v>
      </c>
      <c r="M2266" s="22">
        <f>+SUMIF('حركه المخزن الرئيسي اليوميه'!$F:$F,$H:$H,'حركه المخزن الرئيسي اليوميه'!$I:$I)</f>
        <v>0.0</v>
      </c>
      <c r="N2266" s="22">
        <f>+K2266+L2266-M2266</f>
        <v>0.0</v>
      </c>
      <c r="O2266" s="22">
        <f>+N2266</f>
        <v>0.0</v>
      </c>
      <c r="P2266" s="22">
        <f>+N2266-O2266</f>
        <v>0.0</v>
      </c>
      <c r="Q2266" s="57"/>
      <c r="R2266" s="58"/>
    </row>
    <row r="2267" spans="8:8" ht="15.0" customHeight="1">
      <c r="B2267" s="54">
        <v>2411.0</v>
      </c>
      <c r="C2267" s="8"/>
      <c r="D2267" s="8"/>
      <c r="E2267" s="8"/>
      <c r="F2267" s="8"/>
      <c r="G2267" s="8"/>
      <c r="H2267" s="8"/>
      <c r="I2267" s="55"/>
      <c r="J2267" s="78" t="s">
        <v>6182</v>
      </c>
      <c r="K2267" s="22">
        <v>0.0</v>
      </c>
      <c r="L2267" s="22">
        <f>+SUMIF('حركه المخزن الرئيسي اليوميه'!$F:$F,$H:$H,'حركه المخزن الرئيسي اليوميه'!$H:$H)</f>
        <v>0.0</v>
      </c>
      <c r="M2267" s="22">
        <f>+SUMIF('حركه المخزن الرئيسي اليوميه'!$F:$F,$H:$H,'حركه المخزن الرئيسي اليوميه'!$I:$I)</f>
        <v>0.0</v>
      </c>
      <c r="N2267" s="22">
        <f>+K2267+L2267-M2267</f>
        <v>0.0</v>
      </c>
      <c r="O2267" s="22">
        <f>+N2267</f>
        <v>0.0</v>
      </c>
      <c r="P2267" s="22">
        <f>+N2267-O2267</f>
        <v>0.0</v>
      </c>
      <c r="Q2267" s="57"/>
      <c r="R2267" s="58"/>
    </row>
    <row r="2268" spans="8:8" ht="15.0" customHeight="1">
      <c r="B2268" s="54">
        <v>2412.0</v>
      </c>
      <c r="C2268" s="8"/>
      <c r="D2268" s="8"/>
      <c r="E2268" s="8"/>
      <c r="F2268" s="8"/>
      <c r="G2268" s="8"/>
      <c r="H2268" s="8"/>
      <c r="I2268" s="55"/>
      <c r="J2268" s="78" t="s">
        <v>6183</v>
      </c>
      <c r="K2268" s="22">
        <v>0.0</v>
      </c>
      <c r="L2268" s="22">
        <f>+SUMIF('حركه المخزن الرئيسي اليوميه'!$F:$F,$H:$H,'حركه المخزن الرئيسي اليوميه'!$H:$H)</f>
        <v>0.0</v>
      </c>
      <c r="M2268" s="22">
        <f>+SUMIF('حركه المخزن الرئيسي اليوميه'!$F:$F,$H:$H,'حركه المخزن الرئيسي اليوميه'!$I:$I)</f>
        <v>0.0</v>
      </c>
      <c r="N2268" s="22">
        <f>+K2268+L2268-M2268</f>
        <v>0.0</v>
      </c>
      <c r="O2268" s="22">
        <f>+N2268</f>
        <v>0.0</v>
      </c>
      <c r="P2268" s="22">
        <f>+N2268-O2268</f>
        <v>0.0</v>
      </c>
      <c r="Q2268" s="57"/>
      <c r="R2268" s="58"/>
    </row>
    <row r="2269" spans="8:8" ht="15.0" customHeight="1">
      <c r="B2269" s="54">
        <v>2413.0</v>
      </c>
      <c r="C2269" s="8"/>
      <c r="D2269" s="8"/>
      <c r="E2269" s="8"/>
      <c r="F2269" s="8"/>
      <c r="G2269" s="8"/>
      <c r="H2269" s="8"/>
      <c r="I2269" s="55"/>
      <c r="J2269" s="78" t="s">
        <v>6184</v>
      </c>
      <c r="K2269" s="22">
        <v>0.0</v>
      </c>
      <c r="L2269" s="22">
        <f>+SUMIF('حركه المخزن الرئيسي اليوميه'!$F:$F,$H:$H,'حركه المخزن الرئيسي اليوميه'!$H:$H)</f>
        <v>0.0</v>
      </c>
      <c r="M2269" s="22">
        <f>+SUMIF('حركه المخزن الرئيسي اليوميه'!$F:$F,$H:$H,'حركه المخزن الرئيسي اليوميه'!$I:$I)</f>
        <v>0.0</v>
      </c>
      <c r="N2269" s="22">
        <f>+K2269+L2269-M2269</f>
        <v>0.0</v>
      </c>
      <c r="O2269" s="22">
        <f>+N2269</f>
        <v>0.0</v>
      </c>
      <c r="P2269" s="22">
        <f>+N2269-O2269</f>
        <v>0.0</v>
      </c>
      <c r="Q2269" s="57"/>
      <c r="R2269" s="58"/>
    </row>
    <row r="2270" spans="8:8" ht="15.0" customHeight="1">
      <c r="B2270" s="54">
        <v>2414.0</v>
      </c>
      <c r="C2270" s="8"/>
      <c r="D2270" s="8"/>
      <c r="E2270" s="8"/>
      <c r="F2270" s="8"/>
      <c r="G2270" s="8"/>
      <c r="H2270" s="8"/>
      <c r="I2270" s="55"/>
      <c r="J2270" s="78" t="s">
        <v>6185</v>
      </c>
      <c r="K2270" s="22">
        <v>0.0</v>
      </c>
      <c r="L2270" s="22">
        <f>+SUMIF('حركه المخزن الرئيسي اليوميه'!$F:$F,$H:$H,'حركه المخزن الرئيسي اليوميه'!$H:$H)</f>
        <v>0.0</v>
      </c>
      <c r="M2270" s="22">
        <f>+SUMIF('حركه المخزن الرئيسي اليوميه'!$F:$F,$H:$H,'حركه المخزن الرئيسي اليوميه'!$I:$I)</f>
        <v>0.0</v>
      </c>
      <c r="N2270" s="22">
        <f>+K2270+L2270-M2270</f>
        <v>0.0</v>
      </c>
      <c r="O2270" s="22">
        <f>+N2270</f>
        <v>0.0</v>
      </c>
      <c r="P2270" s="22">
        <f>+N2270-O2270</f>
        <v>0.0</v>
      </c>
      <c r="Q2270" s="57"/>
      <c r="R2270" s="58"/>
    </row>
    <row r="2271" spans="8:8" ht="15.0" customHeight="1">
      <c r="B2271" s="54">
        <v>2415.0</v>
      </c>
      <c r="C2271" s="8"/>
      <c r="D2271" s="8"/>
      <c r="E2271" s="8"/>
      <c r="F2271" s="8"/>
      <c r="G2271" s="8"/>
      <c r="H2271" s="8"/>
      <c r="I2271" s="55"/>
      <c r="J2271" s="78" t="s">
        <v>6186</v>
      </c>
      <c r="K2271" s="22">
        <v>0.0</v>
      </c>
      <c r="L2271" s="22">
        <f>+SUMIF('حركه المخزن الرئيسي اليوميه'!$F:$F,$H:$H,'حركه المخزن الرئيسي اليوميه'!$H:$H)</f>
        <v>0.0</v>
      </c>
      <c r="M2271" s="22">
        <f>+SUMIF('حركه المخزن الرئيسي اليوميه'!$F:$F,$H:$H,'حركه المخزن الرئيسي اليوميه'!$I:$I)</f>
        <v>0.0</v>
      </c>
      <c r="N2271" s="22">
        <f>+K2271+L2271-M2271</f>
        <v>0.0</v>
      </c>
      <c r="O2271" s="22">
        <f>+N2271</f>
        <v>0.0</v>
      </c>
      <c r="P2271" s="22">
        <f>+N2271-O2271</f>
        <v>0.0</v>
      </c>
      <c r="Q2271" s="57"/>
      <c r="R2271" s="58"/>
    </row>
    <row r="2272" spans="8:8" ht="15.0" customHeight="1">
      <c r="B2272" s="54">
        <v>2416.0</v>
      </c>
      <c r="C2272" s="8"/>
      <c r="D2272" s="8"/>
      <c r="E2272" s="8"/>
      <c r="F2272" s="8"/>
      <c r="G2272" s="8"/>
      <c r="H2272" s="8"/>
      <c r="I2272" s="55"/>
      <c r="J2272" s="78" t="s">
        <v>6187</v>
      </c>
      <c r="K2272" s="22">
        <v>0.0</v>
      </c>
      <c r="L2272" s="22">
        <f>+SUMIF('حركه المخزن الرئيسي اليوميه'!$F:$F,$H:$H,'حركه المخزن الرئيسي اليوميه'!$H:$H)</f>
        <v>0.0</v>
      </c>
      <c r="M2272" s="22">
        <f>+SUMIF('حركه المخزن الرئيسي اليوميه'!$F:$F,$H:$H,'حركه المخزن الرئيسي اليوميه'!$I:$I)</f>
        <v>0.0</v>
      </c>
      <c r="N2272" s="22">
        <f>+K2272+L2272-M2272</f>
        <v>0.0</v>
      </c>
      <c r="O2272" s="22">
        <f>+N2272</f>
        <v>0.0</v>
      </c>
      <c r="P2272" s="22">
        <f>+N2272-O2272</f>
        <v>0.0</v>
      </c>
      <c r="Q2272" s="57"/>
      <c r="R2272" s="58"/>
    </row>
    <row r="2273" spans="8:8" ht="15.0" customHeight="1">
      <c r="B2273" s="54">
        <v>2417.0</v>
      </c>
      <c r="C2273" s="8"/>
      <c r="D2273" s="8"/>
      <c r="E2273" s="8"/>
      <c r="F2273" s="8"/>
      <c r="G2273" s="8"/>
      <c r="H2273" s="8"/>
      <c r="I2273" s="55"/>
      <c r="J2273" s="78" t="s">
        <v>6188</v>
      </c>
      <c r="K2273" s="22">
        <v>0.0</v>
      </c>
      <c r="L2273" s="22">
        <f>+SUMIF('حركه المخزن الرئيسي اليوميه'!$F:$F,$H:$H,'حركه المخزن الرئيسي اليوميه'!$H:$H)</f>
        <v>0.0</v>
      </c>
      <c r="M2273" s="22">
        <f>+SUMIF('حركه المخزن الرئيسي اليوميه'!$F:$F,$H:$H,'حركه المخزن الرئيسي اليوميه'!$I:$I)</f>
        <v>0.0</v>
      </c>
      <c r="N2273" s="22">
        <f>+K2273+L2273-M2273</f>
        <v>0.0</v>
      </c>
      <c r="O2273" s="22">
        <f>+N2273</f>
        <v>0.0</v>
      </c>
      <c r="P2273" s="22">
        <f>+N2273-O2273</f>
        <v>0.0</v>
      </c>
      <c r="Q2273" s="57"/>
      <c r="R2273" s="58"/>
    </row>
    <row r="2274" spans="8:8" ht="15.0" customHeight="1">
      <c r="B2274" s="54">
        <v>2418.0</v>
      </c>
      <c r="C2274" s="8"/>
      <c r="D2274" s="8"/>
      <c r="E2274" s="8"/>
      <c r="F2274" s="8"/>
      <c r="G2274" s="8"/>
      <c r="H2274" s="8"/>
      <c r="I2274" s="55"/>
      <c r="J2274" s="78" t="s">
        <v>6189</v>
      </c>
      <c r="K2274" s="22">
        <v>0.0</v>
      </c>
      <c r="L2274" s="22">
        <f>+SUMIF('حركه المخزن الرئيسي اليوميه'!$F:$F,$H:$H,'حركه المخزن الرئيسي اليوميه'!$H:$H)</f>
        <v>0.0</v>
      </c>
      <c r="M2274" s="22">
        <f>+SUMIF('حركه المخزن الرئيسي اليوميه'!$F:$F,$H:$H,'حركه المخزن الرئيسي اليوميه'!$I:$I)</f>
        <v>0.0</v>
      </c>
      <c r="N2274" s="22">
        <f>+K2274+L2274-M2274</f>
        <v>0.0</v>
      </c>
      <c r="O2274" s="22">
        <f>+N2274</f>
        <v>0.0</v>
      </c>
      <c r="P2274" s="22">
        <f>+N2274-O2274</f>
        <v>0.0</v>
      </c>
      <c r="Q2274" s="57"/>
      <c r="R2274" s="58"/>
    </row>
    <row r="2275" spans="8:8" ht="15.0" customHeight="1">
      <c r="B2275" s="54">
        <v>2419.0</v>
      </c>
      <c r="C2275" s="8"/>
      <c r="D2275" s="8"/>
      <c r="E2275" s="8"/>
      <c r="F2275" s="8"/>
      <c r="G2275" s="8"/>
      <c r="H2275" s="8"/>
      <c r="I2275" s="55"/>
      <c r="J2275" s="78" t="s">
        <v>6190</v>
      </c>
      <c r="K2275" s="22">
        <v>0.0</v>
      </c>
      <c r="L2275" s="22">
        <f>+SUMIF('حركه المخزن الرئيسي اليوميه'!$F:$F,$H:$H,'حركه المخزن الرئيسي اليوميه'!$H:$H)</f>
        <v>0.0</v>
      </c>
      <c r="M2275" s="22">
        <f>+SUMIF('حركه المخزن الرئيسي اليوميه'!$F:$F,$H:$H,'حركه المخزن الرئيسي اليوميه'!$I:$I)</f>
        <v>0.0</v>
      </c>
      <c r="N2275" s="22">
        <f>+K2275+L2275-M2275</f>
        <v>0.0</v>
      </c>
      <c r="O2275" s="22">
        <f>+N2275</f>
        <v>0.0</v>
      </c>
      <c r="P2275" s="22">
        <f>+N2275-O2275</f>
        <v>0.0</v>
      </c>
      <c r="Q2275" s="57"/>
      <c r="R2275" s="58"/>
    </row>
    <row r="2276" spans="8:8" ht="15.0" customHeight="1">
      <c r="B2276" s="54">
        <v>2420.0</v>
      </c>
      <c r="C2276" s="8"/>
      <c r="D2276" s="8"/>
      <c r="E2276" s="8"/>
      <c r="F2276" s="8"/>
      <c r="G2276" s="8"/>
      <c r="H2276" s="8"/>
      <c r="I2276" s="55"/>
      <c r="J2276" s="78" t="s">
        <v>6191</v>
      </c>
      <c r="K2276" s="22">
        <v>0.0</v>
      </c>
      <c r="L2276" s="22">
        <f>+SUMIF('حركه المخزن الرئيسي اليوميه'!$F:$F,$H:$H,'حركه المخزن الرئيسي اليوميه'!$H:$H)</f>
        <v>0.0</v>
      </c>
      <c r="M2276" s="22">
        <f>+SUMIF('حركه المخزن الرئيسي اليوميه'!$F:$F,$H:$H,'حركه المخزن الرئيسي اليوميه'!$I:$I)</f>
        <v>0.0</v>
      </c>
      <c r="N2276" s="22">
        <f>+K2276+L2276-M2276</f>
        <v>0.0</v>
      </c>
      <c r="O2276" s="22">
        <f>+N2276</f>
        <v>0.0</v>
      </c>
      <c r="P2276" s="22">
        <f>+N2276-O2276</f>
        <v>0.0</v>
      </c>
      <c r="Q2276" s="57"/>
      <c r="R2276" s="58"/>
    </row>
    <row r="2277" spans="8:8" ht="15.0" customHeight="1">
      <c r="B2277" s="54">
        <v>2421.0</v>
      </c>
      <c r="C2277" s="8"/>
      <c r="D2277" s="8"/>
      <c r="E2277" s="8"/>
      <c r="F2277" s="8"/>
      <c r="G2277" s="8"/>
      <c r="H2277" s="8"/>
      <c r="I2277" s="55"/>
      <c r="J2277" s="78" t="s">
        <v>6192</v>
      </c>
      <c r="K2277" s="22">
        <v>0.0</v>
      </c>
      <c r="L2277" s="22">
        <f>+SUMIF('حركه المخزن الرئيسي اليوميه'!$F:$F,$H:$H,'حركه المخزن الرئيسي اليوميه'!$H:$H)</f>
        <v>0.0</v>
      </c>
      <c r="M2277" s="22">
        <f>+SUMIF('حركه المخزن الرئيسي اليوميه'!$F:$F,$H:$H,'حركه المخزن الرئيسي اليوميه'!$I:$I)</f>
        <v>0.0</v>
      </c>
      <c r="N2277" s="22">
        <f>+K2277+L2277-M2277</f>
        <v>0.0</v>
      </c>
      <c r="O2277" s="22">
        <f>+N2277</f>
        <v>0.0</v>
      </c>
      <c r="P2277" s="22">
        <f>+N2277-O2277</f>
        <v>0.0</v>
      </c>
      <c r="Q2277" s="57"/>
      <c r="R2277" s="58"/>
    </row>
    <row r="2278" spans="8:8" ht="15.0" customHeight="1">
      <c r="B2278" s="54">
        <v>2422.0</v>
      </c>
      <c r="C2278" s="8"/>
      <c r="D2278" s="8"/>
      <c r="E2278" s="8"/>
      <c r="F2278" s="8"/>
      <c r="G2278" s="8"/>
      <c r="H2278" s="8"/>
      <c r="I2278" s="55"/>
      <c r="J2278" s="78" t="s">
        <v>6193</v>
      </c>
      <c r="K2278" s="22">
        <v>0.0</v>
      </c>
      <c r="L2278" s="22">
        <f>+SUMIF('حركه المخزن الرئيسي اليوميه'!$F:$F,$H:$H,'حركه المخزن الرئيسي اليوميه'!$H:$H)</f>
        <v>0.0</v>
      </c>
      <c r="M2278" s="22">
        <f>+SUMIF('حركه المخزن الرئيسي اليوميه'!$F:$F,$H:$H,'حركه المخزن الرئيسي اليوميه'!$I:$I)</f>
        <v>0.0</v>
      </c>
      <c r="N2278" s="22">
        <f>+K2278+L2278-M2278</f>
        <v>0.0</v>
      </c>
      <c r="O2278" s="22">
        <f>+N2278</f>
        <v>0.0</v>
      </c>
      <c r="P2278" s="22">
        <f>+N2278-O2278</f>
        <v>0.0</v>
      </c>
      <c r="Q2278" s="57"/>
      <c r="R2278" s="58"/>
    </row>
    <row r="2279" spans="8:8" ht="15.0" customHeight="1">
      <c r="B2279" s="54">
        <v>2423.0</v>
      </c>
      <c r="C2279" s="8"/>
      <c r="D2279" s="8"/>
      <c r="E2279" s="8"/>
      <c r="F2279" s="8"/>
      <c r="G2279" s="8"/>
      <c r="H2279" s="8"/>
      <c r="I2279" s="55"/>
      <c r="J2279" s="78" t="s">
        <v>6194</v>
      </c>
      <c r="K2279" s="22">
        <v>0.0</v>
      </c>
      <c r="L2279" s="22">
        <f>+SUMIF('حركه المخزن الرئيسي اليوميه'!$F:$F,$H:$H,'حركه المخزن الرئيسي اليوميه'!$H:$H)</f>
        <v>0.0</v>
      </c>
      <c r="M2279" s="22">
        <f>+SUMIF('حركه المخزن الرئيسي اليوميه'!$F:$F,$H:$H,'حركه المخزن الرئيسي اليوميه'!$I:$I)</f>
        <v>0.0</v>
      </c>
      <c r="N2279" s="22">
        <f>+K2279+L2279-M2279</f>
        <v>0.0</v>
      </c>
      <c r="O2279" s="22">
        <f>+N2279</f>
        <v>0.0</v>
      </c>
      <c r="P2279" s="22">
        <f>+N2279-O2279</f>
        <v>0.0</v>
      </c>
      <c r="Q2279" s="57"/>
      <c r="R2279" s="58"/>
    </row>
    <row r="2280" spans="8:8" ht="15.0" customHeight="1">
      <c r="B2280" s="54">
        <v>2424.0</v>
      </c>
      <c r="C2280" s="8"/>
      <c r="D2280" s="8"/>
      <c r="E2280" s="8"/>
      <c r="F2280" s="8"/>
      <c r="G2280" s="8"/>
      <c r="H2280" s="8"/>
      <c r="I2280" s="55"/>
      <c r="J2280" s="78" t="s">
        <v>6195</v>
      </c>
      <c r="K2280" s="22">
        <v>0.0</v>
      </c>
      <c r="L2280" s="22">
        <f>+SUMIF('حركه المخزن الرئيسي اليوميه'!$F:$F,$H:$H,'حركه المخزن الرئيسي اليوميه'!$H:$H)</f>
        <v>0.0</v>
      </c>
      <c r="M2280" s="22">
        <f>+SUMIF('حركه المخزن الرئيسي اليوميه'!$F:$F,$H:$H,'حركه المخزن الرئيسي اليوميه'!$I:$I)</f>
        <v>0.0</v>
      </c>
      <c r="N2280" s="22">
        <f>+K2280+L2280-M2280</f>
        <v>0.0</v>
      </c>
      <c r="O2280" s="22">
        <f>+N2280</f>
        <v>0.0</v>
      </c>
      <c r="P2280" s="22">
        <f>+N2280-O2280</f>
        <v>0.0</v>
      </c>
      <c r="Q2280" s="57"/>
      <c r="R2280" s="58"/>
    </row>
    <row r="2281" spans="8:8" ht="15.0" customHeight="1">
      <c r="B2281" s="54">
        <v>2425.0</v>
      </c>
      <c r="C2281" s="8"/>
      <c r="D2281" s="8"/>
      <c r="E2281" s="8"/>
      <c r="F2281" s="8"/>
      <c r="G2281" s="8"/>
      <c r="H2281" s="8"/>
      <c r="I2281" s="55"/>
      <c r="J2281" s="78" t="s">
        <v>6196</v>
      </c>
      <c r="K2281" s="22">
        <v>0.0</v>
      </c>
      <c r="L2281" s="22">
        <f>+SUMIF('حركه المخزن الرئيسي اليوميه'!$F:$F,$H:$H,'حركه المخزن الرئيسي اليوميه'!$H:$H)</f>
        <v>0.0</v>
      </c>
      <c r="M2281" s="22">
        <f>+SUMIF('حركه المخزن الرئيسي اليوميه'!$F:$F,$H:$H,'حركه المخزن الرئيسي اليوميه'!$I:$I)</f>
        <v>0.0</v>
      </c>
      <c r="N2281" s="22">
        <f>+K2281+L2281-M2281</f>
        <v>0.0</v>
      </c>
      <c r="O2281" s="22">
        <f>+N2281</f>
        <v>0.0</v>
      </c>
      <c r="P2281" s="22">
        <f>+N2281-O2281</f>
        <v>0.0</v>
      </c>
      <c r="Q2281" s="57"/>
      <c r="R2281" s="58"/>
    </row>
    <row r="2282" spans="8:8" ht="15.0" customHeight="1">
      <c r="B2282" s="54">
        <v>2426.0</v>
      </c>
      <c r="C2282" s="8"/>
      <c r="D2282" s="8"/>
      <c r="E2282" s="8"/>
      <c r="F2282" s="8"/>
      <c r="G2282" s="8"/>
      <c r="H2282" s="8"/>
      <c r="I2282" s="55"/>
      <c r="J2282" s="78" t="s">
        <v>6197</v>
      </c>
      <c r="K2282" s="22">
        <v>0.0</v>
      </c>
      <c r="L2282" s="22">
        <f>+SUMIF('حركه المخزن الرئيسي اليوميه'!$F:$F,$H:$H,'حركه المخزن الرئيسي اليوميه'!$H:$H)</f>
        <v>0.0</v>
      </c>
      <c r="M2282" s="22">
        <f>+SUMIF('حركه المخزن الرئيسي اليوميه'!$F:$F,$H:$H,'حركه المخزن الرئيسي اليوميه'!$I:$I)</f>
        <v>0.0</v>
      </c>
      <c r="N2282" s="22">
        <f>+K2282+L2282-M2282</f>
        <v>0.0</v>
      </c>
      <c r="O2282" s="22">
        <f>+N2282</f>
        <v>0.0</v>
      </c>
      <c r="P2282" s="22">
        <f>+N2282-O2282</f>
        <v>0.0</v>
      </c>
      <c r="Q2282" s="57"/>
      <c r="R2282" s="58"/>
    </row>
    <row r="2283" spans="8:8" ht="15.0" customHeight="1">
      <c r="B2283" s="54">
        <v>2427.0</v>
      </c>
      <c r="C2283" s="8"/>
      <c r="D2283" s="8"/>
      <c r="E2283" s="8"/>
      <c r="F2283" s="8"/>
      <c r="G2283" s="8"/>
      <c r="H2283" s="8"/>
      <c r="I2283" s="55"/>
      <c r="J2283" s="78" t="s">
        <v>6198</v>
      </c>
      <c r="K2283" s="22">
        <v>0.0</v>
      </c>
      <c r="L2283" s="22">
        <f>+SUMIF('حركه المخزن الرئيسي اليوميه'!$F:$F,$H:$H,'حركه المخزن الرئيسي اليوميه'!$H:$H)</f>
        <v>0.0</v>
      </c>
      <c r="M2283" s="22">
        <f>+SUMIF('حركه المخزن الرئيسي اليوميه'!$F:$F,$H:$H,'حركه المخزن الرئيسي اليوميه'!$I:$I)</f>
        <v>0.0</v>
      </c>
      <c r="N2283" s="22">
        <f>+K2283+L2283-M2283</f>
        <v>0.0</v>
      </c>
      <c r="O2283" s="22">
        <f>+N2283</f>
        <v>0.0</v>
      </c>
      <c r="P2283" s="22">
        <f>+N2283-O2283</f>
        <v>0.0</v>
      </c>
      <c r="Q2283" s="57"/>
      <c r="R2283" s="58"/>
    </row>
    <row r="2284" spans="8:8" ht="15.0" customHeight="1">
      <c r="B2284" s="54">
        <v>2428.0</v>
      </c>
      <c r="C2284" s="8"/>
      <c r="D2284" s="8"/>
      <c r="E2284" s="8"/>
      <c r="F2284" s="8"/>
      <c r="G2284" s="8"/>
      <c r="H2284" s="8"/>
      <c r="I2284" s="55"/>
      <c r="J2284" s="78" t="s">
        <v>6199</v>
      </c>
      <c r="K2284" s="22">
        <v>0.0</v>
      </c>
      <c r="L2284" s="22">
        <f>+SUMIF('حركه المخزن الرئيسي اليوميه'!$F:$F,$H:$H,'حركه المخزن الرئيسي اليوميه'!$H:$H)</f>
        <v>0.0</v>
      </c>
      <c r="M2284" s="22">
        <f>+SUMIF('حركه المخزن الرئيسي اليوميه'!$F:$F,$H:$H,'حركه المخزن الرئيسي اليوميه'!$I:$I)</f>
        <v>0.0</v>
      </c>
      <c r="N2284" s="22">
        <f>+K2284+L2284-M2284</f>
        <v>0.0</v>
      </c>
      <c r="O2284" s="22">
        <f>+N2284</f>
        <v>0.0</v>
      </c>
      <c r="P2284" s="22">
        <f>+N2284-O2284</f>
        <v>0.0</v>
      </c>
      <c r="Q2284" s="57"/>
      <c r="R2284" s="58"/>
    </row>
    <row r="2285" spans="8:8" ht="15.0" customHeight="1">
      <c r="B2285" s="54">
        <v>2429.0</v>
      </c>
      <c r="C2285" s="8"/>
      <c r="D2285" s="8"/>
      <c r="E2285" s="8"/>
      <c r="F2285" s="8"/>
      <c r="G2285" s="8"/>
      <c r="H2285" s="8"/>
      <c r="I2285" s="55"/>
      <c r="J2285" s="78" t="s">
        <v>6200</v>
      </c>
      <c r="K2285" s="22">
        <v>0.0</v>
      </c>
      <c r="L2285" s="22">
        <f>+SUMIF('حركه المخزن الرئيسي اليوميه'!$F:$F,$H:$H,'حركه المخزن الرئيسي اليوميه'!$H:$H)</f>
        <v>0.0</v>
      </c>
      <c r="M2285" s="22">
        <f>+SUMIF('حركه المخزن الرئيسي اليوميه'!$F:$F,$H:$H,'حركه المخزن الرئيسي اليوميه'!$I:$I)</f>
        <v>0.0</v>
      </c>
      <c r="N2285" s="22">
        <f>+K2285+L2285-M2285</f>
        <v>0.0</v>
      </c>
      <c r="O2285" s="22">
        <f>+N2285</f>
        <v>0.0</v>
      </c>
      <c r="P2285" s="22">
        <f>+N2285-O2285</f>
        <v>0.0</v>
      </c>
      <c r="Q2285" s="57"/>
      <c r="R2285" s="58"/>
    </row>
    <row r="2286" spans="8:8" ht="15.0" customHeight="1">
      <c r="B2286" s="54">
        <v>2430.0</v>
      </c>
      <c r="C2286" s="8"/>
      <c r="D2286" s="8"/>
      <c r="E2286" s="8"/>
      <c r="F2286" s="8"/>
      <c r="G2286" s="8"/>
      <c r="H2286" s="8"/>
      <c r="I2286" s="55"/>
      <c r="J2286" s="78" t="s">
        <v>6201</v>
      </c>
      <c r="K2286" s="22">
        <v>0.0</v>
      </c>
      <c r="L2286" s="22">
        <f>+SUMIF('حركه المخزن الرئيسي اليوميه'!$F:$F,$H:$H,'حركه المخزن الرئيسي اليوميه'!$H:$H)</f>
        <v>0.0</v>
      </c>
      <c r="M2286" s="22">
        <f>+SUMIF('حركه المخزن الرئيسي اليوميه'!$F:$F,$H:$H,'حركه المخزن الرئيسي اليوميه'!$I:$I)</f>
        <v>0.0</v>
      </c>
      <c r="N2286" s="22">
        <f>+K2286+L2286-M2286</f>
        <v>0.0</v>
      </c>
      <c r="O2286" s="22">
        <f>+N2286</f>
        <v>0.0</v>
      </c>
      <c r="P2286" s="22">
        <f>+N2286-O2286</f>
        <v>0.0</v>
      </c>
      <c r="Q2286" s="57"/>
      <c r="R2286" s="58"/>
    </row>
    <row r="2287" spans="8:8" ht="15.0" customHeight="1">
      <c r="B2287" s="54">
        <v>2431.0</v>
      </c>
      <c r="C2287" s="8"/>
      <c r="D2287" s="8"/>
      <c r="E2287" s="8"/>
      <c r="F2287" s="8"/>
      <c r="G2287" s="8"/>
      <c r="H2287" s="8"/>
      <c r="I2287" s="55"/>
      <c r="J2287" s="78" t="s">
        <v>6202</v>
      </c>
      <c r="K2287" s="22">
        <v>0.0</v>
      </c>
      <c r="L2287" s="22">
        <f>+SUMIF('حركه المخزن الرئيسي اليوميه'!$F:$F,$H:$H,'حركه المخزن الرئيسي اليوميه'!$H:$H)</f>
        <v>0.0</v>
      </c>
      <c r="M2287" s="22">
        <f>+SUMIF('حركه المخزن الرئيسي اليوميه'!$F:$F,$H:$H,'حركه المخزن الرئيسي اليوميه'!$I:$I)</f>
        <v>0.0</v>
      </c>
      <c r="N2287" s="22">
        <f>+K2287+L2287-M2287</f>
        <v>0.0</v>
      </c>
      <c r="O2287" s="22">
        <f>+N2287</f>
        <v>0.0</v>
      </c>
      <c r="P2287" s="22">
        <f>+N2287-O2287</f>
        <v>0.0</v>
      </c>
      <c r="Q2287" s="57"/>
      <c r="R2287" s="58"/>
    </row>
    <row r="2288" spans="8:8" ht="15.0" customHeight="1">
      <c r="B2288" s="54">
        <v>2432.0</v>
      </c>
      <c r="C2288" s="8"/>
      <c r="D2288" s="8"/>
      <c r="E2288" s="8"/>
      <c r="F2288" s="8"/>
      <c r="G2288" s="8"/>
      <c r="H2288" s="8"/>
      <c r="I2288" s="55"/>
      <c r="J2288" s="78" t="s">
        <v>6203</v>
      </c>
      <c r="K2288" s="22">
        <v>0.0</v>
      </c>
      <c r="L2288" s="22">
        <f>+SUMIF('حركه المخزن الرئيسي اليوميه'!$F:$F,$H:$H,'حركه المخزن الرئيسي اليوميه'!$H:$H)</f>
        <v>0.0</v>
      </c>
      <c r="M2288" s="22">
        <f>+SUMIF('حركه المخزن الرئيسي اليوميه'!$F:$F,$H:$H,'حركه المخزن الرئيسي اليوميه'!$I:$I)</f>
        <v>0.0</v>
      </c>
      <c r="N2288" s="22">
        <f>+K2288+L2288-M2288</f>
        <v>0.0</v>
      </c>
      <c r="O2288" s="22">
        <f>+N2288</f>
        <v>0.0</v>
      </c>
      <c r="P2288" s="22">
        <f>+N2288-O2288</f>
        <v>0.0</v>
      </c>
      <c r="Q2288" s="57"/>
      <c r="R2288" s="58"/>
    </row>
    <row r="2289" spans="8:8" ht="15.0" customHeight="1">
      <c r="B2289" s="54">
        <v>2433.0</v>
      </c>
      <c r="C2289" s="8"/>
      <c r="D2289" s="8"/>
      <c r="E2289" s="8"/>
      <c r="F2289" s="8"/>
      <c r="G2289" s="8"/>
      <c r="H2289" s="8"/>
      <c r="I2289" s="55"/>
      <c r="J2289" s="78" t="s">
        <v>6204</v>
      </c>
      <c r="K2289" s="22">
        <v>0.0</v>
      </c>
      <c r="L2289" s="22">
        <f>+SUMIF('حركه المخزن الرئيسي اليوميه'!$F:$F,$H:$H,'حركه المخزن الرئيسي اليوميه'!$H:$H)</f>
        <v>0.0</v>
      </c>
      <c r="M2289" s="22">
        <f>+SUMIF('حركه المخزن الرئيسي اليوميه'!$F:$F,$H:$H,'حركه المخزن الرئيسي اليوميه'!$I:$I)</f>
        <v>0.0</v>
      </c>
      <c r="N2289" s="22">
        <f>+K2289+L2289-M2289</f>
        <v>0.0</v>
      </c>
      <c r="O2289" s="22">
        <f>+N2289</f>
        <v>0.0</v>
      </c>
      <c r="P2289" s="22">
        <f>+N2289-O2289</f>
        <v>0.0</v>
      </c>
      <c r="Q2289" s="57"/>
      <c r="R2289" s="58"/>
    </row>
    <row r="2290" spans="8:8" ht="15.0" customHeight="1">
      <c r="B2290" s="54">
        <v>2434.0</v>
      </c>
      <c r="C2290" s="8"/>
      <c r="D2290" s="8"/>
      <c r="E2290" s="8"/>
      <c r="F2290" s="8"/>
      <c r="G2290" s="8"/>
      <c r="H2290" s="8"/>
      <c r="I2290" s="55"/>
      <c r="J2290" s="78" t="s">
        <v>6205</v>
      </c>
      <c r="K2290" s="22">
        <v>0.0</v>
      </c>
      <c r="L2290" s="22">
        <f>+SUMIF('حركه المخزن الرئيسي اليوميه'!$F:$F,$H:$H,'حركه المخزن الرئيسي اليوميه'!$H:$H)</f>
        <v>0.0</v>
      </c>
      <c r="M2290" s="22">
        <f>+SUMIF('حركه المخزن الرئيسي اليوميه'!$F:$F,$H:$H,'حركه المخزن الرئيسي اليوميه'!$I:$I)</f>
        <v>0.0</v>
      </c>
      <c r="N2290" s="22">
        <f>+K2290+L2290-M2290</f>
        <v>0.0</v>
      </c>
      <c r="O2290" s="22">
        <f>+N2290</f>
        <v>0.0</v>
      </c>
      <c r="P2290" s="22">
        <f>+N2290-O2290</f>
        <v>0.0</v>
      </c>
      <c r="Q2290" s="57"/>
      <c r="R2290" s="58"/>
    </row>
    <row r="2291" spans="8:8" ht="15.0" customHeight="1">
      <c r="B2291" s="54">
        <v>2435.0</v>
      </c>
      <c r="C2291" s="8"/>
      <c r="D2291" s="8"/>
      <c r="E2291" s="8"/>
      <c r="F2291" s="8"/>
      <c r="G2291" s="8"/>
      <c r="H2291" s="8"/>
      <c r="I2291" s="55"/>
      <c r="J2291" s="78" t="s">
        <v>6206</v>
      </c>
      <c r="K2291" s="22">
        <v>0.0</v>
      </c>
      <c r="L2291" s="22">
        <f>+SUMIF('حركه المخزن الرئيسي اليوميه'!$F:$F,$H:$H,'حركه المخزن الرئيسي اليوميه'!$H:$H)</f>
        <v>0.0</v>
      </c>
      <c r="M2291" s="22">
        <f>+SUMIF('حركه المخزن الرئيسي اليوميه'!$F:$F,$H:$H,'حركه المخزن الرئيسي اليوميه'!$I:$I)</f>
        <v>0.0</v>
      </c>
      <c r="N2291" s="22">
        <f>+K2291+L2291-M2291</f>
        <v>0.0</v>
      </c>
      <c r="O2291" s="22">
        <f>+N2291</f>
        <v>0.0</v>
      </c>
      <c r="P2291" s="22">
        <f>+N2291-O2291</f>
        <v>0.0</v>
      </c>
      <c r="Q2291" s="57"/>
      <c r="R2291" s="58"/>
    </row>
    <row r="2292" spans="8:8" ht="15.0" customHeight="1">
      <c r="B2292" s="54">
        <v>2436.0</v>
      </c>
      <c r="C2292" s="8"/>
      <c r="D2292" s="8"/>
      <c r="E2292" s="8"/>
      <c r="F2292" s="8"/>
      <c r="G2292" s="8"/>
      <c r="H2292" s="8"/>
      <c r="I2292" s="55"/>
      <c r="J2292" s="78" t="s">
        <v>6207</v>
      </c>
      <c r="K2292" s="22">
        <v>0.0</v>
      </c>
      <c r="L2292" s="22">
        <f>+SUMIF('حركه المخزن الرئيسي اليوميه'!$F:$F,$H:$H,'حركه المخزن الرئيسي اليوميه'!$H:$H)</f>
        <v>0.0</v>
      </c>
      <c r="M2292" s="22">
        <f>+SUMIF('حركه المخزن الرئيسي اليوميه'!$F:$F,$H:$H,'حركه المخزن الرئيسي اليوميه'!$I:$I)</f>
        <v>0.0</v>
      </c>
      <c r="N2292" s="22">
        <f>+K2292+L2292-M2292</f>
        <v>0.0</v>
      </c>
      <c r="O2292" s="22">
        <f>+N2292</f>
        <v>0.0</v>
      </c>
      <c r="P2292" s="22">
        <f>+N2292-O2292</f>
        <v>0.0</v>
      </c>
      <c r="Q2292" s="57"/>
      <c r="R2292" s="58"/>
    </row>
    <row r="2293" spans="8:8" ht="15.0" customHeight="1">
      <c r="B2293" s="54">
        <v>2437.0</v>
      </c>
      <c r="C2293" s="8"/>
      <c r="D2293" s="8"/>
      <c r="E2293" s="8"/>
      <c r="F2293" s="8"/>
      <c r="G2293" s="8"/>
      <c r="H2293" s="8"/>
      <c r="I2293" s="55"/>
      <c r="J2293" s="78" t="s">
        <v>6208</v>
      </c>
      <c r="K2293" s="22">
        <v>0.0</v>
      </c>
      <c r="L2293" s="22">
        <f>+SUMIF('حركه المخزن الرئيسي اليوميه'!$F:$F,$H:$H,'حركه المخزن الرئيسي اليوميه'!$H:$H)</f>
        <v>0.0</v>
      </c>
      <c r="M2293" s="22">
        <f>+SUMIF('حركه المخزن الرئيسي اليوميه'!$F:$F,$H:$H,'حركه المخزن الرئيسي اليوميه'!$I:$I)</f>
        <v>0.0</v>
      </c>
      <c r="N2293" s="22">
        <f>+K2293+L2293-M2293</f>
        <v>0.0</v>
      </c>
      <c r="O2293" s="22">
        <f>+N2293</f>
        <v>0.0</v>
      </c>
      <c r="P2293" s="22">
        <f>+N2293-O2293</f>
        <v>0.0</v>
      </c>
      <c r="Q2293" s="57"/>
      <c r="R2293" s="58"/>
    </row>
    <row r="2294" spans="8:8" ht="15.0" customHeight="1">
      <c r="B2294" s="54">
        <v>2438.0</v>
      </c>
      <c r="C2294" s="8"/>
      <c r="D2294" s="8"/>
      <c r="E2294" s="8"/>
      <c r="F2294" s="8"/>
      <c r="G2294" s="8"/>
      <c r="H2294" s="8"/>
      <c r="I2294" s="55"/>
      <c r="J2294" s="78" t="s">
        <v>6209</v>
      </c>
      <c r="K2294" s="22">
        <v>0.0</v>
      </c>
      <c r="L2294" s="22">
        <f>+SUMIF('حركه المخزن الرئيسي اليوميه'!$F:$F,$H:$H,'حركه المخزن الرئيسي اليوميه'!$H:$H)</f>
        <v>0.0</v>
      </c>
      <c r="M2294" s="22">
        <f>+SUMIF('حركه المخزن الرئيسي اليوميه'!$F:$F,$H:$H,'حركه المخزن الرئيسي اليوميه'!$I:$I)</f>
        <v>0.0</v>
      </c>
      <c r="N2294" s="22">
        <f>+K2294+L2294-M2294</f>
        <v>0.0</v>
      </c>
      <c r="O2294" s="22">
        <f>+N2294</f>
        <v>0.0</v>
      </c>
      <c r="P2294" s="22">
        <f>+N2294-O2294</f>
        <v>0.0</v>
      </c>
      <c r="Q2294" s="57"/>
      <c r="R2294" s="58"/>
    </row>
    <row r="2295" spans="8:8" ht="15.0" customHeight="1">
      <c r="B2295" s="54">
        <v>2439.0</v>
      </c>
      <c r="C2295" s="8"/>
      <c r="D2295" s="8"/>
      <c r="E2295" s="8"/>
      <c r="F2295" s="8"/>
      <c r="G2295" s="8"/>
      <c r="H2295" s="8"/>
      <c r="I2295" s="55"/>
      <c r="J2295" s="78" t="s">
        <v>6210</v>
      </c>
      <c r="K2295" s="22">
        <v>0.0</v>
      </c>
      <c r="L2295" s="22">
        <f>+SUMIF('حركه المخزن الرئيسي اليوميه'!$F:$F,$H:$H,'حركه المخزن الرئيسي اليوميه'!$H:$H)</f>
        <v>0.0</v>
      </c>
      <c r="M2295" s="22">
        <f>+SUMIF('حركه المخزن الرئيسي اليوميه'!$F:$F,$H:$H,'حركه المخزن الرئيسي اليوميه'!$I:$I)</f>
        <v>0.0</v>
      </c>
      <c r="N2295" s="22">
        <f>+K2295+L2295-M2295</f>
        <v>0.0</v>
      </c>
      <c r="O2295" s="22">
        <f>+N2295</f>
        <v>0.0</v>
      </c>
      <c r="P2295" s="22">
        <f>+N2295-O2295</f>
        <v>0.0</v>
      </c>
      <c r="Q2295" s="57"/>
      <c r="R2295" s="58"/>
    </row>
    <row r="2296" spans="8:8" ht="15.0" customHeight="1">
      <c r="B2296" s="54">
        <v>2440.0</v>
      </c>
      <c r="C2296" s="8"/>
      <c r="D2296" s="8"/>
      <c r="E2296" s="8"/>
      <c r="F2296" s="8"/>
      <c r="G2296" s="8"/>
      <c r="H2296" s="8"/>
      <c r="I2296" s="55"/>
      <c r="J2296" s="78" t="s">
        <v>6211</v>
      </c>
      <c r="K2296" s="22">
        <v>0.0</v>
      </c>
      <c r="L2296" s="22">
        <f>+SUMIF('حركه المخزن الرئيسي اليوميه'!$F:$F,$H:$H,'حركه المخزن الرئيسي اليوميه'!$H:$H)</f>
        <v>0.0</v>
      </c>
      <c r="M2296" s="22">
        <f>+SUMIF('حركه المخزن الرئيسي اليوميه'!$F:$F,$H:$H,'حركه المخزن الرئيسي اليوميه'!$I:$I)</f>
        <v>0.0</v>
      </c>
      <c r="N2296" s="22">
        <f>+K2296+L2296-M2296</f>
        <v>0.0</v>
      </c>
      <c r="O2296" s="22">
        <f>+N2296</f>
        <v>0.0</v>
      </c>
      <c r="P2296" s="22">
        <f>+N2296-O2296</f>
        <v>0.0</v>
      </c>
      <c r="Q2296" s="57"/>
      <c r="R2296" s="58"/>
    </row>
    <row r="2297" spans="8:8" ht="15.0" customHeight="1">
      <c r="B2297" s="54">
        <v>2441.0</v>
      </c>
      <c r="C2297" s="8"/>
      <c r="D2297" s="8"/>
      <c r="E2297" s="8"/>
      <c r="F2297" s="8"/>
      <c r="G2297" s="8"/>
      <c r="H2297" s="8"/>
      <c r="I2297" s="55"/>
      <c r="J2297" s="78" t="s">
        <v>6212</v>
      </c>
      <c r="K2297" s="22">
        <v>0.0</v>
      </c>
      <c r="L2297" s="22">
        <f>+SUMIF('حركه المخزن الرئيسي اليوميه'!$F:$F,$H:$H,'حركه المخزن الرئيسي اليوميه'!$H:$H)</f>
        <v>0.0</v>
      </c>
      <c r="M2297" s="22">
        <f>+SUMIF('حركه المخزن الرئيسي اليوميه'!$F:$F,$H:$H,'حركه المخزن الرئيسي اليوميه'!$I:$I)</f>
        <v>0.0</v>
      </c>
      <c r="N2297" s="22">
        <f>+K2297+L2297-M2297</f>
        <v>0.0</v>
      </c>
      <c r="O2297" s="22">
        <f>+N2297</f>
        <v>0.0</v>
      </c>
      <c r="P2297" s="22">
        <f>+N2297-O2297</f>
        <v>0.0</v>
      </c>
      <c r="Q2297" s="57"/>
      <c r="R2297" s="58"/>
    </row>
    <row r="2298" spans="8:8" ht="15.0" customHeight="1">
      <c r="B2298" s="54">
        <v>2442.0</v>
      </c>
      <c r="C2298" s="8"/>
      <c r="D2298" s="8"/>
      <c r="E2298" s="8"/>
      <c r="F2298" s="8"/>
      <c r="G2298" s="8"/>
      <c r="H2298" s="8"/>
      <c r="I2298" s="55"/>
      <c r="J2298" s="78" t="s">
        <v>6213</v>
      </c>
      <c r="K2298" s="22">
        <v>0.0</v>
      </c>
      <c r="L2298" s="22">
        <f>+SUMIF('حركه المخزن الرئيسي اليوميه'!$F:$F,$H:$H,'حركه المخزن الرئيسي اليوميه'!$H:$H)</f>
        <v>0.0</v>
      </c>
      <c r="M2298" s="22">
        <f>+SUMIF('حركه المخزن الرئيسي اليوميه'!$F:$F,$H:$H,'حركه المخزن الرئيسي اليوميه'!$I:$I)</f>
        <v>0.0</v>
      </c>
      <c r="N2298" s="22">
        <f>+K2298+L2298-M2298</f>
        <v>0.0</v>
      </c>
      <c r="O2298" s="22">
        <f>+N2298</f>
        <v>0.0</v>
      </c>
      <c r="P2298" s="22">
        <f>+N2298-O2298</f>
        <v>0.0</v>
      </c>
      <c r="Q2298" s="57"/>
      <c r="R2298" s="58"/>
    </row>
    <row r="2299" spans="8:8" ht="15.0" customHeight="1">
      <c r="B2299" s="54">
        <v>2443.0</v>
      </c>
      <c r="C2299" s="8"/>
      <c r="D2299" s="8"/>
      <c r="E2299" s="8"/>
      <c r="F2299" s="8"/>
      <c r="G2299" s="8"/>
      <c r="H2299" s="8"/>
      <c r="I2299" s="55"/>
      <c r="J2299" s="78" t="s">
        <v>6214</v>
      </c>
      <c r="K2299" s="22">
        <v>0.0</v>
      </c>
      <c r="L2299" s="22">
        <f>+SUMIF('حركه المخزن الرئيسي اليوميه'!$F:$F,$H:$H,'حركه المخزن الرئيسي اليوميه'!$H:$H)</f>
        <v>0.0</v>
      </c>
      <c r="M2299" s="22">
        <f>+SUMIF('حركه المخزن الرئيسي اليوميه'!$F:$F,$H:$H,'حركه المخزن الرئيسي اليوميه'!$I:$I)</f>
        <v>0.0</v>
      </c>
      <c r="N2299" s="22">
        <f>+K2299+L2299-M2299</f>
        <v>0.0</v>
      </c>
      <c r="O2299" s="22">
        <f>+N2299</f>
        <v>0.0</v>
      </c>
      <c r="P2299" s="22">
        <f>+N2299-O2299</f>
        <v>0.0</v>
      </c>
      <c r="Q2299" s="57"/>
      <c r="R2299" s="58"/>
    </row>
    <row r="2300" spans="8:8" ht="15.0" customHeight="1">
      <c r="B2300" s="54">
        <v>2444.0</v>
      </c>
      <c r="C2300" s="8"/>
      <c r="D2300" s="8"/>
      <c r="E2300" s="8"/>
      <c r="F2300" s="8"/>
      <c r="G2300" s="8"/>
      <c r="H2300" s="8"/>
      <c r="I2300" s="55"/>
      <c r="J2300" s="78" t="s">
        <v>6215</v>
      </c>
      <c r="K2300" s="22">
        <v>0.0</v>
      </c>
      <c r="L2300" s="22">
        <f>+SUMIF('حركه المخزن الرئيسي اليوميه'!$F:$F,$H:$H,'حركه المخزن الرئيسي اليوميه'!$H:$H)</f>
        <v>0.0</v>
      </c>
      <c r="M2300" s="22">
        <f>+SUMIF('حركه المخزن الرئيسي اليوميه'!$F:$F,$H:$H,'حركه المخزن الرئيسي اليوميه'!$I:$I)</f>
        <v>0.0</v>
      </c>
      <c r="N2300" s="22">
        <f>+K2300+L2300-M2300</f>
        <v>0.0</v>
      </c>
      <c r="O2300" s="22">
        <f>+N2300</f>
        <v>0.0</v>
      </c>
      <c r="P2300" s="22">
        <f>+N2300-O2300</f>
        <v>0.0</v>
      </c>
      <c r="Q2300" s="57"/>
      <c r="R2300" s="58"/>
    </row>
    <row r="2301" spans="8:8" ht="15.0" customHeight="1">
      <c r="B2301" s="54">
        <v>2445.0</v>
      </c>
      <c r="C2301" s="8"/>
      <c r="D2301" s="8"/>
      <c r="E2301" s="8"/>
      <c r="F2301" s="8"/>
      <c r="G2301" s="8"/>
      <c r="H2301" s="8"/>
      <c r="I2301" s="55"/>
      <c r="J2301" s="78" t="s">
        <v>6216</v>
      </c>
      <c r="K2301" s="22">
        <v>0.0</v>
      </c>
      <c r="L2301" s="22">
        <f>+SUMIF('حركه المخزن الرئيسي اليوميه'!$F:$F,$H:$H,'حركه المخزن الرئيسي اليوميه'!$H:$H)</f>
        <v>0.0</v>
      </c>
      <c r="M2301" s="22">
        <f>+SUMIF('حركه المخزن الرئيسي اليوميه'!$F:$F,$H:$H,'حركه المخزن الرئيسي اليوميه'!$I:$I)</f>
        <v>0.0</v>
      </c>
      <c r="N2301" s="22">
        <f>+K2301+L2301-M2301</f>
        <v>0.0</v>
      </c>
      <c r="O2301" s="22">
        <f>+N2301</f>
        <v>0.0</v>
      </c>
      <c r="P2301" s="22">
        <f>+N2301-O2301</f>
        <v>0.0</v>
      </c>
      <c r="Q2301" s="57"/>
      <c r="R2301" s="58"/>
    </row>
    <row r="2302" spans="8:8" ht="15.0" customHeight="1">
      <c r="B2302" s="54">
        <v>2446.0</v>
      </c>
      <c r="C2302" s="8"/>
      <c r="D2302" s="8"/>
      <c r="E2302" s="8"/>
      <c r="F2302" s="8"/>
      <c r="G2302" s="8"/>
      <c r="H2302" s="8"/>
      <c r="I2302" s="55"/>
      <c r="J2302" s="78" t="s">
        <v>6217</v>
      </c>
      <c r="K2302" s="22">
        <v>0.0</v>
      </c>
      <c r="L2302" s="22">
        <f>+SUMIF('حركه المخزن الرئيسي اليوميه'!$F:$F,$H:$H,'حركه المخزن الرئيسي اليوميه'!$H:$H)</f>
        <v>0.0</v>
      </c>
      <c r="M2302" s="22">
        <f>+SUMIF('حركه المخزن الرئيسي اليوميه'!$F:$F,$H:$H,'حركه المخزن الرئيسي اليوميه'!$I:$I)</f>
        <v>0.0</v>
      </c>
      <c r="N2302" s="22">
        <f>+K2302+L2302-M2302</f>
        <v>0.0</v>
      </c>
      <c r="O2302" s="22">
        <f>+N2302</f>
        <v>0.0</v>
      </c>
      <c r="P2302" s="22">
        <f>+N2302-O2302</f>
        <v>0.0</v>
      </c>
      <c r="Q2302" s="57"/>
      <c r="R2302" s="58"/>
    </row>
    <row r="2303" spans="8:8" ht="15.0" customHeight="1">
      <c r="B2303" s="54">
        <v>2447.0</v>
      </c>
      <c r="C2303" s="8"/>
      <c r="D2303" s="8"/>
      <c r="E2303" s="8"/>
      <c r="F2303" s="8"/>
      <c r="G2303" s="8"/>
      <c r="H2303" s="8"/>
      <c r="I2303" s="55"/>
      <c r="J2303" s="78" t="s">
        <v>6218</v>
      </c>
      <c r="K2303" s="22">
        <v>0.0</v>
      </c>
      <c r="L2303" s="22">
        <f>+SUMIF('حركه المخزن الرئيسي اليوميه'!$F:$F,$H:$H,'حركه المخزن الرئيسي اليوميه'!$H:$H)</f>
        <v>0.0</v>
      </c>
      <c r="M2303" s="22">
        <f>+SUMIF('حركه المخزن الرئيسي اليوميه'!$F:$F,$H:$H,'حركه المخزن الرئيسي اليوميه'!$I:$I)</f>
        <v>0.0</v>
      </c>
      <c r="N2303" s="22">
        <f>+K2303+L2303-M2303</f>
        <v>0.0</v>
      </c>
      <c r="O2303" s="22">
        <f>+N2303</f>
        <v>0.0</v>
      </c>
      <c r="P2303" s="22">
        <f>+N2303-O2303</f>
        <v>0.0</v>
      </c>
      <c r="Q2303" s="57"/>
      <c r="R2303" s="58"/>
    </row>
    <row r="2304" spans="8:8" ht="15.0" customHeight="1">
      <c r="B2304" s="54">
        <v>2448.0</v>
      </c>
      <c r="C2304" s="8"/>
      <c r="D2304" s="8"/>
      <c r="E2304" s="8"/>
      <c r="F2304" s="8"/>
      <c r="G2304" s="8"/>
      <c r="H2304" s="8"/>
      <c r="I2304" s="55"/>
      <c r="J2304" s="78" t="s">
        <v>6219</v>
      </c>
      <c r="K2304" s="22">
        <v>0.0</v>
      </c>
      <c r="L2304" s="22">
        <f>+SUMIF('حركه المخزن الرئيسي اليوميه'!$F:$F,$H:$H,'حركه المخزن الرئيسي اليوميه'!$H:$H)</f>
        <v>0.0</v>
      </c>
      <c r="M2304" s="22">
        <f>+SUMIF('حركه المخزن الرئيسي اليوميه'!$F:$F,$H:$H,'حركه المخزن الرئيسي اليوميه'!$I:$I)</f>
        <v>0.0</v>
      </c>
      <c r="N2304" s="22">
        <f>+K2304+L2304-M2304</f>
        <v>0.0</v>
      </c>
      <c r="O2304" s="22">
        <f>+N2304</f>
        <v>0.0</v>
      </c>
      <c r="P2304" s="22">
        <f>+N2304-O2304</f>
        <v>0.0</v>
      </c>
      <c r="Q2304" s="57"/>
      <c r="R2304" s="58"/>
    </row>
    <row r="2305" spans="8:8" ht="15.0" customHeight="1">
      <c r="B2305" s="54">
        <v>2449.0</v>
      </c>
      <c r="C2305" s="8"/>
      <c r="D2305" s="8"/>
      <c r="E2305" s="8"/>
      <c r="F2305" s="8"/>
      <c r="G2305" s="8"/>
      <c r="H2305" s="8"/>
      <c r="I2305" s="55"/>
      <c r="J2305" s="78" t="s">
        <v>6220</v>
      </c>
      <c r="K2305" s="22">
        <v>0.0</v>
      </c>
      <c r="L2305" s="22">
        <f>+SUMIF('حركه المخزن الرئيسي اليوميه'!$F:$F,$H:$H,'حركه المخزن الرئيسي اليوميه'!$H:$H)</f>
        <v>0.0</v>
      </c>
      <c r="M2305" s="22">
        <f>+SUMIF('حركه المخزن الرئيسي اليوميه'!$F:$F,$H:$H,'حركه المخزن الرئيسي اليوميه'!$I:$I)</f>
        <v>0.0</v>
      </c>
      <c r="N2305" s="22">
        <f>+K2305+L2305-M2305</f>
        <v>0.0</v>
      </c>
      <c r="O2305" s="22">
        <f>+N2305</f>
        <v>0.0</v>
      </c>
      <c r="P2305" s="22">
        <f>+N2305-O2305</f>
        <v>0.0</v>
      </c>
      <c r="Q2305" s="57"/>
      <c r="R2305" s="58"/>
    </row>
    <row r="2306" spans="8:8" ht="15.0" customHeight="1">
      <c r="B2306" s="54">
        <v>2450.0</v>
      </c>
      <c r="C2306" s="8"/>
      <c r="D2306" s="8"/>
      <c r="E2306" s="8"/>
      <c r="F2306" s="8"/>
      <c r="G2306" s="8"/>
      <c r="H2306" s="8"/>
      <c r="I2306" s="55"/>
      <c r="J2306" s="78" t="s">
        <v>6221</v>
      </c>
      <c r="K2306" s="22">
        <v>0.0</v>
      </c>
      <c r="L2306" s="22">
        <f>+SUMIF('حركه المخزن الرئيسي اليوميه'!$F:$F,$H:$H,'حركه المخزن الرئيسي اليوميه'!$H:$H)</f>
        <v>0.0</v>
      </c>
      <c r="M2306" s="22">
        <f>+SUMIF('حركه المخزن الرئيسي اليوميه'!$F:$F,$H:$H,'حركه المخزن الرئيسي اليوميه'!$I:$I)</f>
        <v>0.0</v>
      </c>
      <c r="N2306" s="22">
        <f>+K2306+L2306-M2306</f>
        <v>0.0</v>
      </c>
      <c r="O2306" s="22">
        <f>+N2306</f>
        <v>0.0</v>
      </c>
      <c r="P2306" s="22">
        <f>+N2306-O2306</f>
        <v>0.0</v>
      </c>
      <c r="Q2306" s="57"/>
      <c r="R2306" s="58"/>
    </row>
    <row r="2307" spans="8:8" ht="15.0" customHeight="1">
      <c r="B2307" s="54">
        <v>2451.0</v>
      </c>
      <c r="C2307" s="8"/>
      <c r="D2307" s="8"/>
      <c r="E2307" s="8"/>
      <c r="F2307" s="8"/>
      <c r="G2307" s="8"/>
      <c r="H2307" s="8"/>
      <c r="I2307" s="55"/>
      <c r="J2307" s="78" t="s">
        <v>6222</v>
      </c>
      <c r="K2307" s="22">
        <v>0.0</v>
      </c>
      <c r="L2307" s="22">
        <f>+SUMIF('حركه المخزن الرئيسي اليوميه'!$F:$F,$H:$H,'حركه المخزن الرئيسي اليوميه'!$H:$H)</f>
        <v>0.0</v>
      </c>
      <c r="M2307" s="22">
        <f>+SUMIF('حركه المخزن الرئيسي اليوميه'!$F:$F,$H:$H,'حركه المخزن الرئيسي اليوميه'!$I:$I)</f>
        <v>0.0</v>
      </c>
      <c r="N2307" s="22">
        <f>+K2307+L2307-M2307</f>
        <v>0.0</v>
      </c>
      <c r="O2307" s="22">
        <f>+N2307</f>
        <v>0.0</v>
      </c>
      <c r="P2307" s="22">
        <f>+N2307-O2307</f>
        <v>0.0</v>
      </c>
      <c r="Q2307" s="57"/>
      <c r="R2307" s="58"/>
    </row>
    <row r="2308" spans="8:8" ht="15.0" customHeight="1">
      <c r="B2308" s="54">
        <v>2452.0</v>
      </c>
      <c r="C2308" s="8"/>
      <c r="D2308" s="8"/>
      <c r="E2308" s="8"/>
      <c r="F2308" s="8"/>
      <c r="G2308" s="8"/>
      <c r="H2308" s="8"/>
      <c r="I2308" s="55"/>
      <c r="J2308" s="78" t="s">
        <v>6223</v>
      </c>
      <c r="K2308" s="22">
        <v>0.0</v>
      </c>
      <c r="L2308" s="22">
        <f>+SUMIF('حركه المخزن الرئيسي اليوميه'!$F:$F,$H:$H,'حركه المخزن الرئيسي اليوميه'!$H:$H)</f>
        <v>0.0</v>
      </c>
      <c r="M2308" s="22">
        <f>+SUMIF('حركه المخزن الرئيسي اليوميه'!$F:$F,$H:$H,'حركه المخزن الرئيسي اليوميه'!$I:$I)</f>
        <v>0.0</v>
      </c>
      <c r="N2308" s="22">
        <f>+K2308+L2308-M2308</f>
        <v>0.0</v>
      </c>
      <c r="O2308" s="22">
        <f>+N2308</f>
        <v>0.0</v>
      </c>
      <c r="P2308" s="22">
        <f>+N2308-O2308</f>
        <v>0.0</v>
      </c>
      <c r="Q2308" s="57"/>
      <c r="R2308" s="58"/>
    </row>
    <row r="2309" spans="8:8" ht="15.0" customHeight="1">
      <c r="B2309" s="54">
        <v>2453.0</v>
      </c>
      <c r="C2309" s="8"/>
      <c r="D2309" s="8"/>
      <c r="E2309" s="8"/>
      <c r="F2309" s="8"/>
      <c r="G2309" s="8"/>
      <c r="H2309" s="8"/>
      <c r="I2309" s="55"/>
      <c r="J2309" s="78" t="s">
        <v>6224</v>
      </c>
      <c r="K2309" s="22">
        <v>0.0</v>
      </c>
      <c r="L2309" s="22">
        <f>+SUMIF('حركه المخزن الرئيسي اليوميه'!$F:$F,$H:$H,'حركه المخزن الرئيسي اليوميه'!$H:$H)</f>
        <v>0.0</v>
      </c>
      <c r="M2309" s="22">
        <f>+SUMIF('حركه المخزن الرئيسي اليوميه'!$F:$F,$H:$H,'حركه المخزن الرئيسي اليوميه'!$I:$I)</f>
        <v>0.0</v>
      </c>
      <c r="N2309" s="22">
        <f>+K2309+L2309-M2309</f>
        <v>0.0</v>
      </c>
      <c r="O2309" s="22">
        <f>+N2309</f>
        <v>0.0</v>
      </c>
      <c r="P2309" s="22">
        <f>+N2309-O2309</f>
        <v>0.0</v>
      </c>
      <c r="Q2309" s="57"/>
      <c r="R2309" s="58"/>
    </row>
    <row r="2310" spans="8:8" ht="15.0" customHeight="1">
      <c r="B2310" s="54">
        <v>2454.0</v>
      </c>
      <c r="C2310" s="8"/>
      <c r="D2310" s="8"/>
      <c r="E2310" s="8"/>
      <c r="F2310" s="8"/>
      <c r="G2310" s="8"/>
      <c r="H2310" s="8"/>
      <c r="I2310" s="55"/>
      <c r="J2310" s="78" t="s">
        <v>6225</v>
      </c>
      <c r="K2310" s="22">
        <v>0.0</v>
      </c>
      <c r="L2310" s="22">
        <f>+SUMIF('حركه المخزن الرئيسي اليوميه'!$F:$F,$H:$H,'حركه المخزن الرئيسي اليوميه'!$H:$H)</f>
        <v>0.0</v>
      </c>
      <c r="M2310" s="22">
        <f>+SUMIF('حركه المخزن الرئيسي اليوميه'!$F:$F,$H:$H,'حركه المخزن الرئيسي اليوميه'!$I:$I)</f>
        <v>0.0</v>
      </c>
      <c r="N2310" s="22">
        <f>+K2310+L2310-M2310</f>
        <v>0.0</v>
      </c>
      <c r="O2310" s="22">
        <f>+N2310</f>
        <v>0.0</v>
      </c>
      <c r="P2310" s="22">
        <f>+N2310-O2310</f>
        <v>0.0</v>
      </c>
      <c r="Q2310" s="57"/>
      <c r="R2310" s="58"/>
    </row>
    <row r="2311" spans="8:8" ht="15.0" customHeight="1">
      <c r="B2311" s="54">
        <v>2455.0</v>
      </c>
      <c r="C2311" s="8"/>
      <c r="D2311" s="8"/>
      <c r="E2311" s="8"/>
      <c r="F2311" s="8"/>
      <c r="G2311" s="8"/>
      <c r="H2311" s="8"/>
      <c r="I2311" s="55"/>
      <c r="J2311" s="78" t="s">
        <v>6226</v>
      </c>
      <c r="K2311" s="22">
        <v>0.0</v>
      </c>
      <c r="L2311" s="22">
        <f>+SUMIF('حركه المخزن الرئيسي اليوميه'!$F:$F,$H:$H,'حركه المخزن الرئيسي اليوميه'!$H:$H)</f>
        <v>0.0</v>
      </c>
      <c r="M2311" s="22">
        <f>+SUMIF('حركه المخزن الرئيسي اليوميه'!$F:$F,$H:$H,'حركه المخزن الرئيسي اليوميه'!$I:$I)</f>
        <v>0.0</v>
      </c>
      <c r="N2311" s="22">
        <f>+K2311+L2311-M2311</f>
        <v>0.0</v>
      </c>
      <c r="O2311" s="22">
        <f>+N2311</f>
        <v>0.0</v>
      </c>
      <c r="P2311" s="22">
        <f>+N2311-O2311</f>
        <v>0.0</v>
      </c>
      <c r="Q2311" s="57"/>
      <c r="R2311" s="58"/>
    </row>
    <row r="2312" spans="8:8" ht="15.0" customHeight="1">
      <c r="B2312" s="54">
        <v>2456.0</v>
      </c>
      <c r="C2312" s="8"/>
      <c r="D2312" s="8"/>
      <c r="E2312" s="8"/>
      <c r="F2312" s="8"/>
      <c r="G2312" s="8"/>
      <c r="H2312" s="8"/>
      <c r="I2312" s="55"/>
      <c r="J2312" s="78" t="s">
        <v>6227</v>
      </c>
      <c r="K2312" s="22">
        <v>0.0</v>
      </c>
      <c r="L2312" s="22">
        <f>+SUMIF('حركه المخزن الرئيسي اليوميه'!$F:$F,$H:$H,'حركه المخزن الرئيسي اليوميه'!$H:$H)</f>
        <v>0.0</v>
      </c>
      <c r="M2312" s="22">
        <f>+SUMIF('حركه المخزن الرئيسي اليوميه'!$F:$F,$H:$H,'حركه المخزن الرئيسي اليوميه'!$I:$I)</f>
        <v>0.0</v>
      </c>
      <c r="N2312" s="22">
        <f>+K2312+L2312-M2312</f>
        <v>0.0</v>
      </c>
      <c r="O2312" s="22">
        <f>+N2312</f>
        <v>0.0</v>
      </c>
      <c r="P2312" s="22">
        <f>+N2312-O2312</f>
        <v>0.0</v>
      </c>
      <c r="Q2312" s="57"/>
      <c r="R2312" s="58"/>
    </row>
    <row r="2313" spans="8:8" ht="15.0" customHeight="1">
      <c r="B2313" s="54">
        <v>2457.0</v>
      </c>
      <c r="C2313" s="8"/>
      <c r="D2313" s="8"/>
      <c r="E2313" s="8"/>
      <c r="F2313" s="8"/>
      <c r="G2313" s="8"/>
      <c r="H2313" s="8"/>
      <c r="I2313" s="55"/>
      <c r="J2313" s="78" t="s">
        <v>6228</v>
      </c>
      <c r="K2313" s="22">
        <v>0.0</v>
      </c>
      <c r="L2313" s="22">
        <f>+SUMIF('حركه المخزن الرئيسي اليوميه'!$F:$F,$H:$H,'حركه المخزن الرئيسي اليوميه'!$H:$H)</f>
        <v>0.0</v>
      </c>
      <c r="M2313" s="22">
        <f>+SUMIF('حركه المخزن الرئيسي اليوميه'!$F:$F,$H:$H,'حركه المخزن الرئيسي اليوميه'!$I:$I)</f>
        <v>0.0</v>
      </c>
      <c r="N2313" s="22">
        <f>+K2313+L2313-M2313</f>
        <v>0.0</v>
      </c>
      <c r="O2313" s="22">
        <f>+N2313</f>
        <v>0.0</v>
      </c>
      <c r="P2313" s="22">
        <f>+N2313-O2313</f>
        <v>0.0</v>
      </c>
      <c r="Q2313" s="57"/>
      <c r="R2313" s="58"/>
    </row>
    <row r="2314" spans="8:8" ht="15.0" customHeight="1">
      <c r="B2314" s="54">
        <v>2458.0</v>
      </c>
      <c r="C2314" s="8"/>
      <c r="D2314" s="8"/>
      <c r="E2314" s="8"/>
      <c r="F2314" s="8"/>
      <c r="G2314" s="8"/>
      <c r="H2314" s="8"/>
      <c r="I2314" s="55"/>
      <c r="J2314" s="78" t="s">
        <v>6229</v>
      </c>
      <c r="K2314" s="22">
        <v>0.0</v>
      </c>
      <c r="L2314" s="22">
        <f>+SUMIF('حركه المخزن الرئيسي اليوميه'!$F:$F,$H:$H,'حركه المخزن الرئيسي اليوميه'!$H:$H)</f>
        <v>0.0</v>
      </c>
      <c r="M2314" s="22">
        <f>+SUMIF('حركه المخزن الرئيسي اليوميه'!$F:$F,$H:$H,'حركه المخزن الرئيسي اليوميه'!$I:$I)</f>
        <v>0.0</v>
      </c>
      <c r="N2314" s="22">
        <f>+K2314+L2314-M2314</f>
        <v>0.0</v>
      </c>
      <c r="O2314" s="22">
        <f>+N2314</f>
        <v>0.0</v>
      </c>
      <c r="P2314" s="22">
        <f>+N2314-O2314</f>
        <v>0.0</v>
      </c>
      <c r="Q2314" s="57"/>
      <c r="R2314" s="58"/>
    </row>
    <row r="2315" spans="8:8" ht="15.0" customHeight="1">
      <c r="B2315" s="54">
        <v>2459.0</v>
      </c>
      <c r="C2315" s="8"/>
      <c r="D2315" s="8"/>
      <c r="E2315" s="8"/>
      <c r="F2315" s="8"/>
      <c r="G2315" s="8"/>
      <c r="H2315" s="8"/>
      <c r="I2315" s="55"/>
      <c r="J2315" s="78" t="s">
        <v>6230</v>
      </c>
      <c r="K2315" s="22">
        <v>0.0</v>
      </c>
      <c r="L2315" s="22">
        <f>+SUMIF('حركه المخزن الرئيسي اليوميه'!$F:$F,$H:$H,'حركه المخزن الرئيسي اليوميه'!$H:$H)</f>
        <v>0.0</v>
      </c>
      <c r="M2315" s="22">
        <f>+SUMIF('حركه المخزن الرئيسي اليوميه'!$F:$F,$H:$H,'حركه المخزن الرئيسي اليوميه'!$I:$I)</f>
        <v>0.0</v>
      </c>
      <c r="N2315" s="22">
        <f>+K2315+L2315-M2315</f>
        <v>0.0</v>
      </c>
      <c r="O2315" s="22">
        <f>+N2315</f>
        <v>0.0</v>
      </c>
      <c r="P2315" s="22">
        <f>+N2315-O2315</f>
        <v>0.0</v>
      </c>
      <c r="Q2315" s="57"/>
      <c r="R2315" s="58"/>
    </row>
    <row r="2316" spans="8:8" ht="15.0" customHeight="1">
      <c r="B2316" s="54">
        <v>2460.0</v>
      </c>
      <c r="C2316" s="8"/>
      <c r="D2316" s="8"/>
      <c r="E2316" s="8"/>
      <c r="F2316" s="8"/>
      <c r="G2316" s="8"/>
      <c r="H2316" s="8"/>
      <c r="I2316" s="55"/>
      <c r="J2316" s="78" t="s">
        <v>6231</v>
      </c>
      <c r="K2316" s="22">
        <v>0.0</v>
      </c>
      <c r="L2316" s="22">
        <f>+SUMIF('حركه المخزن الرئيسي اليوميه'!$F:$F,$H:$H,'حركه المخزن الرئيسي اليوميه'!$H:$H)</f>
        <v>0.0</v>
      </c>
      <c r="M2316" s="22">
        <f>+SUMIF('حركه المخزن الرئيسي اليوميه'!$F:$F,$H:$H,'حركه المخزن الرئيسي اليوميه'!$I:$I)</f>
        <v>0.0</v>
      </c>
      <c r="N2316" s="22">
        <f>+K2316+L2316-M2316</f>
        <v>0.0</v>
      </c>
      <c r="O2316" s="22">
        <f>+N2316</f>
        <v>0.0</v>
      </c>
      <c r="P2316" s="22">
        <f>+N2316-O2316</f>
        <v>0.0</v>
      </c>
      <c r="Q2316" s="57"/>
      <c r="R2316" s="58"/>
    </row>
    <row r="2317" spans="8:8" ht="15.0" customHeight="1">
      <c r="B2317" s="54">
        <v>2461.0</v>
      </c>
      <c r="C2317" s="8"/>
      <c r="D2317" s="8"/>
      <c r="E2317" s="8"/>
      <c r="F2317" s="8"/>
      <c r="G2317" s="8"/>
      <c r="H2317" s="8"/>
      <c r="I2317" s="55"/>
      <c r="J2317" s="78" t="s">
        <v>6232</v>
      </c>
      <c r="K2317" s="22">
        <v>0.0</v>
      </c>
      <c r="L2317" s="22">
        <f>+SUMIF('حركه المخزن الرئيسي اليوميه'!$F:$F,$H:$H,'حركه المخزن الرئيسي اليوميه'!$H:$H)</f>
        <v>0.0</v>
      </c>
      <c r="M2317" s="22">
        <f>+SUMIF('حركه المخزن الرئيسي اليوميه'!$F:$F,$H:$H,'حركه المخزن الرئيسي اليوميه'!$I:$I)</f>
        <v>0.0</v>
      </c>
      <c r="N2317" s="22">
        <f>+K2317+L2317-M2317</f>
        <v>0.0</v>
      </c>
      <c r="O2317" s="22">
        <f>+N2317</f>
        <v>0.0</v>
      </c>
      <c r="P2317" s="22">
        <f>+N2317-O2317</f>
        <v>0.0</v>
      </c>
      <c r="Q2317" s="57"/>
      <c r="R2317" s="58"/>
    </row>
    <row r="2318" spans="8:8" ht="15.0" customHeight="1">
      <c r="B2318" s="54">
        <v>2462.0</v>
      </c>
      <c r="C2318" s="8"/>
      <c r="D2318" s="8"/>
      <c r="E2318" s="8"/>
      <c r="F2318" s="8"/>
      <c r="G2318" s="8"/>
      <c r="H2318" s="8"/>
      <c r="I2318" s="55"/>
      <c r="J2318" s="78" t="s">
        <v>6233</v>
      </c>
      <c r="K2318" s="22">
        <v>0.0</v>
      </c>
      <c r="L2318" s="22">
        <f>+SUMIF('حركه المخزن الرئيسي اليوميه'!$F:$F,$H:$H,'حركه المخزن الرئيسي اليوميه'!$H:$H)</f>
        <v>0.0</v>
      </c>
      <c r="M2318" s="22">
        <f>+SUMIF('حركه المخزن الرئيسي اليوميه'!$F:$F,$H:$H,'حركه المخزن الرئيسي اليوميه'!$I:$I)</f>
        <v>0.0</v>
      </c>
      <c r="N2318" s="22">
        <f>+K2318+L2318-M2318</f>
        <v>0.0</v>
      </c>
      <c r="O2318" s="22">
        <f>+N2318</f>
        <v>0.0</v>
      </c>
      <c r="P2318" s="22">
        <f>+N2318-O2318</f>
        <v>0.0</v>
      </c>
      <c r="Q2318" s="57"/>
      <c r="R2318" s="58"/>
    </row>
    <row r="2319" spans="8:8" ht="15.0" customHeight="1">
      <c r="B2319" s="54">
        <v>2463.0</v>
      </c>
      <c r="C2319" s="8"/>
      <c r="D2319" s="8"/>
      <c r="E2319" s="8"/>
      <c r="F2319" s="8"/>
      <c r="G2319" s="8"/>
      <c r="H2319" s="8"/>
      <c r="I2319" s="55"/>
      <c r="J2319" s="78" t="s">
        <v>6234</v>
      </c>
      <c r="K2319" s="22">
        <v>0.0</v>
      </c>
      <c r="L2319" s="22">
        <f>+SUMIF('حركه المخزن الرئيسي اليوميه'!$F:$F,$H:$H,'حركه المخزن الرئيسي اليوميه'!$H:$H)</f>
        <v>0.0</v>
      </c>
      <c r="M2319" s="22">
        <f>+SUMIF('حركه المخزن الرئيسي اليوميه'!$F:$F,$H:$H,'حركه المخزن الرئيسي اليوميه'!$I:$I)</f>
        <v>0.0</v>
      </c>
      <c r="N2319" s="22">
        <f>+K2319+L2319-M2319</f>
        <v>0.0</v>
      </c>
      <c r="O2319" s="22">
        <f>+N2319</f>
        <v>0.0</v>
      </c>
      <c r="P2319" s="22">
        <f>+N2319-O2319</f>
        <v>0.0</v>
      </c>
      <c r="Q2319" s="57"/>
      <c r="R2319" s="58"/>
    </row>
    <row r="2320" spans="8:8" ht="15.0" customHeight="1">
      <c r="B2320" s="54">
        <v>2464.0</v>
      </c>
      <c r="C2320" s="8"/>
      <c r="D2320" s="8"/>
      <c r="E2320" s="8"/>
      <c r="F2320" s="8"/>
      <c r="G2320" s="8"/>
      <c r="H2320" s="8"/>
      <c r="I2320" s="55"/>
      <c r="J2320" s="78" t="s">
        <v>6235</v>
      </c>
      <c r="K2320" s="22">
        <v>0.0</v>
      </c>
      <c r="L2320" s="22">
        <f>+SUMIF('حركه المخزن الرئيسي اليوميه'!$F:$F,$H:$H,'حركه المخزن الرئيسي اليوميه'!$H:$H)</f>
        <v>0.0</v>
      </c>
      <c r="M2320" s="22">
        <f>+SUMIF('حركه المخزن الرئيسي اليوميه'!$F:$F,$H:$H,'حركه المخزن الرئيسي اليوميه'!$I:$I)</f>
        <v>0.0</v>
      </c>
      <c r="N2320" s="22">
        <f>+K2320+L2320-M2320</f>
        <v>0.0</v>
      </c>
      <c r="O2320" s="22">
        <f>+N2320</f>
        <v>0.0</v>
      </c>
      <c r="P2320" s="22">
        <f>+N2320-O2320</f>
        <v>0.0</v>
      </c>
      <c r="Q2320" s="57"/>
      <c r="R2320" s="58"/>
    </row>
    <row r="2321" spans="8:8" ht="15.0" customHeight="1">
      <c r="B2321" s="54">
        <v>2465.0</v>
      </c>
      <c r="C2321" s="8"/>
      <c r="D2321" s="8"/>
      <c r="E2321" s="8"/>
      <c r="F2321" s="8"/>
      <c r="G2321" s="8"/>
      <c r="H2321" s="8"/>
      <c r="I2321" s="55"/>
      <c r="J2321" s="78" t="s">
        <v>6236</v>
      </c>
      <c r="K2321" s="22">
        <v>0.0</v>
      </c>
      <c r="L2321" s="22">
        <f>+SUMIF('حركه المخزن الرئيسي اليوميه'!$F:$F,$H:$H,'حركه المخزن الرئيسي اليوميه'!$H:$H)</f>
        <v>0.0</v>
      </c>
      <c r="M2321" s="22">
        <f>+SUMIF('حركه المخزن الرئيسي اليوميه'!$F:$F,$H:$H,'حركه المخزن الرئيسي اليوميه'!$I:$I)</f>
        <v>0.0</v>
      </c>
      <c r="N2321" s="22">
        <f>+K2321+L2321-M2321</f>
        <v>0.0</v>
      </c>
      <c r="O2321" s="22">
        <f>+N2321</f>
        <v>0.0</v>
      </c>
      <c r="P2321" s="22">
        <f>+N2321-O2321</f>
        <v>0.0</v>
      </c>
      <c r="Q2321" s="57"/>
      <c r="R2321" s="58"/>
    </row>
    <row r="2322" spans="8:8" ht="15.0" customHeight="1">
      <c r="B2322" s="54">
        <v>2466.0</v>
      </c>
      <c r="C2322" s="8"/>
      <c r="D2322" s="8"/>
      <c r="E2322" s="8"/>
      <c r="F2322" s="8"/>
      <c r="G2322" s="8"/>
      <c r="H2322" s="8"/>
      <c r="I2322" s="55"/>
      <c r="J2322" s="78" t="s">
        <v>6237</v>
      </c>
      <c r="K2322" s="22">
        <v>0.0</v>
      </c>
      <c r="L2322" s="22">
        <f>+SUMIF('حركه المخزن الرئيسي اليوميه'!$F:$F,$H:$H,'حركه المخزن الرئيسي اليوميه'!$H:$H)</f>
        <v>0.0</v>
      </c>
      <c r="M2322" s="22">
        <f>+SUMIF('حركه المخزن الرئيسي اليوميه'!$F:$F,$H:$H,'حركه المخزن الرئيسي اليوميه'!$I:$I)</f>
        <v>0.0</v>
      </c>
      <c r="N2322" s="22">
        <f>+K2322+L2322-M2322</f>
        <v>0.0</v>
      </c>
      <c r="O2322" s="22">
        <f>+N2322</f>
        <v>0.0</v>
      </c>
      <c r="P2322" s="22">
        <f>+N2322-O2322</f>
        <v>0.0</v>
      </c>
      <c r="Q2322" s="57"/>
      <c r="R2322" s="58"/>
    </row>
    <row r="2323" spans="8:8" ht="15.0" customHeight="1">
      <c r="B2323" s="54">
        <v>2467.0</v>
      </c>
      <c r="C2323" s="8"/>
      <c r="D2323" s="8"/>
      <c r="E2323" s="8"/>
      <c r="F2323" s="8"/>
      <c r="G2323" s="8"/>
      <c r="H2323" s="8"/>
      <c r="I2323" s="55"/>
      <c r="J2323" s="78" t="s">
        <v>6238</v>
      </c>
      <c r="K2323" s="22">
        <v>0.0</v>
      </c>
      <c r="L2323" s="22">
        <f>+SUMIF('حركه المخزن الرئيسي اليوميه'!$F:$F,$H:$H,'حركه المخزن الرئيسي اليوميه'!$H:$H)</f>
        <v>0.0</v>
      </c>
      <c r="M2323" s="22">
        <f>+SUMIF('حركه المخزن الرئيسي اليوميه'!$F:$F,$H:$H,'حركه المخزن الرئيسي اليوميه'!$I:$I)</f>
        <v>0.0</v>
      </c>
      <c r="N2323" s="22">
        <f>+K2323+L2323-M2323</f>
        <v>0.0</v>
      </c>
      <c r="O2323" s="22">
        <f>+N2323</f>
        <v>0.0</v>
      </c>
      <c r="P2323" s="22">
        <f>+N2323-O2323</f>
        <v>0.0</v>
      </c>
      <c r="Q2323" s="57"/>
      <c r="R2323" s="58"/>
    </row>
    <row r="2324" spans="8:8" ht="15.0" customHeight="1">
      <c r="B2324" s="54">
        <v>2468.0</v>
      </c>
      <c r="C2324" s="8"/>
      <c r="D2324" s="8"/>
      <c r="E2324" s="8"/>
      <c r="F2324" s="8"/>
      <c r="G2324" s="8"/>
      <c r="H2324" s="8"/>
      <c r="I2324" s="55"/>
      <c r="J2324" s="78" t="s">
        <v>6239</v>
      </c>
      <c r="K2324" s="22">
        <v>0.0</v>
      </c>
      <c r="L2324" s="22">
        <f>+SUMIF('حركه المخزن الرئيسي اليوميه'!$F:$F,$H:$H,'حركه المخزن الرئيسي اليوميه'!$H:$H)</f>
        <v>0.0</v>
      </c>
      <c r="M2324" s="22">
        <f>+SUMIF('حركه المخزن الرئيسي اليوميه'!$F:$F,$H:$H,'حركه المخزن الرئيسي اليوميه'!$I:$I)</f>
        <v>0.0</v>
      </c>
      <c r="N2324" s="22">
        <f>+K2324+L2324-M2324</f>
        <v>0.0</v>
      </c>
      <c r="O2324" s="22">
        <f>+N2324</f>
        <v>0.0</v>
      </c>
      <c r="P2324" s="22">
        <f>+N2324-O2324</f>
        <v>0.0</v>
      </c>
      <c r="Q2324" s="57"/>
      <c r="R2324" s="58"/>
    </row>
    <row r="2325" spans="8:8" ht="15.0" customHeight="1">
      <c r="B2325" s="54">
        <v>2469.0</v>
      </c>
      <c r="C2325" s="8"/>
      <c r="D2325" s="8"/>
      <c r="E2325" s="8"/>
      <c r="F2325" s="8"/>
      <c r="G2325" s="8"/>
      <c r="H2325" s="8"/>
      <c r="I2325" s="55"/>
      <c r="J2325" s="78" t="s">
        <v>6240</v>
      </c>
      <c r="K2325" s="22">
        <v>0.0</v>
      </c>
      <c r="L2325" s="22">
        <f>+SUMIF('حركه المخزن الرئيسي اليوميه'!$F:$F,$H:$H,'حركه المخزن الرئيسي اليوميه'!$H:$H)</f>
        <v>0.0</v>
      </c>
      <c r="M2325" s="22">
        <f>+SUMIF('حركه المخزن الرئيسي اليوميه'!$F:$F,$H:$H,'حركه المخزن الرئيسي اليوميه'!$I:$I)</f>
        <v>0.0</v>
      </c>
      <c r="N2325" s="22">
        <f>+K2325+L2325-M2325</f>
        <v>0.0</v>
      </c>
      <c r="O2325" s="22">
        <f>+N2325</f>
        <v>0.0</v>
      </c>
      <c r="P2325" s="22">
        <f>+N2325-O2325</f>
        <v>0.0</v>
      </c>
      <c r="Q2325" s="57"/>
      <c r="R2325" s="58"/>
    </row>
    <row r="2326" spans="8:8" ht="15.0" customHeight="1">
      <c r="B2326" s="54">
        <v>2470.0</v>
      </c>
      <c r="C2326" s="8"/>
      <c r="D2326" s="8"/>
      <c r="E2326" s="8"/>
      <c r="F2326" s="8"/>
      <c r="G2326" s="8"/>
      <c r="H2326" s="8"/>
      <c r="I2326" s="55"/>
      <c r="J2326" s="78" t="s">
        <v>6241</v>
      </c>
      <c r="K2326" s="22">
        <v>0.0</v>
      </c>
      <c r="L2326" s="22">
        <f>+SUMIF('حركه المخزن الرئيسي اليوميه'!$F:$F,$H:$H,'حركه المخزن الرئيسي اليوميه'!$H:$H)</f>
        <v>0.0</v>
      </c>
      <c r="M2326" s="22">
        <f>+SUMIF('حركه المخزن الرئيسي اليوميه'!$F:$F,$H:$H,'حركه المخزن الرئيسي اليوميه'!$I:$I)</f>
        <v>0.0</v>
      </c>
      <c r="N2326" s="22">
        <f>+K2326+L2326-M2326</f>
        <v>0.0</v>
      </c>
      <c r="O2326" s="22">
        <f>+N2326</f>
        <v>0.0</v>
      </c>
      <c r="P2326" s="22">
        <f>+N2326-O2326</f>
        <v>0.0</v>
      </c>
      <c r="Q2326" s="57"/>
      <c r="R2326" s="58"/>
    </row>
    <row r="2327" spans="8:8" ht="15.0" customHeight="1">
      <c r="B2327" s="54">
        <v>2471.0</v>
      </c>
      <c r="C2327" s="8"/>
      <c r="D2327" s="8"/>
      <c r="E2327" s="8"/>
      <c r="F2327" s="8"/>
      <c r="G2327" s="8"/>
      <c r="H2327" s="8"/>
      <c r="I2327" s="55"/>
      <c r="J2327" s="78" t="s">
        <v>6242</v>
      </c>
      <c r="K2327" s="22">
        <v>0.0</v>
      </c>
      <c r="L2327" s="22">
        <f>+SUMIF('حركه المخزن الرئيسي اليوميه'!$F:$F,$H:$H,'حركه المخزن الرئيسي اليوميه'!$H:$H)</f>
        <v>0.0</v>
      </c>
      <c r="M2327" s="22">
        <f>+SUMIF('حركه المخزن الرئيسي اليوميه'!$F:$F,$H:$H,'حركه المخزن الرئيسي اليوميه'!$I:$I)</f>
        <v>0.0</v>
      </c>
      <c r="N2327" s="22">
        <f>+K2327+L2327-M2327</f>
        <v>0.0</v>
      </c>
      <c r="O2327" s="22">
        <f>+N2327</f>
        <v>0.0</v>
      </c>
      <c r="P2327" s="22">
        <f>+N2327-O2327</f>
        <v>0.0</v>
      </c>
      <c r="Q2327" s="57"/>
      <c r="R2327" s="58"/>
    </row>
    <row r="2328" spans="8:8" ht="15.0" customHeight="1">
      <c r="B2328" s="54">
        <v>2472.0</v>
      </c>
      <c r="C2328" s="8"/>
      <c r="D2328" s="8"/>
      <c r="E2328" s="8"/>
      <c r="F2328" s="8"/>
      <c r="G2328" s="8"/>
      <c r="H2328" s="8"/>
      <c r="I2328" s="55"/>
      <c r="J2328" s="78" t="s">
        <v>6243</v>
      </c>
      <c r="K2328" s="22">
        <v>0.0</v>
      </c>
      <c r="L2328" s="22">
        <f>+SUMIF('حركه المخزن الرئيسي اليوميه'!$F:$F,$H:$H,'حركه المخزن الرئيسي اليوميه'!$H:$H)</f>
        <v>0.0</v>
      </c>
      <c r="M2328" s="22">
        <f>+SUMIF('حركه المخزن الرئيسي اليوميه'!$F:$F,$H:$H,'حركه المخزن الرئيسي اليوميه'!$I:$I)</f>
        <v>0.0</v>
      </c>
      <c r="N2328" s="22">
        <f>+K2328+L2328-M2328</f>
        <v>0.0</v>
      </c>
      <c r="O2328" s="22">
        <f>+N2328</f>
        <v>0.0</v>
      </c>
      <c r="P2328" s="22">
        <f>+N2328-O2328</f>
        <v>0.0</v>
      </c>
      <c r="Q2328" s="57"/>
      <c r="R2328" s="58"/>
    </row>
    <row r="2329" spans="8:8" ht="15.0" customHeight="1">
      <c r="B2329" s="54">
        <v>2473.0</v>
      </c>
      <c r="C2329" s="8"/>
      <c r="D2329" s="8"/>
      <c r="E2329" s="8"/>
      <c r="F2329" s="8"/>
      <c r="G2329" s="8"/>
      <c r="H2329" s="8"/>
      <c r="I2329" s="55"/>
      <c r="J2329" s="78" t="s">
        <v>6244</v>
      </c>
      <c r="K2329" s="22">
        <v>0.0</v>
      </c>
      <c r="L2329" s="22">
        <f>+SUMIF('حركه المخزن الرئيسي اليوميه'!$F:$F,$H:$H,'حركه المخزن الرئيسي اليوميه'!$H:$H)</f>
        <v>0.0</v>
      </c>
      <c r="M2329" s="22">
        <f>+SUMIF('حركه المخزن الرئيسي اليوميه'!$F:$F,$H:$H,'حركه المخزن الرئيسي اليوميه'!$I:$I)</f>
        <v>0.0</v>
      </c>
      <c r="N2329" s="22">
        <f>+K2329+L2329-M2329</f>
        <v>0.0</v>
      </c>
      <c r="O2329" s="22">
        <f>+N2329</f>
        <v>0.0</v>
      </c>
      <c r="P2329" s="22">
        <f>+N2329-O2329</f>
        <v>0.0</v>
      </c>
      <c r="Q2329" s="57"/>
      <c r="R2329" s="58"/>
    </row>
    <row r="2330" spans="8:8" ht="15.0" customHeight="1">
      <c r="B2330" s="54">
        <v>2474.0</v>
      </c>
      <c r="C2330" s="8"/>
      <c r="D2330" s="8"/>
      <c r="E2330" s="8"/>
      <c r="F2330" s="8"/>
      <c r="G2330" s="8"/>
      <c r="H2330" s="8"/>
      <c r="I2330" s="55"/>
      <c r="J2330" s="78" t="s">
        <v>6245</v>
      </c>
      <c r="K2330" s="22">
        <v>0.0</v>
      </c>
      <c r="L2330" s="22">
        <f>+SUMIF('حركه المخزن الرئيسي اليوميه'!$F:$F,$H:$H,'حركه المخزن الرئيسي اليوميه'!$H:$H)</f>
        <v>0.0</v>
      </c>
      <c r="M2330" s="22">
        <f>+SUMIF('حركه المخزن الرئيسي اليوميه'!$F:$F,$H:$H,'حركه المخزن الرئيسي اليوميه'!$I:$I)</f>
        <v>0.0</v>
      </c>
      <c r="N2330" s="22">
        <f>+K2330+L2330-M2330</f>
        <v>0.0</v>
      </c>
      <c r="O2330" s="22">
        <f>+N2330</f>
        <v>0.0</v>
      </c>
      <c r="P2330" s="22">
        <f>+N2330-O2330</f>
        <v>0.0</v>
      </c>
      <c r="Q2330" s="57"/>
      <c r="R2330" s="58"/>
    </row>
    <row r="2331" spans="8:8" ht="15.0" customHeight="1">
      <c r="B2331" s="54">
        <v>2475.0</v>
      </c>
      <c r="C2331" s="8"/>
      <c r="D2331" s="8"/>
      <c r="E2331" s="8"/>
      <c r="F2331" s="8"/>
      <c r="G2331" s="8"/>
      <c r="H2331" s="8"/>
      <c r="I2331" s="55"/>
      <c r="J2331" s="78" t="s">
        <v>6246</v>
      </c>
      <c r="K2331" s="22">
        <v>0.0</v>
      </c>
      <c r="L2331" s="22">
        <f>+SUMIF('حركه المخزن الرئيسي اليوميه'!$F:$F,$H:$H,'حركه المخزن الرئيسي اليوميه'!$H:$H)</f>
        <v>0.0</v>
      </c>
      <c r="M2331" s="22">
        <f>+SUMIF('حركه المخزن الرئيسي اليوميه'!$F:$F,$H:$H,'حركه المخزن الرئيسي اليوميه'!$I:$I)</f>
        <v>0.0</v>
      </c>
      <c r="N2331" s="22">
        <f>+K2331+L2331-M2331</f>
        <v>0.0</v>
      </c>
      <c r="O2331" s="22">
        <f>+N2331</f>
        <v>0.0</v>
      </c>
      <c r="P2331" s="22">
        <f>+N2331-O2331</f>
        <v>0.0</v>
      </c>
      <c r="Q2331" s="57"/>
      <c r="R2331" s="58"/>
    </row>
    <row r="2332" spans="8:8" ht="15.0" customHeight="1">
      <c r="B2332" s="54">
        <v>2476.0</v>
      </c>
      <c r="C2332" s="8"/>
      <c r="D2332" s="8"/>
      <c r="E2332" s="8"/>
      <c r="F2332" s="8"/>
      <c r="G2332" s="8"/>
      <c r="H2332" s="8"/>
      <c r="I2332" s="55"/>
      <c r="J2332" s="78" t="s">
        <v>6247</v>
      </c>
      <c r="K2332" s="22">
        <v>0.0</v>
      </c>
      <c r="L2332" s="22">
        <f>+SUMIF('حركه المخزن الرئيسي اليوميه'!$F:$F,$H:$H,'حركه المخزن الرئيسي اليوميه'!$H:$H)</f>
        <v>0.0</v>
      </c>
      <c r="M2332" s="22">
        <f>+SUMIF('حركه المخزن الرئيسي اليوميه'!$F:$F,$H:$H,'حركه المخزن الرئيسي اليوميه'!$I:$I)</f>
        <v>0.0</v>
      </c>
      <c r="N2332" s="22">
        <f>+K2332+L2332-M2332</f>
        <v>0.0</v>
      </c>
      <c r="O2332" s="22">
        <f>+N2332</f>
        <v>0.0</v>
      </c>
      <c r="P2332" s="22">
        <f>+N2332-O2332</f>
        <v>0.0</v>
      </c>
      <c r="Q2332" s="57"/>
      <c r="R2332" s="58"/>
    </row>
    <row r="2333" spans="8:8" ht="15.0" customHeight="1">
      <c r="B2333" s="54">
        <v>2477.0</v>
      </c>
      <c r="C2333" s="8"/>
      <c r="D2333" s="8"/>
      <c r="E2333" s="8"/>
      <c r="F2333" s="8"/>
      <c r="G2333" s="8"/>
      <c r="H2333" s="8"/>
      <c r="I2333" s="55"/>
      <c r="J2333" s="78" t="s">
        <v>6248</v>
      </c>
      <c r="K2333" s="22">
        <v>0.0</v>
      </c>
      <c r="L2333" s="22">
        <f>+SUMIF('حركه المخزن الرئيسي اليوميه'!$F:$F,$H:$H,'حركه المخزن الرئيسي اليوميه'!$H:$H)</f>
        <v>0.0</v>
      </c>
      <c r="M2333" s="22">
        <f>+SUMIF('حركه المخزن الرئيسي اليوميه'!$F:$F,$H:$H,'حركه المخزن الرئيسي اليوميه'!$I:$I)</f>
        <v>0.0</v>
      </c>
      <c r="N2333" s="22">
        <f>+K2333+L2333-M2333</f>
        <v>0.0</v>
      </c>
      <c r="O2333" s="22">
        <f>+N2333</f>
        <v>0.0</v>
      </c>
      <c r="P2333" s="22">
        <f>+N2333-O2333</f>
        <v>0.0</v>
      </c>
      <c r="Q2333" s="57"/>
      <c r="R2333" s="58"/>
    </row>
    <row r="2334" spans="8:8" ht="15.0" customHeight="1">
      <c r="B2334" s="54">
        <v>2478.0</v>
      </c>
      <c r="C2334" s="8"/>
      <c r="D2334" s="8"/>
      <c r="E2334" s="8"/>
      <c r="F2334" s="8"/>
      <c r="G2334" s="8"/>
      <c r="H2334" s="8"/>
      <c r="I2334" s="55"/>
      <c r="J2334" s="78" t="s">
        <v>6249</v>
      </c>
      <c r="K2334" s="22">
        <v>0.0</v>
      </c>
      <c r="L2334" s="22">
        <f>+SUMIF('حركه المخزن الرئيسي اليوميه'!$F:$F,$H:$H,'حركه المخزن الرئيسي اليوميه'!$H:$H)</f>
        <v>0.0</v>
      </c>
      <c r="M2334" s="22">
        <f>+SUMIF('حركه المخزن الرئيسي اليوميه'!$F:$F,$H:$H,'حركه المخزن الرئيسي اليوميه'!$I:$I)</f>
        <v>0.0</v>
      </c>
      <c r="N2334" s="22">
        <f>+K2334+L2334-M2334</f>
        <v>0.0</v>
      </c>
      <c r="O2334" s="22">
        <f>+N2334</f>
        <v>0.0</v>
      </c>
      <c r="P2334" s="22">
        <f>+N2334-O2334</f>
        <v>0.0</v>
      </c>
      <c r="Q2334" s="57"/>
      <c r="R2334" s="58"/>
    </row>
    <row r="2335" spans="8:8" ht="15.0" customHeight="1">
      <c r="B2335" s="54">
        <v>2479.0</v>
      </c>
      <c r="C2335" s="8"/>
      <c r="D2335" s="8"/>
      <c r="E2335" s="8"/>
      <c r="F2335" s="8"/>
      <c r="G2335" s="8"/>
      <c r="H2335" s="8"/>
      <c r="I2335" s="55"/>
      <c r="J2335" s="78" t="s">
        <v>6250</v>
      </c>
      <c r="K2335" s="22">
        <v>0.0</v>
      </c>
      <c r="L2335" s="22">
        <f>+SUMIF('حركه المخزن الرئيسي اليوميه'!$F:$F,$H:$H,'حركه المخزن الرئيسي اليوميه'!$H:$H)</f>
        <v>0.0</v>
      </c>
      <c r="M2335" s="22">
        <f>+SUMIF('حركه المخزن الرئيسي اليوميه'!$F:$F,$H:$H,'حركه المخزن الرئيسي اليوميه'!$I:$I)</f>
        <v>0.0</v>
      </c>
      <c r="N2335" s="22">
        <f>+K2335+L2335-M2335</f>
        <v>0.0</v>
      </c>
      <c r="O2335" s="22">
        <f>+N2335</f>
        <v>0.0</v>
      </c>
      <c r="P2335" s="22">
        <f>+N2335-O2335</f>
        <v>0.0</v>
      </c>
      <c r="Q2335" s="57"/>
      <c r="R2335" s="58"/>
    </row>
    <row r="2336" spans="8:8" ht="15.0" customHeight="1">
      <c r="B2336" s="54">
        <v>2480.0</v>
      </c>
      <c r="C2336" s="8"/>
      <c r="D2336" s="8"/>
      <c r="E2336" s="8"/>
      <c r="F2336" s="8"/>
      <c r="G2336" s="8"/>
      <c r="H2336" s="8"/>
      <c r="I2336" s="55"/>
      <c r="J2336" s="78" t="s">
        <v>6251</v>
      </c>
      <c r="K2336" s="22">
        <v>0.0</v>
      </c>
      <c r="L2336" s="22">
        <f>+SUMIF('حركه المخزن الرئيسي اليوميه'!$F:$F,$H:$H,'حركه المخزن الرئيسي اليوميه'!$H:$H)</f>
        <v>0.0</v>
      </c>
      <c r="M2336" s="22">
        <f>+SUMIF('حركه المخزن الرئيسي اليوميه'!$F:$F,$H:$H,'حركه المخزن الرئيسي اليوميه'!$I:$I)</f>
        <v>0.0</v>
      </c>
      <c r="N2336" s="22">
        <f>+K2336+L2336-M2336</f>
        <v>0.0</v>
      </c>
      <c r="O2336" s="22">
        <f>+N2336</f>
        <v>0.0</v>
      </c>
      <c r="P2336" s="22">
        <f>+N2336-O2336</f>
        <v>0.0</v>
      </c>
      <c r="Q2336" s="57"/>
      <c r="R2336" s="58"/>
    </row>
    <row r="2337" spans="8:8" ht="15.0" customHeight="1">
      <c r="B2337" s="54">
        <v>2481.0</v>
      </c>
      <c r="C2337" s="8"/>
      <c r="D2337" s="8"/>
      <c r="E2337" s="8"/>
      <c r="F2337" s="8"/>
      <c r="G2337" s="8"/>
      <c r="H2337" s="8"/>
      <c r="I2337" s="55"/>
      <c r="J2337" s="78" t="s">
        <v>6252</v>
      </c>
      <c r="K2337" s="22">
        <v>0.0</v>
      </c>
      <c r="L2337" s="22">
        <f>+SUMIF('حركه المخزن الرئيسي اليوميه'!$F:$F,$H:$H,'حركه المخزن الرئيسي اليوميه'!$H:$H)</f>
        <v>0.0</v>
      </c>
      <c r="M2337" s="22">
        <f>+SUMIF('حركه المخزن الرئيسي اليوميه'!$F:$F,$H:$H,'حركه المخزن الرئيسي اليوميه'!$I:$I)</f>
        <v>0.0</v>
      </c>
      <c r="N2337" s="22">
        <f>+K2337+L2337-M2337</f>
        <v>0.0</v>
      </c>
      <c r="O2337" s="22">
        <f>+N2337</f>
        <v>0.0</v>
      </c>
      <c r="P2337" s="22">
        <f>+N2337-O2337</f>
        <v>0.0</v>
      </c>
      <c r="Q2337" s="57"/>
      <c r="R2337" s="58"/>
    </row>
    <row r="2338" spans="8:8" ht="15.0" customHeight="1">
      <c r="B2338" s="54">
        <v>2482.0</v>
      </c>
      <c r="C2338" s="8"/>
      <c r="D2338" s="8"/>
      <c r="E2338" s="8"/>
      <c r="F2338" s="8"/>
      <c r="G2338" s="8"/>
      <c r="H2338" s="8"/>
      <c r="I2338" s="55"/>
      <c r="J2338" s="78" t="s">
        <v>6253</v>
      </c>
      <c r="K2338" s="22">
        <v>0.0</v>
      </c>
      <c r="L2338" s="22">
        <f>+SUMIF('حركه المخزن الرئيسي اليوميه'!$F:$F,$H:$H,'حركه المخزن الرئيسي اليوميه'!$H:$H)</f>
        <v>0.0</v>
      </c>
      <c r="M2338" s="22">
        <f>+SUMIF('حركه المخزن الرئيسي اليوميه'!$F:$F,$H:$H,'حركه المخزن الرئيسي اليوميه'!$I:$I)</f>
        <v>0.0</v>
      </c>
      <c r="N2338" s="22">
        <f>+K2338+L2338-M2338</f>
        <v>0.0</v>
      </c>
      <c r="O2338" s="22">
        <f>+N2338</f>
        <v>0.0</v>
      </c>
      <c r="P2338" s="22">
        <f>+N2338-O2338</f>
        <v>0.0</v>
      </c>
      <c r="Q2338" s="57"/>
      <c r="R2338" s="58"/>
    </row>
    <row r="2339" spans="8:8" ht="15.0" customHeight="1">
      <c r="B2339" s="54">
        <v>2483.0</v>
      </c>
      <c r="C2339" s="8"/>
      <c r="D2339" s="8"/>
      <c r="E2339" s="8"/>
      <c r="F2339" s="8"/>
      <c r="G2339" s="8"/>
      <c r="H2339" s="8"/>
      <c r="I2339" s="55"/>
      <c r="J2339" s="78" t="s">
        <v>6254</v>
      </c>
      <c r="K2339" s="22">
        <v>0.0</v>
      </c>
      <c r="L2339" s="22">
        <f>+SUMIF('حركه المخزن الرئيسي اليوميه'!$F:$F,$H:$H,'حركه المخزن الرئيسي اليوميه'!$H:$H)</f>
        <v>0.0</v>
      </c>
      <c r="M2339" s="22">
        <f>+SUMIF('حركه المخزن الرئيسي اليوميه'!$F:$F,$H:$H,'حركه المخزن الرئيسي اليوميه'!$I:$I)</f>
        <v>0.0</v>
      </c>
      <c r="N2339" s="22">
        <f>+K2339+L2339-M2339</f>
        <v>0.0</v>
      </c>
      <c r="O2339" s="22">
        <f>+N2339</f>
        <v>0.0</v>
      </c>
      <c r="P2339" s="22">
        <f>+N2339-O2339</f>
        <v>0.0</v>
      </c>
      <c r="Q2339" s="57"/>
      <c r="R2339" s="58"/>
    </row>
    <row r="2340" spans="8:8" ht="15.0" customHeight="1">
      <c r="B2340" s="54">
        <v>2484.0</v>
      </c>
      <c r="C2340" s="8"/>
      <c r="D2340" s="8"/>
      <c r="E2340" s="8"/>
      <c r="F2340" s="8"/>
      <c r="G2340" s="8"/>
      <c r="H2340" s="8"/>
      <c r="I2340" s="55"/>
      <c r="J2340" s="78" t="s">
        <v>6255</v>
      </c>
      <c r="K2340" s="22">
        <v>0.0</v>
      </c>
      <c r="L2340" s="22">
        <f>+SUMIF('حركه المخزن الرئيسي اليوميه'!$F:$F,$H:$H,'حركه المخزن الرئيسي اليوميه'!$H:$H)</f>
        <v>0.0</v>
      </c>
      <c r="M2340" s="22">
        <f>+SUMIF('حركه المخزن الرئيسي اليوميه'!$F:$F,$H:$H,'حركه المخزن الرئيسي اليوميه'!$I:$I)</f>
        <v>0.0</v>
      </c>
      <c r="N2340" s="22">
        <f>+K2340+L2340-M2340</f>
        <v>0.0</v>
      </c>
      <c r="O2340" s="22">
        <f>+N2340</f>
        <v>0.0</v>
      </c>
      <c r="P2340" s="22">
        <f>+N2340-O2340</f>
        <v>0.0</v>
      </c>
      <c r="Q2340" s="57"/>
      <c r="R2340" s="58"/>
    </row>
    <row r="2341" spans="8:8" ht="15.0" customHeight="1">
      <c r="B2341" s="54">
        <v>2485.0</v>
      </c>
      <c r="C2341" s="8"/>
      <c r="D2341" s="8"/>
      <c r="E2341" s="8"/>
      <c r="F2341" s="8"/>
      <c r="G2341" s="8"/>
      <c r="H2341" s="8"/>
      <c r="I2341" s="55"/>
      <c r="J2341" s="78" t="s">
        <v>6256</v>
      </c>
      <c r="K2341" s="22">
        <v>0.0</v>
      </c>
      <c r="L2341" s="22">
        <f>+SUMIF('حركه المخزن الرئيسي اليوميه'!$F:$F,$H:$H,'حركه المخزن الرئيسي اليوميه'!$H:$H)</f>
        <v>0.0</v>
      </c>
      <c r="M2341" s="22">
        <f>+SUMIF('حركه المخزن الرئيسي اليوميه'!$F:$F,$H:$H,'حركه المخزن الرئيسي اليوميه'!$I:$I)</f>
        <v>0.0</v>
      </c>
      <c r="N2341" s="22">
        <f>+K2341+L2341-M2341</f>
        <v>0.0</v>
      </c>
      <c r="O2341" s="22">
        <f>+N2341</f>
        <v>0.0</v>
      </c>
      <c r="P2341" s="22">
        <f>+N2341-O2341</f>
        <v>0.0</v>
      </c>
      <c r="Q2341" s="57"/>
      <c r="R2341" s="58"/>
    </row>
    <row r="2342" spans="8:8" ht="15.0" customHeight="1">
      <c r="B2342" s="54">
        <v>2486.0</v>
      </c>
      <c r="C2342" s="8"/>
      <c r="D2342" s="8"/>
      <c r="E2342" s="8"/>
      <c r="F2342" s="8"/>
      <c r="G2342" s="8"/>
      <c r="H2342" s="8"/>
      <c r="I2342" s="55"/>
      <c r="J2342" s="78" t="s">
        <v>6257</v>
      </c>
      <c r="K2342" s="22">
        <v>0.0</v>
      </c>
      <c r="L2342" s="22">
        <f>+SUMIF('حركه المخزن الرئيسي اليوميه'!$F:$F,$H:$H,'حركه المخزن الرئيسي اليوميه'!$H:$H)</f>
        <v>0.0</v>
      </c>
      <c r="M2342" s="22">
        <f>+SUMIF('حركه المخزن الرئيسي اليوميه'!$F:$F,$H:$H,'حركه المخزن الرئيسي اليوميه'!$I:$I)</f>
        <v>0.0</v>
      </c>
      <c r="N2342" s="22">
        <f>+K2342+L2342-M2342</f>
        <v>0.0</v>
      </c>
      <c r="O2342" s="22">
        <f>+N2342</f>
        <v>0.0</v>
      </c>
      <c r="P2342" s="22">
        <f>+N2342-O2342</f>
        <v>0.0</v>
      </c>
      <c r="Q2342" s="57"/>
      <c r="R2342" s="58"/>
    </row>
    <row r="2343" spans="8:8" ht="15.0" customHeight="1">
      <c r="B2343" s="54">
        <v>2487.0</v>
      </c>
      <c r="C2343" s="8"/>
      <c r="D2343" s="8"/>
      <c r="E2343" s="8"/>
      <c r="F2343" s="8"/>
      <c r="G2343" s="8"/>
      <c r="H2343" s="8"/>
      <c r="I2343" s="55"/>
      <c r="J2343" s="78" t="s">
        <v>6258</v>
      </c>
      <c r="K2343" s="22">
        <v>0.0</v>
      </c>
      <c r="L2343" s="22">
        <f>+SUMIF('حركه المخزن الرئيسي اليوميه'!$F:$F,$H:$H,'حركه المخزن الرئيسي اليوميه'!$H:$H)</f>
        <v>0.0</v>
      </c>
      <c r="M2343" s="22">
        <f>+SUMIF('حركه المخزن الرئيسي اليوميه'!$F:$F,$H:$H,'حركه المخزن الرئيسي اليوميه'!$I:$I)</f>
        <v>0.0</v>
      </c>
      <c r="N2343" s="22">
        <f>+K2343+L2343-M2343</f>
        <v>0.0</v>
      </c>
      <c r="O2343" s="22">
        <f>+N2343</f>
        <v>0.0</v>
      </c>
      <c r="P2343" s="22">
        <f>+N2343-O2343</f>
        <v>0.0</v>
      </c>
      <c r="Q2343" s="57"/>
      <c r="R2343" s="58"/>
    </row>
    <row r="2344" spans="8:8" ht="15.0" customHeight="1">
      <c r="B2344" s="54">
        <v>2488.0</v>
      </c>
      <c r="C2344" s="8"/>
      <c r="D2344" s="8"/>
      <c r="E2344" s="8"/>
      <c r="F2344" s="8"/>
      <c r="G2344" s="8"/>
      <c r="H2344" s="8"/>
      <c r="I2344" s="55"/>
      <c r="J2344" s="78" t="s">
        <v>6259</v>
      </c>
      <c r="K2344" s="22">
        <v>0.0</v>
      </c>
      <c r="L2344" s="22">
        <f>+SUMIF('حركه المخزن الرئيسي اليوميه'!$F:$F,$H:$H,'حركه المخزن الرئيسي اليوميه'!$H:$H)</f>
        <v>0.0</v>
      </c>
      <c r="M2344" s="22">
        <f>+SUMIF('حركه المخزن الرئيسي اليوميه'!$F:$F,$H:$H,'حركه المخزن الرئيسي اليوميه'!$I:$I)</f>
        <v>0.0</v>
      </c>
      <c r="N2344" s="22">
        <f>+K2344+L2344-M2344</f>
        <v>0.0</v>
      </c>
      <c r="O2344" s="22">
        <f>+N2344</f>
        <v>0.0</v>
      </c>
      <c r="P2344" s="22">
        <f>+N2344-O2344</f>
        <v>0.0</v>
      </c>
      <c r="Q2344" s="57"/>
      <c r="R2344" s="58"/>
    </row>
    <row r="2345" spans="8:8" ht="15.0" customHeight="1">
      <c r="B2345" s="54">
        <v>2489.0</v>
      </c>
      <c r="C2345" s="8"/>
      <c r="D2345" s="8"/>
      <c r="E2345" s="8"/>
      <c r="F2345" s="8"/>
      <c r="G2345" s="8"/>
      <c r="H2345" s="8"/>
      <c r="I2345" s="55"/>
      <c r="J2345" s="78" t="s">
        <v>6260</v>
      </c>
      <c r="K2345" s="22">
        <v>0.0</v>
      </c>
      <c r="L2345" s="22">
        <f>+SUMIF('حركه المخزن الرئيسي اليوميه'!$F:$F,$H:$H,'حركه المخزن الرئيسي اليوميه'!$H:$H)</f>
        <v>0.0</v>
      </c>
      <c r="M2345" s="22">
        <f>+SUMIF('حركه المخزن الرئيسي اليوميه'!$F:$F,$H:$H,'حركه المخزن الرئيسي اليوميه'!$I:$I)</f>
        <v>0.0</v>
      </c>
      <c r="N2345" s="22">
        <f>+K2345+L2345-M2345</f>
        <v>0.0</v>
      </c>
      <c r="O2345" s="22">
        <f>+N2345</f>
        <v>0.0</v>
      </c>
      <c r="P2345" s="22">
        <f>+N2345-O2345</f>
        <v>0.0</v>
      </c>
      <c r="Q2345" s="57"/>
      <c r="R2345" s="58"/>
    </row>
    <row r="2346" spans="8:8" ht="15.0" customHeight="1">
      <c r="B2346" s="54">
        <v>2490.0</v>
      </c>
      <c r="C2346" s="8"/>
      <c r="D2346" s="8"/>
      <c r="E2346" s="8"/>
      <c r="F2346" s="8"/>
      <c r="G2346" s="8"/>
      <c r="H2346" s="8"/>
      <c r="I2346" s="55"/>
      <c r="J2346" s="78" t="s">
        <v>6261</v>
      </c>
      <c r="K2346" s="22">
        <v>0.0</v>
      </c>
      <c r="L2346" s="22">
        <f>+SUMIF('حركه المخزن الرئيسي اليوميه'!$F:$F,$H:$H,'حركه المخزن الرئيسي اليوميه'!$H:$H)</f>
        <v>0.0</v>
      </c>
      <c r="M2346" s="22">
        <f>+SUMIF('حركه المخزن الرئيسي اليوميه'!$F:$F,$H:$H,'حركه المخزن الرئيسي اليوميه'!$I:$I)</f>
        <v>0.0</v>
      </c>
      <c r="N2346" s="22">
        <f>+K2346+L2346-M2346</f>
        <v>0.0</v>
      </c>
      <c r="O2346" s="22">
        <f>+N2346</f>
        <v>0.0</v>
      </c>
      <c r="P2346" s="22">
        <f>+N2346-O2346</f>
        <v>0.0</v>
      </c>
      <c r="Q2346" s="57"/>
      <c r="R2346" s="58"/>
    </row>
    <row r="2347" spans="8:8" ht="15.0" customHeight="1">
      <c r="B2347" s="54">
        <v>2491.0</v>
      </c>
      <c r="C2347" s="8"/>
      <c r="D2347" s="8"/>
      <c r="E2347" s="8"/>
      <c r="F2347" s="8"/>
      <c r="G2347" s="8"/>
      <c r="H2347" s="8"/>
      <c r="I2347" s="55"/>
      <c r="J2347" s="78" t="s">
        <v>6262</v>
      </c>
      <c r="K2347" s="22">
        <v>0.0</v>
      </c>
      <c r="L2347" s="22">
        <f>+SUMIF('حركه المخزن الرئيسي اليوميه'!$F:$F,$H:$H,'حركه المخزن الرئيسي اليوميه'!$H:$H)</f>
        <v>0.0</v>
      </c>
      <c r="M2347" s="22">
        <f>+SUMIF('حركه المخزن الرئيسي اليوميه'!$F:$F,$H:$H,'حركه المخزن الرئيسي اليوميه'!$I:$I)</f>
        <v>0.0</v>
      </c>
      <c r="N2347" s="22">
        <f>+K2347+L2347-M2347</f>
        <v>0.0</v>
      </c>
      <c r="O2347" s="22">
        <f>+N2347</f>
        <v>0.0</v>
      </c>
      <c r="P2347" s="22">
        <f>+N2347-O2347</f>
        <v>0.0</v>
      </c>
      <c r="Q2347" s="57"/>
      <c r="R2347" s="58"/>
    </row>
    <row r="2348" spans="8:8" ht="15.0" customHeight="1">
      <c r="B2348" s="54">
        <v>2492.0</v>
      </c>
      <c r="C2348" s="8"/>
      <c r="D2348" s="8"/>
      <c r="E2348" s="8"/>
      <c r="F2348" s="8"/>
      <c r="G2348" s="8"/>
      <c r="H2348" s="8"/>
      <c r="I2348" s="55"/>
      <c r="J2348" s="78" t="s">
        <v>6263</v>
      </c>
      <c r="K2348" s="22">
        <v>0.0</v>
      </c>
      <c r="L2348" s="22">
        <f>+SUMIF('حركه المخزن الرئيسي اليوميه'!$F:$F,$H:$H,'حركه المخزن الرئيسي اليوميه'!$H:$H)</f>
        <v>0.0</v>
      </c>
      <c r="M2348" s="22">
        <f>+SUMIF('حركه المخزن الرئيسي اليوميه'!$F:$F,$H:$H,'حركه المخزن الرئيسي اليوميه'!$I:$I)</f>
        <v>0.0</v>
      </c>
      <c r="N2348" s="22">
        <f>+K2348+L2348-M2348</f>
        <v>0.0</v>
      </c>
      <c r="O2348" s="22">
        <f>+N2348</f>
        <v>0.0</v>
      </c>
      <c r="P2348" s="22">
        <f>+N2348-O2348</f>
        <v>0.0</v>
      </c>
      <c r="Q2348" s="57"/>
      <c r="R2348" s="58"/>
    </row>
    <row r="2349" spans="8:8" ht="15.0" customHeight="1">
      <c r="B2349" s="54">
        <v>2493.0</v>
      </c>
      <c r="C2349" s="8"/>
      <c r="D2349" s="8"/>
      <c r="E2349" s="8"/>
      <c r="F2349" s="8"/>
      <c r="G2349" s="8"/>
      <c r="H2349" s="8"/>
      <c r="I2349" s="55"/>
      <c r="J2349" s="78" t="s">
        <v>6264</v>
      </c>
      <c r="K2349" s="22">
        <v>0.0</v>
      </c>
      <c r="L2349" s="22">
        <f>+SUMIF('حركه المخزن الرئيسي اليوميه'!$F:$F,$H:$H,'حركه المخزن الرئيسي اليوميه'!$H:$H)</f>
        <v>0.0</v>
      </c>
      <c r="M2349" s="22">
        <f>+SUMIF('حركه المخزن الرئيسي اليوميه'!$F:$F,$H:$H,'حركه المخزن الرئيسي اليوميه'!$I:$I)</f>
        <v>0.0</v>
      </c>
      <c r="N2349" s="22">
        <f>+K2349+L2349-M2349</f>
        <v>0.0</v>
      </c>
      <c r="O2349" s="22">
        <f>+N2349</f>
        <v>0.0</v>
      </c>
      <c r="P2349" s="22">
        <f>+N2349-O2349</f>
        <v>0.0</v>
      </c>
      <c r="Q2349" s="57"/>
      <c r="R2349" s="58"/>
    </row>
    <row r="2350" spans="8:8" ht="15.0" customHeight="1">
      <c r="B2350" s="54">
        <v>2494.0</v>
      </c>
      <c r="C2350" s="8"/>
      <c r="D2350" s="8"/>
      <c r="E2350" s="8"/>
      <c r="F2350" s="8"/>
      <c r="G2350" s="8"/>
      <c r="H2350" s="8"/>
      <c r="I2350" s="55"/>
      <c r="J2350" s="78" t="s">
        <v>6265</v>
      </c>
      <c r="K2350" s="22">
        <v>0.0</v>
      </c>
      <c r="L2350" s="22">
        <f>+SUMIF('حركه المخزن الرئيسي اليوميه'!$F:$F,$H:$H,'حركه المخزن الرئيسي اليوميه'!$H:$H)</f>
        <v>0.0</v>
      </c>
      <c r="M2350" s="22">
        <f>+SUMIF('حركه المخزن الرئيسي اليوميه'!$F:$F,$H:$H,'حركه المخزن الرئيسي اليوميه'!$I:$I)</f>
        <v>0.0</v>
      </c>
      <c r="N2350" s="22">
        <f>+K2350+L2350-M2350</f>
        <v>0.0</v>
      </c>
      <c r="O2350" s="22">
        <f>+N2350</f>
        <v>0.0</v>
      </c>
      <c r="P2350" s="22">
        <f>+N2350-O2350</f>
        <v>0.0</v>
      </c>
      <c r="Q2350" s="57"/>
      <c r="R2350" s="58"/>
    </row>
    <row r="2351" spans="8:8" ht="15.0" customHeight="1">
      <c r="B2351" s="54">
        <v>2495.0</v>
      </c>
      <c r="C2351" s="8"/>
      <c r="D2351" s="8"/>
      <c r="E2351" s="8"/>
      <c r="F2351" s="8"/>
      <c r="G2351" s="8"/>
      <c r="H2351" s="8"/>
      <c r="I2351" s="55"/>
      <c r="J2351" s="78" t="s">
        <v>6266</v>
      </c>
      <c r="K2351" s="22">
        <v>0.0</v>
      </c>
      <c r="L2351" s="22">
        <f>+SUMIF('حركه المخزن الرئيسي اليوميه'!$F:$F,$H:$H,'حركه المخزن الرئيسي اليوميه'!$H:$H)</f>
        <v>0.0</v>
      </c>
      <c r="M2351" s="22">
        <f>+SUMIF('حركه المخزن الرئيسي اليوميه'!$F:$F,$H:$H,'حركه المخزن الرئيسي اليوميه'!$I:$I)</f>
        <v>0.0</v>
      </c>
      <c r="N2351" s="22">
        <f>+K2351+L2351-M2351</f>
        <v>0.0</v>
      </c>
      <c r="O2351" s="22">
        <f>+N2351</f>
        <v>0.0</v>
      </c>
      <c r="P2351" s="22">
        <f>+N2351-O2351</f>
        <v>0.0</v>
      </c>
      <c r="Q2351" s="57"/>
      <c r="R2351" s="58"/>
    </row>
    <row r="2352" spans="8:8" ht="15.0" customHeight="1">
      <c r="B2352" s="54">
        <v>2496.0</v>
      </c>
      <c r="C2352" s="8"/>
      <c r="D2352" s="8"/>
      <c r="E2352" s="8"/>
      <c r="F2352" s="8"/>
      <c r="G2352" s="8"/>
      <c r="H2352" s="8"/>
      <c r="I2352" s="55"/>
      <c r="J2352" s="78" t="s">
        <v>6267</v>
      </c>
      <c r="K2352" s="22">
        <v>0.0</v>
      </c>
      <c r="L2352" s="22">
        <f>+SUMIF('حركه المخزن الرئيسي اليوميه'!$F:$F,$H:$H,'حركه المخزن الرئيسي اليوميه'!$H:$H)</f>
        <v>0.0</v>
      </c>
      <c r="M2352" s="22">
        <f>+SUMIF('حركه المخزن الرئيسي اليوميه'!$F:$F,$H:$H,'حركه المخزن الرئيسي اليوميه'!$I:$I)</f>
        <v>0.0</v>
      </c>
      <c r="N2352" s="22">
        <f>+K2352+L2352-M2352</f>
        <v>0.0</v>
      </c>
      <c r="O2352" s="22">
        <f>+N2352</f>
        <v>0.0</v>
      </c>
      <c r="P2352" s="22">
        <f>+N2352-O2352</f>
        <v>0.0</v>
      </c>
      <c r="Q2352" s="57"/>
      <c r="R2352" s="58"/>
    </row>
    <row r="2353" spans="8:8" ht="15.0" customHeight="1">
      <c r="B2353" s="54">
        <v>2497.0</v>
      </c>
      <c r="C2353" s="8"/>
      <c r="D2353" s="8"/>
      <c r="E2353" s="8"/>
      <c r="F2353" s="8"/>
      <c r="G2353" s="8"/>
      <c r="H2353" s="8"/>
      <c r="I2353" s="55"/>
      <c r="J2353" s="78" t="s">
        <v>6268</v>
      </c>
      <c r="K2353" s="22">
        <v>0.0</v>
      </c>
      <c r="L2353" s="22">
        <f>+SUMIF('حركه المخزن الرئيسي اليوميه'!$F:$F,$H:$H,'حركه المخزن الرئيسي اليوميه'!$H:$H)</f>
        <v>0.0</v>
      </c>
      <c r="M2353" s="22">
        <f>+SUMIF('حركه المخزن الرئيسي اليوميه'!$F:$F,$H:$H,'حركه المخزن الرئيسي اليوميه'!$I:$I)</f>
        <v>0.0</v>
      </c>
      <c r="N2353" s="22">
        <f>+K2353+L2353-M2353</f>
        <v>0.0</v>
      </c>
      <c r="O2353" s="22">
        <f>+N2353</f>
        <v>0.0</v>
      </c>
      <c r="P2353" s="22">
        <f>+N2353-O2353</f>
        <v>0.0</v>
      </c>
      <c r="Q2353" s="57"/>
      <c r="R2353" s="58"/>
    </row>
    <row r="2354" spans="8:8" ht="15.0" customHeight="1">
      <c r="B2354" s="54">
        <v>2498.0</v>
      </c>
      <c r="C2354" s="8"/>
      <c r="D2354" s="8"/>
      <c r="E2354" s="8"/>
      <c r="F2354" s="8"/>
      <c r="G2354" s="8"/>
      <c r="H2354" s="8"/>
      <c r="I2354" s="55"/>
      <c r="J2354" s="78" t="s">
        <v>6269</v>
      </c>
      <c r="K2354" s="22">
        <v>0.0</v>
      </c>
      <c r="L2354" s="22">
        <f>+SUMIF('حركه المخزن الرئيسي اليوميه'!$F:$F,$H:$H,'حركه المخزن الرئيسي اليوميه'!$H:$H)</f>
        <v>0.0</v>
      </c>
      <c r="M2354" s="22">
        <f>+SUMIF('حركه المخزن الرئيسي اليوميه'!$F:$F,$H:$H,'حركه المخزن الرئيسي اليوميه'!$I:$I)</f>
        <v>0.0</v>
      </c>
      <c r="N2354" s="22">
        <f>+K2354+L2354-M2354</f>
        <v>0.0</v>
      </c>
      <c r="O2354" s="22">
        <f>+N2354</f>
        <v>0.0</v>
      </c>
      <c r="P2354" s="22">
        <f>+N2354-O2354</f>
        <v>0.0</v>
      </c>
      <c r="Q2354" s="57"/>
      <c r="R2354" s="58"/>
    </row>
    <row r="2355" spans="8:8" ht="15.0" customHeight="1">
      <c r="B2355" s="54">
        <v>2499.0</v>
      </c>
      <c r="C2355" s="8"/>
      <c r="D2355" s="8"/>
      <c r="E2355" s="8"/>
      <c r="F2355" s="8"/>
      <c r="G2355" s="8"/>
      <c r="H2355" s="8"/>
      <c r="I2355" s="55"/>
      <c r="J2355" s="78" t="s">
        <v>6270</v>
      </c>
      <c r="K2355" s="22">
        <v>0.0</v>
      </c>
      <c r="L2355" s="22">
        <f>+SUMIF('حركه المخزن الرئيسي اليوميه'!$F:$F,$H:$H,'حركه المخزن الرئيسي اليوميه'!$H:$H)</f>
        <v>0.0</v>
      </c>
      <c r="M2355" s="22">
        <f>+SUMIF('حركه المخزن الرئيسي اليوميه'!$F:$F,$H:$H,'حركه المخزن الرئيسي اليوميه'!$I:$I)</f>
        <v>0.0</v>
      </c>
      <c r="N2355" s="22">
        <f>+K2355+L2355-M2355</f>
        <v>0.0</v>
      </c>
      <c r="O2355" s="22">
        <f>+N2355</f>
        <v>0.0</v>
      </c>
      <c r="P2355" s="22">
        <f>+N2355-O2355</f>
        <v>0.0</v>
      </c>
      <c r="Q2355" s="57"/>
      <c r="R2355" s="58"/>
    </row>
    <row r="2356" spans="8:8" ht="15.0" customHeight="1">
      <c r="B2356" s="54">
        <v>2500.0</v>
      </c>
      <c r="C2356" s="8"/>
      <c r="D2356" s="8"/>
      <c r="E2356" s="8"/>
      <c r="F2356" s="8"/>
      <c r="G2356" s="8"/>
      <c r="H2356" s="8"/>
      <c r="I2356" s="55"/>
      <c r="J2356" s="78" t="s">
        <v>6271</v>
      </c>
      <c r="K2356" s="22">
        <v>0.0</v>
      </c>
      <c r="L2356" s="22">
        <f>+SUMIF('حركه المخزن الرئيسي اليوميه'!$F:$F,$H:$H,'حركه المخزن الرئيسي اليوميه'!$H:$H)</f>
        <v>0.0</v>
      </c>
      <c r="M2356" s="22">
        <f>+SUMIF('حركه المخزن الرئيسي اليوميه'!$F:$F,$H:$H,'حركه المخزن الرئيسي اليوميه'!$I:$I)</f>
        <v>0.0</v>
      </c>
      <c r="N2356" s="22">
        <f>+K2356+L2356-M2356</f>
        <v>0.0</v>
      </c>
      <c r="O2356" s="22">
        <f>+N2356</f>
        <v>0.0</v>
      </c>
      <c r="P2356" s="22">
        <f>+N2356-O2356</f>
        <v>0.0</v>
      </c>
      <c r="Q2356" s="57"/>
      <c r="R2356" s="58"/>
    </row>
    <row r="2357" spans="8:8" ht="15.0" customHeight="1">
      <c r="B2357" s="54">
        <v>2501.0</v>
      </c>
      <c r="C2357" s="8"/>
      <c r="D2357" s="8"/>
      <c r="E2357" s="8"/>
      <c r="F2357" s="8"/>
      <c r="G2357" s="8"/>
      <c r="H2357" s="8"/>
      <c r="I2357" s="55"/>
      <c r="J2357" s="78" t="s">
        <v>6272</v>
      </c>
      <c r="K2357" s="22">
        <v>0.0</v>
      </c>
      <c r="L2357" s="22">
        <f>+SUMIF('حركه المخزن الرئيسي اليوميه'!$F:$F,$H:$H,'حركه المخزن الرئيسي اليوميه'!$H:$H)</f>
        <v>0.0</v>
      </c>
      <c r="M2357" s="22">
        <f>+SUMIF('حركه المخزن الرئيسي اليوميه'!$F:$F,$H:$H,'حركه المخزن الرئيسي اليوميه'!$I:$I)</f>
        <v>0.0</v>
      </c>
      <c r="N2357" s="22">
        <f>+K2357+L2357-M2357</f>
        <v>0.0</v>
      </c>
      <c r="O2357" s="22">
        <f>+N2357</f>
        <v>0.0</v>
      </c>
      <c r="P2357" s="22">
        <f>+N2357-O2357</f>
        <v>0.0</v>
      </c>
      <c r="Q2357" s="57"/>
      <c r="R2357" s="58"/>
    </row>
    <row r="2358" spans="8:8" ht="15.0" customHeight="1">
      <c r="B2358" s="54">
        <v>2502.0</v>
      </c>
      <c r="C2358" s="8"/>
      <c r="D2358" s="8"/>
      <c r="E2358" s="8"/>
      <c r="F2358" s="8"/>
      <c r="G2358" s="8"/>
      <c r="H2358" s="8"/>
      <c r="I2358" s="55"/>
      <c r="J2358" s="78" t="s">
        <v>6273</v>
      </c>
      <c r="K2358" s="22">
        <v>0.0</v>
      </c>
      <c r="L2358" s="22">
        <f>+SUMIF('حركه المخزن الرئيسي اليوميه'!$F:$F,$H:$H,'حركه المخزن الرئيسي اليوميه'!$H:$H)</f>
        <v>0.0</v>
      </c>
      <c r="M2358" s="22">
        <f>+SUMIF('حركه المخزن الرئيسي اليوميه'!$F:$F,$H:$H,'حركه المخزن الرئيسي اليوميه'!$I:$I)</f>
        <v>0.0</v>
      </c>
      <c r="N2358" s="22">
        <f>+K2358+L2358-M2358</f>
        <v>0.0</v>
      </c>
      <c r="O2358" s="22">
        <f>+N2358</f>
        <v>0.0</v>
      </c>
      <c r="P2358" s="22">
        <f>+N2358-O2358</f>
        <v>0.0</v>
      </c>
      <c r="Q2358" s="57"/>
      <c r="R2358" s="58"/>
    </row>
    <row r="2359" spans="8:8" ht="15.0" customHeight="1">
      <c r="B2359" s="54">
        <v>2503.0</v>
      </c>
      <c r="C2359" s="8"/>
      <c r="D2359" s="8"/>
      <c r="E2359" s="8"/>
      <c r="F2359" s="8"/>
      <c r="G2359" s="8"/>
      <c r="H2359" s="8"/>
      <c r="I2359" s="55"/>
      <c r="J2359" s="78" t="s">
        <v>6274</v>
      </c>
      <c r="K2359" s="22">
        <v>0.0</v>
      </c>
      <c r="L2359" s="22">
        <f>+SUMIF('حركه المخزن الرئيسي اليوميه'!$F:$F,$H:$H,'حركه المخزن الرئيسي اليوميه'!$H:$H)</f>
        <v>0.0</v>
      </c>
      <c r="M2359" s="22">
        <f>+SUMIF('حركه المخزن الرئيسي اليوميه'!$F:$F,$H:$H,'حركه المخزن الرئيسي اليوميه'!$I:$I)</f>
        <v>0.0</v>
      </c>
      <c r="N2359" s="22">
        <f>+K2359+L2359-M2359</f>
        <v>0.0</v>
      </c>
      <c r="O2359" s="22">
        <f>+N2359</f>
        <v>0.0</v>
      </c>
      <c r="P2359" s="22">
        <f>+N2359-O2359</f>
        <v>0.0</v>
      </c>
      <c r="Q2359" s="57"/>
      <c r="R2359" s="58"/>
    </row>
    <row r="2360" spans="8:8" ht="15.0" customHeight="1">
      <c r="B2360" s="54">
        <v>2504.0</v>
      </c>
      <c r="C2360" s="8"/>
      <c r="D2360" s="8"/>
      <c r="E2360" s="8"/>
      <c r="F2360" s="8"/>
      <c r="G2360" s="8"/>
      <c r="H2360" s="8"/>
      <c r="I2360" s="55"/>
      <c r="J2360" s="78" t="s">
        <v>6275</v>
      </c>
      <c r="K2360" s="22">
        <v>0.0</v>
      </c>
      <c r="L2360" s="22">
        <f>+SUMIF('حركه المخزن الرئيسي اليوميه'!$F:$F,$H:$H,'حركه المخزن الرئيسي اليوميه'!$H:$H)</f>
        <v>0.0</v>
      </c>
      <c r="M2360" s="22">
        <f>+SUMIF('حركه المخزن الرئيسي اليوميه'!$F:$F,$H:$H,'حركه المخزن الرئيسي اليوميه'!$I:$I)</f>
        <v>0.0</v>
      </c>
      <c r="N2360" s="22">
        <f>+K2360+L2360-M2360</f>
        <v>0.0</v>
      </c>
      <c r="O2360" s="22">
        <f>+N2360</f>
        <v>0.0</v>
      </c>
      <c r="P2360" s="22">
        <f>+N2360-O2360</f>
        <v>0.0</v>
      </c>
      <c r="Q2360" s="57"/>
      <c r="R2360" s="58"/>
    </row>
    <row r="2361" spans="8:8" ht="15.0" customHeight="1">
      <c r="B2361" s="54">
        <v>2505.0</v>
      </c>
      <c r="C2361" s="8"/>
      <c r="D2361" s="8"/>
      <c r="E2361" s="8"/>
      <c r="F2361" s="8"/>
      <c r="G2361" s="8"/>
      <c r="H2361" s="8"/>
      <c r="I2361" s="55"/>
      <c r="J2361" s="78" t="s">
        <v>6276</v>
      </c>
      <c r="K2361" s="22">
        <v>0.0</v>
      </c>
      <c r="L2361" s="22">
        <f>+SUMIF('حركه المخزن الرئيسي اليوميه'!$F:$F,$H:$H,'حركه المخزن الرئيسي اليوميه'!$H:$H)</f>
        <v>0.0</v>
      </c>
      <c r="M2361" s="22">
        <f>+SUMIF('حركه المخزن الرئيسي اليوميه'!$F:$F,$H:$H,'حركه المخزن الرئيسي اليوميه'!$I:$I)</f>
        <v>0.0</v>
      </c>
      <c r="N2361" s="22">
        <f>+K2361+L2361-M2361</f>
        <v>0.0</v>
      </c>
      <c r="O2361" s="22">
        <f>+N2361</f>
        <v>0.0</v>
      </c>
      <c r="P2361" s="22">
        <f>+N2361-O2361</f>
        <v>0.0</v>
      </c>
      <c r="Q2361" s="57"/>
      <c r="R2361" s="58"/>
    </row>
    <row r="2362" spans="8:8" ht="15.0" customHeight="1">
      <c r="B2362" s="54">
        <v>2506.0</v>
      </c>
      <c r="C2362" s="8"/>
      <c r="D2362" s="8"/>
      <c r="E2362" s="8"/>
      <c r="F2362" s="8"/>
      <c r="G2362" s="8"/>
      <c r="H2362" s="8"/>
      <c r="I2362" s="55"/>
      <c r="J2362" s="78" t="s">
        <v>6277</v>
      </c>
      <c r="K2362" s="22">
        <v>0.0</v>
      </c>
      <c r="L2362" s="22">
        <f>+SUMIF('حركه المخزن الرئيسي اليوميه'!$F:$F,$H:$H,'حركه المخزن الرئيسي اليوميه'!$H:$H)</f>
        <v>0.0</v>
      </c>
      <c r="M2362" s="22">
        <f>+SUMIF('حركه المخزن الرئيسي اليوميه'!$F:$F,$H:$H,'حركه المخزن الرئيسي اليوميه'!$I:$I)</f>
        <v>0.0</v>
      </c>
      <c r="N2362" s="22">
        <f>+K2362+L2362-M2362</f>
        <v>0.0</v>
      </c>
      <c r="O2362" s="22">
        <f>+N2362</f>
        <v>0.0</v>
      </c>
      <c r="P2362" s="22">
        <f>+N2362-O2362</f>
        <v>0.0</v>
      </c>
      <c r="Q2362" s="57"/>
      <c r="R2362" s="58"/>
    </row>
    <row r="2363" spans="8:8" ht="15.0" customHeight="1">
      <c r="B2363" s="54">
        <v>2507.0</v>
      </c>
      <c r="C2363" s="8"/>
      <c r="D2363" s="8"/>
      <c r="E2363" s="8"/>
      <c r="F2363" s="8"/>
      <c r="G2363" s="8"/>
      <c r="H2363" s="8"/>
      <c r="I2363" s="55"/>
      <c r="J2363" s="78" t="s">
        <v>6278</v>
      </c>
      <c r="K2363" s="22">
        <v>0.0</v>
      </c>
      <c r="L2363" s="22">
        <f>+SUMIF('حركه المخزن الرئيسي اليوميه'!$F:$F,$H:$H,'حركه المخزن الرئيسي اليوميه'!$H:$H)</f>
        <v>0.0</v>
      </c>
      <c r="M2363" s="22">
        <f>+SUMIF('حركه المخزن الرئيسي اليوميه'!$F:$F,$H:$H,'حركه المخزن الرئيسي اليوميه'!$I:$I)</f>
        <v>0.0</v>
      </c>
      <c r="N2363" s="22">
        <f>+K2363+L2363-M2363</f>
        <v>0.0</v>
      </c>
      <c r="O2363" s="22">
        <f>+N2363</f>
        <v>0.0</v>
      </c>
      <c r="P2363" s="22">
        <f>+N2363-O2363</f>
        <v>0.0</v>
      </c>
      <c r="Q2363" s="57"/>
      <c r="R2363" s="58"/>
    </row>
    <row r="2364" spans="8:8" ht="15.0" customHeight="1">
      <c r="B2364" s="54">
        <v>2508.0</v>
      </c>
      <c r="C2364" s="8"/>
      <c r="D2364" s="8"/>
      <c r="E2364" s="8"/>
      <c r="F2364" s="8"/>
      <c r="G2364" s="8"/>
      <c r="H2364" s="8"/>
      <c r="I2364" s="55"/>
      <c r="J2364" s="78" t="s">
        <v>6279</v>
      </c>
      <c r="K2364" s="22">
        <v>0.0</v>
      </c>
      <c r="L2364" s="22">
        <f>+SUMIF('حركه المخزن الرئيسي اليوميه'!$F:$F,$H:$H,'حركه المخزن الرئيسي اليوميه'!$H:$H)</f>
        <v>0.0</v>
      </c>
      <c r="M2364" s="22">
        <f>+SUMIF('حركه المخزن الرئيسي اليوميه'!$F:$F,$H:$H,'حركه المخزن الرئيسي اليوميه'!$I:$I)</f>
        <v>0.0</v>
      </c>
      <c r="N2364" s="22">
        <f>+K2364+L2364-M2364</f>
        <v>0.0</v>
      </c>
      <c r="O2364" s="22">
        <f>+N2364</f>
        <v>0.0</v>
      </c>
      <c r="P2364" s="22">
        <f>+N2364-O2364</f>
        <v>0.0</v>
      </c>
      <c r="Q2364" s="57"/>
      <c r="R2364" s="58"/>
    </row>
    <row r="2365" spans="8:8" ht="15.0" customHeight="1">
      <c r="B2365" s="54">
        <v>2509.0</v>
      </c>
      <c r="C2365" s="8"/>
      <c r="D2365" s="8"/>
      <c r="E2365" s="8"/>
      <c r="F2365" s="8"/>
      <c r="G2365" s="8"/>
      <c r="H2365" s="8"/>
      <c r="I2365" s="55"/>
      <c r="J2365" s="78" t="s">
        <v>6280</v>
      </c>
      <c r="K2365" s="22">
        <v>0.0</v>
      </c>
      <c r="L2365" s="22">
        <f>+SUMIF('حركه المخزن الرئيسي اليوميه'!$F:$F,$H:$H,'حركه المخزن الرئيسي اليوميه'!$H:$H)</f>
        <v>0.0</v>
      </c>
      <c r="M2365" s="22">
        <f>+SUMIF('حركه المخزن الرئيسي اليوميه'!$F:$F,$H:$H,'حركه المخزن الرئيسي اليوميه'!$I:$I)</f>
        <v>0.0</v>
      </c>
      <c r="N2365" s="22">
        <f>+K2365+L2365-M2365</f>
        <v>0.0</v>
      </c>
      <c r="O2365" s="22">
        <f>+N2365</f>
        <v>0.0</v>
      </c>
      <c r="P2365" s="22">
        <f>+N2365-O2365</f>
        <v>0.0</v>
      </c>
      <c r="Q2365" s="57"/>
      <c r="R2365" s="58"/>
    </row>
    <row r="2366" spans="8:8" ht="15.0" customHeight="1">
      <c r="B2366" s="54">
        <v>2510.0</v>
      </c>
      <c r="C2366" s="8"/>
      <c r="D2366" s="8"/>
      <c r="E2366" s="8"/>
      <c r="F2366" s="8"/>
      <c r="G2366" s="8"/>
      <c r="H2366" s="8"/>
      <c r="I2366" s="55"/>
      <c r="J2366" s="78" t="s">
        <v>6281</v>
      </c>
      <c r="K2366" s="22">
        <v>0.0</v>
      </c>
      <c r="L2366" s="22">
        <f>+SUMIF('حركه المخزن الرئيسي اليوميه'!$F:$F,$H:$H,'حركه المخزن الرئيسي اليوميه'!$H:$H)</f>
        <v>0.0</v>
      </c>
      <c r="M2366" s="22">
        <f>+SUMIF('حركه المخزن الرئيسي اليوميه'!$F:$F,$H:$H,'حركه المخزن الرئيسي اليوميه'!$I:$I)</f>
        <v>0.0</v>
      </c>
      <c r="N2366" s="22">
        <f>+K2366+L2366-M2366</f>
        <v>0.0</v>
      </c>
      <c r="O2366" s="22">
        <f>+N2366</f>
        <v>0.0</v>
      </c>
      <c r="P2366" s="22">
        <f>+N2366-O2366</f>
        <v>0.0</v>
      </c>
      <c r="Q2366" s="57"/>
      <c r="R2366" s="58"/>
    </row>
    <row r="2367" spans="8:8" ht="15.0" customHeight="1">
      <c r="B2367" s="54">
        <v>2511.0</v>
      </c>
      <c r="C2367" s="8"/>
      <c r="D2367" s="8"/>
      <c r="E2367" s="8"/>
      <c r="F2367" s="8"/>
      <c r="G2367" s="8"/>
      <c r="H2367" s="8"/>
      <c r="I2367" s="55"/>
      <c r="J2367" s="78" t="s">
        <v>6282</v>
      </c>
      <c r="K2367" s="22">
        <v>0.0</v>
      </c>
      <c r="L2367" s="22">
        <f>+SUMIF('حركه المخزن الرئيسي اليوميه'!$F:$F,$H:$H,'حركه المخزن الرئيسي اليوميه'!$H:$H)</f>
        <v>0.0</v>
      </c>
      <c r="M2367" s="22">
        <f>+SUMIF('حركه المخزن الرئيسي اليوميه'!$F:$F,$H:$H,'حركه المخزن الرئيسي اليوميه'!$I:$I)</f>
        <v>0.0</v>
      </c>
      <c r="N2367" s="22">
        <f>+K2367+L2367-M2367</f>
        <v>0.0</v>
      </c>
      <c r="O2367" s="22">
        <f>+N2367</f>
        <v>0.0</v>
      </c>
      <c r="P2367" s="22">
        <f>+N2367-O2367</f>
        <v>0.0</v>
      </c>
      <c r="Q2367" s="57"/>
      <c r="R2367" s="58"/>
    </row>
    <row r="2368" spans="8:8" ht="15.0" customHeight="1">
      <c r="B2368" s="54">
        <v>2512.0</v>
      </c>
      <c r="C2368" s="8"/>
      <c r="D2368" s="8"/>
      <c r="E2368" s="8"/>
      <c r="F2368" s="8"/>
      <c r="G2368" s="8"/>
      <c r="H2368" s="8"/>
      <c r="I2368" s="55"/>
      <c r="J2368" s="78" t="s">
        <v>6283</v>
      </c>
      <c r="K2368" s="22">
        <v>0.0</v>
      </c>
      <c r="L2368" s="22">
        <f>+SUMIF('حركه المخزن الرئيسي اليوميه'!$F:$F,$H:$H,'حركه المخزن الرئيسي اليوميه'!$H:$H)</f>
        <v>0.0</v>
      </c>
      <c r="M2368" s="22">
        <f>+SUMIF('حركه المخزن الرئيسي اليوميه'!$F:$F,$H:$H,'حركه المخزن الرئيسي اليوميه'!$I:$I)</f>
        <v>0.0</v>
      </c>
      <c r="N2368" s="22">
        <f>+K2368+L2368-M2368</f>
        <v>0.0</v>
      </c>
      <c r="O2368" s="22">
        <f>+N2368</f>
        <v>0.0</v>
      </c>
      <c r="P2368" s="22">
        <f>+N2368-O2368</f>
        <v>0.0</v>
      </c>
      <c r="Q2368" s="57"/>
      <c r="R2368" s="58"/>
    </row>
    <row r="2369" spans="8:8" ht="15.0" customHeight="1">
      <c r="B2369" s="54">
        <v>2513.0</v>
      </c>
      <c r="C2369" s="8"/>
      <c r="D2369" s="8"/>
      <c r="E2369" s="8"/>
      <c r="F2369" s="8"/>
      <c r="G2369" s="8"/>
      <c r="H2369" s="8"/>
      <c r="I2369" s="55"/>
      <c r="J2369" s="78" t="s">
        <v>6284</v>
      </c>
      <c r="K2369" s="22">
        <v>0.0</v>
      </c>
      <c r="L2369" s="22">
        <f>+SUMIF('حركه المخزن الرئيسي اليوميه'!$F:$F,$H:$H,'حركه المخزن الرئيسي اليوميه'!$H:$H)</f>
        <v>0.0</v>
      </c>
      <c r="M2369" s="22">
        <f>+SUMIF('حركه المخزن الرئيسي اليوميه'!$F:$F,$H:$H,'حركه المخزن الرئيسي اليوميه'!$I:$I)</f>
        <v>0.0</v>
      </c>
      <c r="N2369" s="22">
        <f>+K2369+L2369-M2369</f>
        <v>0.0</v>
      </c>
      <c r="O2369" s="22">
        <f>+N2369</f>
        <v>0.0</v>
      </c>
      <c r="P2369" s="22">
        <f>+N2369-O2369</f>
        <v>0.0</v>
      </c>
      <c r="Q2369" s="57"/>
      <c r="R2369" s="58"/>
    </row>
    <row r="2370" spans="8:8" ht="15.0" customHeight="1">
      <c r="B2370" s="54">
        <v>2514.0</v>
      </c>
      <c r="C2370" s="8"/>
      <c r="D2370" s="8"/>
      <c r="E2370" s="8"/>
      <c r="F2370" s="8"/>
      <c r="G2370" s="8"/>
      <c r="H2370" s="8"/>
      <c r="I2370" s="55"/>
      <c r="J2370" s="78" t="s">
        <v>6285</v>
      </c>
      <c r="K2370" s="22">
        <v>0.0</v>
      </c>
      <c r="L2370" s="22">
        <f>+SUMIF('حركه المخزن الرئيسي اليوميه'!$F:$F,$H:$H,'حركه المخزن الرئيسي اليوميه'!$H:$H)</f>
        <v>0.0</v>
      </c>
      <c r="M2370" s="22">
        <f>+SUMIF('حركه المخزن الرئيسي اليوميه'!$F:$F,$H:$H,'حركه المخزن الرئيسي اليوميه'!$I:$I)</f>
        <v>0.0</v>
      </c>
      <c r="N2370" s="22">
        <f>+K2370+L2370-M2370</f>
        <v>0.0</v>
      </c>
      <c r="O2370" s="22">
        <f>+N2370</f>
        <v>0.0</v>
      </c>
      <c r="P2370" s="22">
        <f>+N2370-O2370</f>
        <v>0.0</v>
      </c>
      <c r="Q2370" s="57"/>
      <c r="R2370" s="58"/>
    </row>
    <row r="2371" spans="8:8" ht="15.0" customHeight="1">
      <c r="B2371" s="54">
        <v>2515.0</v>
      </c>
      <c r="C2371" s="8"/>
      <c r="D2371" s="8"/>
      <c r="E2371" s="8"/>
      <c r="F2371" s="8"/>
      <c r="G2371" s="8"/>
      <c r="H2371" s="8"/>
      <c r="I2371" s="55"/>
      <c r="J2371" s="78" t="s">
        <v>6286</v>
      </c>
      <c r="K2371" s="22">
        <v>0.0</v>
      </c>
      <c r="L2371" s="22">
        <f>+SUMIF('حركه المخزن الرئيسي اليوميه'!$F:$F,$H:$H,'حركه المخزن الرئيسي اليوميه'!$H:$H)</f>
        <v>0.0</v>
      </c>
      <c r="M2371" s="22">
        <f>+SUMIF('حركه المخزن الرئيسي اليوميه'!$F:$F,$H:$H,'حركه المخزن الرئيسي اليوميه'!$I:$I)</f>
        <v>0.0</v>
      </c>
      <c r="N2371" s="22">
        <f>+K2371+L2371-M2371</f>
        <v>0.0</v>
      </c>
      <c r="O2371" s="22">
        <f>+N2371</f>
        <v>0.0</v>
      </c>
      <c r="P2371" s="22">
        <f>+N2371-O2371</f>
        <v>0.0</v>
      </c>
      <c r="Q2371" s="57"/>
      <c r="R2371" s="58"/>
    </row>
    <row r="2372" spans="8:8" ht="15.0" customHeight="1">
      <c r="B2372" s="54">
        <v>2516.0</v>
      </c>
      <c r="C2372" s="8"/>
      <c r="D2372" s="8"/>
      <c r="E2372" s="8"/>
      <c r="F2372" s="8"/>
      <c r="G2372" s="8"/>
      <c r="H2372" s="8"/>
      <c r="I2372" s="55"/>
      <c r="J2372" s="78" t="s">
        <v>6287</v>
      </c>
      <c r="K2372" s="22">
        <v>0.0</v>
      </c>
      <c r="L2372" s="22">
        <f>+SUMIF('حركه المخزن الرئيسي اليوميه'!$F:$F,$H:$H,'حركه المخزن الرئيسي اليوميه'!$H:$H)</f>
        <v>0.0</v>
      </c>
      <c r="M2372" s="22">
        <f>+SUMIF('حركه المخزن الرئيسي اليوميه'!$F:$F,$H:$H,'حركه المخزن الرئيسي اليوميه'!$I:$I)</f>
        <v>0.0</v>
      </c>
      <c r="N2372" s="22">
        <f>+K2372+L2372-M2372</f>
        <v>0.0</v>
      </c>
      <c r="O2372" s="22">
        <f>+N2372</f>
        <v>0.0</v>
      </c>
      <c r="P2372" s="22">
        <f>+N2372-O2372</f>
        <v>0.0</v>
      </c>
      <c r="Q2372" s="57"/>
      <c r="R2372" s="58"/>
    </row>
    <row r="2373" spans="8:8" ht="15.0" customHeight="1">
      <c r="B2373" s="54">
        <v>2517.0</v>
      </c>
      <c r="C2373" s="8"/>
      <c r="D2373" s="8"/>
      <c r="E2373" s="8"/>
      <c r="F2373" s="8"/>
      <c r="G2373" s="8"/>
      <c r="H2373" s="8"/>
      <c r="I2373" s="55"/>
      <c r="J2373" s="78" t="s">
        <v>6288</v>
      </c>
      <c r="K2373" s="22">
        <v>0.0</v>
      </c>
      <c r="L2373" s="22">
        <f>+SUMIF('حركه المخزن الرئيسي اليوميه'!$F:$F,$H:$H,'حركه المخزن الرئيسي اليوميه'!$H:$H)</f>
        <v>0.0</v>
      </c>
      <c r="M2373" s="22">
        <f>+SUMIF('حركه المخزن الرئيسي اليوميه'!$F:$F,$H:$H,'حركه المخزن الرئيسي اليوميه'!$I:$I)</f>
        <v>0.0</v>
      </c>
      <c r="N2373" s="22">
        <f>+K2373+L2373-M2373</f>
        <v>0.0</v>
      </c>
      <c r="O2373" s="22">
        <f>+N2373</f>
        <v>0.0</v>
      </c>
      <c r="P2373" s="22">
        <f>+N2373-O2373</f>
        <v>0.0</v>
      </c>
      <c r="Q2373" s="57"/>
      <c r="R2373" s="58"/>
    </row>
    <row r="2374" spans="8:8" ht="15.0" customHeight="1">
      <c r="B2374" s="54">
        <v>2518.0</v>
      </c>
      <c r="C2374" s="8"/>
      <c r="D2374" s="8"/>
      <c r="E2374" s="8"/>
      <c r="F2374" s="8"/>
      <c r="G2374" s="8"/>
      <c r="H2374" s="8"/>
      <c r="I2374" s="55"/>
      <c r="J2374" s="78" t="s">
        <v>6289</v>
      </c>
      <c r="K2374" s="22">
        <v>0.0</v>
      </c>
      <c r="L2374" s="22">
        <f>+SUMIF('حركه المخزن الرئيسي اليوميه'!$F:$F,$H:$H,'حركه المخزن الرئيسي اليوميه'!$H:$H)</f>
        <v>0.0</v>
      </c>
      <c r="M2374" s="22">
        <f>+SUMIF('حركه المخزن الرئيسي اليوميه'!$F:$F,$H:$H,'حركه المخزن الرئيسي اليوميه'!$I:$I)</f>
        <v>0.0</v>
      </c>
      <c r="N2374" s="22">
        <f>+K2374+L2374-M2374</f>
        <v>0.0</v>
      </c>
      <c r="O2374" s="22">
        <f>+N2374</f>
        <v>0.0</v>
      </c>
      <c r="P2374" s="22">
        <f>+N2374-O2374</f>
        <v>0.0</v>
      </c>
      <c r="Q2374" s="57"/>
      <c r="R2374" s="58"/>
    </row>
    <row r="2375" spans="8:8" ht="15.0" customHeight="1">
      <c r="B2375" s="54">
        <v>2519.0</v>
      </c>
      <c r="C2375" s="8"/>
      <c r="D2375" s="8"/>
      <c r="E2375" s="8"/>
      <c r="F2375" s="8"/>
      <c r="G2375" s="8"/>
      <c r="H2375" s="8"/>
      <c r="I2375" s="55"/>
      <c r="J2375" s="78" t="s">
        <v>6290</v>
      </c>
      <c r="K2375" s="22">
        <v>0.0</v>
      </c>
      <c r="L2375" s="22">
        <f>+SUMIF('حركه المخزن الرئيسي اليوميه'!$F:$F,$H:$H,'حركه المخزن الرئيسي اليوميه'!$H:$H)</f>
        <v>0.0</v>
      </c>
      <c r="M2375" s="22">
        <f>+SUMIF('حركه المخزن الرئيسي اليوميه'!$F:$F,$H:$H,'حركه المخزن الرئيسي اليوميه'!$I:$I)</f>
        <v>0.0</v>
      </c>
      <c r="N2375" s="22">
        <f>+K2375+L2375-M2375</f>
        <v>0.0</v>
      </c>
      <c r="O2375" s="22">
        <f>+N2375</f>
        <v>0.0</v>
      </c>
      <c r="P2375" s="22">
        <f>+N2375-O2375</f>
        <v>0.0</v>
      </c>
      <c r="Q2375" s="57"/>
      <c r="R2375" s="58"/>
    </row>
    <row r="2376" spans="8:8" ht="15.0" customHeight="1">
      <c r="B2376" s="54">
        <v>2520.0</v>
      </c>
      <c r="C2376" s="8"/>
      <c r="D2376" s="8"/>
      <c r="E2376" s="8"/>
      <c r="F2376" s="8"/>
      <c r="G2376" s="8"/>
      <c r="H2376" s="8"/>
      <c r="I2376" s="55"/>
      <c r="J2376" s="78" t="s">
        <v>6291</v>
      </c>
      <c r="K2376" s="22">
        <v>0.0</v>
      </c>
      <c r="L2376" s="22">
        <f>+SUMIF('حركه المخزن الرئيسي اليوميه'!$F:$F,$H:$H,'حركه المخزن الرئيسي اليوميه'!$H:$H)</f>
        <v>0.0</v>
      </c>
      <c r="M2376" s="22">
        <f>+SUMIF('حركه المخزن الرئيسي اليوميه'!$F:$F,$H:$H,'حركه المخزن الرئيسي اليوميه'!$I:$I)</f>
        <v>0.0</v>
      </c>
      <c r="N2376" s="22">
        <f>+K2376+L2376-M2376</f>
        <v>0.0</v>
      </c>
      <c r="O2376" s="22">
        <f>+N2376</f>
        <v>0.0</v>
      </c>
      <c r="P2376" s="22">
        <f>+N2376-O2376</f>
        <v>0.0</v>
      </c>
      <c r="Q2376" s="57"/>
      <c r="R2376" s="58"/>
    </row>
    <row r="2377" spans="8:8" ht="15.0" customHeight="1">
      <c r="B2377" s="54">
        <v>2521.0</v>
      </c>
      <c r="C2377" s="8"/>
      <c r="D2377" s="8"/>
      <c r="E2377" s="8"/>
      <c r="F2377" s="8"/>
      <c r="G2377" s="8"/>
      <c r="H2377" s="8"/>
      <c r="I2377" s="55"/>
      <c r="J2377" s="78" t="s">
        <v>6292</v>
      </c>
      <c r="K2377" s="22">
        <v>0.0</v>
      </c>
      <c r="L2377" s="22">
        <f>+SUMIF('حركه المخزن الرئيسي اليوميه'!$F:$F,$H:$H,'حركه المخزن الرئيسي اليوميه'!$H:$H)</f>
        <v>0.0</v>
      </c>
      <c r="M2377" s="22">
        <f>+SUMIF('حركه المخزن الرئيسي اليوميه'!$F:$F,$H:$H,'حركه المخزن الرئيسي اليوميه'!$I:$I)</f>
        <v>0.0</v>
      </c>
      <c r="N2377" s="22">
        <f>+K2377+L2377-M2377</f>
        <v>0.0</v>
      </c>
      <c r="O2377" s="22">
        <f>+N2377</f>
        <v>0.0</v>
      </c>
      <c r="P2377" s="22">
        <f>+N2377-O2377</f>
        <v>0.0</v>
      </c>
      <c r="Q2377" s="57"/>
      <c r="R2377" s="58"/>
    </row>
    <row r="2378" spans="8:8" ht="15.0" customHeight="1">
      <c r="B2378" s="54">
        <v>2522.0</v>
      </c>
      <c r="C2378" s="8"/>
      <c r="D2378" s="8"/>
      <c r="E2378" s="8"/>
      <c r="F2378" s="8"/>
      <c r="G2378" s="8"/>
      <c r="H2378" s="8"/>
      <c r="I2378" s="55"/>
      <c r="J2378" s="78" t="s">
        <v>6293</v>
      </c>
      <c r="K2378" s="22">
        <v>0.0</v>
      </c>
      <c r="L2378" s="22">
        <f>+SUMIF('حركه المخزن الرئيسي اليوميه'!$F:$F,$H:$H,'حركه المخزن الرئيسي اليوميه'!$H:$H)</f>
        <v>0.0</v>
      </c>
      <c r="M2378" s="22">
        <f>+SUMIF('حركه المخزن الرئيسي اليوميه'!$F:$F,$H:$H,'حركه المخزن الرئيسي اليوميه'!$I:$I)</f>
        <v>0.0</v>
      </c>
      <c r="N2378" s="22">
        <f>+K2378+L2378-M2378</f>
        <v>0.0</v>
      </c>
      <c r="O2378" s="22">
        <f>+N2378</f>
        <v>0.0</v>
      </c>
      <c r="P2378" s="22">
        <f>+N2378-O2378</f>
        <v>0.0</v>
      </c>
      <c r="Q2378" s="57"/>
      <c r="R2378" s="58"/>
    </row>
    <row r="2379" spans="8:8" ht="15.0" customHeight="1">
      <c r="B2379" s="54">
        <v>2523.0</v>
      </c>
      <c r="C2379" s="8"/>
      <c r="D2379" s="8"/>
      <c r="E2379" s="8"/>
      <c r="F2379" s="8"/>
      <c r="G2379" s="8"/>
      <c r="H2379" s="8"/>
      <c r="I2379" s="55"/>
      <c r="J2379" s="78" t="s">
        <v>6294</v>
      </c>
      <c r="K2379" s="22">
        <v>0.0</v>
      </c>
      <c r="L2379" s="22">
        <f>+SUMIF('حركه المخزن الرئيسي اليوميه'!$F:$F,$H:$H,'حركه المخزن الرئيسي اليوميه'!$H:$H)</f>
        <v>0.0</v>
      </c>
      <c r="M2379" s="22">
        <f>+SUMIF('حركه المخزن الرئيسي اليوميه'!$F:$F,$H:$H,'حركه المخزن الرئيسي اليوميه'!$I:$I)</f>
        <v>0.0</v>
      </c>
      <c r="N2379" s="22">
        <f>+K2379+L2379-M2379</f>
        <v>0.0</v>
      </c>
      <c r="O2379" s="22">
        <f>+N2379</f>
        <v>0.0</v>
      </c>
      <c r="P2379" s="22">
        <f>+N2379-O2379</f>
        <v>0.0</v>
      </c>
      <c r="Q2379" s="57"/>
      <c r="R2379" s="58"/>
    </row>
    <row r="2380" spans="8:8" ht="15.0" customHeight="1">
      <c r="B2380" s="54">
        <v>2524.0</v>
      </c>
      <c r="C2380" s="8"/>
      <c r="D2380" s="8"/>
      <c r="E2380" s="8"/>
      <c r="F2380" s="8"/>
      <c r="G2380" s="8"/>
      <c r="H2380" s="8"/>
      <c r="I2380" s="55"/>
      <c r="J2380" s="78" t="s">
        <v>6295</v>
      </c>
      <c r="K2380" s="22">
        <v>0.0</v>
      </c>
      <c r="L2380" s="22">
        <f>+SUMIF('حركه المخزن الرئيسي اليوميه'!$F:$F,$H:$H,'حركه المخزن الرئيسي اليوميه'!$H:$H)</f>
        <v>0.0</v>
      </c>
      <c r="M2380" s="22">
        <f>+SUMIF('حركه المخزن الرئيسي اليوميه'!$F:$F,$H:$H,'حركه المخزن الرئيسي اليوميه'!$I:$I)</f>
        <v>0.0</v>
      </c>
      <c r="N2380" s="22">
        <f>+K2380+L2380-M2380</f>
        <v>0.0</v>
      </c>
      <c r="O2380" s="22">
        <f>+N2380</f>
        <v>0.0</v>
      </c>
      <c r="P2380" s="22">
        <f>+N2380-O2380</f>
        <v>0.0</v>
      </c>
      <c r="Q2380" s="57"/>
      <c r="R2380" s="58"/>
    </row>
    <row r="2381" spans="8:8" ht="15.0" customHeight="1">
      <c r="B2381" s="54">
        <v>2525.0</v>
      </c>
      <c r="C2381" s="8"/>
      <c r="D2381" s="8"/>
      <c r="E2381" s="8"/>
      <c r="F2381" s="8"/>
      <c r="G2381" s="8"/>
      <c r="H2381" s="8"/>
      <c r="I2381" s="55"/>
      <c r="J2381" s="78" t="s">
        <v>6296</v>
      </c>
      <c r="K2381" s="22">
        <v>0.0</v>
      </c>
      <c r="L2381" s="22">
        <f>+SUMIF('حركه المخزن الرئيسي اليوميه'!$F:$F,$H:$H,'حركه المخزن الرئيسي اليوميه'!$H:$H)</f>
        <v>0.0</v>
      </c>
      <c r="M2381" s="22">
        <f>+SUMIF('حركه المخزن الرئيسي اليوميه'!$F:$F,$H:$H,'حركه المخزن الرئيسي اليوميه'!$I:$I)</f>
        <v>0.0</v>
      </c>
      <c r="N2381" s="22">
        <f>+K2381+L2381-M2381</f>
        <v>0.0</v>
      </c>
      <c r="O2381" s="22">
        <f>+N2381</f>
        <v>0.0</v>
      </c>
      <c r="P2381" s="22">
        <f>+N2381-O2381</f>
        <v>0.0</v>
      </c>
      <c r="Q2381" s="57"/>
      <c r="R2381" s="58"/>
    </row>
    <row r="2382" spans="8:8" ht="15.0" customHeight="1">
      <c r="B2382" s="54">
        <v>2526.0</v>
      </c>
      <c r="C2382" s="8"/>
      <c r="D2382" s="8"/>
      <c r="E2382" s="8"/>
      <c r="F2382" s="8"/>
      <c r="G2382" s="8"/>
      <c r="H2382" s="8"/>
      <c r="I2382" s="55"/>
      <c r="J2382" s="78" t="s">
        <v>6297</v>
      </c>
      <c r="K2382" s="22">
        <v>0.0</v>
      </c>
      <c r="L2382" s="22">
        <f>+SUMIF('حركه المخزن الرئيسي اليوميه'!$F:$F,$H:$H,'حركه المخزن الرئيسي اليوميه'!$H:$H)</f>
        <v>0.0</v>
      </c>
      <c r="M2382" s="22">
        <f>+SUMIF('حركه المخزن الرئيسي اليوميه'!$F:$F,$H:$H,'حركه المخزن الرئيسي اليوميه'!$I:$I)</f>
        <v>0.0</v>
      </c>
      <c r="N2382" s="22">
        <f>+K2382+L2382-M2382</f>
        <v>0.0</v>
      </c>
      <c r="O2382" s="22">
        <f>+N2382</f>
        <v>0.0</v>
      </c>
      <c r="P2382" s="22">
        <f>+N2382-O2382</f>
        <v>0.0</v>
      </c>
      <c r="Q2382" s="57"/>
      <c r="R2382" s="58"/>
    </row>
    <row r="2383" spans="8:8" ht="15.0" customHeight="1">
      <c r="B2383" s="54">
        <v>2527.0</v>
      </c>
      <c r="C2383" s="8"/>
      <c r="D2383" s="8"/>
      <c r="E2383" s="8"/>
      <c r="F2383" s="8"/>
      <c r="G2383" s="8"/>
      <c r="H2383" s="8"/>
      <c r="I2383" s="55"/>
      <c r="J2383" s="78" t="s">
        <v>6298</v>
      </c>
      <c r="K2383" s="22">
        <v>0.0</v>
      </c>
      <c r="L2383" s="22">
        <f>+SUMIF('حركه المخزن الرئيسي اليوميه'!$F:$F,$H:$H,'حركه المخزن الرئيسي اليوميه'!$H:$H)</f>
        <v>0.0</v>
      </c>
      <c r="M2383" s="22">
        <f>+SUMIF('حركه المخزن الرئيسي اليوميه'!$F:$F,$H:$H,'حركه المخزن الرئيسي اليوميه'!$I:$I)</f>
        <v>0.0</v>
      </c>
      <c r="N2383" s="22">
        <f>+K2383+L2383-M2383</f>
        <v>0.0</v>
      </c>
      <c r="O2383" s="22">
        <f>+N2383</f>
        <v>0.0</v>
      </c>
      <c r="P2383" s="22">
        <f>+N2383-O2383</f>
        <v>0.0</v>
      </c>
      <c r="Q2383" s="57"/>
      <c r="R2383" s="58"/>
    </row>
    <row r="2384" spans="8:8" ht="15.0" customHeight="1">
      <c r="B2384" s="54">
        <v>2528.0</v>
      </c>
      <c r="C2384" s="8"/>
      <c r="D2384" s="8"/>
      <c r="E2384" s="8"/>
      <c r="F2384" s="8"/>
      <c r="G2384" s="8"/>
      <c r="H2384" s="8"/>
      <c r="I2384" s="55"/>
      <c r="J2384" s="78" t="s">
        <v>6299</v>
      </c>
      <c r="K2384" s="22">
        <v>0.0</v>
      </c>
      <c r="L2384" s="22">
        <f>+SUMIF('حركه المخزن الرئيسي اليوميه'!$F:$F,$H:$H,'حركه المخزن الرئيسي اليوميه'!$H:$H)</f>
        <v>0.0</v>
      </c>
      <c r="M2384" s="22">
        <f>+SUMIF('حركه المخزن الرئيسي اليوميه'!$F:$F,$H:$H,'حركه المخزن الرئيسي اليوميه'!$I:$I)</f>
        <v>0.0</v>
      </c>
      <c r="N2384" s="22">
        <f>+K2384+L2384-M2384</f>
        <v>0.0</v>
      </c>
      <c r="O2384" s="22">
        <f>+N2384</f>
        <v>0.0</v>
      </c>
      <c r="P2384" s="22">
        <f>+N2384-O2384</f>
        <v>0.0</v>
      </c>
      <c r="Q2384" s="57"/>
      <c r="R2384" s="58"/>
    </row>
    <row r="2385" spans="8:8" ht="15.0" customHeight="1">
      <c r="B2385" s="54">
        <v>2529.0</v>
      </c>
      <c r="C2385" s="8"/>
      <c r="D2385" s="8"/>
      <c r="E2385" s="8"/>
      <c r="F2385" s="8"/>
      <c r="G2385" s="8"/>
      <c r="H2385" s="8"/>
      <c r="I2385" s="55"/>
      <c r="J2385" s="78" t="s">
        <v>6300</v>
      </c>
      <c r="K2385" s="22">
        <v>0.0</v>
      </c>
      <c r="L2385" s="22">
        <f>+SUMIF('حركه المخزن الرئيسي اليوميه'!$F:$F,$H:$H,'حركه المخزن الرئيسي اليوميه'!$H:$H)</f>
        <v>0.0</v>
      </c>
      <c r="M2385" s="22">
        <f>+SUMIF('حركه المخزن الرئيسي اليوميه'!$F:$F,$H:$H,'حركه المخزن الرئيسي اليوميه'!$I:$I)</f>
        <v>0.0</v>
      </c>
      <c r="N2385" s="22">
        <f>+K2385+L2385-M2385</f>
        <v>0.0</v>
      </c>
      <c r="O2385" s="22">
        <f>+N2385</f>
        <v>0.0</v>
      </c>
      <c r="P2385" s="22">
        <f>+N2385-O2385</f>
        <v>0.0</v>
      </c>
      <c r="Q2385" s="57"/>
      <c r="R2385" s="58"/>
    </row>
    <row r="2386" spans="8:8" ht="15.0" customHeight="1">
      <c r="B2386" s="54">
        <v>2530.0</v>
      </c>
      <c r="C2386" s="8"/>
      <c r="D2386" s="8"/>
      <c r="E2386" s="8"/>
      <c r="F2386" s="8"/>
      <c r="G2386" s="8"/>
      <c r="H2386" s="8"/>
      <c r="I2386" s="55"/>
      <c r="J2386" s="78" t="s">
        <v>6301</v>
      </c>
      <c r="K2386" s="22">
        <v>0.0</v>
      </c>
      <c r="L2386" s="22">
        <f>+SUMIF('حركه المخزن الرئيسي اليوميه'!$F:$F,$H:$H,'حركه المخزن الرئيسي اليوميه'!$H:$H)</f>
        <v>0.0</v>
      </c>
      <c r="M2386" s="22">
        <f>+SUMIF('حركه المخزن الرئيسي اليوميه'!$F:$F,$H:$H,'حركه المخزن الرئيسي اليوميه'!$I:$I)</f>
        <v>0.0</v>
      </c>
      <c r="N2386" s="22">
        <f>+K2386+L2386-M2386</f>
        <v>0.0</v>
      </c>
      <c r="O2386" s="22">
        <f>+N2386</f>
        <v>0.0</v>
      </c>
      <c r="P2386" s="22">
        <f>+N2386-O2386</f>
        <v>0.0</v>
      </c>
      <c r="Q2386" s="57"/>
      <c r="R2386" s="58"/>
    </row>
    <row r="2387" spans="8:8" ht="15.0" customHeight="1">
      <c r="B2387" s="54">
        <v>2531.0</v>
      </c>
      <c r="C2387" s="8"/>
      <c r="D2387" s="8"/>
      <c r="E2387" s="8"/>
      <c r="F2387" s="8"/>
      <c r="G2387" s="8"/>
      <c r="H2387" s="8"/>
      <c r="I2387" s="55"/>
      <c r="J2387" s="78" t="s">
        <v>6302</v>
      </c>
      <c r="K2387" s="22">
        <v>0.0</v>
      </c>
      <c r="L2387" s="22">
        <f>+SUMIF('حركه المخزن الرئيسي اليوميه'!$F:$F,$H:$H,'حركه المخزن الرئيسي اليوميه'!$H:$H)</f>
        <v>0.0</v>
      </c>
      <c r="M2387" s="22">
        <f>+SUMIF('حركه المخزن الرئيسي اليوميه'!$F:$F,$H:$H,'حركه المخزن الرئيسي اليوميه'!$I:$I)</f>
        <v>0.0</v>
      </c>
      <c r="N2387" s="22">
        <f>+K2387+L2387-M2387</f>
        <v>0.0</v>
      </c>
      <c r="O2387" s="22">
        <f>+N2387</f>
        <v>0.0</v>
      </c>
      <c r="P2387" s="22">
        <f>+N2387-O2387</f>
        <v>0.0</v>
      </c>
      <c r="Q2387" s="57"/>
      <c r="R2387" s="58"/>
    </row>
    <row r="2388" spans="8:8" ht="15.0" customHeight="1">
      <c r="B2388" s="54">
        <v>2532.0</v>
      </c>
      <c r="C2388" s="8"/>
      <c r="D2388" s="8"/>
      <c r="E2388" s="8"/>
      <c r="F2388" s="8"/>
      <c r="G2388" s="8"/>
      <c r="H2388" s="8"/>
      <c r="I2388" s="55"/>
      <c r="J2388" s="78" t="s">
        <v>6303</v>
      </c>
      <c r="K2388" s="22">
        <v>0.0</v>
      </c>
      <c r="L2388" s="22">
        <f>+SUMIF('حركه المخزن الرئيسي اليوميه'!$F:$F,$H:$H,'حركه المخزن الرئيسي اليوميه'!$H:$H)</f>
        <v>0.0</v>
      </c>
      <c r="M2388" s="22">
        <f>+SUMIF('حركه المخزن الرئيسي اليوميه'!$F:$F,$H:$H,'حركه المخزن الرئيسي اليوميه'!$I:$I)</f>
        <v>0.0</v>
      </c>
      <c r="N2388" s="22">
        <f>+K2388+L2388-M2388</f>
        <v>0.0</v>
      </c>
      <c r="O2388" s="22">
        <f>+N2388</f>
        <v>0.0</v>
      </c>
      <c r="P2388" s="22">
        <f>+N2388-O2388</f>
        <v>0.0</v>
      </c>
      <c r="Q2388" s="57"/>
      <c r="R2388" s="58"/>
    </row>
    <row r="2389" spans="8:8" ht="15.0" customHeight="1">
      <c r="B2389" s="54">
        <v>2533.0</v>
      </c>
      <c r="C2389" s="8"/>
      <c r="D2389" s="8"/>
      <c r="E2389" s="8"/>
      <c r="F2389" s="8"/>
      <c r="G2389" s="8"/>
      <c r="H2389" s="8"/>
      <c r="I2389" s="55"/>
      <c r="J2389" s="78" t="s">
        <v>6304</v>
      </c>
      <c r="K2389" s="22">
        <v>0.0</v>
      </c>
      <c r="L2389" s="22">
        <f>+SUMIF('حركه المخزن الرئيسي اليوميه'!$F:$F,$H:$H,'حركه المخزن الرئيسي اليوميه'!$H:$H)</f>
        <v>0.0</v>
      </c>
      <c r="M2389" s="22">
        <f>+SUMIF('حركه المخزن الرئيسي اليوميه'!$F:$F,$H:$H,'حركه المخزن الرئيسي اليوميه'!$I:$I)</f>
        <v>0.0</v>
      </c>
      <c r="N2389" s="22">
        <f>+K2389+L2389-M2389</f>
        <v>0.0</v>
      </c>
      <c r="O2389" s="22">
        <f>+N2389</f>
        <v>0.0</v>
      </c>
      <c r="P2389" s="22">
        <f>+N2389-O2389</f>
        <v>0.0</v>
      </c>
      <c r="Q2389" s="57"/>
      <c r="R2389" s="58"/>
    </row>
    <row r="2390" spans="8:8" ht="15.0" customHeight="1">
      <c r="B2390" s="54">
        <v>2534.0</v>
      </c>
      <c r="C2390" s="8"/>
      <c r="D2390" s="8"/>
      <c r="E2390" s="8"/>
      <c r="F2390" s="8"/>
      <c r="G2390" s="8"/>
      <c r="H2390" s="8"/>
      <c r="I2390" s="55"/>
      <c r="J2390" s="78" t="s">
        <v>6305</v>
      </c>
      <c r="K2390" s="22">
        <v>0.0</v>
      </c>
      <c r="L2390" s="22">
        <f>+SUMIF('حركه المخزن الرئيسي اليوميه'!$F:$F,$H:$H,'حركه المخزن الرئيسي اليوميه'!$H:$H)</f>
        <v>0.0</v>
      </c>
      <c r="M2390" s="22">
        <f>+SUMIF('حركه المخزن الرئيسي اليوميه'!$F:$F,$H:$H,'حركه المخزن الرئيسي اليوميه'!$I:$I)</f>
        <v>0.0</v>
      </c>
      <c r="N2390" s="22">
        <f>+K2390+L2390-M2390</f>
        <v>0.0</v>
      </c>
      <c r="O2390" s="22">
        <f>+N2390</f>
        <v>0.0</v>
      </c>
      <c r="P2390" s="22">
        <f>+N2390-O2390</f>
        <v>0.0</v>
      </c>
      <c r="Q2390" s="57"/>
      <c r="R2390" s="58"/>
    </row>
    <row r="2391" spans="8:8" ht="15.0" customHeight="1">
      <c r="B2391" s="54">
        <v>2535.0</v>
      </c>
      <c r="C2391" s="8"/>
      <c r="D2391" s="8"/>
      <c r="E2391" s="8"/>
      <c r="F2391" s="8"/>
      <c r="G2391" s="8"/>
      <c r="H2391" s="8"/>
      <c r="I2391" s="55"/>
      <c r="J2391" s="78" t="s">
        <v>6306</v>
      </c>
      <c r="K2391" s="22">
        <v>0.0</v>
      </c>
      <c r="L2391" s="22">
        <f>+SUMIF('حركه المخزن الرئيسي اليوميه'!$F:$F,$H:$H,'حركه المخزن الرئيسي اليوميه'!$H:$H)</f>
        <v>0.0</v>
      </c>
      <c r="M2391" s="22">
        <f>+SUMIF('حركه المخزن الرئيسي اليوميه'!$F:$F,$H:$H,'حركه المخزن الرئيسي اليوميه'!$I:$I)</f>
        <v>0.0</v>
      </c>
      <c r="N2391" s="22">
        <f>+K2391+L2391-M2391</f>
        <v>0.0</v>
      </c>
      <c r="O2391" s="22">
        <f>+N2391</f>
        <v>0.0</v>
      </c>
      <c r="P2391" s="22">
        <f>+N2391-O2391</f>
        <v>0.0</v>
      </c>
      <c r="Q2391" s="57"/>
      <c r="R2391" s="58"/>
    </row>
    <row r="2392" spans="8:8" ht="15.0" customHeight="1">
      <c r="B2392" s="54">
        <v>2536.0</v>
      </c>
      <c r="C2392" s="8"/>
      <c r="D2392" s="8"/>
      <c r="E2392" s="8"/>
      <c r="F2392" s="8"/>
      <c r="G2392" s="8"/>
      <c r="H2392" s="8"/>
      <c r="I2392" s="55"/>
      <c r="J2392" s="78" t="s">
        <v>6307</v>
      </c>
      <c r="K2392" s="22">
        <v>0.0</v>
      </c>
      <c r="L2392" s="22">
        <f>+SUMIF('حركه المخزن الرئيسي اليوميه'!$F:$F,$H:$H,'حركه المخزن الرئيسي اليوميه'!$H:$H)</f>
        <v>0.0</v>
      </c>
      <c r="M2392" s="22">
        <f>+SUMIF('حركه المخزن الرئيسي اليوميه'!$F:$F,$H:$H,'حركه المخزن الرئيسي اليوميه'!$I:$I)</f>
        <v>0.0</v>
      </c>
      <c r="N2392" s="22">
        <f>+K2392+L2392-M2392</f>
        <v>0.0</v>
      </c>
      <c r="O2392" s="22">
        <f>+N2392</f>
        <v>0.0</v>
      </c>
      <c r="P2392" s="22">
        <f>+N2392-O2392</f>
        <v>0.0</v>
      </c>
      <c r="Q2392" s="57"/>
      <c r="R2392" s="58"/>
    </row>
    <row r="2393" spans="8:8" ht="15.0" customHeight="1">
      <c r="B2393" s="54">
        <v>2537.0</v>
      </c>
      <c r="C2393" s="8"/>
      <c r="D2393" s="8"/>
      <c r="E2393" s="8"/>
      <c r="F2393" s="8"/>
      <c r="G2393" s="8"/>
      <c r="H2393" s="8"/>
      <c r="I2393" s="55"/>
      <c r="J2393" s="78" t="s">
        <v>6308</v>
      </c>
      <c r="K2393" s="22">
        <v>0.0</v>
      </c>
      <c r="L2393" s="22">
        <f>+SUMIF('حركه المخزن الرئيسي اليوميه'!$F:$F,$H:$H,'حركه المخزن الرئيسي اليوميه'!$H:$H)</f>
        <v>0.0</v>
      </c>
      <c r="M2393" s="22">
        <f>+SUMIF('حركه المخزن الرئيسي اليوميه'!$F:$F,$H:$H,'حركه المخزن الرئيسي اليوميه'!$I:$I)</f>
        <v>0.0</v>
      </c>
      <c r="N2393" s="22">
        <f>+K2393+L2393-M2393</f>
        <v>0.0</v>
      </c>
      <c r="O2393" s="22">
        <f>+N2393</f>
        <v>0.0</v>
      </c>
      <c r="P2393" s="22">
        <f>+N2393-O2393</f>
        <v>0.0</v>
      </c>
      <c r="Q2393" s="57"/>
      <c r="R2393" s="58"/>
    </row>
    <row r="2394" spans="8:8" ht="15.0" customHeight="1">
      <c r="B2394" s="54">
        <v>2538.0</v>
      </c>
      <c r="C2394" s="8"/>
      <c r="D2394" s="8"/>
      <c r="E2394" s="8"/>
      <c r="F2394" s="8"/>
      <c r="G2394" s="8"/>
      <c r="H2394" s="8"/>
      <c r="I2394" s="55"/>
      <c r="J2394" s="78" t="s">
        <v>6309</v>
      </c>
      <c r="K2394" s="22">
        <v>0.0</v>
      </c>
      <c r="L2394" s="22">
        <f>+SUMIF('حركه المخزن الرئيسي اليوميه'!$F:$F,$H:$H,'حركه المخزن الرئيسي اليوميه'!$H:$H)</f>
        <v>0.0</v>
      </c>
      <c r="M2394" s="22">
        <f>+SUMIF('حركه المخزن الرئيسي اليوميه'!$F:$F,$H:$H,'حركه المخزن الرئيسي اليوميه'!$I:$I)</f>
        <v>0.0</v>
      </c>
      <c r="N2394" s="22">
        <f>+K2394+L2394-M2394</f>
        <v>0.0</v>
      </c>
      <c r="O2394" s="22">
        <f>+N2394</f>
        <v>0.0</v>
      </c>
      <c r="P2394" s="22">
        <f>+N2394-O2394</f>
        <v>0.0</v>
      </c>
      <c r="Q2394" s="57"/>
      <c r="R2394" s="58"/>
    </row>
    <row r="2395" spans="8:8" ht="15.0" customHeight="1">
      <c r="B2395" s="54">
        <v>2539.0</v>
      </c>
      <c r="C2395" s="8"/>
      <c r="D2395" s="8"/>
      <c r="E2395" s="8"/>
      <c r="F2395" s="8"/>
      <c r="G2395" s="8"/>
      <c r="H2395" s="8"/>
      <c r="I2395" s="55"/>
      <c r="J2395" s="78" t="s">
        <v>6310</v>
      </c>
      <c r="K2395" s="22">
        <v>0.0</v>
      </c>
      <c r="L2395" s="22">
        <f>+SUMIF('حركه المخزن الرئيسي اليوميه'!$F:$F,$H:$H,'حركه المخزن الرئيسي اليوميه'!$H:$H)</f>
        <v>0.0</v>
      </c>
      <c r="M2395" s="22">
        <f>+SUMIF('حركه المخزن الرئيسي اليوميه'!$F:$F,$H:$H,'حركه المخزن الرئيسي اليوميه'!$I:$I)</f>
        <v>0.0</v>
      </c>
      <c r="N2395" s="22">
        <f>+K2395+L2395-M2395</f>
        <v>0.0</v>
      </c>
      <c r="O2395" s="22">
        <f>+N2395</f>
        <v>0.0</v>
      </c>
      <c r="P2395" s="22">
        <f>+N2395-O2395</f>
        <v>0.0</v>
      </c>
      <c r="Q2395" s="57"/>
      <c r="R2395" s="58"/>
    </row>
    <row r="2396" spans="8:8" ht="15.0" customHeight="1">
      <c r="B2396" s="54">
        <v>2540.0</v>
      </c>
      <c r="C2396" s="8"/>
      <c r="D2396" s="8"/>
      <c r="E2396" s="8"/>
      <c r="F2396" s="8"/>
      <c r="G2396" s="8"/>
      <c r="H2396" s="8"/>
      <c r="I2396" s="55"/>
      <c r="J2396" s="78" t="s">
        <v>6311</v>
      </c>
      <c r="K2396" s="22">
        <v>0.0</v>
      </c>
      <c r="L2396" s="22">
        <f>+SUMIF('حركه المخزن الرئيسي اليوميه'!$F:$F,$H:$H,'حركه المخزن الرئيسي اليوميه'!$H:$H)</f>
        <v>0.0</v>
      </c>
      <c r="M2396" s="22">
        <f>+SUMIF('حركه المخزن الرئيسي اليوميه'!$F:$F,$H:$H,'حركه المخزن الرئيسي اليوميه'!$I:$I)</f>
        <v>0.0</v>
      </c>
      <c r="N2396" s="22">
        <f>+K2396+L2396-M2396</f>
        <v>0.0</v>
      </c>
      <c r="O2396" s="22">
        <f>+N2396</f>
        <v>0.0</v>
      </c>
      <c r="P2396" s="22">
        <f>+N2396-O2396</f>
        <v>0.0</v>
      </c>
      <c r="Q2396" s="57"/>
      <c r="R2396" s="58"/>
    </row>
    <row r="2397" spans="8:8" ht="15.0" customHeight="1">
      <c r="B2397" s="54">
        <v>2541.0</v>
      </c>
      <c r="C2397" s="8"/>
      <c r="D2397" s="8"/>
      <c r="E2397" s="8"/>
      <c r="F2397" s="8"/>
      <c r="G2397" s="8"/>
      <c r="H2397" s="8"/>
      <c r="I2397" s="55"/>
      <c r="J2397" s="78" t="s">
        <v>6312</v>
      </c>
      <c r="K2397" s="22">
        <v>0.0</v>
      </c>
      <c r="L2397" s="22">
        <f>+SUMIF('حركه المخزن الرئيسي اليوميه'!$F:$F,$H:$H,'حركه المخزن الرئيسي اليوميه'!$H:$H)</f>
        <v>0.0</v>
      </c>
      <c r="M2397" s="22">
        <f>+SUMIF('حركه المخزن الرئيسي اليوميه'!$F:$F,$H:$H,'حركه المخزن الرئيسي اليوميه'!$I:$I)</f>
        <v>0.0</v>
      </c>
      <c r="N2397" s="22">
        <f>+K2397+L2397-M2397</f>
        <v>0.0</v>
      </c>
      <c r="O2397" s="22">
        <f>+N2397</f>
        <v>0.0</v>
      </c>
      <c r="P2397" s="22">
        <f>+N2397-O2397</f>
        <v>0.0</v>
      </c>
      <c r="Q2397" s="57"/>
      <c r="R2397" s="58"/>
    </row>
    <row r="2398" spans="8:8" ht="15.0" customHeight="1">
      <c r="B2398" s="54">
        <v>2542.0</v>
      </c>
      <c r="C2398" s="8"/>
      <c r="D2398" s="8"/>
      <c r="E2398" s="8"/>
      <c r="F2398" s="8"/>
      <c r="G2398" s="8"/>
      <c r="H2398" s="8"/>
      <c r="I2398" s="55"/>
      <c r="J2398" s="78" t="s">
        <v>6313</v>
      </c>
      <c r="K2398" s="22">
        <v>0.0</v>
      </c>
      <c r="L2398" s="22">
        <f>+SUMIF('حركه المخزن الرئيسي اليوميه'!$F:$F,$H:$H,'حركه المخزن الرئيسي اليوميه'!$H:$H)</f>
        <v>0.0</v>
      </c>
      <c r="M2398" s="22">
        <f>+SUMIF('حركه المخزن الرئيسي اليوميه'!$F:$F,$H:$H,'حركه المخزن الرئيسي اليوميه'!$I:$I)</f>
        <v>0.0</v>
      </c>
      <c r="N2398" s="22">
        <f>+K2398+L2398-M2398</f>
        <v>0.0</v>
      </c>
      <c r="O2398" s="22">
        <f>+N2398</f>
        <v>0.0</v>
      </c>
      <c r="P2398" s="22">
        <f>+N2398-O2398</f>
        <v>0.0</v>
      </c>
      <c r="Q2398" s="57"/>
      <c r="R2398" s="58"/>
    </row>
    <row r="2399" spans="8:8" ht="15.0" customHeight="1">
      <c r="B2399" s="54">
        <v>2543.0</v>
      </c>
      <c r="C2399" s="8"/>
      <c r="D2399" s="8"/>
      <c r="E2399" s="8"/>
      <c r="F2399" s="8"/>
      <c r="G2399" s="8"/>
      <c r="H2399" s="8"/>
      <c r="I2399" s="55"/>
      <c r="J2399" s="78" t="s">
        <v>6314</v>
      </c>
      <c r="K2399" s="22">
        <v>0.0</v>
      </c>
      <c r="L2399" s="22">
        <f>+SUMIF('حركه المخزن الرئيسي اليوميه'!$F:$F,$H:$H,'حركه المخزن الرئيسي اليوميه'!$H:$H)</f>
        <v>0.0</v>
      </c>
      <c r="M2399" s="22">
        <f>+SUMIF('حركه المخزن الرئيسي اليوميه'!$F:$F,$H:$H,'حركه المخزن الرئيسي اليوميه'!$I:$I)</f>
        <v>0.0</v>
      </c>
      <c r="N2399" s="22">
        <f>+K2399+L2399-M2399</f>
        <v>0.0</v>
      </c>
      <c r="O2399" s="22">
        <f>+N2399</f>
        <v>0.0</v>
      </c>
      <c r="P2399" s="22">
        <f>+N2399-O2399</f>
        <v>0.0</v>
      </c>
      <c r="Q2399" s="57"/>
      <c r="R2399" s="58"/>
    </row>
    <row r="2400" spans="8:8" ht="15.0" customHeight="1">
      <c r="B2400" s="54">
        <v>2544.0</v>
      </c>
      <c r="C2400" s="8"/>
      <c r="D2400" s="8"/>
      <c r="E2400" s="8"/>
      <c r="F2400" s="8"/>
      <c r="G2400" s="8"/>
      <c r="H2400" s="8"/>
      <c r="I2400" s="55"/>
      <c r="J2400" s="78" t="s">
        <v>6315</v>
      </c>
      <c r="K2400" s="22">
        <v>0.0</v>
      </c>
      <c r="L2400" s="22">
        <f>+SUMIF('حركه المخزن الرئيسي اليوميه'!$F:$F,$H:$H,'حركه المخزن الرئيسي اليوميه'!$H:$H)</f>
        <v>0.0</v>
      </c>
      <c r="M2400" s="22">
        <f>+SUMIF('حركه المخزن الرئيسي اليوميه'!$F:$F,$H:$H,'حركه المخزن الرئيسي اليوميه'!$I:$I)</f>
        <v>0.0</v>
      </c>
      <c r="N2400" s="22">
        <f>+K2400+L2400-M2400</f>
        <v>0.0</v>
      </c>
      <c r="O2400" s="22">
        <f>+N2400</f>
        <v>0.0</v>
      </c>
      <c r="P2400" s="22">
        <f>+N2400-O2400</f>
        <v>0.0</v>
      </c>
      <c r="Q2400" s="57"/>
      <c r="R2400" s="58"/>
    </row>
    <row r="2401" spans="8:8" ht="15.0" customHeight="1">
      <c r="B2401" s="54">
        <v>2545.0</v>
      </c>
      <c r="C2401" s="8"/>
      <c r="D2401" s="8"/>
      <c r="E2401" s="8"/>
      <c r="F2401" s="8"/>
      <c r="G2401" s="8"/>
      <c r="H2401" s="8"/>
      <c r="I2401" s="55"/>
      <c r="J2401" s="78" t="s">
        <v>6316</v>
      </c>
      <c r="K2401" s="22">
        <v>0.0</v>
      </c>
      <c r="L2401" s="22">
        <f>+SUMIF('حركه المخزن الرئيسي اليوميه'!$F:$F,$H:$H,'حركه المخزن الرئيسي اليوميه'!$H:$H)</f>
        <v>0.0</v>
      </c>
      <c r="M2401" s="22">
        <f>+SUMIF('حركه المخزن الرئيسي اليوميه'!$F:$F,$H:$H,'حركه المخزن الرئيسي اليوميه'!$I:$I)</f>
        <v>0.0</v>
      </c>
      <c r="N2401" s="22">
        <f>+K2401+L2401-M2401</f>
        <v>0.0</v>
      </c>
      <c r="O2401" s="22">
        <f>+N2401</f>
        <v>0.0</v>
      </c>
      <c r="P2401" s="22">
        <f>+N2401-O2401</f>
        <v>0.0</v>
      </c>
      <c r="Q2401" s="57"/>
      <c r="R2401" s="58"/>
    </row>
    <row r="2402" spans="8:8" ht="15.0" customHeight="1">
      <c r="B2402" s="54">
        <v>2546.0</v>
      </c>
      <c r="C2402" s="8"/>
      <c r="D2402" s="8"/>
      <c r="E2402" s="8"/>
      <c r="F2402" s="8"/>
      <c r="G2402" s="8"/>
      <c r="H2402" s="8"/>
      <c r="I2402" s="55"/>
      <c r="J2402" s="78" t="s">
        <v>6317</v>
      </c>
      <c r="K2402" s="22">
        <v>0.0</v>
      </c>
      <c r="L2402" s="22">
        <f>+SUMIF('حركه المخزن الرئيسي اليوميه'!$F:$F,$H:$H,'حركه المخزن الرئيسي اليوميه'!$H:$H)</f>
        <v>0.0</v>
      </c>
      <c r="M2402" s="22">
        <f>+SUMIF('حركه المخزن الرئيسي اليوميه'!$F:$F,$H:$H,'حركه المخزن الرئيسي اليوميه'!$I:$I)</f>
        <v>0.0</v>
      </c>
      <c r="N2402" s="22">
        <f>+K2402+L2402-M2402</f>
        <v>0.0</v>
      </c>
      <c r="O2402" s="22">
        <f>+N2402</f>
        <v>0.0</v>
      </c>
      <c r="P2402" s="22">
        <f>+N2402-O2402</f>
        <v>0.0</v>
      </c>
      <c r="Q2402" s="57"/>
      <c r="R2402" s="58"/>
    </row>
    <row r="2403" spans="8:8" ht="15.0" customHeight="1">
      <c r="B2403" s="54">
        <v>2547.0</v>
      </c>
      <c r="C2403" s="8"/>
      <c r="D2403" s="8"/>
      <c r="E2403" s="8"/>
      <c r="F2403" s="8"/>
      <c r="G2403" s="8"/>
      <c r="H2403" s="8"/>
      <c r="I2403" s="55"/>
      <c r="J2403" s="78" t="s">
        <v>6318</v>
      </c>
      <c r="K2403" s="22">
        <v>0.0</v>
      </c>
      <c r="L2403" s="22">
        <f>+SUMIF('حركه المخزن الرئيسي اليوميه'!$F:$F,$H:$H,'حركه المخزن الرئيسي اليوميه'!$H:$H)</f>
        <v>0.0</v>
      </c>
      <c r="M2403" s="22">
        <f>+SUMIF('حركه المخزن الرئيسي اليوميه'!$F:$F,$H:$H,'حركه المخزن الرئيسي اليوميه'!$I:$I)</f>
        <v>0.0</v>
      </c>
      <c r="N2403" s="22">
        <f>+K2403+L2403-M2403</f>
        <v>0.0</v>
      </c>
      <c r="O2403" s="22">
        <f>+N2403</f>
        <v>0.0</v>
      </c>
      <c r="P2403" s="22">
        <f>+N2403-O2403</f>
        <v>0.0</v>
      </c>
      <c r="Q2403" s="57"/>
      <c r="R2403" s="58"/>
    </row>
    <row r="2404" spans="8:8" ht="15.0" customHeight="1">
      <c r="B2404" s="54">
        <v>2548.0</v>
      </c>
      <c r="C2404" s="8"/>
      <c r="D2404" s="8"/>
      <c r="E2404" s="8"/>
      <c r="F2404" s="8"/>
      <c r="G2404" s="8"/>
      <c r="H2404" s="8"/>
      <c r="I2404" s="55"/>
      <c r="J2404" s="78" t="s">
        <v>6319</v>
      </c>
      <c r="K2404" s="22">
        <v>0.0</v>
      </c>
      <c r="L2404" s="22">
        <f>+SUMIF('حركه المخزن الرئيسي اليوميه'!$F:$F,$H:$H,'حركه المخزن الرئيسي اليوميه'!$H:$H)</f>
        <v>0.0</v>
      </c>
      <c r="M2404" s="22">
        <f>+SUMIF('حركه المخزن الرئيسي اليوميه'!$F:$F,$H:$H,'حركه المخزن الرئيسي اليوميه'!$I:$I)</f>
        <v>0.0</v>
      </c>
      <c r="N2404" s="22">
        <f>+K2404+L2404-M2404</f>
        <v>0.0</v>
      </c>
      <c r="O2404" s="22">
        <f>+N2404</f>
        <v>0.0</v>
      </c>
      <c r="P2404" s="22">
        <f>+N2404-O2404</f>
        <v>0.0</v>
      </c>
      <c r="Q2404" s="57"/>
      <c r="R2404" s="58"/>
    </row>
    <row r="2405" spans="8:8" ht="15.0" customHeight="1">
      <c r="B2405" s="54">
        <v>2549.0</v>
      </c>
      <c r="C2405" s="8"/>
      <c r="D2405" s="8"/>
      <c r="E2405" s="8"/>
      <c r="F2405" s="8"/>
      <c r="G2405" s="8"/>
      <c r="H2405" s="8"/>
      <c r="I2405" s="55"/>
      <c r="J2405" s="78" t="s">
        <v>6320</v>
      </c>
      <c r="K2405" s="22">
        <v>0.0</v>
      </c>
      <c r="L2405" s="22">
        <f>+SUMIF('حركه المخزن الرئيسي اليوميه'!$F:$F,$H:$H,'حركه المخزن الرئيسي اليوميه'!$H:$H)</f>
        <v>0.0</v>
      </c>
      <c r="M2405" s="22">
        <f>+SUMIF('حركه المخزن الرئيسي اليوميه'!$F:$F,$H:$H,'حركه المخزن الرئيسي اليوميه'!$I:$I)</f>
        <v>0.0</v>
      </c>
      <c r="N2405" s="22">
        <f>+K2405+L2405-M2405</f>
        <v>0.0</v>
      </c>
      <c r="O2405" s="22">
        <f>+N2405</f>
        <v>0.0</v>
      </c>
      <c r="P2405" s="22">
        <f>+N2405-O2405</f>
        <v>0.0</v>
      </c>
      <c r="Q2405" s="57"/>
      <c r="R2405" s="58"/>
    </row>
    <row r="2406" spans="8:8" ht="15.0" customHeight="1">
      <c r="B2406" s="54">
        <v>2550.0</v>
      </c>
      <c r="C2406" s="8"/>
      <c r="D2406" s="8"/>
      <c r="E2406" s="8"/>
      <c r="F2406" s="8"/>
      <c r="G2406" s="8"/>
      <c r="H2406" s="8"/>
      <c r="I2406" s="55"/>
      <c r="J2406" s="78" t="s">
        <v>6321</v>
      </c>
      <c r="K2406" s="22">
        <v>0.0</v>
      </c>
      <c r="L2406" s="22">
        <f>+SUMIF('حركه المخزن الرئيسي اليوميه'!$F:$F,$H:$H,'حركه المخزن الرئيسي اليوميه'!$H:$H)</f>
        <v>0.0</v>
      </c>
      <c r="M2406" s="22">
        <f>+SUMIF('حركه المخزن الرئيسي اليوميه'!$F:$F,$H:$H,'حركه المخزن الرئيسي اليوميه'!$I:$I)</f>
        <v>0.0</v>
      </c>
      <c r="N2406" s="22">
        <f>+K2406+L2406-M2406</f>
        <v>0.0</v>
      </c>
      <c r="O2406" s="22">
        <f>+N2406</f>
        <v>0.0</v>
      </c>
      <c r="P2406" s="22">
        <f>+N2406-O2406</f>
        <v>0.0</v>
      </c>
      <c r="Q2406" s="57"/>
      <c r="R2406" s="58"/>
    </row>
    <row r="2407" spans="8:8" ht="15.0" customHeight="1">
      <c r="B2407" s="54">
        <v>2551.0</v>
      </c>
      <c r="C2407" s="8"/>
      <c r="D2407" s="8"/>
      <c r="E2407" s="8"/>
      <c r="F2407" s="8"/>
      <c r="G2407" s="8"/>
      <c r="H2407" s="8"/>
      <c r="I2407" s="55"/>
      <c r="J2407" s="78" t="s">
        <v>6322</v>
      </c>
      <c r="K2407" s="22">
        <v>0.0</v>
      </c>
      <c r="L2407" s="22">
        <f>+SUMIF('حركه المخزن الرئيسي اليوميه'!$F:$F,$H:$H,'حركه المخزن الرئيسي اليوميه'!$H:$H)</f>
        <v>0.0</v>
      </c>
      <c r="M2407" s="22">
        <f>+SUMIF('حركه المخزن الرئيسي اليوميه'!$F:$F,$H:$H,'حركه المخزن الرئيسي اليوميه'!$I:$I)</f>
        <v>0.0</v>
      </c>
      <c r="N2407" s="22">
        <f>+K2407+L2407-M2407</f>
        <v>0.0</v>
      </c>
      <c r="O2407" s="22">
        <f>+N2407</f>
        <v>0.0</v>
      </c>
      <c r="P2407" s="22">
        <f>+N2407-O2407</f>
        <v>0.0</v>
      </c>
      <c r="Q2407" s="57"/>
      <c r="R2407" s="58"/>
    </row>
    <row r="2408" spans="8:8" ht="15.0" customHeight="1">
      <c r="B2408" s="54">
        <v>2552.0</v>
      </c>
      <c r="C2408" s="8"/>
      <c r="D2408" s="8"/>
      <c r="E2408" s="8"/>
      <c r="F2408" s="8"/>
      <c r="G2408" s="8"/>
      <c r="H2408" s="8"/>
      <c r="I2408" s="55"/>
      <c r="J2408" s="78" t="s">
        <v>6323</v>
      </c>
      <c r="K2408" s="22">
        <v>0.0</v>
      </c>
      <c r="L2408" s="22">
        <f>+SUMIF('حركه المخزن الرئيسي اليوميه'!$F:$F,$H:$H,'حركه المخزن الرئيسي اليوميه'!$H:$H)</f>
        <v>0.0</v>
      </c>
      <c r="M2408" s="22">
        <f>+SUMIF('حركه المخزن الرئيسي اليوميه'!$F:$F,$H:$H,'حركه المخزن الرئيسي اليوميه'!$I:$I)</f>
        <v>0.0</v>
      </c>
      <c r="N2408" s="22">
        <f>+K2408+L2408-M2408</f>
        <v>0.0</v>
      </c>
      <c r="O2408" s="22">
        <f>+N2408</f>
        <v>0.0</v>
      </c>
      <c r="P2408" s="22">
        <f>+N2408-O2408</f>
        <v>0.0</v>
      </c>
      <c r="Q2408" s="57"/>
      <c r="R2408" s="58"/>
    </row>
    <row r="2409" spans="8:8" ht="15.0" customHeight="1">
      <c r="B2409" s="54">
        <v>2553.0</v>
      </c>
      <c r="C2409" s="8"/>
      <c r="D2409" s="8"/>
      <c r="E2409" s="8"/>
      <c r="F2409" s="8"/>
      <c r="G2409" s="8"/>
      <c r="H2409" s="8"/>
      <c r="I2409" s="55"/>
      <c r="J2409" s="78" t="s">
        <v>6324</v>
      </c>
      <c r="K2409" s="22">
        <v>0.0</v>
      </c>
      <c r="L2409" s="22">
        <f>+SUMIF('حركه المخزن الرئيسي اليوميه'!$F:$F,$H:$H,'حركه المخزن الرئيسي اليوميه'!$H:$H)</f>
        <v>0.0</v>
      </c>
      <c r="M2409" s="22">
        <f>+SUMIF('حركه المخزن الرئيسي اليوميه'!$F:$F,$H:$H,'حركه المخزن الرئيسي اليوميه'!$I:$I)</f>
        <v>0.0</v>
      </c>
      <c r="N2409" s="22">
        <f>+K2409+L2409-M2409</f>
        <v>0.0</v>
      </c>
      <c r="O2409" s="22">
        <f>+N2409</f>
        <v>0.0</v>
      </c>
      <c r="P2409" s="22">
        <f>+N2409-O2409</f>
        <v>0.0</v>
      </c>
      <c r="Q2409" s="57"/>
      <c r="R2409" s="58"/>
    </row>
    <row r="2410" spans="8:8" ht="15.0" customHeight="1">
      <c r="B2410" s="54">
        <v>2554.0</v>
      </c>
      <c r="C2410" s="8"/>
      <c r="D2410" s="8"/>
      <c r="E2410" s="8"/>
      <c r="F2410" s="8"/>
      <c r="G2410" s="8"/>
      <c r="H2410" s="8"/>
      <c r="I2410" s="55"/>
      <c r="J2410" s="78" t="s">
        <v>6325</v>
      </c>
      <c r="K2410" s="22">
        <v>0.0</v>
      </c>
      <c r="L2410" s="22">
        <f>+SUMIF('حركه المخزن الرئيسي اليوميه'!$F:$F,$H:$H,'حركه المخزن الرئيسي اليوميه'!$H:$H)</f>
        <v>0.0</v>
      </c>
      <c r="M2410" s="22">
        <f>+SUMIF('حركه المخزن الرئيسي اليوميه'!$F:$F,$H:$H,'حركه المخزن الرئيسي اليوميه'!$I:$I)</f>
        <v>0.0</v>
      </c>
      <c r="N2410" s="22">
        <f>+K2410+L2410-M2410</f>
        <v>0.0</v>
      </c>
      <c r="O2410" s="22">
        <f>+N2410</f>
        <v>0.0</v>
      </c>
      <c r="P2410" s="22">
        <f>+N2410-O2410</f>
        <v>0.0</v>
      </c>
      <c r="Q2410" s="57"/>
      <c r="R2410" s="58"/>
    </row>
    <row r="2411" spans="8:8" ht="15.0" customHeight="1">
      <c r="B2411" s="54">
        <v>2555.0</v>
      </c>
      <c r="C2411" s="8"/>
      <c r="D2411" s="8"/>
      <c r="E2411" s="8"/>
      <c r="F2411" s="8"/>
      <c r="G2411" s="8"/>
      <c r="H2411" s="8"/>
      <c r="I2411" s="55"/>
      <c r="J2411" s="78" t="s">
        <v>6326</v>
      </c>
      <c r="K2411" s="22">
        <v>0.0</v>
      </c>
      <c r="L2411" s="22">
        <f>+SUMIF('حركه المخزن الرئيسي اليوميه'!$F:$F,$H:$H,'حركه المخزن الرئيسي اليوميه'!$H:$H)</f>
        <v>0.0</v>
      </c>
      <c r="M2411" s="22">
        <f>+SUMIF('حركه المخزن الرئيسي اليوميه'!$F:$F,$H:$H,'حركه المخزن الرئيسي اليوميه'!$I:$I)</f>
        <v>0.0</v>
      </c>
      <c r="N2411" s="22">
        <f>+K2411+L2411-M2411</f>
        <v>0.0</v>
      </c>
      <c r="O2411" s="22">
        <f>+N2411</f>
        <v>0.0</v>
      </c>
      <c r="P2411" s="22">
        <f>+N2411-O2411</f>
        <v>0.0</v>
      </c>
      <c r="Q2411" s="57"/>
      <c r="R2411" s="58"/>
    </row>
    <row r="2412" spans="8:8" ht="15.0" customHeight="1">
      <c r="B2412" s="54">
        <v>2556.0</v>
      </c>
      <c r="C2412" s="8"/>
      <c r="D2412" s="8"/>
      <c r="E2412" s="8"/>
      <c r="F2412" s="8"/>
      <c r="G2412" s="8"/>
      <c r="H2412" s="8"/>
      <c r="I2412" s="55"/>
      <c r="J2412" s="78" t="s">
        <v>6327</v>
      </c>
      <c r="K2412" s="22">
        <v>0.0</v>
      </c>
      <c r="L2412" s="22">
        <f>+SUMIF('حركه المخزن الرئيسي اليوميه'!$F:$F,$H:$H,'حركه المخزن الرئيسي اليوميه'!$H:$H)</f>
        <v>0.0</v>
      </c>
      <c r="M2412" s="22">
        <f>+SUMIF('حركه المخزن الرئيسي اليوميه'!$F:$F,$H:$H,'حركه المخزن الرئيسي اليوميه'!$I:$I)</f>
        <v>0.0</v>
      </c>
      <c r="N2412" s="22">
        <f>+K2412+L2412-M2412</f>
        <v>0.0</v>
      </c>
      <c r="O2412" s="22">
        <f>+N2412</f>
        <v>0.0</v>
      </c>
      <c r="P2412" s="22">
        <f>+N2412-O2412</f>
        <v>0.0</v>
      </c>
      <c r="Q2412" s="57"/>
      <c r="R2412" s="58"/>
    </row>
    <row r="2413" spans="8:8" ht="15.0" customHeight="1">
      <c r="B2413" s="54">
        <v>2557.0</v>
      </c>
      <c r="C2413" s="8"/>
      <c r="D2413" s="8"/>
      <c r="E2413" s="8"/>
      <c r="F2413" s="8"/>
      <c r="G2413" s="8"/>
      <c r="H2413" s="8"/>
      <c r="I2413" s="55"/>
      <c r="J2413" s="78" t="s">
        <v>6328</v>
      </c>
      <c r="K2413" s="22">
        <v>0.0</v>
      </c>
      <c r="L2413" s="22">
        <f>+SUMIF('حركه المخزن الرئيسي اليوميه'!$F:$F,$H:$H,'حركه المخزن الرئيسي اليوميه'!$H:$H)</f>
        <v>0.0</v>
      </c>
      <c r="M2413" s="22">
        <f>+SUMIF('حركه المخزن الرئيسي اليوميه'!$F:$F,$H:$H,'حركه المخزن الرئيسي اليوميه'!$I:$I)</f>
        <v>0.0</v>
      </c>
      <c r="N2413" s="22">
        <f>+K2413+L2413-M2413</f>
        <v>0.0</v>
      </c>
      <c r="O2413" s="22">
        <f>+N2413</f>
        <v>0.0</v>
      </c>
      <c r="P2413" s="22">
        <f>+N2413-O2413</f>
        <v>0.0</v>
      </c>
      <c r="Q2413" s="57"/>
      <c r="R2413" s="58"/>
    </row>
    <row r="2414" spans="8:8" ht="15.0" customHeight="1">
      <c r="B2414" s="54">
        <v>2558.0</v>
      </c>
      <c r="C2414" s="8"/>
      <c r="D2414" s="8"/>
      <c r="E2414" s="8"/>
      <c r="F2414" s="8"/>
      <c r="G2414" s="8"/>
      <c r="H2414" s="8"/>
      <c r="I2414" s="55"/>
      <c r="J2414" s="78" t="s">
        <v>6329</v>
      </c>
      <c r="K2414" s="22">
        <v>0.0</v>
      </c>
      <c r="L2414" s="22">
        <f>+SUMIF('حركه المخزن الرئيسي اليوميه'!$F:$F,$H:$H,'حركه المخزن الرئيسي اليوميه'!$H:$H)</f>
        <v>0.0</v>
      </c>
      <c r="M2414" s="22">
        <f>+SUMIF('حركه المخزن الرئيسي اليوميه'!$F:$F,$H:$H,'حركه المخزن الرئيسي اليوميه'!$I:$I)</f>
        <v>0.0</v>
      </c>
      <c r="N2414" s="22">
        <f>+K2414+L2414-M2414</f>
        <v>0.0</v>
      </c>
      <c r="O2414" s="22">
        <f>+N2414</f>
        <v>0.0</v>
      </c>
      <c r="P2414" s="22">
        <f>+N2414-O2414</f>
        <v>0.0</v>
      </c>
      <c r="Q2414" s="57"/>
      <c r="R2414" s="58"/>
    </row>
    <row r="2415" spans="8:8" ht="15.0" customHeight="1">
      <c r="B2415" s="54">
        <v>2559.0</v>
      </c>
      <c r="C2415" s="8"/>
      <c r="D2415" s="8"/>
      <c r="E2415" s="8"/>
      <c r="F2415" s="8"/>
      <c r="G2415" s="8"/>
      <c r="H2415" s="8"/>
      <c r="I2415" s="55"/>
      <c r="J2415" s="78" t="s">
        <v>6330</v>
      </c>
      <c r="K2415" s="22">
        <v>0.0</v>
      </c>
      <c r="L2415" s="22">
        <f>+SUMIF('حركه المخزن الرئيسي اليوميه'!$F:$F,$H:$H,'حركه المخزن الرئيسي اليوميه'!$H:$H)</f>
        <v>0.0</v>
      </c>
      <c r="M2415" s="22">
        <f>+SUMIF('حركه المخزن الرئيسي اليوميه'!$F:$F,$H:$H,'حركه المخزن الرئيسي اليوميه'!$I:$I)</f>
        <v>0.0</v>
      </c>
      <c r="N2415" s="22">
        <f>+K2415+L2415-M2415</f>
        <v>0.0</v>
      </c>
      <c r="O2415" s="22">
        <f>+N2415</f>
        <v>0.0</v>
      </c>
      <c r="P2415" s="22">
        <f>+N2415-O2415</f>
        <v>0.0</v>
      </c>
      <c r="Q2415" s="57"/>
      <c r="R2415" s="58"/>
    </row>
    <row r="2416" spans="8:8" ht="15.0" customHeight="1">
      <c r="B2416" s="54">
        <v>2560.0</v>
      </c>
      <c r="C2416" s="8"/>
      <c r="D2416" s="8"/>
      <c r="E2416" s="8"/>
      <c r="F2416" s="8"/>
      <c r="G2416" s="8"/>
      <c r="H2416" s="8"/>
      <c r="I2416" s="55"/>
      <c r="J2416" s="78" t="s">
        <v>6331</v>
      </c>
      <c r="K2416" s="22">
        <v>0.0</v>
      </c>
      <c r="L2416" s="22">
        <f>+SUMIF('حركه المخزن الرئيسي اليوميه'!$F:$F,$H:$H,'حركه المخزن الرئيسي اليوميه'!$H:$H)</f>
        <v>0.0</v>
      </c>
      <c r="M2416" s="22">
        <f>+SUMIF('حركه المخزن الرئيسي اليوميه'!$F:$F,$H:$H,'حركه المخزن الرئيسي اليوميه'!$I:$I)</f>
        <v>0.0</v>
      </c>
      <c r="N2416" s="22">
        <f>+K2416+L2416-M2416</f>
        <v>0.0</v>
      </c>
      <c r="O2416" s="22">
        <f>+N2416</f>
        <v>0.0</v>
      </c>
      <c r="P2416" s="22">
        <f>+N2416-O2416</f>
        <v>0.0</v>
      </c>
      <c r="Q2416" s="57"/>
      <c r="R2416" s="58"/>
    </row>
    <row r="2417" spans="8:8" ht="15.0" customHeight="1">
      <c r="B2417" s="54">
        <v>2561.0</v>
      </c>
      <c r="C2417" s="8"/>
      <c r="D2417" s="8"/>
      <c r="E2417" s="8"/>
      <c r="F2417" s="8"/>
      <c r="G2417" s="8"/>
      <c r="H2417" s="8"/>
      <c r="I2417" s="55"/>
      <c r="J2417" s="78" t="s">
        <v>6332</v>
      </c>
      <c r="K2417" s="22">
        <v>0.0</v>
      </c>
      <c r="L2417" s="22">
        <f>+SUMIF('حركه المخزن الرئيسي اليوميه'!$F:$F,$H:$H,'حركه المخزن الرئيسي اليوميه'!$H:$H)</f>
        <v>0.0</v>
      </c>
      <c r="M2417" s="22">
        <f>+SUMIF('حركه المخزن الرئيسي اليوميه'!$F:$F,$H:$H,'حركه المخزن الرئيسي اليوميه'!$I:$I)</f>
        <v>0.0</v>
      </c>
      <c r="N2417" s="22">
        <f>+K2417+L2417-M2417</f>
        <v>0.0</v>
      </c>
      <c r="O2417" s="22">
        <f>+N2417</f>
        <v>0.0</v>
      </c>
      <c r="P2417" s="22">
        <f>+N2417-O2417</f>
        <v>0.0</v>
      </c>
      <c r="Q2417" s="57"/>
      <c r="R2417" s="58"/>
    </row>
    <row r="2418" spans="8:8" ht="15.0" customHeight="1">
      <c r="B2418" s="54">
        <v>2562.0</v>
      </c>
      <c r="C2418" s="8"/>
      <c r="D2418" s="8"/>
      <c r="E2418" s="8"/>
      <c r="F2418" s="8"/>
      <c r="G2418" s="8"/>
      <c r="H2418" s="8"/>
      <c r="I2418" s="55"/>
      <c r="J2418" s="78" t="s">
        <v>6333</v>
      </c>
      <c r="K2418" s="22">
        <v>0.0</v>
      </c>
      <c r="L2418" s="22">
        <f>+SUMIF('حركه المخزن الرئيسي اليوميه'!$F:$F,$H:$H,'حركه المخزن الرئيسي اليوميه'!$H:$H)</f>
        <v>0.0</v>
      </c>
      <c r="M2418" s="22">
        <f>+SUMIF('حركه المخزن الرئيسي اليوميه'!$F:$F,$H:$H,'حركه المخزن الرئيسي اليوميه'!$I:$I)</f>
        <v>0.0</v>
      </c>
      <c r="N2418" s="22">
        <f>+K2418+L2418-M2418</f>
        <v>0.0</v>
      </c>
      <c r="O2418" s="22">
        <f>+N2418</f>
        <v>0.0</v>
      </c>
      <c r="P2418" s="22">
        <f>+N2418-O2418</f>
        <v>0.0</v>
      </c>
      <c r="Q2418" s="57"/>
      <c r="R2418" s="58"/>
    </row>
    <row r="2419" spans="8:8" ht="15.0" customHeight="1">
      <c r="B2419" s="54">
        <v>2563.0</v>
      </c>
      <c r="C2419" s="8"/>
      <c r="D2419" s="8"/>
      <c r="E2419" s="8"/>
      <c r="F2419" s="8"/>
      <c r="G2419" s="8"/>
      <c r="H2419" s="8"/>
      <c r="I2419" s="55"/>
      <c r="J2419" s="78" t="s">
        <v>6334</v>
      </c>
      <c r="K2419" s="22">
        <v>0.0</v>
      </c>
      <c r="L2419" s="22">
        <f>+SUMIF('حركه المخزن الرئيسي اليوميه'!$F:$F,$H:$H,'حركه المخزن الرئيسي اليوميه'!$H:$H)</f>
        <v>0.0</v>
      </c>
      <c r="M2419" s="22">
        <f>+SUMIF('حركه المخزن الرئيسي اليوميه'!$F:$F,$H:$H,'حركه المخزن الرئيسي اليوميه'!$I:$I)</f>
        <v>0.0</v>
      </c>
      <c r="N2419" s="22">
        <f>+K2419+L2419-M2419</f>
        <v>0.0</v>
      </c>
      <c r="O2419" s="22">
        <f>+N2419</f>
        <v>0.0</v>
      </c>
      <c r="P2419" s="22">
        <f>+N2419-O2419</f>
        <v>0.0</v>
      </c>
      <c r="Q2419" s="57"/>
      <c r="R2419" s="58"/>
    </row>
    <row r="2420" spans="8:8" ht="15.0" customHeight="1">
      <c r="B2420" s="54">
        <v>2564.0</v>
      </c>
      <c r="C2420" s="8"/>
      <c r="D2420" s="8"/>
      <c r="E2420" s="8"/>
      <c r="F2420" s="8"/>
      <c r="G2420" s="8"/>
      <c r="H2420" s="8"/>
      <c r="I2420" s="55"/>
      <c r="J2420" s="78" t="s">
        <v>6335</v>
      </c>
      <c r="K2420" s="22">
        <v>0.0</v>
      </c>
      <c r="L2420" s="22">
        <f>+SUMIF('حركه المخزن الرئيسي اليوميه'!$F:$F,$H:$H,'حركه المخزن الرئيسي اليوميه'!$H:$H)</f>
        <v>0.0</v>
      </c>
      <c r="M2420" s="22">
        <f>+SUMIF('حركه المخزن الرئيسي اليوميه'!$F:$F,$H:$H,'حركه المخزن الرئيسي اليوميه'!$I:$I)</f>
        <v>0.0</v>
      </c>
      <c r="N2420" s="22">
        <f>+K2420+L2420-M2420</f>
        <v>0.0</v>
      </c>
      <c r="O2420" s="22">
        <f>+N2420</f>
        <v>0.0</v>
      </c>
      <c r="P2420" s="22">
        <f>+N2420-O2420</f>
        <v>0.0</v>
      </c>
      <c r="Q2420" s="57"/>
      <c r="R2420" s="58"/>
    </row>
    <row r="2421" spans="8:8" ht="15.0" customHeight="1">
      <c r="B2421" s="54">
        <v>2565.0</v>
      </c>
      <c r="C2421" s="8"/>
      <c r="D2421" s="8"/>
      <c r="E2421" s="8"/>
      <c r="F2421" s="8"/>
      <c r="G2421" s="8"/>
      <c r="H2421" s="8"/>
      <c r="I2421" s="55"/>
      <c r="J2421" s="78" t="s">
        <v>6336</v>
      </c>
      <c r="K2421" s="22">
        <v>0.0</v>
      </c>
      <c r="L2421" s="22">
        <f>+SUMIF('حركه المخزن الرئيسي اليوميه'!$F:$F,$H:$H,'حركه المخزن الرئيسي اليوميه'!$H:$H)</f>
        <v>0.0</v>
      </c>
      <c r="M2421" s="22">
        <f>+SUMIF('حركه المخزن الرئيسي اليوميه'!$F:$F,$H:$H,'حركه المخزن الرئيسي اليوميه'!$I:$I)</f>
        <v>0.0</v>
      </c>
      <c r="N2421" s="22">
        <f>+K2421+L2421-M2421</f>
        <v>0.0</v>
      </c>
      <c r="O2421" s="22">
        <f>+N2421</f>
        <v>0.0</v>
      </c>
      <c r="P2421" s="22">
        <f>+N2421-O2421</f>
        <v>0.0</v>
      </c>
      <c r="Q2421" s="57"/>
      <c r="R2421" s="58"/>
    </row>
    <row r="2422" spans="8:8" ht="15.0" customHeight="1">
      <c r="B2422" s="54">
        <v>2566.0</v>
      </c>
      <c r="C2422" s="8"/>
      <c r="D2422" s="8"/>
      <c r="E2422" s="8"/>
      <c r="F2422" s="8"/>
      <c r="G2422" s="8"/>
      <c r="H2422" s="8"/>
      <c r="I2422" s="55"/>
      <c r="J2422" s="78" t="s">
        <v>6337</v>
      </c>
      <c r="K2422" s="22">
        <v>0.0</v>
      </c>
      <c r="L2422" s="22">
        <f>+SUMIF('حركه المخزن الرئيسي اليوميه'!$F:$F,$H:$H,'حركه المخزن الرئيسي اليوميه'!$H:$H)</f>
        <v>0.0</v>
      </c>
      <c r="M2422" s="22">
        <f>+SUMIF('حركه المخزن الرئيسي اليوميه'!$F:$F,$H:$H,'حركه المخزن الرئيسي اليوميه'!$I:$I)</f>
        <v>0.0</v>
      </c>
      <c r="N2422" s="22">
        <f>+K2422+L2422-M2422</f>
        <v>0.0</v>
      </c>
      <c r="O2422" s="22">
        <f>+N2422</f>
        <v>0.0</v>
      </c>
      <c r="P2422" s="22">
        <f>+N2422-O2422</f>
        <v>0.0</v>
      </c>
      <c r="Q2422" s="57"/>
      <c r="R2422" s="58"/>
    </row>
    <row r="2423" spans="8:8" ht="15.0" customHeight="1">
      <c r="B2423" s="54">
        <v>2567.0</v>
      </c>
      <c r="C2423" s="8"/>
      <c r="D2423" s="8"/>
      <c r="E2423" s="8"/>
      <c r="F2423" s="8"/>
      <c r="G2423" s="8"/>
      <c r="H2423" s="8"/>
      <c r="I2423" s="55"/>
      <c r="J2423" s="78" t="s">
        <v>6338</v>
      </c>
      <c r="K2423" s="22">
        <v>0.0</v>
      </c>
      <c r="L2423" s="22">
        <f>+SUMIF('حركه المخزن الرئيسي اليوميه'!$F:$F,$H:$H,'حركه المخزن الرئيسي اليوميه'!$H:$H)</f>
        <v>0.0</v>
      </c>
      <c r="M2423" s="22">
        <f>+SUMIF('حركه المخزن الرئيسي اليوميه'!$F:$F,$H:$H,'حركه المخزن الرئيسي اليوميه'!$I:$I)</f>
        <v>0.0</v>
      </c>
      <c r="N2423" s="22">
        <f>+K2423+L2423-M2423</f>
        <v>0.0</v>
      </c>
      <c r="O2423" s="22">
        <f>+N2423</f>
        <v>0.0</v>
      </c>
      <c r="P2423" s="22">
        <f>+N2423-O2423</f>
        <v>0.0</v>
      </c>
      <c r="Q2423" s="57"/>
      <c r="R2423" s="58"/>
    </row>
    <row r="2424" spans="8:8" ht="15.0" customHeight="1">
      <c r="B2424" s="54">
        <v>2568.0</v>
      </c>
      <c r="C2424" s="8"/>
      <c r="D2424" s="8"/>
      <c r="E2424" s="8"/>
      <c r="F2424" s="8"/>
      <c r="G2424" s="8"/>
      <c r="H2424" s="8"/>
      <c r="I2424" s="55"/>
      <c r="J2424" s="78" t="s">
        <v>6339</v>
      </c>
      <c r="K2424" s="22">
        <v>0.0</v>
      </c>
      <c r="L2424" s="22">
        <f>+SUMIF('حركه المخزن الرئيسي اليوميه'!$F:$F,$H:$H,'حركه المخزن الرئيسي اليوميه'!$H:$H)</f>
        <v>0.0</v>
      </c>
      <c r="M2424" s="22">
        <f>+SUMIF('حركه المخزن الرئيسي اليوميه'!$F:$F,$H:$H,'حركه المخزن الرئيسي اليوميه'!$I:$I)</f>
        <v>0.0</v>
      </c>
      <c r="N2424" s="22">
        <f>+K2424+L2424-M2424</f>
        <v>0.0</v>
      </c>
      <c r="O2424" s="22">
        <f>+N2424</f>
        <v>0.0</v>
      </c>
      <c r="P2424" s="22">
        <f>+N2424-O2424</f>
        <v>0.0</v>
      </c>
      <c r="Q2424" s="57"/>
      <c r="R2424" s="58"/>
    </row>
    <row r="2425" spans="8:8" ht="15.0" customHeight="1">
      <c r="B2425" s="54">
        <v>2569.0</v>
      </c>
      <c r="C2425" s="8"/>
      <c r="D2425" s="8"/>
      <c r="E2425" s="8"/>
      <c r="F2425" s="8"/>
      <c r="G2425" s="8"/>
      <c r="H2425" s="8"/>
      <c r="I2425" s="55"/>
      <c r="J2425" s="78" t="s">
        <v>6340</v>
      </c>
      <c r="K2425" s="22">
        <v>0.0</v>
      </c>
      <c r="L2425" s="22">
        <f>+SUMIF('حركه المخزن الرئيسي اليوميه'!$F:$F,$H:$H,'حركه المخزن الرئيسي اليوميه'!$H:$H)</f>
        <v>0.0</v>
      </c>
      <c r="M2425" s="22">
        <f>+SUMIF('حركه المخزن الرئيسي اليوميه'!$F:$F,$H:$H,'حركه المخزن الرئيسي اليوميه'!$I:$I)</f>
        <v>0.0</v>
      </c>
      <c r="N2425" s="22">
        <f>+K2425+L2425-M2425</f>
        <v>0.0</v>
      </c>
      <c r="O2425" s="22">
        <f>+N2425</f>
        <v>0.0</v>
      </c>
      <c r="P2425" s="22">
        <f>+N2425-O2425</f>
        <v>0.0</v>
      </c>
      <c r="Q2425" s="57"/>
      <c r="R2425" s="58"/>
    </row>
    <row r="2426" spans="8:8" ht="15.0" customHeight="1">
      <c r="B2426" s="54">
        <v>2570.0</v>
      </c>
      <c r="C2426" s="8"/>
      <c r="D2426" s="8"/>
      <c r="E2426" s="8"/>
      <c r="F2426" s="8"/>
      <c r="G2426" s="8"/>
      <c r="H2426" s="8"/>
      <c r="I2426" s="55"/>
      <c r="J2426" s="78" t="s">
        <v>6341</v>
      </c>
      <c r="K2426" s="22">
        <v>0.0</v>
      </c>
      <c r="L2426" s="22">
        <f>+SUMIF('حركه المخزن الرئيسي اليوميه'!$F:$F,$H:$H,'حركه المخزن الرئيسي اليوميه'!$H:$H)</f>
        <v>0.0</v>
      </c>
      <c r="M2426" s="22">
        <f>+SUMIF('حركه المخزن الرئيسي اليوميه'!$F:$F,$H:$H,'حركه المخزن الرئيسي اليوميه'!$I:$I)</f>
        <v>0.0</v>
      </c>
      <c r="N2426" s="22">
        <f>+K2426+L2426-M2426</f>
        <v>0.0</v>
      </c>
      <c r="O2426" s="22">
        <f>+N2426</f>
        <v>0.0</v>
      </c>
      <c r="P2426" s="22">
        <f>+N2426-O2426</f>
        <v>0.0</v>
      </c>
      <c r="Q2426" s="57"/>
      <c r="R2426" s="58"/>
    </row>
    <row r="2427" spans="8:8" ht="15.0" customHeight="1">
      <c r="B2427" s="54">
        <v>2571.0</v>
      </c>
      <c r="C2427" s="8"/>
      <c r="D2427" s="8"/>
      <c r="E2427" s="8"/>
      <c r="F2427" s="8"/>
      <c r="G2427" s="8"/>
      <c r="H2427" s="8"/>
      <c r="I2427" s="55"/>
      <c r="J2427" s="78" t="s">
        <v>6342</v>
      </c>
      <c r="K2427" s="22">
        <v>0.0</v>
      </c>
      <c r="L2427" s="22">
        <f>+SUMIF('حركه المخزن الرئيسي اليوميه'!$F:$F,$H:$H,'حركه المخزن الرئيسي اليوميه'!$H:$H)</f>
        <v>0.0</v>
      </c>
      <c r="M2427" s="22">
        <f>+SUMIF('حركه المخزن الرئيسي اليوميه'!$F:$F,$H:$H,'حركه المخزن الرئيسي اليوميه'!$I:$I)</f>
        <v>0.0</v>
      </c>
      <c r="N2427" s="22">
        <f>+K2427+L2427-M2427</f>
        <v>0.0</v>
      </c>
      <c r="O2427" s="22">
        <f>+N2427</f>
        <v>0.0</v>
      </c>
      <c r="P2427" s="22">
        <f>+N2427-O2427</f>
        <v>0.0</v>
      </c>
      <c r="Q2427" s="57"/>
      <c r="R2427" s="58"/>
    </row>
    <row r="2428" spans="8:8" ht="15.0" customHeight="1">
      <c r="B2428" s="54">
        <v>2572.0</v>
      </c>
      <c r="C2428" s="8"/>
      <c r="D2428" s="8"/>
      <c r="E2428" s="8"/>
      <c r="F2428" s="8"/>
      <c r="G2428" s="8"/>
      <c r="H2428" s="8"/>
      <c r="I2428" s="55"/>
      <c r="J2428" s="78" t="s">
        <v>6343</v>
      </c>
      <c r="K2428" s="22">
        <v>0.0</v>
      </c>
      <c r="L2428" s="22">
        <f>+SUMIF('حركه المخزن الرئيسي اليوميه'!$F:$F,$H:$H,'حركه المخزن الرئيسي اليوميه'!$H:$H)</f>
        <v>0.0</v>
      </c>
      <c r="M2428" s="22">
        <f>+SUMIF('حركه المخزن الرئيسي اليوميه'!$F:$F,$H:$H,'حركه المخزن الرئيسي اليوميه'!$I:$I)</f>
        <v>0.0</v>
      </c>
      <c r="N2428" s="22">
        <f>+K2428+L2428-M2428</f>
        <v>0.0</v>
      </c>
      <c r="O2428" s="22">
        <f>+N2428</f>
        <v>0.0</v>
      </c>
      <c r="P2428" s="22">
        <f>+N2428-O2428</f>
        <v>0.0</v>
      </c>
      <c r="Q2428" s="57"/>
      <c r="R2428" s="58"/>
    </row>
    <row r="2429" spans="8:8" ht="15.0" customHeight="1">
      <c r="B2429" s="54">
        <v>2573.0</v>
      </c>
      <c r="C2429" s="8"/>
      <c r="D2429" s="8"/>
      <c r="E2429" s="8"/>
      <c r="F2429" s="8"/>
      <c r="G2429" s="8"/>
      <c r="H2429" s="8"/>
      <c r="I2429" s="55"/>
      <c r="J2429" s="78" t="s">
        <v>6344</v>
      </c>
      <c r="K2429" s="22">
        <v>0.0</v>
      </c>
      <c r="L2429" s="22">
        <f>+SUMIF('حركه المخزن الرئيسي اليوميه'!$F:$F,$H:$H,'حركه المخزن الرئيسي اليوميه'!$H:$H)</f>
        <v>0.0</v>
      </c>
      <c r="M2429" s="22">
        <f>+SUMIF('حركه المخزن الرئيسي اليوميه'!$F:$F,$H:$H,'حركه المخزن الرئيسي اليوميه'!$I:$I)</f>
        <v>0.0</v>
      </c>
      <c r="N2429" s="22">
        <f>+K2429+L2429-M2429</f>
        <v>0.0</v>
      </c>
      <c r="O2429" s="22">
        <f>+N2429</f>
        <v>0.0</v>
      </c>
      <c r="P2429" s="22">
        <f>+N2429-O2429</f>
        <v>0.0</v>
      </c>
      <c r="Q2429" s="57"/>
      <c r="R2429" s="58"/>
    </row>
    <row r="2430" spans="8:8" ht="15.0" customHeight="1">
      <c r="B2430" s="54">
        <v>2574.0</v>
      </c>
      <c r="C2430" s="8"/>
      <c r="D2430" s="8"/>
      <c r="E2430" s="8"/>
      <c r="F2430" s="8"/>
      <c r="G2430" s="8"/>
      <c r="H2430" s="8"/>
      <c r="I2430" s="55"/>
      <c r="J2430" s="78" t="s">
        <v>6345</v>
      </c>
      <c r="K2430" s="22">
        <v>0.0</v>
      </c>
      <c r="L2430" s="22">
        <f>+SUMIF('حركه المخزن الرئيسي اليوميه'!$F:$F,$H:$H,'حركه المخزن الرئيسي اليوميه'!$H:$H)</f>
        <v>0.0</v>
      </c>
      <c r="M2430" s="22">
        <f>+SUMIF('حركه المخزن الرئيسي اليوميه'!$F:$F,$H:$H,'حركه المخزن الرئيسي اليوميه'!$I:$I)</f>
        <v>0.0</v>
      </c>
      <c r="N2430" s="22">
        <f>+K2430+L2430-M2430</f>
        <v>0.0</v>
      </c>
      <c r="O2430" s="22">
        <f>+N2430</f>
        <v>0.0</v>
      </c>
      <c r="P2430" s="22">
        <f>+N2430-O2430</f>
        <v>0.0</v>
      </c>
      <c r="Q2430" s="57"/>
      <c r="R2430" s="58"/>
    </row>
    <row r="2431" spans="8:8" ht="15.0" customHeight="1">
      <c r="B2431" s="54">
        <v>2575.0</v>
      </c>
      <c r="C2431" s="8"/>
      <c r="D2431" s="8"/>
      <c r="E2431" s="8"/>
      <c r="F2431" s="8"/>
      <c r="G2431" s="8"/>
      <c r="H2431" s="8"/>
      <c r="I2431" s="55"/>
      <c r="J2431" s="78" t="s">
        <v>6346</v>
      </c>
      <c r="K2431" s="22">
        <v>0.0</v>
      </c>
      <c r="L2431" s="22">
        <f>+SUMIF('حركه المخزن الرئيسي اليوميه'!$F:$F,$H:$H,'حركه المخزن الرئيسي اليوميه'!$H:$H)</f>
        <v>0.0</v>
      </c>
      <c r="M2431" s="22">
        <f>+SUMIF('حركه المخزن الرئيسي اليوميه'!$F:$F,$H:$H,'حركه المخزن الرئيسي اليوميه'!$I:$I)</f>
        <v>0.0</v>
      </c>
      <c r="N2431" s="22">
        <f>+K2431+L2431-M2431</f>
        <v>0.0</v>
      </c>
      <c r="O2431" s="22">
        <f>+N2431</f>
        <v>0.0</v>
      </c>
      <c r="P2431" s="22">
        <f>+N2431-O2431</f>
        <v>0.0</v>
      </c>
      <c r="Q2431" s="57"/>
      <c r="R2431" s="58"/>
    </row>
    <row r="2432" spans="8:8" ht="15.0" customHeight="1">
      <c r="B2432" s="54">
        <v>2576.0</v>
      </c>
      <c r="C2432" s="8"/>
      <c r="D2432" s="8"/>
      <c r="E2432" s="8"/>
      <c r="F2432" s="8"/>
      <c r="G2432" s="8"/>
      <c r="H2432" s="8"/>
      <c r="I2432" s="55"/>
      <c r="J2432" s="78" t="s">
        <v>6347</v>
      </c>
      <c r="K2432" s="22">
        <v>0.0</v>
      </c>
      <c r="L2432" s="22">
        <f>+SUMIF('حركه المخزن الرئيسي اليوميه'!$F:$F,$H:$H,'حركه المخزن الرئيسي اليوميه'!$H:$H)</f>
        <v>0.0</v>
      </c>
      <c r="M2432" s="22">
        <f>+SUMIF('حركه المخزن الرئيسي اليوميه'!$F:$F,$H:$H,'حركه المخزن الرئيسي اليوميه'!$I:$I)</f>
        <v>0.0</v>
      </c>
      <c r="N2432" s="22">
        <f>+K2432+L2432-M2432</f>
        <v>0.0</v>
      </c>
      <c r="O2432" s="22">
        <f>+N2432</f>
        <v>0.0</v>
      </c>
      <c r="P2432" s="22">
        <f>+N2432-O2432</f>
        <v>0.0</v>
      </c>
      <c r="Q2432" s="57"/>
      <c r="R2432" s="58"/>
    </row>
    <row r="2433" spans="8:8" ht="15.0" customHeight="1">
      <c r="B2433" s="54">
        <v>2577.0</v>
      </c>
      <c r="C2433" s="8"/>
      <c r="D2433" s="8"/>
      <c r="E2433" s="8"/>
      <c r="F2433" s="8"/>
      <c r="G2433" s="8"/>
      <c r="H2433" s="8"/>
      <c r="I2433" s="55"/>
      <c r="J2433" s="78" t="s">
        <v>6348</v>
      </c>
      <c r="K2433" s="22">
        <v>0.0</v>
      </c>
      <c r="L2433" s="22">
        <f>+SUMIF('حركه المخزن الرئيسي اليوميه'!$F:$F,$H:$H,'حركه المخزن الرئيسي اليوميه'!$H:$H)</f>
        <v>0.0</v>
      </c>
      <c r="M2433" s="22">
        <f>+SUMIF('حركه المخزن الرئيسي اليوميه'!$F:$F,$H:$H,'حركه المخزن الرئيسي اليوميه'!$I:$I)</f>
        <v>0.0</v>
      </c>
      <c r="N2433" s="22">
        <f>+K2433+L2433-M2433</f>
        <v>0.0</v>
      </c>
      <c r="O2433" s="22">
        <f>+N2433</f>
        <v>0.0</v>
      </c>
      <c r="P2433" s="22">
        <f>+N2433-O2433</f>
        <v>0.0</v>
      </c>
      <c r="Q2433" s="57"/>
      <c r="R2433" s="58"/>
    </row>
    <row r="2434" spans="8:8" ht="15.0" customHeight="1">
      <c r="B2434" s="54">
        <v>2578.0</v>
      </c>
      <c r="C2434" s="8"/>
      <c r="D2434" s="8"/>
      <c r="E2434" s="8"/>
      <c r="F2434" s="8"/>
      <c r="G2434" s="8"/>
      <c r="H2434" s="8"/>
      <c r="I2434" s="55"/>
      <c r="J2434" s="78" t="s">
        <v>6349</v>
      </c>
      <c r="K2434" s="22">
        <v>0.0</v>
      </c>
      <c r="L2434" s="22">
        <f>+SUMIF('حركه المخزن الرئيسي اليوميه'!$F:$F,$H:$H,'حركه المخزن الرئيسي اليوميه'!$H:$H)</f>
        <v>0.0</v>
      </c>
      <c r="M2434" s="22">
        <f>+SUMIF('حركه المخزن الرئيسي اليوميه'!$F:$F,$H:$H,'حركه المخزن الرئيسي اليوميه'!$I:$I)</f>
        <v>0.0</v>
      </c>
      <c r="N2434" s="22">
        <f>+K2434+L2434-M2434</f>
        <v>0.0</v>
      </c>
      <c r="O2434" s="22">
        <f>+N2434</f>
        <v>0.0</v>
      </c>
      <c r="P2434" s="22">
        <f>+N2434-O2434</f>
        <v>0.0</v>
      </c>
      <c r="Q2434" s="57"/>
      <c r="R2434" s="58"/>
    </row>
    <row r="2435" spans="8:8" ht="15.0" customHeight="1">
      <c r="B2435" s="54">
        <v>2579.0</v>
      </c>
      <c r="C2435" s="8"/>
      <c r="D2435" s="8"/>
      <c r="E2435" s="8"/>
      <c r="F2435" s="8"/>
      <c r="G2435" s="8"/>
      <c r="H2435" s="8"/>
      <c r="I2435" s="55"/>
      <c r="J2435" s="78" t="s">
        <v>6350</v>
      </c>
      <c r="K2435" s="22">
        <v>0.0</v>
      </c>
      <c r="L2435" s="22">
        <f>+SUMIF('حركه المخزن الرئيسي اليوميه'!$F:$F,$H:$H,'حركه المخزن الرئيسي اليوميه'!$H:$H)</f>
        <v>0.0</v>
      </c>
      <c r="M2435" s="22">
        <f>+SUMIF('حركه المخزن الرئيسي اليوميه'!$F:$F,$H:$H,'حركه المخزن الرئيسي اليوميه'!$I:$I)</f>
        <v>0.0</v>
      </c>
      <c r="N2435" s="22">
        <f>+K2435+L2435-M2435</f>
        <v>0.0</v>
      </c>
      <c r="O2435" s="22">
        <f>+N2435</f>
        <v>0.0</v>
      </c>
      <c r="P2435" s="22">
        <f>+N2435-O2435</f>
        <v>0.0</v>
      </c>
      <c r="Q2435" s="57"/>
      <c r="R2435" s="58"/>
    </row>
    <row r="2436" spans="8:8" ht="15.0" customHeight="1">
      <c r="B2436" s="54">
        <v>2580.0</v>
      </c>
      <c r="C2436" s="8"/>
      <c r="D2436" s="8"/>
      <c r="E2436" s="8"/>
      <c r="F2436" s="8"/>
      <c r="G2436" s="8"/>
      <c r="H2436" s="8"/>
      <c r="I2436" s="55"/>
      <c r="J2436" s="78" t="s">
        <v>6351</v>
      </c>
      <c r="K2436" s="22">
        <v>0.0</v>
      </c>
      <c r="L2436" s="22">
        <f>+SUMIF('حركه المخزن الرئيسي اليوميه'!$F:$F,$H:$H,'حركه المخزن الرئيسي اليوميه'!$H:$H)</f>
        <v>0.0</v>
      </c>
      <c r="M2436" s="22">
        <f>+SUMIF('حركه المخزن الرئيسي اليوميه'!$F:$F,$H:$H,'حركه المخزن الرئيسي اليوميه'!$I:$I)</f>
        <v>0.0</v>
      </c>
      <c r="N2436" s="22">
        <f>+K2436+L2436-M2436</f>
        <v>0.0</v>
      </c>
      <c r="O2436" s="22">
        <f>+N2436</f>
        <v>0.0</v>
      </c>
      <c r="P2436" s="22">
        <f>+N2436-O2436</f>
        <v>0.0</v>
      </c>
      <c r="Q2436" s="57"/>
      <c r="R2436" s="58"/>
    </row>
    <row r="2437" spans="8:8" ht="15.0" customHeight="1">
      <c r="B2437" s="54">
        <v>2581.0</v>
      </c>
      <c r="C2437" s="8"/>
      <c r="D2437" s="8"/>
      <c r="E2437" s="8"/>
      <c r="F2437" s="8"/>
      <c r="G2437" s="8"/>
      <c r="H2437" s="8"/>
      <c r="I2437" s="55"/>
      <c r="J2437" s="78" t="s">
        <v>6352</v>
      </c>
      <c r="K2437" s="22">
        <v>0.0</v>
      </c>
      <c r="L2437" s="22">
        <f>+SUMIF('حركه المخزن الرئيسي اليوميه'!$F:$F,$H:$H,'حركه المخزن الرئيسي اليوميه'!$H:$H)</f>
        <v>0.0</v>
      </c>
      <c r="M2437" s="22">
        <f>+SUMIF('حركه المخزن الرئيسي اليوميه'!$F:$F,$H:$H,'حركه المخزن الرئيسي اليوميه'!$I:$I)</f>
        <v>0.0</v>
      </c>
      <c r="N2437" s="22">
        <f>+K2437+L2437-M2437</f>
        <v>0.0</v>
      </c>
      <c r="O2437" s="22">
        <f>+N2437</f>
        <v>0.0</v>
      </c>
      <c r="P2437" s="22">
        <f>+N2437-O2437</f>
        <v>0.0</v>
      </c>
      <c r="Q2437" s="57"/>
      <c r="R2437" s="58"/>
    </row>
    <row r="2438" spans="8:8" ht="15.0" customHeight="1">
      <c r="B2438" s="54">
        <v>2582.0</v>
      </c>
      <c r="C2438" s="8"/>
      <c r="D2438" s="8"/>
      <c r="E2438" s="8"/>
      <c r="F2438" s="8"/>
      <c r="G2438" s="8"/>
      <c r="H2438" s="8"/>
      <c r="I2438" s="55"/>
      <c r="J2438" s="78" t="s">
        <v>6353</v>
      </c>
      <c r="K2438" s="22">
        <v>0.0</v>
      </c>
      <c r="L2438" s="22">
        <f>+SUMIF('حركه المخزن الرئيسي اليوميه'!$F:$F,$H:$H,'حركه المخزن الرئيسي اليوميه'!$H:$H)</f>
        <v>0.0</v>
      </c>
      <c r="M2438" s="22">
        <f>+SUMIF('حركه المخزن الرئيسي اليوميه'!$F:$F,$H:$H,'حركه المخزن الرئيسي اليوميه'!$I:$I)</f>
        <v>0.0</v>
      </c>
      <c r="N2438" s="22">
        <f>+K2438+L2438-M2438</f>
        <v>0.0</v>
      </c>
      <c r="O2438" s="22">
        <f>+N2438</f>
        <v>0.0</v>
      </c>
      <c r="P2438" s="22">
        <f>+N2438-O2438</f>
        <v>0.0</v>
      </c>
      <c r="Q2438" s="57"/>
      <c r="R2438" s="58"/>
    </row>
    <row r="2439" spans="8:8" ht="15.0" customHeight="1">
      <c r="B2439" s="54">
        <v>2583.0</v>
      </c>
      <c r="C2439" s="8"/>
      <c r="D2439" s="8"/>
      <c r="E2439" s="8"/>
      <c r="F2439" s="8"/>
      <c r="G2439" s="8"/>
      <c r="H2439" s="8"/>
      <c r="I2439" s="55"/>
      <c r="J2439" s="78" t="s">
        <v>6354</v>
      </c>
      <c r="K2439" s="22">
        <v>0.0</v>
      </c>
      <c r="L2439" s="22">
        <f>+SUMIF('حركه المخزن الرئيسي اليوميه'!$F:$F,$H:$H,'حركه المخزن الرئيسي اليوميه'!$H:$H)</f>
        <v>0.0</v>
      </c>
      <c r="M2439" s="22">
        <f>+SUMIF('حركه المخزن الرئيسي اليوميه'!$F:$F,$H:$H,'حركه المخزن الرئيسي اليوميه'!$I:$I)</f>
        <v>0.0</v>
      </c>
      <c r="N2439" s="22">
        <f>+K2439+L2439-M2439</f>
        <v>0.0</v>
      </c>
      <c r="O2439" s="22">
        <f>+N2439</f>
        <v>0.0</v>
      </c>
      <c r="P2439" s="22">
        <f>+N2439-O2439</f>
        <v>0.0</v>
      </c>
      <c r="Q2439" s="57"/>
      <c r="R2439" s="58"/>
    </row>
    <row r="2440" spans="8:8" ht="15.0" customHeight="1">
      <c r="B2440" s="54">
        <v>2584.0</v>
      </c>
      <c r="C2440" s="8"/>
      <c r="D2440" s="8"/>
      <c r="E2440" s="8"/>
      <c r="F2440" s="8"/>
      <c r="G2440" s="8"/>
      <c r="H2440" s="8"/>
      <c r="I2440" s="55"/>
      <c r="J2440" s="78" t="s">
        <v>6355</v>
      </c>
      <c r="K2440" s="22">
        <v>0.0</v>
      </c>
      <c r="L2440" s="22">
        <f>+SUMIF('حركه المخزن الرئيسي اليوميه'!$F:$F,$H:$H,'حركه المخزن الرئيسي اليوميه'!$H:$H)</f>
        <v>0.0</v>
      </c>
      <c r="M2440" s="22">
        <f>+SUMIF('حركه المخزن الرئيسي اليوميه'!$F:$F,$H:$H,'حركه المخزن الرئيسي اليوميه'!$I:$I)</f>
        <v>0.0</v>
      </c>
      <c r="N2440" s="22">
        <f>+K2440+L2440-M2440</f>
        <v>0.0</v>
      </c>
      <c r="O2440" s="22">
        <f>+N2440</f>
        <v>0.0</v>
      </c>
      <c r="P2440" s="22">
        <f>+N2440-O2440</f>
        <v>0.0</v>
      </c>
      <c r="Q2440" s="57"/>
      <c r="R2440" s="58"/>
    </row>
    <row r="2441" spans="8:8" ht="15.0" customHeight="1">
      <c r="B2441" s="54">
        <v>2585.0</v>
      </c>
      <c r="C2441" s="8"/>
      <c r="D2441" s="8"/>
      <c r="E2441" s="8"/>
      <c r="F2441" s="8"/>
      <c r="G2441" s="8"/>
      <c r="H2441" s="8"/>
      <c r="I2441" s="55"/>
      <c r="J2441" s="78" t="s">
        <v>6356</v>
      </c>
      <c r="K2441" s="22">
        <v>0.0</v>
      </c>
      <c r="L2441" s="22">
        <f>+SUMIF('حركه المخزن الرئيسي اليوميه'!$F:$F,$H:$H,'حركه المخزن الرئيسي اليوميه'!$H:$H)</f>
        <v>0.0</v>
      </c>
      <c r="M2441" s="22">
        <f>+SUMIF('حركه المخزن الرئيسي اليوميه'!$F:$F,$H:$H,'حركه المخزن الرئيسي اليوميه'!$I:$I)</f>
        <v>0.0</v>
      </c>
      <c r="N2441" s="22">
        <f>+K2441+L2441-M2441</f>
        <v>0.0</v>
      </c>
      <c r="O2441" s="22">
        <f>+N2441</f>
        <v>0.0</v>
      </c>
      <c r="P2441" s="22">
        <f>+N2441-O2441</f>
        <v>0.0</v>
      </c>
      <c r="Q2441" s="57"/>
      <c r="R2441" s="58"/>
    </row>
    <row r="2442" spans="8:8" ht="15.0" customHeight="1">
      <c r="B2442" s="54">
        <v>2586.0</v>
      </c>
      <c r="C2442" s="8"/>
      <c r="D2442" s="8"/>
      <c r="E2442" s="8"/>
      <c r="F2442" s="8"/>
      <c r="G2442" s="8"/>
      <c r="H2442" s="8"/>
      <c r="I2442" s="55"/>
      <c r="J2442" s="78" t="s">
        <v>6357</v>
      </c>
      <c r="K2442" s="22">
        <v>0.0</v>
      </c>
      <c r="L2442" s="22">
        <f>+SUMIF('حركه المخزن الرئيسي اليوميه'!$F:$F,$H:$H,'حركه المخزن الرئيسي اليوميه'!$H:$H)</f>
        <v>0.0</v>
      </c>
      <c r="M2442" s="22">
        <f>+SUMIF('حركه المخزن الرئيسي اليوميه'!$F:$F,$H:$H,'حركه المخزن الرئيسي اليوميه'!$I:$I)</f>
        <v>0.0</v>
      </c>
      <c r="N2442" s="22">
        <f>+K2442+L2442-M2442</f>
        <v>0.0</v>
      </c>
      <c r="O2442" s="22">
        <f>+N2442</f>
        <v>0.0</v>
      </c>
      <c r="P2442" s="22">
        <f>+N2442-O2442</f>
        <v>0.0</v>
      </c>
      <c r="Q2442" s="57"/>
      <c r="R2442" s="58"/>
    </row>
    <row r="2443" spans="8:8" ht="15.0" customHeight="1">
      <c r="B2443" s="54">
        <v>2587.0</v>
      </c>
      <c r="C2443" s="8"/>
      <c r="D2443" s="8"/>
      <c r="E2443" s="8"/>
      <c r="F2443" s="8"/>
      <c r="G2443" s="8"/>
      <c r="H2443" s="8"/>
      <c r="I2443" s="55"/>
      <c r="J2443" s="78" t="s">
        <v>6358</v>
      </c>
      <c r="K2443" s="22">
        <v>0.0</v>
      </c>
      <c r="L2443" s="22">
        <f>+SUMIF('حركه المخزن الرئيسي اليوميه'!$F:$F,$H:$H,'حركه المخزن الرئيسي اليوميه'!$H:$H)</f>
        <v>0.0</v>
      </c>
      <c r="M2443" s="22">
        <f>+SUMIF('حركه المخزن الرئيسي اليوميه'!$F:$F,$H:$H,'حركه المخزن الرئيسي اليوميه'!$I:$I)</f>
        <v>0.0</v>
      </c>
      <c r="N2443" s="22">
        <f>+K2443+L2443-M2443</f>
        <v>0.0</v>
      </c>
      <c r="O2443" s="22">
        <f>+N2443</f>
        <v>0.0</v>
      </c>
      <c r="P2443" s="22">
        <f>+N2443-O2443</f>
        <v>0.0</v>
      </c>
      <c r="Q2443" s="57"/>
      <c r="R2443" s="58"/>
    </row>
    <row r="2444" spans="8:8" ht="15.0" customHeight="1">
      <c r="B2444" s="54">
        <v>2588.0</v>
      </c>
      <c r="C2444" s="8"/>
      <c r="D2444" s="8"/>
      <c r="E2444" s="8"/>
      <c r="F2444" s="8"/>
      <c r="G2444" s="8"/>
      <c r="H2444" s="8"/>
      <c r="I2444" s="55"/>
      <c r="J2444" s="78" t="s">
        <v>6359</v>
      </c>
      <c r="K2444" s="22">
        <v>0.0</v>
      </c>
      <c r="L2444" s="22">
        <f>+SUMIF('حركه المخزن الرئيسي اليوميه'!$F:$F,$H:$H,'حركه المخزن الرئيسي اليوميه'!$H:$H)</f>
        <v>0.0</v>
      </c>
      <c r="M2444" s="22">
        <f>+SUMIF('حركه المخزن الرئيسي اليوميه'!$F:$F,$H:$H,'حركه المخزن الرئيسي اليوميه'!$I:$I)</f>
        <v>0.0</v>
      </c>
      <c r="N2444" s="22">
        <f>+K2444+L2444-M2444</f>
        <v>0.0</v>
      </c>
      <c r="O2444" s="22">
        <f>+N2444</f>
        <v>0.0</v>
      </c>
      <c r="P2444" s="22">
        <f>+N2444-O2444</f>
        <v>0.0</v>
      </c>
      <c r="Q2444" s="57"/>
      <c r="R2444" s="58"/>
    </row>
    <row r="2445" spans="8:8" ht="15.0" customHeight="1">
      <c r="B2445" s="54">
        <v>2589.0</v>
      </c>
      <c r="C2445" s="8"/>
      <c r="D2445" s="8"/>
      <c r="E2445" s="8"/>
      <c r="F2445" s="8"/>
      <c r="G2445" s="8"/>
      <c r="H2445" s="8"/>
      <c r="I2445" s="55"/>
      <c r="J2445" s="78" t="s">
        <v>6360</v>
      </c>
      <c r="K2445" s="22">
        <v>0.0</v>
      </c>
      <c r="L2445" s="22">
        <f>+SUMIF('حركه المخزن الرئيسي اليوميه'!$F:$F,$H:$H,'حركه المخزن الرئيسي اليوميه'!$H:$H)</f>
        <v>0.0</v>
      </c>
      <c r="M2445" s="22">
        <f>+SUMIF('حركه المخزن الرئيسي اليوميه'!$F:$F,$H:$H,'حركه المخزن الرئيسي اليوميه'!$I:$I)</f>
        <v>0.0</v>
      </c>
      <c r="N2445" s="22">
        <f>+K2445+L2445-M2445</f>
        <v>0.0</v>
      </c>
      <c r="O2445" s="22">
        <f>+N2445</f>
        <v>0.0</v>
      </c>
      <c r="P2445" s="22">
        <f>+N2445-O2445</f>
        <v>0.0</v>
      </c>
      <c r="Q2445" s="57"/>
      <c r="R2445" s="58"/>
    </row>
    <row r="2446" spans="8:8" ht="15.0" customHeight="1">
      <c r="B2446" s="54">
        <v>2590.0</v>
      </c>
      <c r="C2446" s="8"/>
      <c r="D2446" s="8"/>
      <c r="E2446" s="8"/>
      <c r="F2446" s="8"/>
      <c r="G2446" s="8"/>
      <c r="H2446" s="8"/>
      <c r="I2446" s="55"/>
      <c r="J2446" s="78" t="s">
        <v>6361</v>
      </c>
      <c r="K2446" s="22">
        <v>0.0</v>
      </c>
      <c r="L2446" s="22">
        <f>+SUMIF('حركه المخزن الرئيسي اليوميه'!$F:$F,$H:$H,'حركه المخزن الرئيسي اليوميه'!$H:$H)</f>
        <v>0.0</v>
      </c>
      <c r="M2446" s="22">
        <f>+SUMIF('حركه المخزن الرئيسي اليوميه'!$F:$F,$H:$H,'حركه المخزن الرئيسي اليوميه'!$I:$I)</f>
        <v>0.0</v>
      </c>
      <c r="N2446" s="22">
        <f>+K2446+L2446-M2446</f>
        <v>0.0</v>
      </c>
      <c r="O2446" s="22">
        <f>+N2446</f>
        <v>0.0</v>
      </c>
      <c r="P2446" s="22">
        <f>+N2446-O2446</f>
        <v>0.0</v>
      </c>
      <c r="Q2446" s="57"/>
      <c r="R2446" s="58"/>
    </row>
    <row r="2447" spans="8:8" ht="15.0" customHeight="1">
      <c r="B2447" s="54">
        <v>2591.0</v>
      </c>
      <c r="C2447" s="8"/>
      <c r="D2447" s="8"/>
      <c r="E2447" s="8"/>
      <c r="F2447" s="8"/>
      <c r="G2447" s="8"/>
      <c r="H2447" s="8"/>
      <c r="I2447" s="55"/>
      <c r="J2447" s="78" t="s">
        <v>6362</v>
      </c>
      <c r="K2447" s="22">
        <v>0.0</v>
      </c>
      <c r="L2447" s="22">
        <f>+SUMIF('حركه المخزن الرئيسي اليوميه'!$F:$F,$H:$H,'حركه المخزن الرئيسي اليوميه'!$H:$H)</f>
        <v>0.0</v>
      </c>
      <c r="M2447" s="22">
        <f>+SUMIF('حركه المخزن الرئيسي اليوميه'!$F:$F,$H:$H,'حركه المخزن الرئيسي اليوميه'!$I:$I)</f>
        <v>0.0</v>
      </c>
      <c r="N2447" s="22">
        <f>+K2447+L2447-M2447</f>
        <v>0.0</v>
      </c>
      <c r="O2447" s="22">
        <f>+N2447</f>
        <v>0.0</v>
      </c>
      <c r="P2447" s="22">
        <f>+N2447-O2447</f>
        <v>0.0</v>
      </c>
      <c r="Q2447" s="57"/>
      <c r="R2447" s="58"/>
    </row>
    <row r="2448" spans="8:8" ht="15.0" customHeight="1">
      <c r="B2448" s="54">
        <v>2592.0</v>
      </c>
      <c r="C2448" s="8"/>
      <c r="D2448" s="8"/>
      <c r="E2448" s="8"/>
      <c r="F2448" s="8"/>
      <c r="G2448" s="8"/>
      <c r="H2448" s="8"/>
      <c r="I2448" s="55"/>
      <c r="J2448" s="78" t="s">
        <v>6363</v>
      </c>
      <c r="K2448" s="22">
        <v>0.0</v>
      </c>
      <c r="L2448" s="22">
        <f>+SUMIF('حركه المخزن الرئيسي اليوميه'!$F:$F,$H:$H,'حركه المخزن الرئيسي اليوميه'!$H:$H)</f>
        <v>0.0</v>
      </c>
      <c r="M2448" s="22">
        <f>+SUMIF('حركه المخزن الرئيسي اليوميه'!$F:$F,$H:$H,'حركه المخزن الرئيسي اليوميه'!$I:$I)</f>
        <v>0.0</v>
      </c>
      <c r="N2448" s="22">
        <f>+K2448+L2448-M2448</f>
        <v>0.0</v>
      </c>
      <c r="O2448" s="22">
        <f>+N2448</f>
        <v>0.0</v>
      </c>
      <c r="P2448" s="22">
        <f>+N2448-O2448</f>
        <v>0.0</v>
      </c>
      <c r="Q2448" s="57"/>
      <c r="R2448" s="58"/>
    </row>
    <row r="2449" spans="8:8" ht="15.0" customHeight="1">
      <c r="B2449" s="54">
        <v>2593.0</v>
      </c>
      <c r="C2449" s="8"/>
      <c r="D2449" s="8"/>
      <c r="E2449" s="8"/>
      <c r="F2449" s="8"/>
      <c r="G2449" s="8"/>
      <c r="H2449" s="8"/>
      <c r="I2449" s="55"/>
      <c r="J2449" s="78" t="s">
        <v>6364</v>
      </c>
      <c r="K2449" s="22">
        <v>0.0</v>
      </c>
      <c r="L2449" s="22">
        <f>+SUMIF('حركه المخزن الرئيسي اليوميه'!$F:$F,$H:$H,'حركه المخزن الرئيسي اليوميه'!$H:$H)</f>
        <v>0.0</v>
      </c>
      <c r="M2449" s="22">
        <f>+SUMIF('حركه المخزن الرئيسي اليوميه'!$F:$F,$H:$H,'حركه المخزن الرئيسي اليوميه'!$I:$I)</f>
        <v>0.0</v>
      </c>
      <c r="N2449" s="22">
        <f>+K2449+L2449-M2449</f>
        <v>0.0</v>
      </c>
      <c r="O2449" s="22">
        <f>+N2449</f>
        <v>0.0</v>
      </c>
      <c r="P2449" s="22">
        <f>+N2449-O2449</f>
        <v>0.0</v>
      </c>
      <c r="Q2449" s="57"/>
      <c r="R2449" s="58"/>
    </row>
    <row r="2450" spans="8:8" ht="15.0" customHeight="1">
      <c r="B2450" s="54">
        <v>2594.0</v>
      </c>
      <c r="C2450" s="8"/>
      <c r="D2450" s="8"/>
      <c r="E2450" s="8"/>
      <c r="F2450" s="8"/>
      <c r="G2450" s="8"/>
      <c r="H2450" s="8"/>
      <c r="I2450" s="55"/>
      <c r="J2450" s="78" t="s">
        <v>6365</v>
      </c>
      <c r="K2450" s="22">
        <v>0.0</v>
      </c>
      <c r="L2450" s="22">
        <f>+SUMIF('حركه المخزن الرئيسي اليوميه'!$F:$F,$H:$H,'حركه المخزن الرئيسي اليوميه'!$H:$H)</f>
        <v>0.0</v>
      </c>
      <c r="M2450" s="22">
        <f>+SUMIF('حركه المخزن الرئيسي اليوميه'!$F:$F,$H:$H,'حركه المخزن الرئيسي اليوميه'!$I:$I)</f>
        <v>0.0</v>
      </c>
      <c r="N2450" s="22">
        <f>+K2450+L2450-M2450</f>
        <v>0.0</v>
      </c>
      <c r="O2450" s="22">
        <f>+N2450</f>
        <v>0.0</v>
      </c>
      <c r="P2450" s="22">
        <f>+N2450-O2450</f>
        <v>0.0</v>
      </c>
      <c r="Q2450" s="57"/>
      <c r="R2450" s="58"/>
    </row>
    <row r="2451" spans="8:8" ht="15.0" customHeight="1">
      <c r="B2451" s="54">
        <v>2595.0</v>
      </c>
      <c r="C2451" s="8"/>
      <c r="D2451" s="8"/>
      <c r="E2451" s="8"/>
      <c r="F2451" s="8"/>
      <c r="G2451" s="8"/>
      <c r="H2451" s="8"/>
      <c r="I2451" s="55"/>
      <c r="J2451" s="78" t="s">
        <v>6366</v>
      </c>
      <c r="K2451" s="22">
        <v>0.0</v>
      </c>
      <c r="L2451" s="22">
        <f>+SUMIF('حركه المخزن الرئيسي اليوميه'!$F:$F,$H:$H,'حركه المخزن الرئيسي اليوميه'!$H:$H)</f>
        <v>0.0</v>
      </c>
      <c r="M2451" s="22">
        <f>+SUMIF('حركه المخزن الرئيسي اليوميه'!$F:$F,$H:$H,'حركه المخزن الرئيسي اليوميه'!$I:$I)</f>
        <v>0.0</v>
      </c>
      <c r="N2451" s="22">
        <f>+K2451+L2451-M2451</f>
        <v>0.0</v>
      </c>
      <c r="O2451" s="22">
        <f>+N2451</f>
        <v>0.0</v>
      </c>
      <c r="P2451" s="22">
        <f>+N2451-O2451</f>
        <v>0.0</v>
      </c>
      <c r="Q2451" s="57"/>
      <c r="R2451" s="58"/>
    </row>
    <row r="2452" spans="8:8" ht="15.0" customHeight="1">
      <c r="B2452" s="54">
        <v>2596.0</v>
      </c>
      <c r="C2452" s="8"/>
      <c r="D2452" s="8"/>
      <c r="E2452" s="8"/>
      <c r="F2452" s="8"/>
      <c r="G2452" s="8"/>
      <c r="H2452" s="8"/>
      <c r="I2452" s="55"/>
      <c r="J2452" s="78" t="s">
        <v>6367</v>
      </c>
      <c r="K2452" s="22">
        <v>0.0</v>
      </c>
      <c r="L2452" s="22">
        <f>+SUMIF('حركه المخزن الرئيسي اليوميه'!$F:$F,$H:$H,'حركه المخزن الرئيسي اليوميه'!$H:$H)</f>
        <v>0.0</v>
      </c>
      <c r="M2452" s="22">
        <f>+SUMIF('حركه المخزن الرئيسي اليوميه'!$F:$F,$H:$H,'حركه المخزن الرئيسي اليوميه'!$I:$I)</f>
        <v>0.0</v>
      </c>
      <c r="N2452" s="22">
        <f>+K2452+L2452-M2452</f>
        <v>0.0</v>
      </c>
      <c r="O2452" s="22">
        <f>+N2452</f>
        <v>0.0</v>
      </c>
      <c r="P2452" s="22">
        <f>+N2452-O2452</f>
        <v>0.0</v>
      </c>
      <c r="Q2452" s="57"/>
      <c r="R2452" s="58"/>
    </row>
    <row r="2453" spans="8:8" ht="15.0" customHeight="1">
      <c r="B2453" s="54">
        <v>2597.0</v>
      </c>
      <c r="C2453" s="8"/>
      <c r="D2453" s="8"/>
      <c r="E2453" s="8"/>
      <c r="F2453" s="8"/>
      <c r="G2453" s="8"/>
      <c r="H2453" s="8"/>
      <c r="I2453" s="55"/>
      <c r="J2453" s="78" t="s">
        <v>6368</v>
      </c>
      <c r="K2453" s="22">
        <v>0.0</v>
      </c>
      <c r="L2453" s="22">
        <f>+SUMIF('حركه المخزن الرئيسي اليوميه'!$F:$F,$H:$H,'حركه المخزن الرئيسي اليوميه'!$H:$H)</f>
        <v>0.0</v>
      </c>
      <c r="M2453" s="22">
        <f>+SUMIF('حركه المخزن الرئيسي اليوميه'!$F:$F,$H:$H,'حركه المخزن الرئيسي اليوميه'!$I:$I)</f>
        <v>0.0</v>
      </c>
      <c r="N2453" s="22">
        <f>+K2453+L2453-M2453</f>
        <v>0.0</v>
      </c>
      <c r="O2453" s="22">
        <f>+N2453</f>
        <v>0.0</v>
      </c>
      <c r="P2453" s="22">
        <f>+N2453-O2453</f>
        <v>0.0</v>
      </c>
      <c r="Q2453" s="57"/>
      <c r="R2453" s="58"/>
    </row>
    <row r="2454" spans="8:8" ht="15.0" customHeight="1">
      <c r="B2454" s="54">
        <v>2598.0</v>
      </c>
      <c r="C2454" s="8"/>
      <c r="D2454" s="8"/>
      <c r="E2454" s="8"/>
      <c r="F2454" s="8"/>
      <c r="G2454" s="8"/>
      <c r="H2454" s="8"/>
      <c r="I2454" s="55"/>
      <c r="J2454" s="78" t="s">
        <v>6369</v>
      </c>
      <c r="K2454" s="22">
        <v>0.0</v>
      </c>
      <c r="L2454" s="22">
        <f>+SUMIF('حركه المخزن الرئيسي اليوميه'!$F:$F,$H:$H,'حركه المخزن الرئيسي اليوميه'!$H:$H)</f>
        <v>0.0</v>
      </c>
      <c r="M2454" s="22">
        <f>+SUMIF('حركه المخزن الرئيسي اليوميه'!$F:$F,$H:$H,'حركه المخزن الرئيسي اليوميه'!$I:$I)</f>
        <v>0.0</v>
      </c>
      <c r="N2454" s="22">
        <f>+K2454+L2454-M2454</f>
        <v>0.0</v>
      </c>
      <c r="O2454" s="22">
        <f>+N2454</f>
        <v>0.0</v>
      </c>
      <c r="P2454" s="22">
        <f>+N2454-O2454</f>
        <v>0.0</v>
      </c>
      <c r="Q2454" s="57"/>
      <c r="R2454" s="58"/>
    </row>
    <row r="2455" spans="8:8" ht="15.0" customHeight="1">
      <c r="B2455" s="54">
        <v>2599.0</v>
      </c>
      <c r="C2455" s="8"/>
      <c r="D2455" s="8"/>
      <c r="E2455" s="8"/>
      <c r="F2455" s="8"/>
      <c r="G2455" s="8"/>
      <c r="H2455" s="8"/>
      <c r="I2455" s="55"/>
      <c r="J2455" s="78" t="s">
        <v>6370</v>
      </c>
      <c r="K2455" s="22">
        <v>0.0</v>
      </c>
      <c r="L2455" s="22">
        <f>+SUMIF('حركه المخزن الرئيسي اليوميه'!$F:$F,$H:$H,'حركه المخزن الرئيسي اليوميه'!$H:$H)</f>
        <v>0.0</v>
      </c>
      <c r="M2455" s="22">
        <f>+SUMIF('حركه المخزن الرئيسي اليوميه'!$F:$F,$H:$H,'حركه المخزن الرئيسي اليوميه'!$I:$I)</f>
        <v>0.0</v>
      </c>
      <c r="N2455" s="22">
        <f>+K2455+L2455-M2455</f>
        <v>0.0</v>
      </c>
      <c r="O2455" s="22">
        <f>+N2455</f>
        <v>0.0</v>
      </c>
      <c r="P2455" s="22">
        <f>+N2455-O2455</f>
        <v>0.0</v>
      </c>
      <c r="Q2455" s="57"/>
      <c r="R2455" s="58"/>
    </row>
    <row r="2456" spans="8:8" ht="15.0" customHeight="1">
      <c r="B2456" s="54">
        <v>2600.0</v>
      </c>
      <c r="C2456" s="8"/>
      <c r="D2456" s="8"/>
      <c r="E2456" s="8"/>
      <c r="F2456" s="8"/>
      <c r="G2456" s="8"/>
      <c r="H2456" s="8"/>
      <c r="I2456" s="55"/>
      <c r="J2456" s="78" t="s">
        <v>6371</v>
      </c>
      <c r="K2456" s="22">
        <v>0.0</v>
      </c>
      <c r="L2456" s="22">
        <f>+SUMIF('حركه المخزن الرئيسي اليوميه'!$F:$F,$H:$H,'حركه المخزن الرئيسي اليوميه'!$H:$H)</f>
        <v>0.0</v>
      </c>
      <c r="M2456" s="22">
        <f>+SUMIF('حركه المخزن الرئيسي اليوميه'!$F:$F,$H:$H,'حركه المخزن الرئيسي اليوميه'!$I:$I)</f>
        <v>0.0</v>
      </c>
      <c r="N2456" s="22">
        <f>+K2456+L2456-M2456</f>
        <v>0.0</v>
      </c>
      <c r="O2456" s="22">
        <f>+N2456</f>
        <v>0.0</v>
      </c>
      <c r="P2456" s="22">
        <f>+N2456-O2456</f>
        <v>0.0</v>
      </c>
      <c r="Q2456" s="57"/>
      <c r="R2456" s="58"/>
    </row>
    <row r="2457" spans="8:8" ht="15.0" customHeight="1">
      <c r="B2457" s="54">
        <v>2601.0</v>
      </c>
      <c r="C2457" s="8"/>
      <c r="D2457" s="8"/>
      <c r="E2457" s="8"/>
      <c r="F2457" s="8"/>
      <c r="G2457" s="8"/>
      <c r="H2457" s="8"/>
      <c r="I2457" s="55"/>
      <c r="J2457" s="78" t="s">
        <v>6372</v>
      </c>
      <c r="K2457" s="22">
        <v>0.0</v>
      </c>
      <c r="L2457" s="22">
        <f>+SUMIF('حركه المخزن الرئيسي اليوميه'!$F:$F,$H:$H,'حركه المخزن الرئيسي اليوميه'!$H:$H)</f>
        <v>0.0</v>
      </c>
      <c r="M2457" s="22">
        <f>+SUMIF('حركه المخزن الرئيسي اليوميه'!$F:$F,$H:$H,'حركه المخزن الرئيسي اليوميه'!$I:$I)</f>
        <v>0.0</v>
      </c>
      <c r="N2457" s="22">
        <f>+K2457+L2457-M2457</f>
        <v>0.0</v>
      </c>
      <c r="O2457" s="22">
        <f>+N2457</f>
        <v>0.0</v>
      </c>
      <c r="P2457" s="22">
        <f>+N2457-O2457</f>
        <v>0.0</v>
      </c>
      <c r="Q2457" s="57"/>
      <c r="R2457" s="58"/>
    </row>
    <row r="2458" spans="8:8" ht="15.0" customHeight="1">
      <c r="B2458" s="54">
        <v>2602.0</v>
      </c>
      <c r="C2458" s="8"/>
      <c r="D2458" s="8"/>
      <c r="E2458" s="8"/>
      <c r="F2458" s="8"/>
      <c r="G2458" s="8"/>
      <c r="H2458" s="8"/>
      <c r="I2458" s="55"/>
      <c r="J2458" s="78" t="s">
        <v>6373</v>
      </c>
      <c r="K2458" s="22">
        <v>0.0</v>
      </c>
      <c r="L2458" s="22">
        <f>+SUMIF('حركه المخزن الرئيسي اليوميه'!$F:$F,$H:$H,'حركه المخزن الرئيسي اليوميه'!$H:$H)</f>
        <v>0.0</v>
      </c>
      <c r="M2458" s="22">
        <f>+SUMIF('حركه المخزن الرئيسي اليوميه'!$F:$F,$H:$H,'حركه المخزن الرئيسي اليوميه'!$I:$I)</f>
        <v>0.0</v>
      </c>
      <c r="N2458" s="22">
        <f>+K2458+L2458-M2458</f>
        <v>0.0</v>
      </c>
      <c r="O2458" s="22">
        <f>+N2458</f>
        <v>0.0</v>
      </c>
      <c r="P2458" s="22">
        <f>+N2458-O2458</f>
        <v>0.0</v>
      </c>
      <c r="Q2458" s="57"/>
      <c r="R2458" s="58"/>
    </row>
    <row r="2459" spans="8:8" ht="15.0" customHeight="1">
      <c r="B2459" s="54">
        <v>2603.0</v>
      </c>
      <c r="C2459" s="8"/>
      <c r="D2459" s="8"/>
      <c r="E2459" s="8"/>
      <c r="F2459" s="8"/>
      <c r="G2459" s="8"/>
      <c r="H2459" s="8"/>
      <c r="I2459" s="55"/>
      <c r="J2459" s="78" t="s">
        <v>6374</v>
      </c>
      <c r="K2459" s="22">
        <v>0.0</v>
      </c>
      <c r="L2459" s="22">
        <f>+SUMIF('حركه المخزن الرئيسي اليوميه'!$F:$F,$H:$H,'حركه المخزن الرئيسي اليوميه'!$H:$H)</f>
        <v>0.0</v>
      </c>
      <c r="M2459" s="22">
        <f>+SUMIF('حركه المخزن الرئيسي اليوميه'!$F:$F,$H:$H,'حركه المخزن الرئيسي اليوميه'!$I:$I)</f>
        <v>0.0</v>
      </c>
      <c r="N2459" s="22">
        <f>+K2459+L2459-M2459</f>
        <v>0.0</v>
      </c>
      <c r="O2459" s="22">
        <f>+N2459</f>
        <v>0.0</v>
      </c>
      <c r="P2459" s="22">
        <f>+N2459-O2459</f>
        <v>0.0</v>
      </c>
      <c r="Q2459" s="57"/>
      <c r="R2459" s="58"/>
    </row>
    <row r="2460" spans="8:8" ht="15.0" customHeight="1">
      <c r="B2460" s="54">
        <v>2604.0</v>
      </c>
      <c r="C2460" s="8"/>
      <c r="D2460" s="8"/>
      <c r="E2460" s="8"/>
      <c r="F2460" s="8"/>
      <c r="G2460" s="8"/>
      <c r="H2460" s="8"/>
      <c r="I2460" s="55"/>
      <c r="J2460" s="78" t="s">
        <v>6375</v>
      </c>
      <c r="K2460" s="22">
        <v>0.0</v>
      </c>
      <c r="L2460" s="22">
        <f>+SUMIF('حركه المخزن الرئيسي اليوميه'!$F:$F,$H:$H,'حركه المخزن الرئيسي اليوميه'!$H:$H)</f>
        <v>0.0</v>
      </c>
      <c r="M2460" s="22">
        <f>+SUMIF('حركه المخزن الرئيسي اليوميه'!$F:$F,$H:$H,'حركه المخزن الرئيسي اليوميه'!$I:$I)</f>
        <v>0.0</v>
      </c>
      <c r="N2460" s="22">
        <f>+K2460+L2460-M2460</f>
        <v>0.0</v>
      </c>
      <c r="O2460" s="22">
        <f>+N2460</f>
        <v>0.0</v>
      </c>
      <c r="P2460" s="22">
        <f>+N2460-O2460</f>
        <v>0.0</v>
      </c>
      <c r="Q2460" s="57"/>
      <c r="R2460" s="58"/>
    </row>
    <row r="2461" spans="8:8" ht="15.0" customHeight="1">
      <c r="B2461" s="54">
        <v>2605.0</v>
      </c>
      <c r="C2461" s="8"/>
      <c r="D2461" s="8"/>
      <c r="E2461" s="8"/>
      <c r="F2461" s="8"/>
      <c r="G2461" s="8"/>
      <c r="H2461" s="8"/>
      <c r="I2461" s="55"/>
      <c r="J2461" s="78" t="s">
        <v>6376</v>
      </c>
      <c r="K2461" s="22">
        <v>0.0</v>
      </c>
      <c r="L2461" s="22">
        <f>+SUMIF('حركه المخزن الرئيسي اليوميه'!$F:$F,$H:$H,'حركه المخزن الرئيسي اليوميه'!$H:$H)</f>
        <v>0.0</v>
      </c>
      <c r="M2461" s="22">
        <f>+SUMIF('حركه المخزن الرئيسي اليوميه'!$F:$F,$H:$H,'حركه المخزن الرئيسي اليوميه'!$I:$I)</f>
        <v>0.0</v>
      </c>
      <c r="N2461" s="22">
        <f>+K2461+L2461-M2461</f>
        <v>0.0</v>
      </c>
      <c r="O2461" s="22">
        <f>+N2461</f>
        <v>0.0</v>
      </c>
      <c r="P2461" s="22">
        <f>+N2461-O2461</f>
        <v>0.0</v>
      </c>
      <c r="Q2461" s="57"/>
      <c r="R2461" s="58"/>
    </row>
    <row r="2462" spans="8:8" ht="15.0" customHeight="1">
      <c r="B2462" s="54">
        <v>2606.0</v>
      </c>
      <c r="C2462" s="8"/>
      <c r="D2462" s="8"/>
      <c r="E2462" s="8"/>
      <c r="F2462" s="8"/>
      <c r="G2462" s="8"/>
      <c r="H2462" s="8"/>
      <c r="I2462" s="55"/>
      <c r="J2462" s="78" t="s">
        <v>6377</v>
      </c>
      <c r="K2462" s="22">
        <v>0.0</v>
      </c>
      <c r="L2462" s="22">
        <f>+SUMIF('حركه المخزن الرئيسي اليوميه'!$F:$F,$H:$H,'حركه المخزن الرئيسي اليوميه'!$H:$H)</f>
        <v>0.0</v>
      </c>
      <c r="M2462" s="22">
        <f>+SUMIF('حركه المخزن الرئيسي اليوميه'!$F:$F,$H:$H,'حركه المخزن الرئيسي اليوميه'!$I:$I)</f>
        <v>0.0</v>
      </c>
      <c r="N2462" s="22">
        <f>+K2462+L2462-M2462</f>
        <v>0.0</v>
      </c>
      <c r="O2462" s="22">
        <f>+N2462</f>
        <v>0.0</v>
      </c>
      <c r="P2462" s="22">
        <f>+N2462-O2462</f>
        <v>0.0</v>
      </c>
      <c r="Q2462" s="57"/>
      <c r="R2462" s="58"/>
    </row>
    <row r="2463" spans="8:8" ht="15.0" customHeight="1">
      <c r="B2463" s="54">
        <v>2607.0</v>
      </c>
      <c r="C2463" s="8"/>
      <c r="D2463" s="8"/>
      <c r="E2463" s="8"/>
      <c r="F2463" s="8"/>
      <c r="G2463" s="8"/>
      <c r="H2463" s="8"/>
      <c r="I2463" s="55"/>
      <c r="J2463" s="78" t="s">
        <v>6378</v>
      </c>
      <c r="K2463" s="22">
        <v>0.0</v>
      </c>
      <c r="L2463" s="22">
        <f>+SUMIF('حركه المخزن الرئيسي اليوميه'!$F:$F,$H:$H,'حركه المخزن الرئيسي اليوميه'!$H:$H)</f>
        <v>0.0</v>
      </c>
      <c r="M2463" s="22">
        <f>+SUMIF('حركه المخزن الرئيسي اليوميه'!$F:$F,$H:$H,'حركه المخزن الرئيسي اليوميه'!$I:$I)</f>
        <v>0.0</v>
      </c>
      <c r="N2463" s="22">
        <f>+K2463+L2463-M2463</f>
        <v>0.0</v>
      </c>
      <c r="O2463" s="22">
        <f>+N2463</f>
        <v>0.0</v>
      </c>
      <c r="P2463" s="22">
        <f>+N2463-O2463</f>
        <v>0.0</v>
      </c>
      <c r="Q2463" s="57"/>
      <c r="R2463" s="58"/>
    </row>
    <row r="2464" spans="8:8" ht="15.0" customHeight="1">
      <c r="B2464" s="54">
        <v>2608.0</v>
      </c>
      <c r="C2464" s="8"/>
      <c r="D2464" s="8"/>
      <c r="E2464" s="8"/>
      <c r="F2464" s="8"/>
      <c r="G2464" s="8"/>
      <c r="H2464" s="8"/>
      <c r="I2464" s="55"/>
      <c r="J2464" s="78" t="s">
        <v>6379</v>
      </c>
      <c r="K2464" s="22">
        <v>0.0</v>
      </c>
      <c r="L2464" s="22">
        <f>+SUMIF('حركه المخزن الرئيسي اليوميه'!$F:$F,$H:$H,'حركه المخزن الرئيسي اليوميه'!$H:$H)</f>
        <v>0.0</v>
      </c>
      <c r="M2464" s="22">
        <f>+SUMIF('حركه المخزن الرئيسي اليوميه'!$F:$F,$H:$H,'حركه المخزن الرئيسي اليوميه'!$I:$I)</f>
        <v>0.0</v>
      </c>
      <c r="N2464" s="22">
        <f>+K2464+L2464-M2464</f>
        <v>0.0</v>
      </c>
      <c r="O2464" s="22">
        <f>+N2464</f>
        <v>0.0</v>
      </c>
      <c r="P2464" s="22">
        <f>+N2464-O2464</f>
        <v>0.0</v>
      </c>
      <c r="Q2464" s="57"/>
      <c r="R2464" s="58"/>
    </row>
    <row r="2465" spans="8:8" ht="15.0" customHeight="1">
      <c r="B2465" s="54">
        <v>2609.0</v>
      </c>
      <c r="C2465" s="8"/>
      <c r="D2465" s="8"/>
      <c r="E2465" s="8"/>
      <c r="F2465" s="8"/>
      <c r="G2465" s="8"/>
      <c r="H2465" s="8"/>
      <c r="I2465" s="55"/>
      <c r="J2465" s="78" t="s">
        <v>6380</v>
      </c>
      <c r="K2465" s="22">
        <v>0.0</v>
      </c>
      <c r="L2465" s="22">
        <f>+SUMIF('حركه المخزن الرئيسي اليوميه'!$F:$F,$H:$H,'حركه المخزن الرئيسي اليوميه'!$H:$H)</f>
        <v>0.0</v>
      </c>
      <c r="M2465" s="22">
        <f>+SUMIF('حركه المخزن الرئيسي اليوميه'!$F:$F,$H:$H,'حركه المخزن الرئيسي اليوميه'!$I:$I)</f>
        <v>0.0</v>
      </c>
      <c r="N2465" s="22">
        <f>+K2465+L2465-M2465</f>
        <v>0.0</v>
      </c>
      <c r="O2465" s="22">
        <f>+N2465</f>
        <v>0.0</v>
      </c>
      <c r="P2465" s="22">
        <f>+N2465-O2465</f>
        <v>0.0</v>
      </c>
      <c r="Q2465" s="57"/>
      <c r="R2465" s="58"/>
    </row>
    <row r="2466" spans="8:8" ht="15.0" customHeight="1">
      <c r="B2466" s="54">
        <v>2610.0</v>
      </c>
      <c r="C2466" s="8"/>
      <c r="D2466" s="8"/>
      <c r="E2466" s="8"/>
      <c r="F2466" s="8"/>
      <c r="G2466" s="8"/>
      <c r="H2466" s="8"/>
      <c r="I2466" s="55"/>
      <c r="J2466" s="78" t="s">
        <v>6381</v>
      </c>
      <c r="K2466" s="22">
        <v>0.0</v>
      </c>
      <c r="L2466" s="22">
        <f>+SUMIF('حركه المخزن الرئيسي اليوميه'!$F:$F,$H:$H,'حركه المخزن الرئيسي اليوميه'!$H:$H)</f>
        <v>0.0</v>
      </c>
      <c r="M2466" s="22">
        <f>+SUMIF('حركه المخزن الرئيسي اليوميه'!$F:$F,$H:$H,'حركه المخزن الرئيسي اليوميه'!$I:$I)</f>
        <v>0.0</v>
      </c>
      <c r="N2466" s="22">
        <f>+K2466+L2466-M2466</f>
        <v>0.0</v>
      </c>
      <c r="O2466" s="22">
        <f>+N2466</f>
        <v>0.0</v>
      </c>
      <c r="P2466" s="22">
        <f>+N2466-O2466</f>
        <v>0.0</v>
      </c>
      <c r="Q2466" s="57"/>
      <c r="R2466" s="58"/>
    </row>
    <row r="2467" spans="8:8" ht="15.0" customHeight="1">
      <c r="B2467" s="54">
        <v>2611.0</v>
      </c>
      <c r="C2467" s="8"/>
      <c r="D2467" s="8"/>
      <c r="E2467" s="8"/>
      <c r="F2467" s="8"/>
      <c r="G2467" s="8"/>
      <c r="H2467" s="8"/>
      <c r="I2467" s="55"/>
      <c r="J2467" s="78" t="s">
        <v>6382</v>
      </c>
      <c r="K2467" s="22">
        <v>0.0</v>
      </c>
      <c r="L2467" s="22">
        <f>+SUMIF('حركه المخزن الرئيسي اليوميه'!$F:$F,$H:$H,'حركه المخزن الرئيسي اليوميه'!$H:$H)</f>
        <v>0.0</v>
      </c>
      <c r="M2467" s="22">
        <f>+SUMIF('حركه المخزن الرئيسي اليوميه'!$F:$F,$H:$H,'حركه المخزن الرئيسي اليوميه'!$I:$I)</f>
        <v>0.0</v>
      </c>
      <c r="N2467" s="22">
        <f>+K2467+L2467-M2467</f>
        <v>0.0</v>
      </c>
      <c r="O2467" s="22">
        <f>+N2467</f>
        <v>0.0</v>
      </c>
      <c r="P2467" s="22">
        <f>+N2467-O2467</f>
        <v>0.0</v>
      </c>
      <c r="Q2467" s="57"/>
      <c r="R2467" s="58"/>
    </row>
    <row r="2468" spans="8:8" ht="15.0" customHeight="1">
      <c r="B2468" s="54">
        <v>2612.0</v>
      </c>
      <c r="C2468" s="8"/>
      <c r="D2468" s="8"/>
      <c r="E2468" s="8"/>
      <c r="F2468" s="8"/>
      <c r="G2468" s="8"/>
      <c r="H2468" s="8"/>
      <c r="I2468" s="55"/>
      <c r="J2468" s="78" t="s">
        <v>6383</v>
      </c>
      <c r="K2468" s="22">
        <v>0.0</v>
      </c>
      <c r="L2468" s="22">
        <f>+SUMIF('حركه المخزن الرئيسي اليوميه'!$F:$F,$H:$H,'حركه المخزن الرئيسي اليوميه'!$H:$H)</f>
        <v>0.0</v>
      </c>
      <c r="M2468" s="22">
        <f>+SUMIF('حركه المخزن الرئيسي اليوميه'!$F:$F,$H:$H,'حركه المخزن الرئيسي اليوميه'!$I:$I)</f>
        <v>0.0</v>
      </c>
      <c r="N2468" s="22">
        <f>+K2468+L2468-M2468</f>
        <v>0.0</v>
      </c>
      <c r="O2468" s="22">
        <f>+N2468</f>
        <v>0.0</v>
      </c>
      <c r="P2468" s="22">
        <f>+N2468-O2468</f>
        <v>0.0</v>
      </c>
      <c r="Q2468" s="57"/>
      <c r="R2468" s="58"/>
    </row>
    <row r="2469" spans="8:8" ht="15.0" customHeight="1">
      <c r="B2469" s="54">
        <v>2613.0</v>
      </c>
      <c r="C2469" s="8"/>
      <c r="D2469" s="8"/>
      <c r="E2469" s="8"/>
      <c r="F2469" s="8"/>
      <c r="G2469" s="8"/>
      <c r="H2469" s="8"/>
      <c r="I2469" s="55"/>
      <c r="J2469" s="78" t="s">
        <v>6384</v>
      </c>
      <c r="K2469" s="22">
        <v>0.0</v>
      </c>
      <c r="L2469" s="22">
        <f>+SUMIF('حركه المخزن الرئيسي اليوميه'!$F:$F,$H:$H,'حركه المخزن الرئيسي اليوميه'!$H:$H)</f>
        <v>0.0</v>
      </c>
      <c r="M2469" s="22">
        <f>+SUMIF('حركه المخزن الرئيسي اليوميه'!$F:$F,$H:$H,'حركه المخزن الرئيسي اليوميه'!$I:$I)</f>
        <v>0.0</v>
      </c>
      <c r="N2469" s="22">
        <f>+K2469+L2469-M2469</f>
        <v>0.0</v>
      </c>
      <c r="O2469" s="22">
        <f>+N2469</f>
        <v>0.0</v>
      </c>
      <c r="P2469" s="22">
        <f>+N2469-O2469</f>
        <v>0.0</v>
      </c>
      <c r="Q2469" s="57"/>
      <c r="R2469" s="58"/>
    </row>
    <row r="2470" spans="8:8" ht="15.0" customHeight="1">
      <c r="B2470" s="54">
        <v>2614.0</v>
      </c>
      <c r="C2470" s="8"/>
      <c r="D2470" s="8"/>
      <c r="E2470" s="8"/>
      <c r="F2470" s="8"/>
      <c r="G2470" s="8"/>
      <c r="H2470" s="8"/>
      <c r="I2470" s="55"/>
      <c r="J2470" s="78" t="s">
        <v>6385</v>
      </c>
      <c r="K2470" s="22">
        <v>0.0</v>
      </c>
      <c r="L2470" s="22">
        <f>+SUMIF('حركه المخزن الرئيسي اليوميه'!$F:$F,$H:$H,'حركه المخزن الرئيسي اليوميه'!$H:$H)</f>
        <v>0.0</v>
      </c>
      <c r="M2470" s="22">
        <f>+SUMIF('حركه المخزن الرئيسي اليوميه'!$F:$F,$H:$H,'حركه المخزن الرئيسي اليوميه'!$I:$I)</f>
        <v>0.0</v>
      </c>
      <c r="N2470" s="22">
        <f>+K2470+L2470-M2470</f>
        <v>0.0</v>
      </c>
      <c r="O2470" s="22">
        <f>+N2470</f>
        <v>0.0</v>
      </c>
      <c r="P2470" s="22">
        <f>+N2470-O2470</f>
        <v>0.0</v>
      </c>
      <c r="Q2470" s="57"/>
      <c r="R2470" s="58"/>
    </row>
    <row r="2471" spans="8:8" ht="15.0" customHeight="1">
      <c r="B2471" s="54">
        <v>2615.0</v>
      </c>
      <c r="C2471" s="8"/>
      <c r="D2471" s="8"/>
      <c r="E2471" s="8"/>
      <c r="F2471" s="8"/>
      <c r="G2471" s="8"/>
      <c r="H2471" s="8"/>
      <c r="I2471" s="55"/>
      <c r="J2471" s="78" t="s">
        <v>6386</v>
      </c>
      <c r="K2471" s="22">
        <v>0.0</v>
      </c>
      <c r="L2471" s="22">
        <f>+SUMIF('حركه المخزن الرئيسي اليوميه'!$F:$F,$H:$H,'حركه المخزن الرئيسي اليوميه'!$H:$H)</f>
        <v>0.0</v>
      </c>
      <c r="M2471" s="22">
        <f>+SUMIF('حركه المخزن الرئيسي اليوميه'!$F:$F,$H:$H,'حركه المخزن الرئيسي اليوميه'!$I:$I)</f>
        <v>0.0</v>
      </c>
      <c r="N2471" s="22">
        <f>+K2471+L2471-M2471</f>
        <v>0.0</v>
      </c>
      <c r="O2471" s="22">
        <f>+N2471</f>
        <v>0.0</v>
      </c>
      <c r="P2471" s="22">
        <f>+N2471-O2471</f>
        <v>0.0</v>
      </c>
      <c r="Q2471" s="57"/>
      <c r="R2471" s="58"/>
    </row>
    <row r="2472" spans="8:8" ht="15.0" customHeight="1">
      <c r="B2472" s="54">
        <v>2616.0</v>
      </c>
      <c r="C2472" s="8"/>
      <c r="D2472" s="8"/>
      <c r="E2472" s="8"/>
      <c r="F2472" s="8"/>
      <c r="G2472" s="8"/>
      <c r="H2472" s="8"/>
      <c r="I2472" s="55"/>
      <c r="J2472" s="78" t="s">
        <v>6387</v>
      </c>
      <c r="K2472" s="22">
        <v>0.0</v>
      </c>
      <c r="L2472" s="22">
        <f>+SUMIF('حركه المخزن الرئيسي اليوميه'!$F:$F,$H:$H,'حركه المخزن الرئيسي اليوميه'!$H:$H)</f>
        <v>0.0</v>
      </c>
      <c r="M2472" s="22">
        <f>+SUMIF('حركه المخزن الرئيسي اليوميه'!$F:$F,$H:$H,'حركه المخزن الرئيسي اليوميه'!$I:$I)</f>
        <v>0.0</v>
      </c>
      <c r="N2472" s="22">
        <f>+K2472+L2472-M2472</f>
        <v>0.0</v>
      </c>
      <c r="O2472" s="22">
        <f>+N2472</f>
        <v>0.0</v>
      </c>
      <c r="P2472" s="22">
        <f>+N2472-O2472</f>
        <v>0.0</v>
      </c>
      <c r="Q2472" s="57"/>
      <c r="R2472" s="58"/>
    </row>
    <row r="2473" spans="8:8" ht="15.0" customHeight="1">
      <c r="B2473" s="54">
        <v>2617.0</v>
      </c>
      <c r="C2473" s="8"/>
      <c r="D2473" s="8"/>
      <c r="E2473" s="8"/>
      <c r="F2473" s="8"/>
      <c r="G2473" s="8"/>
      <c r="H2473" s="8"/>
      <c r="I2473" s="55"/>
      <c r="J2473" s="78" t="s">
        <v>6388</v>
      </c>
      <c r="K2473" s="22">
        <v>0.0</v>
      </c>
      <c r="L2473" s="22">
        <f>+SUMIF('حركه المخزن الرئيسي اليوميه'!$F:$F,$H:$H,'حركه المخزن الرئيسي اليوميه'!$H:$H)</f>
        <v>0.0</v>
      </c>
      <c r="M2473" s="22">
        <f>+SUMIF('حركه المخزن الرئيسي اليوميه'!$F:$F,$H:$H,'حركه المخزن الرئيسي اليوميه'!$I:$I)</f>
        <v>0.0</v>
      </c>
      <c r="N2473" s="22">
        <f>+K2473+L2473-M2473</f>
        <v>0.0</v>
      </c>
      <c r="O2473" s="22">
        <f>+N2473</f>
        <v>0.0</v>
      </c>
      <c r="P2473" s="22">
        <f>+N2473-O2473</f>
        <v>0.0</v>
      </c>
      <c r="Q2473" s="57"/>
      <c r="R2473" s="58"/>
    </row>
    <row r="2474" spans="8:8" ht="15.0" customHeight="1">
      <c r="B2474" s="54">
        <v>2618.0</v>
      </c>
      <c r="C2474" s="8"/>
      <c r="D2474" s="8"/>
      <c r="E2474" s="8"/>
      <c r="F2474" s="8"/>
      <c r="G2474" s="8"/>
      <c r="H2474" s="8"/>
      <c r="I2474" s="55"/>
      <c r="J2474" s="78" t="s">
        <v>6389</v>
      </c>
      <c r="K2474" s="22">
        <v>0.0</v>
      </c>
      <c r="L2474" s="22">
        <f>+SUMIF('حركه المخزن الرئيسي اليوميه'!$F:$F,$H:$H,'حركه المخزن الرئيسي اليوميه'!$H:$H)</f>
        <v>0.0</v>
      </c>
      <c r="M2474" s="22">
        <f>+SUMIF('حركه المخزن الرئيسي اليوميه'!$F:$F,$H:$H,'حركه المخزن الرئيسي اليوميه'!$I:$I)</f>
        <v>0.0</v>
      </c>
      <c r="N2474" s="22">
        <f>+K2474+L2474-M2474</f>
        <v>0.0</v>
      </c>
      <c r="O2474" s="22">
        <f>+N2474</f>
        <v>0.0</v>
      </c>
      <c r="P2474" s="22">
        <f>+N2474-O2474</f>
        <v>0.0</v>
      </c>
      <c r="Q2474" s="57"/>
      <c r="R2474" s="58"/>
    </row>
    <row r="2475" spans="8:8" ht="15.0" customHeight="1">
      <c r="B2475" s="54">
        <v>2619.0</v>
      </c>
      <c r="C2475" s="8"/>
      <c r="D2475" s="8"/>
      <c r="E2475" s="8"/>
      <c r="F2475" s="8"/>
      <c r="G2475" s="8"/>
      <c r="H2475" s="8"/>
      <c r="I2475" s="55"/>
      <c r="J2475" s="78" t="s">
        <v>6390</v>
      </c>
      <c r="K2475" s="22">
        <v>0.0</v>
      </c>
      <c r="L2475" s="22">
        <f>+SUMIF('حركه المخزن الرئيسي اليوميه'!$F:$F,$H:$H,'حركه المخزن الرئيسي اليوميه'!$H:$H)</f>
        <v>0.0</v>
      </c>
      <c r="M2475" s="22">
        <f>+SUMIF('حركه المخزن الرئيسي اليوميه'!$F:$F,$H:$H,'حركه المخزن الرئيسي اليوميه'!$I:$I)</f>
        <v>0.0</v>
      </c>
      <c r="N2475" s="22">
        <f>+K2475+L2475-M2475</f>
        <v>0.0</v>
      </c>
      <c r="O2475" s="22">
        <f>+N2475</f>
        <v>0.0</v>
      </c>
      <c r="P2475" s="22">
        <f>+N2475-O2475</f>
        <v>0.0</v>
      </c>
      <c r="Q2475" s="57"/>
      <c r="R2475" s="58"/>
    </row>
    <row r="2476" spans="8:8" ht="15.0" customHeight="1">
      <c r="B2476" s="54">
        <v>2620.0</v>
      </c>
      <c r="C2476" s="8"/>
      <c r="D2476" s="8"/>
      <c r="E2476" s="8"/>
      <c r="F2476" s="8"/>
      <c r="G2476" s="8"/>
      <c r="H2476" s="8"/>
      <c r="I2476" s="55"/>
      <c r="J2476" s="78" t="s">
        <v>6391</v>
      </c>
      <c r="K2476" s="22">
        <v>0.0</v>
      </c>
      <c r="L2476" s="22">
        <f>+SUMIF('حركه المخزن الرئيسي اليوميه'!$F:$F,$H:$H,'حركه المخزن الرئيسي اليوميه'!$H:$H)</f>
        <v>0.0</v>
      </c>
      <c r="M2476" s="22">
        <f>+SUMIF('حركه المخزن الرئيسي اليوميه'!$F:$F,$H:$H,'حركه المخزن الرئيسي اليوميه'!$I:$I)</f>
        <v>0.0</v>
      </c>
      <c r="N2476" s="22">
        <f>+K2476+L2476-M2476</f>
        <v>0.0</v>
      </c>
      <c r="O2476" s="22">
        <f>+N2476</f>
        <v>0.0</v>
      </c>
      <c r="P2476" s="22">
        <f>+N2476-O2476</f>
        <v>0.0</v>
      </c>
      <c r="Q2476" s="57"/>
      <c r="R2476" s="58"/>
    </row>
    <row r="2477" spans="8:8" ht="15.0" customHeight="1">
      <c r="B2477" s="54">
        <v>2621.0</v>
      </c>
      <c r="C2477" s="8"/>
      <c r="D2477" s="8"/>
      <c r="E2477" s="8"/>
      <c r="F2477" s="8"/>
      <c r="G2477" s="8"/>
      <c r="H2477" s="8"/>
      <c r="I2477" s="55"/>
      <c r="J2477" s="78" t="s">
        <v>6392</v>
      </c>
      <c r="K2477" s="22">
        <v>0.0</v>
      </c>
      <c r="L2477" s="22">
        <f>+SUMIF('حركه المخزن الرئيسي اليوميه'!$F:$F,$H:$H,'حركه المخزن الرئيسي اليوميه'!$H:$H)</f>
        <v>0.0</v>
      </c>
      <c r="M2477" s="22">
        <f>+SUMIF('حركه المخزن الرئيسي اليوميه'!$F:$F,$H:$H,'حركه المخزن الرئيسي اليوميه'!$I:$I)</f>
        <v>0.0</v>
      </c>
      <c r="N2477" s="22">
        <f>+K2477+L2477-M2477</f>
        <v>0.0</v>
      </c>
      <c r="O2477" s="22">
        <f>+N2477</f>
        <v>0.0</v>
      </c>
      <c r="P2477" s="22">
        <f>+N2477-O2477</f>
        <v>0.0</v>
      </c>
      <c r="Q2477" s="57"/>
      <c r="R2477" s="58"/>
    </row>
    <row r="2478" spans="8:8" ht="15.0" customHeight="1">
      <c r="B2478" s="54">
        <v>2622.0</v>
      </c>
      <c r="C2478" s="8"/>
      <c r="D2478" s="8"/>
      <c r="E2478" s="8"/>
      <c r="F2478" s="8"/>
      <c r="G2478" s="8"/>
      <c r="H2478" s="8"/>
      <c r="I2478" s="55"/>
      <c r="J2478" s="78" t="s">
        <v>6393</v>
      </c>
      <c r="K2478" s="22">
        <v>0.0</v>
      </c>
      <c r="L2478" s="22">
        <f>+SUMIF('حركه المخزن الرئيسي اليوميه'!$F:$F,$H:$H,'حركه المخزن الرئيسي اليوميه'!$H:$H)</f>
        <v>0.0</v>
      </c>
      <c r="M2478" s="22">
        <f>+SUMIF('حركه المخزن الرئيسي اليوميه'!$F:$F,$H:$H,'حركه المخزن الرئيسي اليوميه'!$I:$I)</f>
        <v>0.0</v>
      </c>
      <c r="N2478" s="22">
        <f>+K2478+L2478-M2478</f>
        <v>0.0</v>
      </c>
      <c r="O2478" s="22">
        <f>+N2478</f>
        <v>0.0</v>
      </c>
      <c r="P2478" s="22">
        <f>+N2478-O2478</f>
        <v>0.0</v>
      </c>
      <c r="Q2478" s="57"/>
      <c r="R2478" s="58"/>
    </row>
    <row r="2479" spans="8:8" ht="15.0" customHeight="1">
      <c r="B2479" s="54">
        <v>2623.0</v>
      </c>
      <c r="C2479" s="8"/>
      <c r="D2479" s="8"/>
      <c r="E2479" s="8"/>
      <c r="F2479" s="8"/>
      <c r="G2479" s="8"/>
      <c r="H2479" s="8"/>
      <c r="I2479" s="55"/>
      <c r="J2479" s="78" t="s">
        <v>6394</v>
      </c>
      <c r="K2479" s="22">
        <v>0.0</v>
      </c>
      <c r="L2479" s="22">
        <f>+SUMIF('حركه المخزن الرئيسي اليوميه'!$F:$F,$H:$H,'حركه المخزن الرئيسي اليوميه'!$H:$H)</f>
        <v>0.0</v>
      </c>
      <c r="M2479" s="22">
        <f>+SUMIF('حركه المخزن الرئيسي اليوميه'!$F:$F,$H:$H,'حركه المخزن الرئيسي اليوميه'!$I:$I)</f>
        <v>0.0</v>
      </c>
      <c r="N2479" s="22">
        <f>+K2479+L2479-M2479</f>
        <v>0.0</v>
      </c>
      <c r="O2479" s="22">
        <f>+N2479</f>
        <v>0.0</v>
      </c>
      <c r="P2479" s="22">
        <f>+N2479-O2479</f>
        <v>0.0</v>
      </c>
      <c r="Q2479" s="57"/>
      <c r="R2479" s="58"/>
    </row>
    <row r="2480" spans="8:8" ht="15.0" customHeight="1">
      <c r="B2480" s="54">
        <v>2624.0</v>
      </c>
      <c r="C2480" s="8"/>
      <c r="D2480" s="8"/>
      <c r="E2480" s="8"/>
      <c r="F2480" s="8"/>
      <c r="G2480" s="8"/>
      <c r="H2480" s="8"/>
      <c r="I2480" s="55"/>
      <c r="J2480" s="78" t="s">
        <v>6395</v>
      </c>
      <c r="K2480" s="22">
        <v>0.0</v>
      </c>
      <c r="L2480" s="22">
        <f>+SUMIF('حركه المخزن الرئيسي اليوميه'!$F:$F,$H:$H,'حركه المخزن الرئيسي اليوميه'!$H:$H)</f>
        <v>0.0</v>
      </c>
      <c r="M2480" s="22">
        <f>+SUMIF('حركه المخزن الرئيسي اليوميه'!$F:$F,$H:$H,'حركه المخزن الرئيسي اليوميه'!$I:$I)</f>
        <v>0.0</v>
      </c>
      <c r="N2480" s="22">
        <f>+K2480+L2480-M2480</f>
        <v>0.0</v>
      </c>
      <c r="O2480" s="22">
        <f>+N2480</f>
        <v>0.0</v>
      </c>
      <c r="P2480" s="22">
        <f>+N2480-O2480</f>
        <v>0.0</v>
      </c>
      <c r="Q2480" s="57"/>
      <c r="R2480" s="58"/>
    </row>
    <row r="2481" spans="8:8" ht="15.0" customHeight="1">
      <c r="B2481" s="54">
        <v>2625.0</v>
      </c>
      <c r="C2481" s="8"/>
      <c r="D2481" s="8"/>
      <c r="E2481" s="8"/>
      <c r="F2481" s="8"/>
      <c r="G2481" s="8"/>
      <c r="H2481" s="8"/>
      <c r="I2481" s="55"/>
      <c r="J2481" s="78" t="s">
        <v>6396</v>
      </c>
      <c r="K2481" s="22">
        <v>0.0</v>
      </c>
      <c r="L2481" s="22">
        <f>+SUMIF('حركه المخزن الرئيسي اليوميه'!$F:$F,$H:$H,'حركه المخزن الرئيسي اليوميه'!$H:$H)</f>
        <v>0.0</v>
      </c>
      <c r="M2481" s="22">
        <f>+SUMIF('حركه المخزن الرئيسي اليوميه'!$F:$F,$H:$H,'حركه المخزن الرئيسي اليوميه'!$I:$I)</f>
        <v>0.0</v>
      </c>
      <c r="N2481" s="22">
        <f>+K2481+L2481-M2481</f>
        <v>0.0</v>
      </c>
      <c r="O2481" s="22">
        <f>+N2481</f>
        <v>0.0</v>
      </c>
      <c r="P2481" s="22">
        <f>+N2481-O2481</f>
        <v>0.0</v>
      </c>
      <c r="Q2481" s="57"/>
      <c r="R2481" s="58"/>
    </row>
    <row r="2482" spans="8:8" ht="15.0" customHeight="1">
      <c r="B2482" s="54">
        <v>2626.0</v>
      </c>
      <c r="C2482" s="8"/>
      <c r="D2482" s="8"/>
      <c r="E2482" s="8"/>
      <c r="F2482" s="8"/>
      <c r="G2482" s="8"/>
      <c r="H2482" s="8"/>
      <c r="I2482" s="55"/>
      <c r="J2482" s="78" t="s">
        <v>6397</v>
      </c>
      <c r="K2482" s="22">
        <v>0.0</v>
      </c>
      <c r="L2482" s="22">
        <f>+SUMIF('حركه المخزن الرئيسي اليوميه'!$F:$F,$H:$H,'حركه المخزن الرئيسي اليوميه'!$H:$H)</f>
        <v>0.0</v>
      </c>
      <c r="M2482" s="22">
        <f>+SUMIF('حركه المخزن الرئيسي اليوميه'!$F:$F,$H:$H,'حركه المخزن الرئيسي اليوميه'!$I:$I)</f>
        <v>0.0</v>
      </c>
      <c r="N2482" s="22">
        <f>+K2482+L2482-M2482</f>
        <v>0.0</v>
      </c>
      <c r="O2482" s="22">
        <f>+N2482</f>
        <v>0.0</v>
      </c>
      <c r="P2482" s="22">
        <f>+N2482-O2482</f>
        <v>0.0</v>
      </c>
      <c r="Q2482" s="57"/>
      <c r="R2482" s="58"/>
    </row>
    <row r="2483" spans="8:8" ht="15.0" customHeight="1">
      <c r="B2483" s="54">
        <v>2627.0</v>
      </c>
      <c r="C2483" s="8"/>
      <c r="D2483" s="8"/>
      <c r="E2483" s="8"/>
      <c r="F2483" s="8"/>
      <c r="G2483" s="8"/>
      <c r="H2483" s="8"/>
      <c r="I2483" s="55"/>
      <c r="J2483" s="78" t="s">
        <v>6398</v>
      </c>
      <c r="K2483" s="22">
        <v>0.0</v>
      </c>
      <c r="L2483" s="22">
        <f>+SUMIF('حركه المخزن الرئيسي اليوميه'!$F:$F,$H:$H,'حركه المخزن الرئيسي اليوميه'!$H:$H)</f>
        <v>0.0</v>
      </c>
      <c r="M2483" s="22">
        <f>+SUMIF('حركه المخزن الرئيسي اليوميه'!$F:$F,$H:$H,'حركه المخزن الرئيسي اليوميه'!$I:$I)</f>
        <v>0.0</v>
      </c>
      <c r="N2483" s="22">
        <f>+K2483+L2483-M2483</f>
        <v>0.0</v>
      </c>
      <c r="O2483" s="22">
        <f>+N2483</f>
        <v>0.0</v>
      </c>
      <c r="P2483" s="22">
        <f>+N2483-O2483</f>
        <v>0.0</v>
      </c>
      <c r="Q2483" s="57"/>
      <c r="R2483" s="58"/>
    </row>
    <row r="2484" spans="8:8" ht="15.0" customHeight="1">
      <c r="B2484" s="54">
        <v>2628.0</v>
      </c>
      <c r="C2484" s="8"/>
      <c r="D2484" s="8"/>
      <c r="E2484" s="8"/>
      <c r="F2484" s="8"/>
      <c r="G2484" s="8"/>
      <c r="H2484" s="8"/>
      <c r="I2484" s="55"/>
      <c r="J2484" s="78" t="s">
        <v>6399</v>
      </c>
      <c r="K2484" s="22">
        <v>0.0</v>
      </c>
      <c r="L2484" s="22">
        <f>+SUMIF('حركه المخزن الرئيسي اليوميه'!$F:$F,$H:$H,'حركه المخزن الرئيسي اليوميه'!$H:$H)</f>
        <v>0.0</v>
      </c>
      <c r="M2484" s="22">
        <f>+SUMIF('حركه المخزن الرئيسي اليوميه'!$F:$F,$H:$H,'حركه المخزن الرئيسي اليوميه'!$I:$I)</f>
        <v>0.0</v>
      </c>
      <c r="N2484" s="22">
        <f>+K2484+L2484-M2484</f>
        <v>0.0</v>
      </c>
      <c r="O2484" s="22">
        <f>+N2484</f>
        <v>0.0</v>
      </c>
      <c r="P2484" s="22">
        <f>+N2484-O2484</f>
        <v>0.0</v>
      </c>
      <c r="Q2484" s="57"/>
      <c r="R2484" s="58"/>
    </row>
    <row r="2485" spans="8:8" ht="15.0" customHeight="1">
      <c r="B2485" s="54">
        <v>2629.0</v>
      </c>
      <c r="C2485" s="8"/>
      <c r="D2485" s="8"/>
      <c r="E2485" s="8"/>
      <c r="F2485" s="8"/>
      <c r="G2485" s="8"/>
      <c r="H2485" s="8"/>
      <c r="I2485" s="55"/>
      <c r="J2485" s="78" t="s">
        <v>6400</v>
      </c>
      <c r="K2485" s="22">
        <v>0.0</v>
      </c>
      <c r="L2485" s="22">
        <f>+SUMIF('حركه المخزن الرئيسي اليوميه'!$F:$F,$H:$H,'حركه المخزن الرئيسي اليوميه'!$H:$H)</f>
        <v>0.0</v>
      </c>
      <c r="M2485" s="22">
        <f>+SUMIF('حركه المخزن الرئيسي اليوميه'!$F:$F,$H:$H,'حركه المخزن الرئيسي اليوميه'!$I:$I)</f>
        <v>0.0</v>
      </c>
      <c r="N2485" s="22">
        <f>+K2485+L2485-M2485</f>
        <v>0.0</v>
      </c>
      <c r="O2485" s="22">
        <f>+N2485</f>
        <v>0.0</v>
      </c>
      <c r="P2485" s="22">
        <f>+N2485-O2485</f>
        <v>0.0</v>
      </c>
      <c r="Q2485" s="57"/>
      <c r="R2485" s="58"/>
    </row>
    <row r="2486" spans="8:8" ht="15.0" customHeight="1">
      <c r="B2486" s="54">
        <v>2630.0</v>
      </c>
      <c r="C2486" s="8"/>
      <c r="D2486" s="8"/>
      <c r="E2486" s="8"/>
      <c r="F2486" s="8"/>
      <c r="G2486" s="8"/>
      <c r="H2486" s="8"/>
      <c r="I2486" s="55"/>
      <c r="J2486" s="78" t="s">
        <v>6401</v>
      </c>
      <c r="K2486" s="22">
        <v>0.0</v>
      </c>
      <c r="L2486" s="22">
        <f>+SUMIF('حركه المخزن الرئيسي اليوميه'!$F:$F,$H:$H,'حركه المخزن الرئيسي اليوميه'!$H:$H)</f>
        <v>0.0</v>
      </c>
      <c r="M2486" s="22">
        <f>+SUMIF('حركه المخزن الرئيسي اليوميه'!$F:$F,$H:$H,'حركه المخزن الرئيسي اليوميه'!$I:$I)</f>
        <v>0.0</v>
      </c>
      <c r="N2486" s="22">
        <f>+K2486+L2486-M2486</f>
        <v>0.0</v>
      </c>
      <c r="O2486" s="22">
        <f>+N2486</f>
        <v>0.0</v>
      </c>
      <c r="P2486" s="22">
        <f>+N2486-O2486</f>
        <v>0.0</v>
      </c>
      <c r="Q2486" s="57"/>
      <c r="R2486" s="58"/>
    </row>
    <row r="2487" spans="8:8" ht="15.0" customHeight="1">
      <c r="B2487" s="54">
        <v>2631.0</v>
      </c>
      <c r="C2487" s="8"/>
      <c r="D2487" s="8"/>
      <c r="E2487" s="8"/>
      <c r="F2487" s="8"/>
      <c r="G2487" s="8"/>
      <c r="H2487" s="8"/>
      <c r="I2487" s="55"/>
      <c r="J2487" s="78" t="s">
        <v>6402</v>
      </c>
      <c r="K2487" s="22">
        <v>0.0</v>
      </c>
      <c r="L2487" s="22">
        <f>+SUMIF('حركه المخزن الرئيسي اليوميه'!$F:$F,$H:$H,'حركه المخزن الرئيسي اليوميه'!$H:$H)</f>
        <v>0.0</v>
      </c>
      <c r="M2487" s="22">
        <f>+SUMIF('حركه المخزن الرئيسي اليوميه'!$F:$F,$H:$H,'حركه المخزن الرئيسي اليوميه'!$I:$I)</f>
        <v>0.0</v>
      </c>
      <c r="N2487" s="22">
        <f>+K2487+L2487-M2487</f>
        <v>0.0</v>
      </c>
      <c r="O2487" s="22">
        <f>+N2487</f>
        <v>0.0</v>
      </c>
      <c r="P2487" s="22">
        <f>+N2487-O2487</f>
        <v>0.0</v>
      </c>
      <c r="Q2487" s="57"/>
      <c r="R2487" s="58"/>
    </row>
    <row r="2488" spans="8:8" ht="15.0" customHeight="1">
      <c r="B2488" s="54">
        <v>2632.0</v>
      </c>
      <c r="C2488" s="8"/>
      <c r="D2488" s="8"/>
      <c r="E2488" s="8"/>
      <c r="F2488" s="8"/>
      <c r="G2488" s="8"/>
      <c r="H2488" s="8"/>
      <c r="I2488" s="55"/>
      <c r="J2488" s="78" t="s">
        <v>6403</v>
      </c>
      <c r="K2488" s="22">
        <v>0.0</v>
      </c>
      <c r="L2488" s="22">
        <f>+SUMIF('حركه المخزن الرئيسي اليوميه'!$F:$F,$H:$H,'حركه المخزن الرئيسي اليوميه'!$H:$H)</f>
        <v>0.0</v>
      </c>
      <c r="M2488" s="22">
        <f>+SUMIF('حركه المخزن الرئيسي اليوميه'!$F:$F,$H:$H,'حركه المخزن الرئيسي اليوميه'!$I:$I)</f>
        <v>0.0</v>
      </c>
      <c r="N2488" s="22">
        <f>+K2488+L2488-M2488</f>
        <v>0.0</v>
      </c>
      <c r="O2488" s="22">
        <f>+N2488</f>
        <v>0.0</v>
      </c>
      <c r="P2488" s="22">
        <f>+N2488-O2488</f>
        <v>0.0</v>
      </c>
      <c r="Q2488" s="57"/>
      <c r="R2488" s="58"/>
    </row>
    <row r="2489" spans="8:8" ht="15.0" customHeight="1">
      <c r="B2489" s="54">
        <v>2633.0</v>
      </c>
      <c r="C2489" s="8"/>
      <c r="D2489" s="8"/>
      <c r="E2489" s="8"/>
      <c r="F2489" s="8"/>
      <c r="G2489" s="8"/>
      <c r="H2489" s="8"/>
      <c r="I2489" s="55"/>
      <c r="J2489" s="78" t="s">
        <v>6404</v>
      </c>
      <c r="K2489" s="22">
        <v>0.0</v>
      </c>
      <c r="L2489" s="22">
        <f>+SUMIF('حركه المخزن الرئيسي اليوميه'!$F:$F,$H:$H,'حركه المخزن الرئيسي اليوميه'!$H:$H)</f>
        <v>0.0</v>
      </c>
      <c r="M2489" s="22">
        <f>+SUMIF('حركه المخزن الرئيسي اليوميه'!$F:$F,$H:$H,'حركه المخزن الرئيسي اليوميه'!$I:$I)</f>
        <v>0.0</v>
      </c>
      <c r="N2489" s="22">
        <f>+K2489+L2489-M2489</f>
        <v>0.0</v>
      </c>
      <c r="O2489" s="22">
        <f>+N2489</f>
        <v>0.0</v>
      </c>
      <c r="P2489" s="22">
        <f>+N2489-O2489</f>
        <v>0.0</v>
      </c>
      <c r="Q2489" s="57"/>
      <c r="R2489" s="58"/>
    </row>
    <row r="2490" spans="8:8" ht="15.0" customHeight="1">
      <c r="B2490" s="54">
        <v>2634.0</v>
      </c>
      <c r="C2490" s="8"/>
      <c r="D2490" s="8"/>
      <c r="E2490" s="8"/>
      <c r="F2490" s="8"/>
      <c r="G2490" s="8"/>
      <c r="H2490" s="8"/>
      <c r="I2490" s="55"/>
      <c r="J2490" s="78" t="s">
        <v>6405</v>
      </c>
      <c r="K2490" s="22">
        <v>0.0</v>
      </c>
      <c r="L2490" s="22">
        <f>+SUMIF('حركه المخزن الرئيسي اليوميه'!$F:$F,$H:$H,'حركه المخزن الرئيسي اليوميه'!$H:$H)</f>
        <v>0.0</v>
      </c>
      <c r="M2490" s="22">
        <f>+SUMIF('حركه المخزن الرئيسي اليوميه'!$F:$F,$H:$H,'حركه المخزن الرئيسي اليوميه'!$I:$I)</f>
        <v>0.0</v>
      </c>
      <c r="N2490" s="22">
        <f>+K2490+L2490-M2490</f>
        <v>0.0</v>
      </c>
      <c r="O2490" s="22">
        <f>+N2490</f>
        <v>0.0</v>
      </c>
      <c r="P2490" s="22">
        <f>+N2490-O2490</f>
        <v>0.0</v>
      </c>
      <c r="Q2490" s="57"/>
      <c r="R2490" s="58"/>
    </row>
    <row r="2491" spans="8:8" ht="15.0" customHeight="1">
      <c r="B2491" s="54">
        <v>2635.0</v>
      </c>
      <c r="C2491" s="8"/>
      <c r="D2491" s="8"/>
      <c r="E2491" s="8"/>
      <c r="F2491" s="8"/>
      <c r="G2491" s="8"/>
      <c r="H2491" s="8"/>
      <c r="I2491" s="55"/>
      <c r="J2491" s="78" t="s">
        <v>6406</v>
      </c>
      <c r="K2491" s="22">
        <v>0.0</v>
      </c>
      <c r="L2491" s="22">
        <f>+SUMIF('حركه المخزن الرئيسي اليوميه'!$F:$F,$H:$H,'حركه المخزن الرئيسي اليوميه'!$H:$H)</f>
        <v>0.0</v>
      </c>
      <c r="M2491" s="22">
        <f>+SUMIF('حركه المخزن الرئيسي اليوميه'!$F:$F,$H:$H,'حركه المخزن الرئيسي اليوميه'!$I:$I)</f>
        <v>0.0</v>
      </c>
      <c r="N2491" s="22">
        <f>+K2491+L2491-M2491</f>
        <v>0.0</v>
      </c>
      <c r="O2491" s="22">
        <f>+N2491</f>
        <v>0.0</v>
      </c>
      <c r="P2491" s="22">
        <f>+N2491-O2491</f>
        <v>0.0</v>
      </c>
      <c r="Q2491" s="57"/>
      <c r="R2491" s="58"/>
    </row>
    <row r="2492" spans="8:8" ht="15.0" customHeight="1">
      <c r="B2492" s="54">
        <v>2636.0</v>
      </c>
      <c r="C2492" s="8"/>
      <c r="D2492" s="8"/>
      <c r="E2492" s="8"/>
      <c r="F2492" s="8"/>
      <c r="G2492" s="8"/>
      <c r="H2492" s="8"/>
      <c r="I2492" s="55"/>
      <c r="J2492" s="78" t="s">
        <v>6407</v>
      </c>
      <c r="K2492" s="22">
        <v>0.0</v>
      </c>
      <c r="L2492" s="22">
        <f>+SUMIF('حركه المخزن الرئيسي اليوميه'!$F:$F,$H:$H,'حركه المخزن الرئيسي اليوميه'!$H:$H)</f>
        <v>0.0</v>
      </c>
      <c r="M2492" s="22">
        <f>+SUMIF('حركه المخزن الرئيسي اليوميه'!$F:$F,$H:$H,'حركه المخزن الرئيسي اليوميه'!$I:$I)</f>
        <v>0.0</v>
      </c>
      <c r="N2492" s="22">
        <f>+K2492+L2492-M2492</f>
        <v>0.0</v>
      </c>
      <c r="O2492" s="22">
        <f>+N2492</f>
        <v>0.0</v>
      </c>
      <c r="P2492" s="22">
        <f>+N2492-O2492</f>
        <v>0.0</v>
      </c>
      <c r="Q2492" s="57"/>
      <c r="R2492" s="58"/>
    </row>
    <row r="2493" spans="8:8" ht="15.0" customHeight="1">
      <c r="B2493" s="54">
        <v>2637.0</v>
      </c>
      <c r="C2493" s="8"/>
      <c r="D2493" s="8"/>
      <c r="E2493" s="8"/>
      <c r="F2493" s="8"/>
      <c r="G2493" s="8"/>
      <c r="H2493" s="8"/>
      <c r="I2493" s="55"/>
      <c r="J2493" s="78" t="s">
        <v>6408</v>
      </c>
      <c r="K2493" s="22">
        <v>0.0</v>
      </c>
      <c r="L2493" s="22">
        <f>+SUMIF('حركه المخزن الرئيسي اليوميه'!$F:$F,$H:$H,'حركه المخزن الرئيسي اليوميه'!$H:$H)</f>
        <v>0.0</v>
      </c>
      <c r="M2493" s="22">
        <f>+SUMIF('حركه المخزن الرئيسي اليوميه'!$F:$F,$H:$H,'حركه المخزن الرئيسي اليوميه'!$I:$I)</f>
        <v>0.0</v>
      </c>
      <c r="N2493" s="22">
        <f>+K2493+L2493-M2493</f>
        <v>0.0</v>
      </c>
      <c r="O2493" s="22">
        <f>+N2493</f>
        <v>0.0</v>
      </c>
      <c r="P2493" s="22">
        <f>+N2493-O2493</f>
        <v>0.0</v>
      </c>
      <c r="Q2493" s="57"/>
      <c r="R2493" s="58"/>
    </row>
    <row r="2494" spans="8:8" ht="15.0" customHeight="1">
      <c r="B2494" s="54">
        <v>2638.0</v>
      </c>
      <c r="C2494" s="8"/>
      <c r="D2494" s="8"/>
      <c r="E2494" s="8"/>
      <c r="F2494" s="8"/>
      <c r="G2494" s="8"/>
      <c r="H2494" s="8"/>
      <c r="I2494" s="55"/>
      <c r="J2494" s="78" t="s">
        <v>6409</v>
      </c>
      <c r="K2494" s="22">
        <v>0.0</v>
      </c>
      <c r="L2494" s="22">
        <f>+SUMIF('حركه المخزن الرئيسي اليوميه'!$F:$F,$H:$H,'حركه المخزن الرئيسي اليوميه'!$H:$H)</f>
        <v>0.0</v>
      </c>
      <c r="M2494" s="22">
        <f>+SUMIF('حركه المخزن الرئيسي اليوميه'!$F:$F,$H:$H,'حركه المخزن الرئيسي اليوميه'!$I:$I)</f>
        <v>0.0</v>
      </c>
      <c r="N2494" s="22">
        <f>+K2494+L2494-M2494</f>
        <v>0.0</v>
      </c>
      <c r="O2494" s="22">
        <f>+N2494</f>
        <v>0.0</v>
      </c>
      <c r="P2494" s="22">
        <f>+N2494-O2494</f>
        <v>0.0</v>
      </c>
      <c r="Q2494" s="57"/>
      <c r="R2494" s="58"/>
    </row>
    <row r="2495" spans="8:8" ht="15.0" customHeight="1">
      <c r="B2495" s="54">
        <v>2639.0</v>
      </c>
      <c r="C2495" s="8"/>
      <c r="D2495" s="8"/>
      <c r="E2495" s="8"/>
      <c r="F2495" s="8"/>
      <c r="G2495" s="8"/>
      <c r="H2495" s="8"/>
      <c r="I2495" s="55"/>
      <c r="J2495" s="78" t="s">
        <v>6410</v>
      </c>
      <c r="K2495" s="22">
        <v>0.0</v>
      </c>
      <c r="L2495" s="22">
        <f>+SUMIF('حركه المخزن الرئيسي اليوميه'!$F:$F,$H:$H,'حركه المخزن الرئيسي اليوميه'!$H:$H)</f>
        <v>0.0</v>
      </c>
      <c r="M2495" s="22">
        <f>+SUMIF('حركه المخزن الرئيسي اليوميه'!$F:$F,$H:$H,'حركه المخزن الرئيسي اليوميه'!$I:$I)</f>
        <v>0.0</v>
      </c>
      <c r="N2495" s="22">
        <f>+K2495+L2495-M2495</f>
        <v>0.0</v>
      </c>
      <c r="O2495" s="22">
        <f>+N2495</f>
        <v>0.0</v>
      </c>
      <c r="P2495" s="22">
        <f>+N2495-O2495</f>
        <v>0.0</v>
      </c>
      <c r="Q2495" s="57"/>
      <c r="R2495" s="58"/>
    </row>
    <row r="2496" spans="8:8" ht="15.0" customHeight="1">
      <c r="B2496" s="54">
        <v>2640.0</v>
      </c>
      <c r="C2496" s="8"/>
      <c r="D2496" s="8"/>
      <c r="E2496" s="8"/>
      <c r="F2496" s="8"/>
      <c r="G2496" s="8"/>
      <c r="H2496" s="8"/>
      <c r="I2496" s="55"/>
      <c r="J2496" s="78" t="s">
        <v>6411</v>
      </c>
      <c r="K2496" s="22">
        <v>0.0</v>
      </c>
      <c r="L2496" s="22">
        <f>+SUMIF('حركه المخزن الرئيسي اليوميه'!$F:$F,$H:$H,'حركه المخزن الرئيسي اليوميه'!$H:$H)</f>
        <v>0.0</v>
      </c>
      <c r="M2496" s="22">
        <f>+SUMIF('حركه المخزن الرئيسي اليوميه'!$F:$F,$H:$H,'حركه المخزن الرئيسي اليوميه'!$I:$I)</f>
        <v>0.0</v>
      </c>
      <c r="N2496" s="22">
        <f>+K2496+L2496-M2496</f>
        <v>0.0</v>
      </c>
      <c r="O2496" s="22">
        <f>+N2496</f>
        <v>0.0</v>
      </c>
      <c r="P2496" s="22">
        <f>+N2496-O2496</f>
        <v>0.0</v>
      </c>
      <c r="Q2496" s="57"/>
      <c r="R2496" s="58"/>
    </row>
    <row r="2497" spans="8:8" ht="15.0" customHeight="1">
      <c r="B2497" s="54">
        <v>2641.0</v>
      </c>
      <c r="C2497" s="8"/>
      <c r="D2497" s="8"/>
      <c r="E2497" s="8"/>
      <c r="F2497" s="8"/>
      <c r="G2497" s="8"/>
      <c r="H2497" s="8"/>
      <c r="I2497" s="55"/>
      <c r="J2497" s="78" t="s">
        <v>6412</v>
      </c>
      <c r="K2497" s="22">
        <v>0.0</v>
      </c>
      <c r="L2497" s="22">
        <f>+SUMIF('حركه المخزن الرئيسي اليوميه'!$F:$F,$H:$H,'حركه المخزن الرئيسي اليوميه'!$H:$H)</f>
        <v>0.0</v>
      </c>
      <c r="M2497" s="22">
        <f>+SUMIF('حركه المخزن الرئيسي اليوميه'!$F:$F,$H:$H,'حركه المخزن الرئيسي اليوميه'!$I:$I)</f>
        <v>0.0</v>
      </c>
      <c r="N2497" s="22">
        <f>+K2497+L2497-M2497</f>
        <v>0.0</v>
      </c>
      <c r="O2497" s="22">
        <f>+N2497</f>
        <v>0.0</v>
      </c>
      <c r="P2497" s="22">
        <f>+N2497-O2497</f>
        <v>0.0</v>
      </c>
      <c r="Q2497" s="57"/>
      <c r="R2497" s="58"/>
    </row>
    <row r="2498" spans="8:8" ht="15.0" customHeight="1">
      <c r="B2498" s="54">
        <v>2642.0</v>
      </c>
      <c r="C2498" s="8"/>
      <c r="D2498" s="8"/>
      <c r="E2498" s="8"/>
      <c r="F2498" s="8"/>
      <c r="G2498" s="8"/>
      <c r="H2498" s="8"/>
      <c r="I2498" s="55"/>
      <c r="J2498" s="78" t="s">
        <v>6413</v>
      </c>
      <c r="K2498" s="22">
        <v>0.0</v>
      </c>
      <c r="L2498" s="22">
        <f>+SUMIF('حركه المخزن الرئيسي اليوميه'!$F:$F,$H:$H,'حركه المخزن الرئيسي اليوميه'!$H:$H)</f>
        <v>0.0</v>
      </c>
      <c r="M2498" s="22">
        <f>+SUMIF('حركه المخزن الرئيسي اليوميه'!$F:$F,$H:$H,'حركه المخزن الرئيسي اليوميه'!$I:$I)</f>
        <v>0.0</v>
      </c>
      <c r="N2498" s="22">
        <f>+K2498+L2498-M2498</f>
        <v>0.0</v>
      </c>
      <c r="O2498" s="22">
        <f>+N2498</f>
        <v>0.0</v>
      </c>
      <c r="P2498" s="22">
        <f>+N2498-O2498</f>
        <v>0.0</v>
      </c>
      <c r="Q2498" s="57"/>
      <c r="R2498" s="58"/>
    </row>
    <row r="2499" spans="8:8" ht="15.0" customHeight="1">
      <c r="B2499" s="54">
        <v>2643.0</v>
      </c>
      <c r="C2499" s="8"/>
      <c r="D2499" s="8"/>
      <c r="E2499" s="8"/>
      <c r="F2499" s="8"/>
      <c r="G2499" s="8"/>
      <c r="H2499" s="8"/>
      <c r="I2499" s="55"/>
      <c r="J2499" s="78" t="s">
        <v>6414</v>
      </c>
      <c r="K2499" s="22">
        <v>0.0</v>
      </c>
      <c r="L2499" s="22">
        <f>+SUMIF('حركه المخزن الرئيسي اليوميه'!$F:$F,$H:$H,'حركه المخزن الرئيسي اليوميه'!$H:$H)</f>
        <v>0.0</v>
      </c>
      <c r="M2499" s="22">
        <f>+SUMIF('حركه المخزن الرئيسي اليوميه'!$F:$F,$H:$H,'حركه المخزن الرئيسي اليوميه'!$I:$I)</f>
        <v>0.0</v>
      </c>
      <c r="N2499" s="22">
        <f>+K2499+L2499-M2499</f>
        <v>0.0</v>
      </c>
      <c r="O2499" s="22">
        <f>+N2499</f>
        <v>0.0</v>
      </c>
      <c r="P2499" s="22">
        <f>+N2499-O2499</f>
        <v>0.0</v>
      </c>
      <c r="Q2499" s="57"/>
      <c r="R2499" s="58"/>
    </row>
    <row r="2500" spans="8:8" ht="15.0" customHeight="1">
      <c r="B2500" s="54">
        <v>2644.0</v>
      </c>
      <c r="C2500" s="8"/>
      <c r="D2500" s="8"/>
      <c r="E2500" s="8"/>
      <c r="F2500" s="8"/>
      <c r="G2500" s="8"/>
      <c r="H2500" s="8"/>
      <c r="I2500" s="55"/>
      <c r="J2500" s="78" t="s">
        <v>6415</v>
      </c>
      <c r="K2500" s="22">
        <v>0.0</v>
      </c>
      <c r="L2500" s="22">
        <f>+SUMIF('حركه المخزن الرئيسي اليوميه'!$F:$F,$H:$H,'حركه المخزن الرئيسي اليوميه'!$H:$H)</f>
        <v>0.0</v>
      </c>
      <c r="M2500" s="22">
        <f>+SUMIF('حركه المخزن الرئيسي اليوميه'!$F:$F,$H:$H,'حركه المخزن الرئيسي اليوميه'!$I:$I)</f>
        <v>0.0</v>
      </c>
      <c r="N2500" s="22">
        <f>+K2500+L2500-M2500</f>
        <v>0.0</v>
      </c>
      <c r="O2500" s="22">
        <f>+N2500</f>
        <v>0.0</v>
      </c>
      <c r="P2500" s="22">
        <f>+N2500-O2500</f>
        <v>0.0</v>
      </c>
      <c r="Q2500" s="57"/>
      <c r="R2500" s="58"/>
    </row>
    <row r="2501" spans="8:8" ht="15.0" customHeight="1">
      <c r="B2501" s="54">
        <v>2645.0</v>
      </c>
      <c r="C2501" s="8"/>
      <c r="D2501" s="8"/>
      <c r="E2501" s="8"/>
      <c r="F2501" s="8"/>
      <c r="G2501" s="8"/>
      <c r="H2501" s="8"/>
      <c r="I2501" s="55"/>
      <c r="J2501" s="78" t="s">
        <v>6416</v>
      </c>
      <c r="K2501" s="22">
        <v>0.0</v>
      </c>
      <c r="L2501" s="22">
        <f>+SUMIF('حركه المخزن الرئيسي اليوميه'!$F:$F,$H:$H,'حركه المخزن الرئيسي اليوميه'!$H:$H)</f>
        <v>0.0</v>
      </c>
      <c r="M2501" s="22">
        <f>+SUMIF('حركه المخزن الرئيسي اليوميه'!$F:$F,$H:$H,'حركه المخزن الرئيسي اليوميه'!$I:$I)</f>
        <v>0.0</v>
      </c>
      <c r="N2501" s="22">
        <f>+K2501+L2501-M2501</f>
        <v>0.0</v>
      </c>
      <c r="O2501" s="22">
        <f>+N2501</f>
        <v>0.0</v>
      </c>
      <c r="P2501" s="22">
        <f>+N2501-O2501</f>
        <v>0.0</v>
      </c>
      <c r="Q2501" s="57"/>
      <c r="R2501" s="58"/>
    </row>
    <row r="2502" spans="8:8" ht="15.0" customHeight="1">
      <c r="B2502" s="54">
        <v>2646.0</v>
      </c>
      <c r="C2502" s="8"/>
      <c r="D2502" s="8"/>
      <c r="E2502" s="8"/>
      <c r="F2502" s="8"/>
      <c r="G2502" s="8"/>
      <c r="H2502" s="8"/>
      <c r="I2502" s="55"/>
      <c r="J2502" s="78" t="s">
        <v>6417</v>
      </c>
      <c r="K2502" s="22">
        <v>0.0</v>
      </c>
      <c r="L2502" s="22">
        <f>+SUMIF('حركه المخزن الرئيسي اليوميه'!$F:$F,$H:$H,'حركه المخزن الرئيسي اليوميه'!$H:$H)</f>
        <v>0.0</v>
      </c>
      <c r="M2502" s="22">
        <f>+SUMIF('حركه المخزن الرئيسي اليوميه'!$F:$F,$H:$H,'حركه المخزن الرئيسي اليوميه'!$I:$I)</f>
        <v>0.0</v>
      </c>
      <c r="N2502" s="22">
        <f>+K2502+L2502-M2502</f>
        <v>0.0</v>
      </c>
      <c r="O2502" s="22">
        <f>+N2502</f>
        <v>0.0</v>
      </c>
      <c r="P2502" s="22">
        <f>+N2502-O2502</f>
        <v>0.0</v>
      </c>
      <c r="Q2502" s="57"/>
      <c r="R2502" s="58"/>
    </row>
    <row r="2503" spans="8:8" ht="15.0" customHeight="1">
      <c r="B2503" s="54">
        <v>2647.0</v>
      </c>
      <c r="C2503" s="8"/>
      <c r="D2503" s="8"/>
      <c r="E2503" s="8"/>
      <c r="F2503" s="8"/>
      <c r="G2503" s="8"/>
      <c r="H2503" s="8"/>
      <c r="I2503" s="55"/>
      <c r="J2503" s="78" t="s">
        <v>6418</v>
      </c>
      <c r="K2503" s="22">
        <v>0.0</v>
      </c>
      <c r="L2503" s="22">
        <f>+SUMIF('حركه المخزن الرئيسي اليوميه'!$F:$F,$H:$H,'حركه المخزن الرئيسي اليوميه'!$H:$H)</f>
        <v>0.0</v>
      </c>
      <c r="M2503" s="22">
        <f>+SUMIF('حركه المخزن الرئيسي اليوميه'!$F:$F,$H:$H,'حركه المخزن الرئيسي اليوميه'!$I:$I)</f>
        <v>0.0</v>
      </c>
      <c r="N2503" s="22">
        <f>+K2503+L2503-M2503</f>
        <v>0.0</v>
      </c>
      <c r="O2503" s="22">
        <f>+N2503</f>
        <v>0.0</v>
      </c>
      <c r="P2503" s="22">
        <f>+N2503-O2503</f>
        <v>0.0</v>
      </c>
      <c r="Q2503" s="57"/>
      <c r="R2503" s="58"/>
    </row>
    <row r="2504" spans="8:8" ht="15.0" customHeight="1">
      <c r="B2504" s="54">
        <v>2648.0</v>
      </c>
      <c r="C2504" s="8"/>
      <c r="D2504" s="8"/>
      <c r="E2504" s="8"/>
      <c r="F2504" s="8"/>
      <c r="G2504" s="8"/>
      <c r="H2504" s="8"/>
      <c r="I2504" s="55"/>
      <c r="J2504" s="78" t="s">
        <v>6419</v>
      </c>
      <c r="K2504" s="22">
        <v>0.0</v>
      </c>
      <c r="L2504" s="22">
        <f>+SUMIF('حركه المخزن الرئيسي اليوميه'!$F:$F,$H:$H,'حركه المخزن الرئيسي اليوميه'!$H:$H)</f>
        <v>0.0</v>
      </c>
      <c r="M2504" s="22">
        <f>+SUMIF('حركه المخزن الرئيسي اليوميه'!$F:$F,$H:$H,'حركه المخزن الرئيسي اليوميه'!$I:$I)</f>
        <v>0.0</v>
      </c>
      <c r="N2504" s="22">
        <f>+K2504+L2504-M2504</f>
        <v>0.0</v>
      </c>
      <c r="O2504" s="22">
        <f>+N2504</f>
        <v>0.0</v>
      </c>
      <c r="P2504" s="22">
        <f>+N2504-O2504</f>
        <v>0.0</v>
      </c>
      <c r="Q2504" s="57"/>
      <c r="R2504" s="58"/>
    </row>
    <row r="2505" spans="8:8" ht="15.0" customHeight="1">
      <c r="B2505" s="54">
        <v>2649.0</v>
      </c>
      <c r="C2505" s="8"/>
      <c r="D2505" s="8"/>
      <c r="E2505" s="8"/>
      <c r="F2505" s="8"/>
      <c r="G2505" s="8"/>
      <c r="H2505" s="8"/>
      <c r="I2505" s="55"/>
      <c r="J2505" s="78" t="s">
        <v>6420</v>
      </c>
      <c r="K2505" s="22">
        <v>0.0</v>
      </c>
      <c r="L2505" s="22">
        <f>+SUMIF('حركه المخزن الرئيسي اليوميه'!$F:$F,$H:$H,'حركه المخزن الرئيسي اليوميه'!$H:$H)</f>
        <v>0.0</v>
      </c>
      <c r="M2505" s="22">
        <f>+SUMIF('حركه المخزن الرئيسي اليوميه'!$F:$F,$H:$H,'حركه المخزن الرئيسي اليوميه'!$I:$I)</f>
        <v>0.0</v>
      </c>
      <c r="N2505" s="22">
        <f>+K2505+L2505-M2505</f>
        <v>0.0</v>
      </c>
      <c r="O2505" s="22">
        <f>+N2505</f>
        <v>0.0</v>
      </c>
      <c r="P2505" s="22">
        <f>+N2505-O2505</f>
        <v>0.0</v>
      </c>
      <c r="Q2505" s="57"/>
      <c r="R2505" s="58"/>
    </row>
    <row r="2506" spans="8:8" ht="15.0" customHeight="1">
      <c r="B2506" s="54">
        <v>2650.0</v>
      </c>
      <c r="C2506" s="8"/>
      <c r="D2506" s="8"/>
      <c r="E2506" s="8"/>
      <c r="F2506" s="8"/>
      <c r="G2506" s="8"/>
      <c r="H2506" s="8"/>
      <c r="I2506" s="55"/>
      <c r="J2506" s="78" t="s">
        <v>6421</v>
      </c>
      <c r="K2506" s="22">
        <v>0.0</v>
      </c>
      <c r="L2506" s="22">
        <f>+SUMIF('حركه المخزن الرئيسي اليوميه'!$F:$F,$H:$H,'حركه المخزن الرئيسي اليوميه'!$H:$H)</f>
        <v>0.0</v>
      </c>
      <c r="M2506" s="22">
        <f>+SUMIF('حركه المخزن الرئيسي اليوميه'!$F:$F,$H:$H,'حركه المخزن الرئيسي اليوميه'!$I:$I)</f>
        <v>0.0</v>
      </c>
      <c r="N2506" s="22">
        <f>+K2506+L2506-M2506</f>
        <v>0.0</v>
      </c>
      <c r="O2506" s="22">
        <f>+N2506</f>
        <v>0.0</v>
      </c>
      <c r="P2506" s="22">
        <f>+N2506-O2506</f>
        <v>0.0</v>
      </c>
      <c r="Q2506" s="57"/>
      <c r="R2506" s="58"/>
    </row>
    <row r="2507" spans="8:8" ht="15.0" customHeight="1">
      <c r="B2507" s="54">
        <v>2651.0</v>
      </c>
      <c r="C2507" s="8"/>
      <c r="D2507" s="8"/>
      <c r="E2507" s="8"/>
      <c r="F2507" s="8"/>
      <c r="G2507" s="8"/>
      <c r="H2507" s="8"/>
      <c r="I2507" s="55"/>
      <c r="J2507" s="78" t="s">
        <v>6422</v>
      </c>
      <c r="K2507" s="22">
        <v>0.0</v>
      </c>
      <c r="L2507" s="22">
        <f>+SUMIF('حركه المخزن الرئيسي اليوميه'!$F:$F,$H:$H,'حركه المخزن الرئيسي اليوميه'!$H:$H)</f>
        <v>0.0</v>
      </c>
      <c r="M2507" s="22">
        <f>+SUMIF('حركه المخزن الرئيسي اليوميه'!$F:$F,$H:$H,'حركه المخزن الرئيسي اليوميه'!$I:$I)</f>
        <v>0.0</v>
      </c>
      <c r="N2507" s="22">
        <f>+K2507+L2507-M2507</f>
        <v>0.0</v>
      </c>
      <c r="O2507" s="22">
        <f>+N2507</f>
        <v>0.0</v>
      </c>
      <c r="P2507" s="22">
        <f>+N2507-O2507</f>
        <v>0.0</v>
      </c>
      <c r="Q2507" s="57"/>
      <c r="R2507" s="58"/>
    </row>
    <row r="2508" spans="8:8" ht="15.0" customHeight="1">
      <c r="B2508" s="54">
        <v>2652.0</v>
      </c>
      <c r="C2508" s="8"/>
      <c r="D2508" s="8"/>
      <c r="E2508" s="8"/>
      <c r="F2508" s="8"/>
      <c r="G2508" s="8"/>
      <c r="H2508" s="8"/>
      <c r="I2508" s="55"/>
      <c r="J2508" s="78" t="s">
        <v>6423</v>
      </c>
      <c r="K2508" s="22">
        <v>0.0</v>
      </c>
      <c r="L2508" s="22">
        <f>+SUMIF('حركه المخزن الرئيسي اليوميه'!$F:$F,$H:$H,'حركه المخزن الرئيسي اليوميه'!$H:$H)</f>
        <v>0.0</v>
      </c>
      <c r="M2508" s="22">
        <f>+SUMIF('حركه المخزن الرئيسي اليوميه'!$F:$F,$H:$H,'حركه المخزن الرئيسي اليوميه'!$I:$I)</f>
        <v>0.0</v>
      </c>
      <c r="N2508" s="22">
        <f>+K2508+L2508-M2508</f>
        <v>0.0</v>
      </c>
      <c r="O2508" s="22">
        <f>+N2508</f>
        <v>0.0</v>
      </c>
      <c r="P2508" s="22">
        <f>+N2508-O2508</f>
        <v>0.0</v>
      </c>
      <c r="Q2508" s="57"/>
      <c r="R2508" s="58"/>
    </row>
    <row r="2509" spans="8:8" ht="15.0" customHeight="1">
      <c r="B2509" s="54">
        <v>2653.0</v>
      </c>
      <c r="C2509" s="8"/>
      <c r="D2509" s="8"/>
      <c r="E2509" s="8"/>
      <c r="F2509" s="8"/>
      <c r="G2509" s="8"/>
      <c r="H2509" s="8"/>
      <c r="I2509" s="55"/>
      <c r="J2509" s="78" t="s">
        <v>6424</v>
      </c>
      <c r="K2509" s="22">
        <v>0.0</v>
      </c>
      <c r="L2509" s="22">
        <f>+SUMIF('حركه المخزن الرئيسي اليوميه'!$F:$F,$H:$H,'حركه المخزن الرئيسي اليوميه'!$H:$H)</f>
        <v>0.0</v>
      </c>
      <c r="M2509" s="22">
        <f>+SUMIF('حركه المخزن الرئيسي اليوميه'!$F:$F,$H:$H,'حركه المخزن الرئيسي اليوميه'!$I:$I)</f>
        <v>0.0</v>
      </c>
      <c r="N2509" s="22">
        <f>+K2509+L2509-M2509</f>
        <v>0.0</v>
      </c>
      <c r="O2509" s="22">
        <f>+N2509</f>
        <v>0.0</v>
      </c>
      <c r="P2509" s="22">
        <f>+N2509-O2509</f>
        <v>0.0</v>
      </c>
      <c r="Q2509" s="57"/>
      <c r="R2509" s="58"/>
    </row>
    <row r="2510" spans="8:8" ht="15.0" customHeight="1">
      <c r="B2510" s="54">
        <v>2654.0</v>
      </c>
      <c r="C2510" s="8"/>
      <c r="D2510" s="8"/>
      <c r="E2510" s="8"/>
      <c r="F2510" s="8"/>
      <c r="G2510" s="8"/>
      <c r="H2510" s="8"/>
      <c r="I2510" s="55"/>
      <c r="J2510" s="78" t="s">
        <v>6425</v>
      </c>
      <c r="K2510" s="22">
        <v>0.0</v>
      </c>
      <c r="L2510" s="22">
        <f>+SUMIF('حركه المخزن الرئيسي اليوميه'!$F:$F,$H:$H,'حركه المخزن الرئيسي اليوميه'!$H:$H)</f>
        <v>0.0</v>
      </c>
      <c r="M2510" s="22">
        <f>+SUMIF('حركه المخزن الرئيسي اليوميه'!$F:$F,$H:$H,'حركه المخزن الرئيسي اليوميه'!$I:$I)</f>
        <v>0.0</v>
      </c>
      <c r="N2510" s="22">
        <f>+K2510+L2510-M2510</f>
        <v>0.0</v>
      </c>
      <c r="O2510" s="22">
        <f>+N2510</f>
        <v>0.0</v>
      </c>
      <c r="P2510" s="22">
        <f>+N2510-O2510</f>
        <v>0.0</v>
      </c>
      <c r="Q2510" s="57"/>
      <c r="R2510" s="58"/>
    </row>
    <row r="2511" spans="8:8" ht="15.0" customHeight="1">
      <c r="B2511" s="54">
        <v>2655.0</v>
      </c>
      <c r="C2511" s="8"/>
      <c r="D2511" s="8"/>
      <c r="E2511" s="8"/>
      <c r="F2511" s="8"/>
      <c r="G2511" s="8"/>
      <c r="H2511" s="8"/>
      <c r="I2511" s="55"/>
      <c r="J2511" s="78" t="s">
        <v>6426</v>
      </c>
      <c r="K2511" s="22">
        <v>0.0</v>
      </c>
      <c r="L2511" s="22">
        <f>+SUMIF('حركه المخزن الرئيسي اليوميه'!$F:$F,$H:$H,'حركه المخزن الرئيسي اليوميه'!$H:$H)</f>
        <v>0.0</v>
      </c>
      <c r="M2511" s="22">
        <f>+SUMIF('حركه المخزن الرئيسي اليوميه'!$F:$F,$H:$H,'حركه المخزن الرئيسي اليوميه'!$I:$I)</f>
        <v>0.0</v>
      </c>
      <c r="N2511" s="22">
        <f>+K2511+L2511-M2511</f>
        <v>0.0</v>
      </c>
      <c r="O2511" s="22">
        <f>+N2511</f>
        <v>0.0</v>
      </c>
      <c r="P2511" s="22">
        <f>+N2511-O2511</f>
        <v>0.0</v>
      </c>
      <c r="Q2511" s="57"/>
      <c r="R2511" s="58"/>
    </row>
    <row r="2512" spans="8:8" ht="15.0" customHeight="1">
      <c r="B2512" s="54">
        <v>2656.0</v>
      </c>
      <c r="C2512" s="8"/>
      <c r="D2512" s="8"/>
      <c r="E2512" s="8"/>
      <c r="F2512" s="8"/>
      <c r="G2512" s="8"/>
      <c r="H2512" s="8"/>
      <c r="I2512" s="55"/>
      <c r="J2512" s="78" t="s">
        <v>6427</v>
      </c>
      <c r="K2512" s="22">
        <v>0.0</v>
      </c>
      <c r="L2512" s="22">
        <f>+SUMIF('حركه المخزن الرئيسي اليوميه'!$F:$F,$H:$H,'حركه المخزن الرئيسي اليوميه'!$H:$H)</f>
        <v>0.0</v>
      </c>
      <c r="M2512" s="22">
        <f>+SUMIF('حركه المخزن الرئيسي اليوميه'!$F:$F,$H:$H,'حركه المخزن الرئيسي اليوميه'!$I:$I)</f>
        <v>0.0</v>
      </c>
      <c r="N2512" s="22">
        <f>+K2512+L2512-M2512</f>
        <v>0.0</v>
      </c>
      <c r="O2512" s="22">
        <f>+N2512</f>
        <v>0.0</v>
      </c>
      <c r="P2512" s="22">
        <f>+N2512-O2512</f>
        <v>0.0</v>
      </c>
      <c r="Q2512" s="57"/>
      <c r="R2512" s="58"/>
    </row>
    <row r="2513" spans="8:8" ht="15.0" customHeight="1">
      <c r="B2513" s="54">
        <v>2657.0</v>
      </c>
      <c r="C2513" s="8"/>
      <c r="D2513" s="8"/>
      <c r="E2513" s="8"/>
      <c r="F2513" s="8"/>
      <c r="G2513" s="8"/>
      <c r="H2513" s="8"/>
      <c r="I2513" s="55"/>
      <c r="J2513" s="78" t="s">
        <v>6428</v>
      </c>
      <c r="K2513" s="22">
        <v>0.0</v>
      </c>
      <c r="L2513" s="22">
        <f>+SUMIF('حركه المخزن الرئيسي اليوميه'!$F:$F,$H:$H,'حركه المخزن الرئيسي اليوميه'!$H:$H)</f>
        <v>0.0</v>
      </c>
      <c r="M2513" s="22">
        <f>+SUMIF('حركه المخزن الرئيسي اليوميه'!$F:$F,$H:$H,'حركه المخزن الرئيسي اليوميه'!$I:$I)</f>
        <v>0.0</v>
      </c>
      <c r="N2513" s="22">
        <f>+K2513+L2513-M2513</f>
        <v>0.0</v>
      </c>
      <c r="O2513" s="22">
        <f>+N2513</f>
        <v>0.0</v>
      </c>
      <c r="P2513" s="22">
        <f>+N2513-O2513</f>
        <v>0.0</v>
      </c>
      <c r="Q2513" s="57"/>
      <c r="R2513" s="58"/>
    </row>
    <row r="2514" spans="8:8" ht="15.0" customHeight="1">
      <c r="B2514" s="54">
        <v>2658.0</v>
      </c>
      <c r="C2514" s="8"/>
      <c r="D2514" s="8"/>
      <c r="E2514" s="8"/>
      <c r="F2514" s="8"/>
      <c r="G2514" s="8"/>
      <c r="H2514" s="8"/>
      <c r="I2514" s="55"/>
      <c r="J2514" s="78" t="s">
        <v>6429</v>
      </c>
      <c r="K2514" s="22">
        <v>0.0</v>
      </c>
      <c r="L2514" s="22">
        <f>+SUMIF('حركه المخزن الرئيسي اليوميه'!$F:$F,$H:$H,'حركه المخزن الرئيسي اليوميه'!$H:$H)</f>
        <v>0.0</v>
      </c>
      <c r="M2514" s="22">
        <f>+SUMIF('حركه المخزن الرئيسي اليوميه'!$F:$F,$H:$H,'حركه المخزن الرئيسي اليوميه'!$I:$I)</f>
        <v>0.0</v>
      </c>
      <c r="N2514" s="22">
        <f>+K2514+L2514-M2514</f>
        <v>0.0</v>
      </c>
      <c r="O2514" s="22">
        <f>+N2514</f>
        <v>0.0</v>
      </c>
      <c r="P2514" s="22">
        <f>+N2514-O2514</f>
        <v>0.0</v>
      </c>
      <c r="Q2514" s="57"/>
      <c r="R2514" s="58"/>
    </row>
    <row r="2515" spans="8:8" ht="15.0" customHeight="1">
      <c r="B2515" s="54">
        <v>2659.0</v>
      </c>
      <c r="C2515" s="8"/>
      <c r="D2515" s="8"/>
      <c r="E2515" s="8"/>
      <c r="F2515" s="8"/>
      <c r="G2515" s="8"/>
      <c r="H2515" s="8"/>
      <c r="I2515" s="55"/>
      <c r="J2515" s="78" t="s">
        <v>6430</v>
      </c>
      <c r="K2515" s="22">
        <v>0.0</v>
      </c>
      <c r="L2515" s="22">
        <f>+SUMIF('حركه المخزن الرئيسي اليوميه'!$F:$F,$H:$H,'حركه المخزن الرئيسي اليوميه'!$H:$H)</f>
        <v>0.0</v>
      </c>
      <c r="M2515" s="22">
        <f>+SUMIF('حركه المخزن الرئيسي اليوميه'!$F:$F,$H:$H,'حركه المخزن الرئيسي اليوميه'!$I:$I)</f>
        <v>0.0</v>
      </c>
      <c r="N2515" s="22">
        <f>+K2515+L2515-M2515</f>
        <v>0.0</v>
      </c>
      <c r="O2515" s="22">
        <f>+N2515</f>
        <v>0.0</v>
      </c>
      <c r="P2515" s="22">
        <f>+N2515-O2515</f>
        <v>0.0</v>
      </c>
      <c r="Q2515" s="57"/>
      <c r="R2515" s="58"/>
    </row>
    <row r="2516" spans="8:8" ht="15.0" customHeight="1">
      <c r="B2516" s="54">
        <v>2660.0</v>
      </c>
      <c r="C2516" s="8"/>
      <c r="D2516" s="8"/>
      <c r="E2516" s="8"/>
      <c r="F2516" s="8"/>
      <c r="G2516" s="8"/>
      <c r="H2516" s="8"/>
      <c r="I2516" s="55"/>
      <c r="J2516" s="78" t="s">
        <v>6431</v>
      </c>
      <c r="K2516" s="22">
        <v>0.0</v>
      </c>
      <c r="L2516" s="22">
        <f>+SUMIF('حركه المخزن الرئيسي اليوميه'!$F:$F,$H:$H,'حركه المخزن الرئيسي اليوميه'!$H:$H)</f>
        <v>0.0</v>
      </c>
      <c r="M2516" s="22">
        <f>+SUMIF('حركه المخزن الرئيسي اليوميه'!$F:$F,$H:$H,'حركه المخزن الرئيسي اليوميه'!$I:$I)</f>
        <v>0.0</v>
      </c>
      <c r="N2516" s="22">
        <f>+K2516+L2516-M2516</f>
        <v>0.0</v>
      </c>
      <c r="O2516" s="22">
        <f>+N2516</f>
        <v>0.0</v>
      </c>
      <c r="P2516" s="22">
        <f>+N2516-O2516</f>
        <v>0.0</v>
      </c>
      <c r="Q2516" s="57"/>
      <c r="R2516" s="58"/>
    </row>
    <row r="2517" spans="8:8" ht="15.0" customHeight="1">
      <c r="B2517" s="54">
        <v>2661.0</v>
      </c>
      <c r="C2517" s="8"/>
      <c r="D2517" s="8"/>
      <c r="E2517" s="8"/>
      <c r="F2517" s="8"/>
      <c r="G2517" s="8"/>
      <c r="H2517" s="8"/>
      <c r="I2517" s="55"/>
      <c r="J2517" s="78" t="s">
        <v>6432</v>
      </c>
      <c r="K2517" s="22">
        <v>0.0</v>
      </c>
      <c r="L2517" s="22">
        <f>+SUMIF('حركه المخزن الرئيسي اليوميه'!$F:$F,$H:$H,'حركه المخزن الرئيسي اليوميه'!$H:$H)</f>
        <v>0.0</v>
      </c>
      <c r="M2517" s="22">
        <f>+SUMIF('حركه المخزن الرئيسي اليوميه'!$F:$F,$H:$H,'حركه المخزن الرئيسي اليوميه'!$I:$I)</f>
        <v>0.0</v>
      </c>
      <c r="N2517" s="22">
        <f>+K2517+L2517-M2517</f>
        <v>0.0</v>
      </c>
      <c r="O2517" s="22">
        <f>+N2517</f>
        <v>0.0</v>
      </c>
      <c r="P2517" s="22">
        <f>+N2517-O2517</f>
        <v>0.0</v>
      </c>
      <c r="Q2517" s="57"/>
      <c r="R2517" s="58"/>
    </row>
    <row r="2518" spans="8:8" ht="15.0" customHeight="1">
      <c r="B2518" s="54">
        <v>2662.0</v>
      </c>
      <c r="C2518" s="8"/>
      <c r="D2518" s="8"/>
      <c r="E2518" s="8"/>
      <c r="F2518" s="8"/>
      <c r="G2518" s="8"/>
      <c r="H2518" s="8"/>
      <c r="I2518" s="55"/>
      <c r="J2518" s="78" t="s">
        <v>6433</v>
      </c>
      <c r="K2518" s="22">
        <v>0.0</v>
      </c>
      <c r="L2518" s="22">
        <f>+SUMIF('حركه المخزن الرئيسي اليوميه'!$F:$F,$H:$H,'حركه المخزن الرئيسي اليوميه'!$H:$H)</f>
        <v>0.0</v>
      </c>
      <c r="M2518" s="22">
        <f>+SUMIF('حركه المخزن الرئيسي اليوميه'!$F:$F,$H:$H,'حركه المخزن الرئيسي اليوميه'!$I:$I)</f>
        <v>0.0</v>
      </c>
      <c r="N2518" s="22">
        <f>+K2518+L2518-M2518</f>
        <v>0.0</v>
      </c>
      <c r="O2518" s="22">
        <f>+N2518</f>
        <v>0.0</v>
      </c>
      <c r="P2518" s="22">
        <f>+N2518-O2518</f>
        <v>0.0</v>
      </c>
      <c r="Q2518" s="57"/>
      <c r="R2518" s="58"/>
    </row>
    <row r="2519" spans="8:8" ht="15.0" customHeight="1">
      <c r="B2519" s="54">
        <v>2663.0</v>
      </c>
      <c r="C2519" s="8"/>
      <c r="D2519" s="8"/>
      <c r="E2519" s="8"/>
      <c r="F2519" s="8"/>
      <c r="G2519" s="8"/>
      <c r="H2519" s="8"/>
      <c r="I2519" s="55"/>
      <c r="J2519" s="78" t="s">
        <v>6434</v>
      </c>
      <c r="K2519" s="22">
        <v>0.0</v>
      </c>
      <c r="L2519" s="22">
        <f>+SUMIF('حركه المخزن الرئيسي اليوميه'!$F:$F,$H:$H,'حركه المخزن الرئيسي اليوميه'!$H:$H)</f>
        <v>0.0</v>
      </c>
      <c r="M2519" s="22">
        <f>+SUMIF('حركه المخزن الرئيسي اليوميه'!$F:$F,$H:$H,'حركه المخزن الرئيسي اليوميه'!$I:$I)</f>
        <v>0.0</v>
      </c>
      <c r="N2519" s="22">
        <f>+K2519+L2519-M2519</f>
        <v>0.0</v>
      </c>
      <c r="O2519" s="22">
        <f>+N2519</f>
        <v>0.0</v>
      </c>
      <c r="P2519" s="22">
        <f>+N2519-O2519</f>
        <v>0.0</v>
      </c>
      <c r="Q2519" s="57"/>
      <c r="R2519" s="58"/>
    </row>
    <row r="2520" spans="8:8" ht="15.0" customHeight="1">
      <c r="B2520" s="54">
        <v>2664.0</v>
      </c>
      <c r="C2520" s="8"/>
      <c r="D2520" s="8"/>
      <c r="E2520" s="8"/>
      <c r="F2520" s="8"/>
      <c r="G2520" s="8"/>
      <c r="H2520" s="8"/>
      <c r="I2520" s="55"/>
      <c r="J2520" s="78" t="s">
        <v>6435</v>
      </c>
      <c r="K2520" s="22">
        <v>0.0</v>
      </c>
      <c r="L2520" s="22">
        <f>+SUMIF('حركه المخزن الرئيسي اليوميه'!$F:$F,$H:$H,'حركه المخزن الرئيسي اليوميه'!$H:$H)</f>
        <v>0.0</v>
      </c>
      <c r="M2520" s="22">
        <f>+SUMIF('حركه المخزن الرئيسي اليوميه'!$F:$F,$H:$H,'حركه المخزن الرئيسي اليوميه'!$I:$I)</f>
        <v>0.0</v>
      </c>
      <c r="N2520" s="22">
        <f>+K2520+L2520-M2520</f>
        <v>0.0</v>
      </c>
      <c r="O2520" s="22">
        <f>+N2520</f>
        <v>0.0</v>
      </c>
      <c r="P2520" s="22">
        <f>+N2520-O2520</f>
        <v>0.0</v>
      </c>
      <c r="Q2520" s="57"/>
      <c r="R2520" s="58"/>
    </row>
    <row r="2521" spans="8:8" ht="15.0" customHeight="1">
      <c r="B2521" s="54">
        <v>2665.0</v>
      </c>
      <c r="C2521" s="8"/>
      <c r="D2521" s="8"/>
      <c r="E2521" s="8"/>
      <c r="F2521" s="8"/>
      <c r="G2521" s="8"/>
      <c r="H2521" s="8"/>
      <c r="I2521" s="55"/>
      <c r="J2521" s="78" t="s">
        <v>6436</v>
      </c>
      <c r="K2521" s="22">
        <v>0.0</v>
      </c>
      <c r="L2521" s="22">
        <f>+SUMIF('حركه المخزن الرئيسي اليوميه'!$F:$F,$H:$H,'حركه المخزن الرئيسي اليوميه'!$H:$H)</f>
        <v>0.0</v>
      </c>
      <c r="M2521" s="22">
        <f>+SUMIF('حركه المخزن الرئيسي اليوميه'!$F:$F,$H:$H,'حركه المخزن الرئيسي اليوميه'!$I:$I)</f>
        <v>0.0</v>
      </c>
      <c r="N2521" s="22">
        <f>+K2521+L2521-M2521</f>
        <v>0.0</v>
      </c>
      <c r="O2521" s="22">
        <f>+N2521</f>
        <v>0.0</v>
      </c>
      <c r="P2521" s="22">
        <f>+N2521-O2521</f>
        <v>0.0</v>
      </c>
      <c r="Q2521" s="57"/>
      <c r="R2521" s="58"/>
    </row>
    <row r="2522" spans="8:8" ht="15.0" customHeight="1">
      <c r="B2522" s="54">
        <v>2666.0</v>
      </c>
      <c r="C2522" s="8"/>
      <c r="D2522" s="8"/>
      <c r="E2522" s="8"/>
      <c r="F2522" s="8"/>
      <c r="G2522" s="8"/>
      <c r="H2522" s="8"/>
      <c r="I2522" s="55"/>
      <c r="J2522" s="78" t="s">
        <v>6437</v>
      </c>
      <c r="K2522" s="22">
        <v>0.0</v>
      </c>
      <c r="L2522" s="22">
        <f>+SUMIF('حركه المخزن الرئيسي اليوميه'!$F:$F,$H:$H,'حركه المخزن الرئيسي اليوميه'!$H:$H)</f>
        <v>0.0</v>
      </c>
      <c r="M2522" s="22">
        <f>+SUMIF('حركه المخزن الرئيسي اليوميه'!$F:$F,$H:$H,'حركه المخزن الرئيسي اليوميه'!$I:$I)</f>
        <v>0.0</v>
      </c>
      <c r="N2522" s="22">
        <f>+K2522+L2522-M2522</f>
        <v>0.0</v>
      </c>
      <c r="O2522" s="22">
        <f>+N2522</f>
        <v>0.0</v>
      </c>
      <c r="P2522" s="22">
        <f>+N2522-O2522</f>
        <v>0.0</v>
      </c>
      <c r="Q2522" s="57"/>
      <c r="R2522" s="58"/>
    </row>
    <row r="2523" spans="8:8" ht="15.0" customHeight="1">
      <c r="B2523" s="54">
        <v>2667.0</v>
      </c>
      <c r="C2523" s="8"/>
      <c r="D2523" s="8"/>
      <c r="E2523" s="8"/>
      <c r="F2523" s="8"/>
      <c r="G2523" s="8"/>
      <c r="H2523" s="8"/>
      <c r="I2523" s="55"/>
      <c r="J2523" s="78" t="s">
        <v>6438</v>
      </c>
      <c r="K2523" s="22">
        <v>0.0</v>
      </c>
      <c r="L2523" s="22">
        <f>+SUMIF('حركه المخزن الرئيسي اليوميه'!$F:$F,$H:$H,'حركه المخزن الرئيسي اليوميه'!$H:$H)</f>
        <v>0.0</v>
      </c>
      <c r="M2523" s="22">
        <f>+SUMIF('حركه المخزن الرئيسي اليوميه'!$F:$F,$H:$H,'حركه المخزن الرئيسي اليوميه'!$I:$I)</f>
        <v>0.0</v>
      </c>
      <c r="N2523" s="22">
        <f>+K2523+L2523-M2523</f>
        <v>0.0</v>
      </c>
      <c r="O2523" s="22">
        <f>+N2523</f>
        <v>0.0</v>
      </c>
      <c r="P2523" s="22">
        <f>+N2523-O2523</f>
        <v>0.0</v>
      </c>
      <c r="Q2523" s="57"/>
      <c r="R2523" s="58"/>
    </row>
    <row r="2524" spans="8:8" ht="15.0" customHeight="1">
      <c r="B2524" s="54">
        <v>2668.0</v>
      </c>
      <c r="C2524" s="8"/>
      <c r="D2524" s="8"/>
      <c r="E2524" s="8"/>
      <c r="F2524" s="8"/>
      <c r="G2524" s="8"/>
      <c r="H2524" s="8"/>
      <c r="I2524" s="55"/>
      <c r="J2524" s="78" t="s">
        <v>6439</v>
      </c>
      <c r="K2524" s="22">
        <v>0.0</v>
      </c>
      <c r="L2524" s="22">
        <f>+SUMIF('حركه المخزن الرئيسي اليوميه'!$F:$F,$H:$H,'حركه المخزن الرئيسي اليوميه'!$H:$H)</f>
        <v>0.0</v>
      </c>
      <c r="M2524" s="22">
        <f>+SUMIF('حركه المخزن الرئيسي اليوميه'!$F:$F,$H:$H,'حركه المخزن الرئيسي اليوميه'!$I:$I)</f>
        <v>0.0</v>
      </c>
      <c r="N2524" s="22">
        <f>+K2524+L2524-M2524</f>
        <v>0.0</v>
      </c>
      <c r="O2524" s="22">
        <f>+N2524</f>
        <v>0.0</v>
      </c>
      <c r="P2524" s="22">
        <f>+N2524-O2524</f>
        <v>0.0</v>
      </c>
      <c r="Q2524" s="57"/>
      <c r="R2524" s="58"/>
    </row>
    <row r="2525" spans="8:8" ht="15.0" customHeight="1">
      <c r="B2525" s="54">
        <v>2669.0</v>
      </c>
      <c r="C2525" s="8"/>
      <c r="D2525" s="8"/>
      <c r="E2525" s="8"/>
      <c r="F2525" s="8"/>
      <c r="G2525" s="8"/>
      <c r="H2525" s="8"/>
      <c r="I2525" s="55"/>
      <c r="J2525" s="78" t="s">
        <v>6440</v>
      </c>
      <c r="K2525" s="22">
        <v>0.0</v>
      </c>
      <c r="L2525" s="22">
        <f>+SUMIF('حركه المخزن الرئيسي اليوميه'!$F:$F,$H:$H,'حركه المخزن الرئيسي اليوميه'!$H:$H)</f>
        <v>0.0</v>
      </c>
      <c r="M2525" s="22">
        <f>+SUMIF('حركه المخزن الرئيسي اليوميه'!$F:$F,$H:$H,'حركه المخزن الرئيسي اليوميه'!$I:$I)</f>
        <v>0.0</v>
      </c>
      <c r="N2525" s="22">
        <f>+K2525+L2525-M2525</f>
        <v>0.0</v>
      </c>
      <c r="O2525" s="22">
        <f>+N2525</f>
        <v>0.0</v>
      </c>
      <c r="P2525" s="22">
        <f>+N2525-O2525</f>
        <v>0.0</v>
      </c>
      <c r="Q2525" s="57"/>
      <c r="R2525" s="58"/>
    </row>
    <row r="2526" spans="8:8" ht="15.0" customHeight="1">
      <c r="B2526" s="54">
        <v>2670.0</v>
      </c>
      <c r="C2526" s="8"/>
      <c r="D2526" s="8"/>
      <c r="E2526" s="8"/>
      <c r="F2526" s="8"/>
      <c r="G2526" s="8"/>
      <c r="H2526" s="8"/>
      <c r="I2526" s="55"/>
      <c r="J2526" s="78" t="s">
        <v>6441</v>
      </c>
      <c r="K2526" s="22">
        <v>0.0</v>
      </c>
      <c r="L2526" s="22">
        <f>+SUMIF('حركه المخزن الرئيسي اليوميه'!$F:$F,$H:$H,'حركه المخزن الرئيسي اليوميه'!$H:$H)</f>
        <v>0.0</v>
      </c>
      <c r="M2526" s="22">
        <f>+SUMIF('حركه المخزن الرئيسي اليوميه'!$F:$F,$H:$H,'حركه المخزن الرئيسي اليوميه'!$I:$I)</f>
        <v>0.0</v>
      </c>
      <c r="N2526" s="22">
        <f>+K2526+L2526-M2526</f>
        <v>0.0</v>
      </c>
      <c r="O2526" s="22">
        <f>+N2526</f>
        <v>0.0</v>
      </c>
      <c r="P2526" s="22">
        <f>+N2526-O2526</f>
        <v>0.0</v>
      </c>
      <c r="Q2526" s="57"/>
      <c r="R2526" s="58"/>
    </row>
    <row r="2527" spans="8:8" ht="15.0" customHeight="1">
      <c r="B2527" s="54">
        <v>2671.0</v>
      </c>
      <c r="C2527" s="8"/>
      <c r="D2527" s="8"/>
      <c r="E2527" s="8"/>
      <c r="F2527" s="8"/>
      <c r="G2527" s="8"/>
      <c r="H2527" s="8"/>
      <c r="I2527" s="55"/>
      <c r="J2527" s="78" t="s">
        <v>6442</v>
      </c>
      <c r="K2527" s="22">
        <v>0.0</v>
      </c>
      <c r="L2527" s="22">
        <f>+SUMIF('حركه المخزن الرئيسي اليوميه'!$F:$F,$H:$H,'حركه المخزن الرئيسي اليوميه'!$H:$H)</f>
        <v>0.0</v>
      </c>
      <c r="M2527" s="22">
        <f>+SUMIF('حركه المخزن الرئيسي اليوميه'!$F:$F,$H:$H,'حركه المخزن الرئيسي اليوميه'!$I:$I)</f>
        <v>0.0</v>
      </c>
      <c r="N2527" s="22">
        <f>+K2527+L2527-M2527</f>
        <v>0.0</v>
      </c>
      <c r="O2527" s="22">
        <f>+N2527</f>
        <v>0.0</v>
      </c>
      <c r="P2527" s="22">
        <f>+N2527-O2527</f>
        <v>0.0</v>
      </c>
      <c r="Q2527" s="57"/>
      <c r="R2527" s="58"/>
    </row>
    <row r="2528" spans="8:8" ht="15.0" customHeight="1">
      <c r="B2528" s="54">
        <v>2672.0</v>
      </c>
      <c r="C2528" s="8"/>
      <c r="D2528" s="8"/>
      <c r="E2528" s="8"/>
      <c r="F2528" s="8"/>
      <c r="G2528" s="8"/>
      <c r="H2528" s="8"/>
      <c r="I2528" s="55"/>
      <c r="J2528" s="78" t="s">
        <v>6443</v>
      </c>
      <c r="K2528" s="22">
        <v>0.0</v>
      </c>
      <c r="L2528" s="22">
        <f>+SUMIF('حركه المخزن الرئيسي اليوميه'!$F:$F,$H:$H,'حركه المخزن الرئيسي اليوميه'!$H:$H)</f>
        <v>0.0</v>
      </c>
      <c r="M2528" s="22">
        <f>+SUMIF('حركه المخزن الرئيسي اليوميه'!$F:$F,$H:$H,'حركه المخزن الرئيسي اليوميه'!$I:$I)</f>
        <v>0.0</v>
      </c>
      <c r="N2528" s="22">
        <f>+K2528+L2528-M2528</f>
        <v>0.0</v>
      </c>
      <c r="O2528" s="22">
        <f>+N2528</f>
        <v>0.0</v>
      </c>
      <c r="P2528" s="22">
        <f>+N2528-O2528</f>
        <v>0.0</v>
      </c>
      <c r="Q2528" s="57"/>
      <c r="R2528" s="58"/>
    </row>
    <row r="2529" spans="8:8" ht="15.0" customHeight="1">
      <c r="B2529" s="54">
        <v>2673.0</v>
      </c>
      <c r="C2529" s="8"/>
      <c r="D2529" s="8"/>
      <c r="E2529" s="8"/>
      <c r="F2529" s="8"/>
      <c r="G2529" s="8"/>
      <c r="H2529" s="8"/>
      <c r="I2529" s="55"/>
      <c r="J2529" s="78" t="s">
        <v>6444</v>
      </c>
      <c r="K2529" s="22">
        <v>0.0</v>
      </c>
      <c r="L2529" s="22">
        <f>+SUMIF('حركه المخزن الرئيسي اليوميه'!$F:$F,$H:$H,'حركه المخزن الرئيسي اليوميه'!$H:$H)</f>
        <v>0.0</v>
      </c>
      <c r="M2529" s="22">
        <f>+SUMIF('حركه المخزن الرئيسي اليوميه'!$F:$F,$H:$H,'حركه المخزن الرئيسي اليوميه'!$I:$I)</f>
        <v>0.0</v>
      </c>
      <c r="N2529" s="22">
        <f>+K2529+L2529-M2529</f>
        <v>0.0</v>
      </c>
      <c r="O2529" s="22">
        <f>+N2529</f>
        <v>0.0</v>
      </c>
      <c r="P2529" s="22">
        <f>+N2529-O2529</f>
        <v>0.0</v>
      </c>
      <c r="Q2529" s="57"/>
      <c r="R2529" s="58"/>
    </row>
    <row r="2530" spans="8:8" ht="15.0" customHeight="1">
      <c r="B2530" s="54">
        <v>2674.0</v>
      </c>
      <c r="C2530" s="8"/>
      <c r="D2530" s="8"/>
      <c r="E2530" s="8"/>
      <c r="F2530" s="8"/>
      <c r="G2530" s="8"/>
      <c r="H2530" s="8"/>
      <c r="I2530" s="55"/>
      <c r="J2530" s="78" t="s">
        <v>6445</v>
      </c>
      <c r="K2530" s="22">
        <v>0.0</v>
      </c>
      <c r="L2530" s="22">
        <f>+SUMIF('حركه المخزن الرئيسي اليوميه'!$F:$F,$H:$H,'حركه المخزن الرئيسي اليوميه'!$H:$H)</f>
        <v>0.0</v>
      </c>
      <c r="M2530" s="22">
        <f>+SUMIF('حركه المخزن الرئيسي اليوميه'!$F:$F,$H:$H,'حركه المخزن الرئيسي اليوميه'!$I:$I)</f>
        <v>0.0</v>
      </c>
      <c r="N2530" s="22">
        <f>+K2530+L2530-M2530</f>
        <v>0.0</v>
      </c>
      <c r="O2530" s="22">
        <f>+N2530</f>
        <v>0.0</v>
      </c>
      <c r="P2530" s="22">
        <f>+N2530-O2530</f>
        <v>0.0</v>
      </c>
      <c r="Q2530" s="57"/>
      <c r="R2530" s="58"/>
    </row>
    <row r="2531" spans="8:8" ht="15.0" customHeight="1">
      <c r="B2531" s="54">
        <v>2675.0</v>
      </c>
      <c r="C2531" s="8"/>
      <c r="D2531" s="8"/>
      <c r="E2531" s="8"/>
      <c r="F2531" s="8"/>
      <c r="G2531" s="8"/>
      <c r="H2531" s="8"/>
      <c r="I2531" s="55"/>
      <c r="J2531" s="78" t="s">
        <v>6446</v>
      </c>
      <c r="K2531" s="22">
        <v>0.0</v>
      </c>
      <c r="L2531" s="22">
        <f>+SUMIF('حركه المخزن الرئيسي اليوميه'!$F:$F,$H:$H,'حركه المخزن الرئيسي اليوميه'!$H:$H)</f>
        <v>0.0</v>
      </c>
      <c r="M2531" s="22">
        <f>+SUMIF('حركه المخزن الرئيسي اليوميه'!$F:$F,$H:$H,'حركه المخزن الرئيسي اليوميه'!$I:$I)</f>
        <v>0.0</v>
      </c>
      <c r="N2531" s="22">
        <f>+K2531+L2531-M2531</f>
        <v>0.0</v>
      </c>
      <c r="O2531" s="22">
        <f>+N2531</f>
        <v>0.0</v>
      </c>
      <c r="P2531" s="22">
        <f>+N2531-O2531</f>
        <v>0.0</v>
      </c>
      <c r="Q2531" s="57"/>
      <c r="R2531" s="58"/>
    </row>
    <row r="2532" spans="8:8" ht="15.0" customHeight="1">
      <c r="B2532" s="54">
        <v>2676.0</v>
      </c>
      <c r="C2532" s="8"/>
      <c r="D2532" s="8"/>
      <c r="E2532" s="8"/>
      <c r="F2532" s="8"/>
      <c r="G2532" s="8"/>
      <c r="H2532" s="8"/>
      <c r="I2532" s="55"/>
      <c r="J2532" s="78" t="s">
        <v>6447</v>
      </c>
      <c r="K2532" s="22">
        <v>0.0</v>
      </c>
      <c r="L2532" s="22">
        <f>+SUMIF('حركه المخزن الرئيسي اليوميه'!$F:$F,$H:$H,'حركه المخزن الرئيسي اليوميه'!$H:$H)</f>
        <v>0.0</v>
      </c>
      <c r="M2532" s="22">
        <f>+SUMIF('حركه المخزن الرئيسي اليوميه'!$F:$F,$H:$H,'حركه المخزن الرئيسي اليوميه'!$I:$I)</f>
        <v>0.0</v>
      </c>
      <c r="N2532" s="22">
        <f>+K2532+L2532-M2532</f>
        <v>0.0</v>
      </c>
      <c r="O2532" s="22">
        <f>+N2532</f>
        <v>0.0</v>
      </c>
      <c r="P2532" s="22">
        <f>+N2532-O2532</f>
        <v>0.0</v>
      </c>
      <c r="Q2532" s="57"/>
      <c r="R2532" s="58"/>
    </row>
    <row r="2533" spans="8:8" ht="15.0" customHeight="1">
      <c r="B2533" s="54">
        <v>2677.0</v>
      </c>
      <c r="C2533" s="8"/>
      <c r="D2533" s="8"/>
      <c r="E2533" s="8"/>
      <c r="F2533" s="8"/>
      <c r="G2533" s="8"/>
      <c r="H2533" s="8"/>
      <c r="I2533" s="55"/>
      <c r="J2533" s="78" t="s">
        <v>6448</v>
      </c>
      <c r="K2533" s="22">
        <v>0.0</v>
      </c>
      <c r="L2533" s="22">
        <f>+SUMIF('حركه المخزن الرئيسي اليوميه'!$F:$F,$H:$H,'حركه المخزن الرئيسي اليوميه'!$H:$H)</f>
        <v>0.0</v>
      </c>
      <c r="M2533" s="22">
        <f>+SUMIF('حركه المخزن الرئيسي اليوميه'!$F:$F,$H:$H,'حركه المخزن الرئيسي اليوميه'!$I:$I)</f>
        <v>0.0</v>
      </c>
      <c r="N2533" s="22">
        <f>+K2533+L2533-M2533</f>
        <v>0.0</v>
      </c>
      <c r="O2533" s="22">
        <f>+N2533</f>
        <v>0.0</v>
      </c>
      <c r="P2533" s="22">
        <f>+N2533-O2533</f>
        <v>0.0</v>
      </c>
      <c r="Q2533" s="57"/>
      <c r="R2533" s="58"/>
    </row>
    <row r="2534" spans="8:8" ht="15.0" customHeight="1">
      <c r="B2534" s="54">
        <v>2678.0</v>
      </c>
      <c r="C2534" s="8"/>
      <c r="D2534" s="8"/>
      <c r="E2534" s="8"/>
      <c r="F2534" s="8"/>
      <c r="G2534" s="8"/>
      <c r="H2534" s="8"/>
      <c r="I2534" s="55"/>
      <c r="J2534" s="78" t="s">
        <v>6449</v>
      </c>
      <c r="K2534" s="22">
        <v>0.0</v>
      </c>
      <c r="L2534" s="22">
        <f>+SUMIF('حركه المخزن الرئيسي اليوميه'!$F:$F,$H:$H,'حركه المخزن الرئيسي اليوميه'!$H:$H)</f>
        <v>0.0</v>
      </c>
      <c r="M2534" s="22">
        <f>+SUMIF('حركه المخزن الرئيسي اليوميه'!$F:$F,$H:$H,'حركه المخزن الرئيسي اليوميه'!$I:$I)</f>
        <v>0.0</v>
      </c>
      <c r="N2534" s="22">
        <f>+K2534+L2534-M2534</f>
        <v>0.0</v>
      </c>
      <c r="O2534" s="22">
        <f>+N2534</f>
        <v>0.0</v>
      </c>
      <c r="P2534" s="22">
        <f>+N2534-O2534</f>
        <v>0.0</v>
      </c>
      <c r="Q2534" s="57"/>
      <c r="R2534" s="58"/>
    </row>
    <row r="2535" spans="8:8" ht="15.0" customHeight="1">
      <c r="B2535" s="54">
        <v>2679.0</v>
      </c>
      <c r="C2535" s="8"/>
      <c r="D2535" s="8"/>
      <c r="E2535" s="8"/>
      <c r="F2535" s="8"/>
      <c r="G2535" s="8"/>
      <c r="H2535" s="8"/>
      <c r="I2535" s="55"/>
      <c r="J2535" s="78" t="s">
        <v>6450</v>
      </c>
      <c r="K2535" s="22">
        <v>0.0</v>
      </c>
      <c r="L2535" s="22">
        <f>+SUMIF('حركه المخزن الرئيسي اليوميه'!$F:$F,$H:$H,'حركه المخزن الرئيسي اليوميه'!$H:$H)</f>
        <v>0.0</v>
      </c>
      <c r="M2535" s="22">
        <f>+SUMIF('حركه المخزن الرئيسي اليوميه'!$F:$F,$H:$H,'حركه المخزن الرئيسي اليوميه'!$I:$I)</f>
        <v>0.0</v>
      </c>
      <c r="N2535" s="22">
        <f>+K2535+L2535-M2535</f>
        <v>0.0</v>
      </c>
      <c r="O2535" s="22">
        <f>+N2535</f>
        <v>0.0</v>
      </c>
      <c r="P2535" s="22">
        <f>+N2535-O2535</f>
        <v>0.0</v>
      </c>
      <c r="Q2535" s="57"/>
      <c r="R2535" s="58"/>
    </row>
    <row r="2536" spans="8:8" ht="15.0" customHeight="1">
      <c r="B2536" s="54">
        <v>2680.0</v>
      </c>
      <c r="C2536" s="8"/>
      <c r="D2536" s="8"/>
      <c r="E2536" s="8"/>
      <c r="F2536" s="8"/>
      <c r="G2536" s="8"/>
      <c r="H2536" s="8"/>
      <c r="I2536" s="55"/>
      <c r="J2536" s="78" t="s">
        <v>6451</v>
      </c>
      <c r="K2536" s="22">
        <v>0.0</v>
      </c>
      <c r="L2536" s="22">
        <f>+SUMIF('حركه المخزن الرئيسي اليوميه'!$F:$F,$H:$H,'حركه المخزن الرئيسي اليوميه'!$H:$H)</f>
        <v>0.0</v>
      </c>
      <c r="M2536" s="22">
        <f>+SUMIF('حركه المخزن الرئيسي اليوميه'!$F:$F,$H:$H,'حركه المخزن الرئيسي اليوميه'!$I:$I)</f>
        <v>0.0</v>
      </c>
      <c r="N2536" s="22">
        <f>+K2536+L2536-M2536</f>
        <v>0.0</v>
      </c>
      <c r="O2536" s="22">
        <f>+N2536</f>
        <v>0.0</v>
      </c>
      <c r="P2536" s="22">
        <f>+N2536-O2536</f>
        <v>0.0</v>
      </c>
      <c r="Q2536" s="57"/>
      <c r="R2536" s="58"/>
    </row>
    <row r="2537" spans="8:8" ht="15.0" customHeight="1">
      <c r="B2537" s="54">
        <v>2681.0</v>
      </c>
      <c r="C2537" s="8"/>
      <c r="D2537" s="8"/>
      <c r="E2537" s="8"/>
      <c r="F2537" s="8"/>
      <c r="G2537" s="8"/>
      <c r="H2537" s="8"/>
      <c r="I2537" s="55"/>
      <c r="J2537" s="78" t="s">
        <v>6452</v>
      </c>
      <c r="K2537" s="22">
        <v>0.0</v>
      </c>
      <c r="L2537" s="22">
        <f>+SUMIF('حركه المخزن الرئيسي اليوميه'!$F:$F,$H:$H,'حركه المخزن الرئيسي اليوميه'!$H:$H)</f>
        <v>0.0</v>
      </c>
      <c r="M2537" s="22">
        <f>+SUMIF('حركه المخزن الرئيسي اليوميه'!$F:$F,$H:$H,'حركه المخزن الرئيسي اليوميه'!$I:$I)</f>
        <v>0.0</v>
      </c>
      <c r="N2537" s="22">
        <f>+K2537+L2537-M2537</f>
        <v>0.0</v>
      </c>
      <c r="O2537" s="22">
        <f>+N2537</f>
        <v>0.0</v>
      </c>
      <c r="P2537" s="22">
        <f>+N2537-O2537</f>
        <v>0.0</v>
      </c>
      <c r="Q2537" s="57"/>
      <c r="R2537" s="58"/>
    </row>
    <row r="2538" spans="8:8" ht="15.0" customHeight="1">
      <c r="B2538" s="54">
        <v>2682.0</v>
      </c>
      <c r="C2538" s="8"/>
      <c r="D2538" s="8"/>
      <c r="E2538" s="8"/>
      <c r="F2538" s="8"/>
      <c r="G2538" s="8"/>
      <c r="H2538" s="8"/>
      <c r="I2538" s="55"/>
      <c r="J2538" s="78" t="s">
        <v>6453</v>
      </c>
      <c r="K2538" s="22">
        <v>0.0</v>
      </c>
      <c r="L2538" s="22">
        <f>+SUMIF('حركه المخزن الرئيسي اليوميه'!$F:$F,$H:$H,'حركه المخزن الرئيسي اليوميه'!$H:$H)</f>
        <v>0.0</v>
      </c>
      <c r="M2538" s="22">
        <f>+SUMIF('حركه المخزن الرئيسي اليوميه'!$F:$F,$H:$H,'حركه المخزن الرئيسي اليوميه'!$I:$I)</f>
        <v>0.0</v>
      </c>
      <c r="N2538" s="22">
        <f>+K2538+L2538-M2538</f>
        <v>0.0</v>
      </c>
      <c r="O2538" s="22">
        <f>+N2538</f>
        <v>0.0</v>
      </c>
      <c r="P2538" s="22">
        <f>+N2538-O2538</f>
        <v>0.0</v>
      </c>
      <c r="Q2538" s="57"/>
      <c r="R2538" s="58"/>
    </row>
    <row r="2539" spans="8:8" ht="15.0" customHeight="1">
      <c r="B2539" s="54">
        <v>2683.0</v>
      </c>
      <c r="C2539" s="8"/>
      <c r="D2539" s="8"/>
      <c r="E2539" s="8"/>
      <c r="F2539" s="8"/>
      <c r="G2539" s="8"/>
      <c r="H2539" s="8"/>
      <c r="I2539" s="55"/>
      <c r="J2539" s="78" t="s">
        <v>6454</v>
      </c>
      <c r="K2539" s="22">
        <v>0.0</v>
      </c>
      <c r="L2539" s="22">
        <f>+SUMIF('حركه المخزن الرئيسي اليوميه'!$F:$F,$H:$H,'حركه المخزن الرئيسي اليوميه'!$H:$H)</f>
        <v>0.0</v>
      </c>
      <c r="M2539" s="22">
        <f>+SUMIF('حركه المخزن الرئيسي اليوميه'!$F:$F,$H:$H,'حركه المخزن الرئيسي اليوميه'!$I:$I)</f>
        <v>0.0</v>
      </c>
      <c r="N2539" s="22">
        <f>+K2539+L2539-M2539</f>
        <v>0.0</v>
      </c>
      <c r="O2539" s="22">
        <f>+N2539</f>
        <v>0.0</v>
      </c>
      <c r="P2539" s="22">
        <f>+N2539-O2539</f>
        <v>0.0</v>
      </c>
      <c r="Q2539" s="57"/>
      <c r="R2539" s="58"/>
    </row>
    <row r="2540" spans="8:8" ht="15.0" customHeight="1">
      <c r="B2540" s="54">
        <v>2684.0</v>
      </c>
      <c r="C2540" s="8"/>
      <c r="D2540" s="8"/>
      <c r="E2540" s="8"/>
      <c r="F2540" s="8"/>
      <c r="G2540" s="8"/>
      <c r="H2540" s="8"/>
      <c r="I2540" s="55"/>
      <c r="J2540" s="78" t="s">
        <v>6455</v>
      </c>
      <c r="K2540" s="22">
        <v>0.0</v>
      </c>
      <c r="L2540" s="22">
        <f>+SUMIF('حركه المخزن الرئيسي اليوميه'!$F:$F,$H:$H,'حركه المخزن الرئيسي اليوميه'!$H:$H)</f>
        <v>0.0</v>
      </c>
      <c r="M2540" s="22">
        <f>+SUMIF('حركه المخزن الرئيسي اليوميه'!$F:$F,$H:$H,'حركه المخزن الرئيسي اليوميه'!$I:$I)</f>
        <v>0.0</v>
      </c>
      <c r="N2540" s="22">
        <f>+K2540+L2540-M2540</f>
        <v>0.0</v>
      </c>
      <c r="O2540" s="22">
        <f>+N2540</f>
        <v>0.0</v>
      </c>
      <c r="P2540" s="22">
        <f>+N2540-O2540</f>
        <v>0.0</v>
      </c>
      <c r="Q2540" s="57"/>
      <c r="R2540" s="58"/>
    </row>
    <row r="2541" spans="8:8" ht="15.0" customHeight="1">
      <c r="B2541" s="54">
        <v>2685.0</v>
      </c>
      <c r="C2541" s="8"/>
      <c r="D2541" s="8"/>
      <c r="E2541" s="8"/>
      <c r="F2541" s="8"/>
      <c r="G2541" s="8"/>
      <c r="H2541" s="8"/>
      <c r="I2541" s="55"/>
      <c r="J2541" s="78" t="s">
        <v>6456</v>
      </c>
      <c r="K2541" s="22">
        <v>0.0</v>
      </c>
      <c r="L2541" s="22">
        <f>+SUMIF('حركه المخزن الرئيسي اليوميه'!$F:$F,$H:$H,'حركه المخزن الرئيسي اليوميه'!$H:$H)</f>
        <v>0.0</v>
      </c>
      <c r="M2541" s="22">
        <f>+SUMIF('حركه المخزن الرئيسي اليوميه'!$F:$F,$H:$H,'حركه المخزن الرئيسي اليوميه'!$I:$I)</f>
        <v>0.0</v>
      </c>
      <c r="N2541" s="22">
        <f>+K2541+L2541-M2541</f>
        <v>0.0</v>
      </c>
      <c r="O2541" s="22">
        <f>+N2541</f>
        <v>0.0</v>
      </c>
      <c r="P2541" s="22">
        <f>+N2541-O2541</f>
        <v>0.0</v>
      </c>
      <c r="Q2541" s="57"/>
      <c r="R2541" s="58"/>
    </row>
    <row r="2542" spans="8:8" ht="15.0" customHeight="1">
      <c r="B2542" s="54">
        <v>2686.0</v>
      </c>
      <c r="C2542" s="8"/>
      <c r="D2542" s="8"/>
      <c r="E2542" s="8"/>
      <c r="F2542" s="8"/>
      <c r="G2542" s="8"/>
      <c r="H2542" s="8"/>
      <c r="I2542" s="55"/>
      <c r="J2542" s="78" t="s">
        <v>6457</v>
      </c>
      <c r="K2542" s="22">
        <v>0.0</v>
      </c>
      <c r="L2542" s="22">
        <f>+SUMIF('حركه المخزن الرئيسي اليوميه'!$F:$F,$H:$H,'حركه المخزن الرئيسي اليوميه'!$H:$H)</f>
        <v>0.0</v>
      </c>
      <c r="M2542" s="22">
        <f>+SUMIF('حركه المخزن الرئيسي اليوميه'!$F:$F,$H:$H,'حركه المخزن الرئيسي اليوميه'!$I:$I)</f>
        <v>0.0</v>
      </c>
      <c r="N2542" s="22">
        <f>+K2542+L2542-M2542</f>
        <v>0.0</v>
      </c>
      <c r="O2542" s="22">
        <f>+N2542</f>
        <v>0.0</v>
      </c>
      <c r="P2542" s="22">
        <f>+N2542-O2542</f>
        <v>0.0</v>
      </c>
      <c r="Q2542" s="57"/>
      <c r="R2542" s="58"/>
    </row>
    <row r="2543" spans="8:8" ht="15.0" customHeight="1">
      <c r="B2543" s="54">
        <v>2687.0</v>
      </c>
      <c r="C2543" s="8"/>
      <c r="D2543" s="8"/>
      <c r="E2543" s="8"/>
      <c r="F2543" s="8"/>
      <c r="G2543" s="8"/>
      <c r="H2543" s="8"/>
      <c r="I2543" s="55"/>
      <c r="J2543" s="78" t="s">
        <v>6458</v>
      </c>
      <c r="K2543" s="22">
        <v>0.0</v>
      </c>
      <c r="L2543" s="22">
        <f>+SUMIF('حركه المخزن الرئيسي اليوميه'!$F:$F,$H:$H,'حركه المخزن الرئيسي اليوميه'!$H:$H)</f>
        <v>0.0</v>
      </c>
      <c r="M2543" s="22">
        <f>+SUMIF('حركه المخزن الرئيسي اليوميه'!$F:$F,$H:$H,'حركه المخزن الرئيسي اليوميه'!$I:$I)</f>
        <v>0.0</v>
      </c>
      <c r="N2543" s="22">
        <f>+K2543+L2543-M2543</f>
        <v>0.0</v>
      </c>
      <c r="O2543" s="22">
        <f>+N2543</f>
        <v>0.0</v>
      </c>
      <c r="P2543" s="22">
        <f>+N2543-O2543</f>
        <v>0.0</v>
      </c>
      <c r="Q2543" s="57"/>
      <c r="R2543" s="58"/>
    </row>
    <row r="2544" spans="8:8" ht="15.0" customHeight="1">
      <c r="B2544" s="54">
        <v>2688.0</v>
      </c>
      <c r="C2544" s="8"/>
      <c r="D2544" s="8"/>
      <c r="E2544" s="8"/>
      <c r="F2544" s="8"/>
      <c r="G2544" s="8"/>
      <c r="H2544" s="8"/>
      <c r="I2544" s="55"/>
      <c r="J2544" s="78" t="s">
        <v>6459</v>
      </c>
      <c r="K2544" s="22">
        <v>0.0</v>
      </c>
      <c r="L2544" s="22">
        <f>+SUMIF('حركه المخزن الرئيسي اليوميه'!$F:$F,$H:$H,'حركه المخزن الرئيسي اليوميه'!$H:$H)</f>
        <v>0.0</v>
      </c>
      <c r="M2544" s="22">
        <f>+SUMIF('حركه المخزن الرئيسي اليوميه'!$F:$F,$H:$H,'حركه المخزن الرئيسي اليوميه'!$I:$I)</f>
        <v>0.0</v>
      </c>
      <c r="N2544" s="22">
        <f>+K2544+L2544-M2544</f>
        <v>0.0</v>
      </c>
      <c r="O2544" s="22">
        <f>+N2544</f>
        <v>0.0</v>
      </c>
      <c r="P2544" s="22">
        <f>+N2544-O2544</f>
        <v>0.0</v>
      </c>
      <c r="Q2544" s="57"/>
      <c r="R2544" s="58"/>
    </row>
    <row r="2545" spans="8:8" ht="15.0" customHeight="1">
      <c r="B2545" s="54">
        <v>2689.0</v>
      </c>
      <c r="C2545" s="8"/>
      <c r="D2545" s="8"/>
      <c r="E2545" s="8"/>
      <c r="F2545" s="8"/>
      <c r="G2545" s="8"/>
      <c r="H2545" s="8"/>
      <c r="I2545" s="55"/>
      <c r="J2545" s="78" t="s">
        <v>6460</v>
      </c>
      <c r="K2545" s="22">
        <v>0.0</v>
      </c>
      <c r="L2545" s="22">
        <f>+SUMIF('حركه المخزن الرئيسي اليوميه'!$F:$F,$H:$H,'حركه المخزن الرئيسي اليوميه'!$H:$H)</f>
        <v>0.0</v>
      </c>
      <c r="M2545" s="22">
        <f>+SUMIF('حركه المخزن الرئيسي اليوميه'!$F:$F,$H:$H,'حركه المخزن الرئيسي اليوميه'!$I:$I)</f>
        <v>0.0</v>
      </c>
      <c r="N2545" s="22">
        <f>+K2545+L2545-M2545</f>
        <v>0.0</v>
      </c>
      <c r="O2545" s="22">
        <f>+N2545</f>
        <v>0.0</v>
      </c>
      <c r="P2545" s="22">
        <f>+N2545-O2545</f>
        <v>0.0</v>
      </c>
      <c r="Q2545" s="57"/>
      <c r="R2545" s="58"/>
    </row>
    <row r="2546" spans="8:8" ht="15.0" customHeight="1">
      <c r="B2546" s="54">
        <v>2690.0</v>
      </c>
      <c r="C2546" s="8"/>
      <c r="D2546" s="8"/>
      <c r="E2546" s="8"/>
      <c r="F2546" s="8"/>
      <c r="G2546" s="8"/>
      <c r="H2546" s="8"/>
      <c r="I2546" s="55"/>
      <c r="J2546" s="78" t="s">
        <v>6461</v>
      </c>
      <c r="K2546" s="22">
        <v>0.0</v>
      </c>
      <c r="L2546" s="22">
        <f>+SUMIF('حركه المخزن الرئيسي اليوميه'!$F:$F,$H:$H,'حركه المخزن الرئيسي اليوميه'!$H:$H)</f>
        <v>0.0</v>
      </c>
      <c r="M2546" s="22">
        <f>+SUMIF('حركه المخزن الرئيسي اليوميه'!$F:$F,$H:$H,'حركه المخزن الرئيسي اليوميه'!$I:$I)</f>
        <v>0.0</v>
      </c>
      <c r="N2546" s="22">
        <f>+K2546+L2546-M2546</f>
        <v>0.0</v>
      </c>
      <c r="O2546" s="22">
        <f>+N2546</f>
        <v>0.0</v>
      </c>
      <c r="P2546" s="22">
        <f>+N2546-O2546</f>
        <v>0.0</v>
      </c>
      <c r="Q2546" s="57"/>
      <c r="R2546" s="58"/>
    </row>
    <row r="2547" spans="8:8" ht="15.0" customHeight="1">
      <c r="B2547" s="54">
        <v>2691.0</v>
      </c>
      <c r="C2547" s="8"/>
      <c r="D2547" s="8"/>
      <c r="E2547" s="8"/>
      <c r="F2547" s="8"/>
      <c r="G2547" s="8"/>
      <c r="H2547" s="8"/>
      <c r="I2547" s="55"/>
      <c r="J2547" s="78" t="s">
        <v>6462</v>
      </c>
      <c r="K2547" s="22">
        <v>0.0</v>
      </c>
      <c r="L2547" s="22">
        <f>+SUMIF('حركه المخزن الرئيسي اليوميه'!$F:$F,$H:$H,'حركه المخزن الرئيسي اليوميه'!$H:$H)</f>
        <v>0.0</v>
      </c>
      <c r="M2547" s="22">
        <f>+SUMIF('حركه المخزن الرئيسي اليوميه'!$F:$F,$H:$H,'حركه المخزن الرئيسي اليوميه'!$I:$I)</f>
        <v>0.0</v>
      </c>
      <c r="N2547" s="22">
        <f>+K2547+L2547-M2547</f>
        <v>0.0</v>
      </c>
      <c r="O2547" s="22">
        <f>+N2547</f>
        <v>0.0</v>
      </c>
      <c r="P2547" s="22">
        <f>+N2547-O2547</f>
        <v>0.0</v>
      </c>
      <c r="Q2547" s="57"/>
      <c r="R2547" s="58"/>
    </row>
    <row r="2548" spans="8:8" ht="15.0" customHeight="1">
      <c r="B2548" s="54">
        <v>2692.0</v>
      </c>
      <c r="C2548" s="8"/>
      <c r="D2548" s="8"/>
      <c r="E2548" s="8"/>
      <c r="F2548" s="8"/>
      <c r="G2548" s="8"/>
      <c r="H2548" s="8"/>
      <c r="I2548" s="55"/>
      <c r="J2548" s="78" t="s">
        <v>6463</v>
      </c>
      <c r="K2548" s="22">
        <v>0.0</v>
      </c>
      <c r="L2548" s="22">
        <f>+SUMIF('حركه المخزن الرئيسي اليوميه'!$F:$F,$H:$H,'حركه المخزن الرئيسي اليوميه'!$H:$H)</f>
        <v>0.0</v>
      </c>
      <c r="M2548" s="22">
        <f>+SUMIF('حركه المخزن الرئيسي اليوميه'!$F:$F,$H:$H,'حركه المخزن الرئيسي اليوميه'!$I:$I)</f>
        <v>0.0</v>
      </c>
      <c r="N2548" s="22">
        <f>+K2548+L2548-M2548</f>
        <v>0.0</v>
      </c>
      <c r="O2548" s="22">
        <f>+N2548</f>
        <v>0.0</v>
      </c>
      <c r="P2548" s="22">
        <f>+N2548-O2548</f>
        <v>0.0</v>
      </c>
      <c r="Q2548" s="57"/>
      <c r="R2548" s="58"/>
    </row>
    <row r="2549" spans="8:8" ht="15.0" customHeight="1">
      <c r="B2549" s="54">
        <v>2693.0</v>
      </c>
      <c r="C2549" s="8"/>
      <c r="D2549" s="8"/>
      <c r="E2549" s="8"/>
      <c r="F2549" s="8"/>
      <c r="G2549" s="8"/>
      <c r="H2549" s="8"/>
      <c r="I2549" s="55"/>
      <c r="J2549" s="78" t="s">
        <v>6464</v>
      </c>
      <c r="K2549" s="22">
        <v>0.0</v>
      </c>
      <c r="L2549" s="22">
        <f>+SUMIF('حركه المخزن الرئيسي اليوميه'!$F:$F,$H:$H,'حركه المخزن الرئيسي اليوميه'!$H:$H)</f>
        <v>0.0</v>
      </c>
      <c r="M2549" s="22">
        <f>+SUMIF('حركه المخزن الرئيسي اليوميه'!$F:$F,$H:$H,'حركه المخزن الرئيسي اليوميه'!$I:$I)</f>
        <v>0.0</v>
      </c>
      <c r="N2549" s="22">
        <f>+K2549+L2549-M2549</f>
        <v>0.0</v>
      </c>
      <c r="O2549" s="22">
        <f>+N2549</f>
        <v>0.0</v>
      </c>
      <c r="P2549" s="22">
        <f>+N2549-O2549</f>
        <v>0.0</v>
      </c>
      <c r="Q2549" s="57"/>
      <c r="R2549" s="58"/>
    </row>
    <row r="2550" spans="8:8" ht="15.0" customHeight="1">
      <c r="B2550" s="54">
        <v>2694.0</v>
      </c>
      <c r="C2550" s="8"/>
      <c r="D2550" s="8"/>
      <c r="E2550" s="8"/>
      <c r="F2550" s="8"/>
      <c r="G2550" s="8"/>
      <c r="H2550" s="8"/>
      <c r="I2550" s="55"/>
      <c r="J2550" s="78" t="s">
        <v>6465</v>
      </c>
      <c r="K2550" s="22">
        <v>0.0</v>
      </c>
      <c r="L2550" s="22">
        <f>+SUMIF('حركه المخزن الرئيسي اليوميه'!$F:$F,$H:$H,'حركه المخزن الرئيسي اليوميه'!$H:$H)</f>
        <v>0.0</v>
      </c>
      <c r="M2550" s="22">
        <f>+SUMIF('حركه المخزن الرئيسي اليوميه'!$F:$F,$H:$H,'حركه المخزن الرئيسي اليوميه'!$I:$I)</f>
        <v>0.0</v>
      </c>
      <c r="N2550" s="22">
        <f>+K2550+L2550-M2550</f>
        <v>0.0</v>
      </c>
      <c r="O2550" s="22">
        <f>+N2550</f>
        <v>0.0</v>
      </c>
      <c r="P2550" s="22">
        <f>+N2550-O2550</f>
        <v>0.0</v>
      </c>
      <c r="Q2550" s="57"/>
      <c r="R2550" s="58"/>
    </row>
    <row r="2551" spans="8:8" ht="15.0" customHeight="1">
      <c r="B2551" s="54">
        <v>2695.0</v>
      </c>
      <c r="C2551" s="8"/>
      <c r="D2551" s="8"/>
      <c r="E2551" s="8"/>
      <c r="F2551" s="8"/>
      <c r="G2551" s="8"/>
      <c r="H2551" s="8"/>
      <c r="I2551" s="55"/>
      <c r="J2551" s="78" t="s">
        <v>6466</v>
      </c>
      <c r="K2551" s="22">
        <v>0.0</v>
      </c>
      <c r="L2551" s="22">
        <f>+SUMIF('حركه المخزن الرئيسي اليوميه'!$F:$F,$H:$H,'حركه المخزن الرئيسي اليوميه'!$H:$H)</f>
        <v>0.0</v>
      </c>
      <c r="M2551" s="22">
        <f>+SUMIF('حركه المخزن الرئيسي اليوميه'!$F:$F,$H:$H,'حركه المخزن الرئيسي اليوميه'!$I:$I)</f>
        <v>0.0</v>
      </c>
      <c r="N2551" s="22">
        <f>+K2551+L2551-M2551</f>
        <v>0.0</v>
      </c>
      <c r="O2551" s="22">
        <f>+N2551</f>
        <v>0.0</v>
      </c>
      <c r="P2551" s="22">
        <f>+N2551-O2551</f>
        <v>0.0</v>
      </c>
      <c r="Q2551" s="57"/>
      <c r="R2551" s="58"/>
    </row>
    <row r="2552" spans="8:8" ht="15.0" customHeight="1">
      <c r="B2552" s="54">
        <v>2696.0</v>
      </c>
      <c r="C2552" s="8"/>
      <c r="D2552" s="8"/>
      <c r="E2552" s="8"/>
      <c r="F2552" s="8"/>
      <c r="G2552" s="8"/>
      <c r="H2552" s="8"/>
      <c r="I2552" s="55"/>
      <c r="J2552" s="78" t="s">
        <v>6467</v>
      </c>
      <c r="K2552" s="22">
        <v>0.0</v>
      </c>
      <c r="L2552" s="22">
        <f>+SUMIF('حركه المخزن الرئيسي اليوميه'!$F:$F,$H:$H,'حركه المخزن الرئيسي اليوميه'!$H:$H)</f>
        <v>0.0</v>
      </c>
      <c r="M2552" s="22">
        <f>+SUMIF('حركه المخزن الرئيسي اليوميه'!$F:$F,$H:$H,'حركه المخزن الرئيسي اليوميه'!$I:$I)</f>
        <v>0.0</v>
      </c>
      <c r="N2552" s="22">
        <f>+K2552+L2552-M2552</f>
        <v>0.0</v>
      </c>
      <c r="O2552" s="22">
        <f>+N2552</f>
        <v>0.0</v>
      </c>
      <c r="P2552" s="22">
        <f>+N2552-O2552</f>
        <v>0.0</v>
      </c>
      <c r="Q2552" s="57"/>
      <c r="R2552" s="58"/>
    </row>
    <row r="2553" spans="8:8" ht="15.0" customHeight="1">
      <c r="B2553" s="54">
        <v>2697.0</v>
      </c>
      <c r="C2553" s="8"/>
      <c r="D2553" s="8"/>
      <c r="E2553" s="8"/>
      <c r="F2553" s="8"/>
      <c r="G2553" s="8"/>
      <c r="H2553" s="8"/>
      <c r="I2553" s="55"/>
      <c r="J2553" s="78" t="s">
        <v>6468</v>
      </c>
      <c r="K2553" s="22">
        <v>0.0</v>
      </c>
      <c r="L2553" s="22">
        <f>+SUMIF('حركه المخزن الرئيسي اليوميه'!$F:$F,$H:$H,'حركه المخزن الرئيسي اليوميه'!$H:$H)</f>
        <v>0.0</v>
      </c>
      <c r="M2553" s="22">
        <f>+SUMIF('حركه المخزن الرئيسي اليوميه'!$F:$F,$H:$H,'حركه المخزن الرئيسي اليوميه'!$I:$I)</f>
        <v>0.0</v>
      </c>
      <c r="N2553" s="22">
        <f>+K2553+L2553-M2553</f>
        <v>0.0</v>
      </c>
      <c r="O2553" s="22">
        <f>+N2553</f>
        <v>0.0</v>
      </c>
      <c r="P2553" s="22">
        <f>+N2553-O2553</f>
        <v>0.0</v>
      </c>
      <c r="Q2553" s="57"/>
      <c r="R2553" s="58"/>
    </row>
    <row r="2554" spans="8:8" ht="15.0" customHeight="1">
      <c r="B2554" s="54">
        <v>2698.0</v>
      </c>
      <c r="C2554" s="8"/>
      <c r="D2554" s="8"/>
      <c r="E2554" s="8"/>
      <c r="F2554" s="8"/>
      <c r="G2554" s="8"/>
      <c r="H2554" s="8"/>
      <c r="I2554" s="55"/>
      <c r="J2554" s="78" t="s">
        <v>6469</v>
      </c>
      <c r="K2554" s="22">
        <v>0.0</v>
      </c>
      <c r="L2554" s="22">
        <f>+SUMIF('حركه المخزن الرئيسي اليوميه'!$F:$F,$H:$H,'حركه المخزن الرئيسي اليوميه'!$H:$H)</f>
        <v>0.0</v>
      </c>
      <c r="M2554" s="22">
        <f>+SUMIF('حركه المخزن الرئيسي اليوميه'!$F:$F,$H:$H,'حركه المخزن الرئيسي اليوميه'!$I:$I)</f>
        <v>0.0</v>
      </c>
      <c r="N2554" s="22">
        <f>+K2554+L2554-M2554</f>
        <v>0.0</v>
      </c>
      <c r="O2554" s="22">
        <f>+N2554</f>
        <v>0.0</v>
      </c>
      <c r="P2554" s="22">
        <f>+N2554-O2554</f>
        <v>0.0</v>
      </c>
      <c r="Q2554" s="57"/>
      <c r="R2554" s="58"/>
    </row>
    <row r="2555" spans="8:8" ht="15.0" customHeight="1">
      <c r="B2555" s="54">
        <v>2699.0</v>
      </c>
      <c r="C2555" s="8"/>
      <c r="D2555" s="8"/>
      <c r="E2555" s="8"/>
      <c r="F2555" s="8"/>
      <c r="G2555" s="8"/>
      <c r="H2555" s="8"/>
      <c r="I2555" s="55"/>
      <c r="J2555" s="78" t="s">
        <v>6470</v>
      </c>
      <c r="K2555" s="22">
        <v>0.0</v>
      </c>
      <c r="L2555" s="22">
        <f>+SUMIF('حركه المخزن الرئيسي اليوميه'!$F:$F,$H:$H,'حركه المخزن الرئيسي اليوميه'!$H:$H)</f>
        <v>0.0</v>
      </c>
      <c r="M2555" s="22">
        <f>+SUMIF('حركه المخزن الرئيسي اليوميه'!$F:$F,$H:$H,'حركه المخزن الرئيسي اليوميه'!$I:$I)</f>
        <v>0.0</v>
      </c>
      <c r="N2555" s="22">
        <f>+K2555+L2555-M2555</f>
        <v>0.0</v>
      </c>
      <c r="O2555" s="22">
        <f>+N2555</f>
        <v>0.0</v>
      </c>
      <c r="P2555" s="22">
        <f>+N2555-O2555</f>
        <v>0.0</v>
      </c>
      <c r="Q2555" s="57"/>
      <c r="R2555" s="58"/>
    </row>
    <row r="2556" spans="8:8" ht="15.0" customHeight="1">
      <c r="B2556" s="54">
        <v>2700.0</v>
      </c>
      <c r="C2556" s="8"/>
      <c r="D2556" s="8"/>
      <c r="E2556" s="8"/>
      <c r="F2556" s="8"/>
      <c r="G2556" s="8"/>
      <c r="H2556" s="8"/>
      <c r="I2556" s="55"/>
      <c r="J2556" s="78" t="s">
        <v>6471</v>
      </c>
      <c r="K2556" s="22">
        <v>0.0</v>
      </c>
      <c r="L2556" s="22">
        <f>+SUMIF('حركه المخزن الرئيسي اليوميه'!$F:$F,$H:$H,'حركه المخزن الرئيسي اليوميه'!$H:$H)</f>
        <v>0.0</v>
      </c>
      <c r="M2556" s="22">
        <f>+SUMIF('حركه المخزن الرئيسي اليوميه'!$F:$F,$H:$H,'حركه المخزن الرئيسي اليوميه'!$I:$I)</f>
        <v>0.0</v>
      </c>
      <c r="N2556" s="22">
        <f>+K2556+L2556-M2556</f>
        <v>0.0</v>
      </c>
      <c r="O2556" s="22">
        <f>+N2556</f>
        <v>0.0</v>
      </c>
      <c r="P2556" s="22">
        <f>+N2556-O2556</f>
        <v>0.0</v>
      </c>
      <c r="Q2556" s="57"/>
      <c r="R2556" s="58"/>
    </row>
    <row r="2557" spans="8:8" ht="15.0" customHeight="1">
      <c r="B2557" s="54">
        <v>2701.0</v>
      </c>
      <c r="C2557" s="8"/>
      <c r="D2557" s="8"/>
      <c r="E2557" s="8"/>
      <c r="F2557" s="8"/>
      <c r="G2557" s="8"/>
      <c r="H2557" s="8"/>
      <c r="I2557" s="55"/>
      <c r="J2557" s="78" t="s">
        <v>6472</v>
      </c>
      <c r="K2557" s="22">
        <v>0.0</v>
      </c>
      <c r="L2557" s="22">
        <f>+SUMIF('حركه المخزن الرئيسي اليوميه'!$F:$F,$H:$H,'حركه المخزن الرئيسي اليوميه'!$H:$H)</f>
        <v>0.0</v>
      </c>
      <c r="M2557" s="22">
        <f>+SUMIF('حركه المخزن الرئيسي اليوميه'!$F:$F,$H:$H,'حركه المخزن الرئيسي اليوميه'!$I:$I)</f>
        <v>0.0</v>
      </c>
      <c r="N2557" s="22">
        <f>+K2557+L2557-M2557</f>
        <v>0.0</v>
      </c>
      <c r="O2557" s="22">
        <f>+N2557</f>
        <v>0.0</v>
      </c>
      <c r="P2557" s="22">
        <f>+N2557-O2557</f>
        <v>0.0</v>
      </c>
      <c r="Q2557" s="57"/>
      <c r="R2557" s="58"/>
    </row>
    <row r="2558" spans="8:8" ht="15.0" customHeight="1">
      <c r="B2558" s="54">
        <v>2702.0</v>
      </c>
      <c r="C2558" s="8"/>
      <c r="D2558" s="8"/>
      <c r="E2558" s="8"/>
      <c r="F2558" s="8"/>
      <c r="G2558" s="8"/>
      <c r="H2558" s="8"/>
      <c r="I2558" s="55"/>
      <c r="J2558" s="78" t="s">
        <v>6473</v>
      </c>
      <c r="K2558" s="22">
        <v>0.0</v>
      </c>
      <c r="L2558" s="22">
        <f>+SUMIF('حركه المخزن الرئيسي اليوميه'!$F:$F,$H:$H,'حركه المخزن الرئيسي اليوميه'!$H:$H)</f>
        <v>0.0</v>
      </c>
      <c r="M2558" s="22">
        <f>+SUMIF('حركه المخزن الرئيسي اليوميه'!$F:$F,$H:$H,'حركه المخزن الرئيسي اليوميه'!$I:$I)</f>
        <v>0.0</v>
      </c>
      <c r="N2558" s="22">
        <f>+K2558+L2558-M2558</f>
        <v>0.0</v>
      </c>
      <c r="O2558" s="22">
        <f>+N2558</f>
        <v>0.0</v>
      </c>
      <c r="P2558" s="22">
        <f>+N2558-O2558</f>
        <v>0.0</v>
      </c>
      <c r="Q2558" s="57"/>
      <c r="R2558" s="58"/>
    </row>
    <row r="2559" spans="8:8" ht="15.0" customHeight="1">
      <c r="B2559" s="54">
        <v>2703.0</v>
      </c>
      <c r="C2559" s="8"/>
      <c r="D2559" s="8"/>
      <c r="E2559" s="8"/>
      <c r="F2559" s="8"/>
      <c r="G2559" s="8"/>
      <c r="H2559" s="8"/>
      <c r="I2559" s="55"/>
      <c r="J2559" s="78" t="s">
        <v>6474</v>
      </c>
      <c r="K2559" s="22">
        <v>0.0</v>
      </c>
      <c r="L2559" s="22">
        <f>+SUMIF('حركه المخزن الرئيسي اليوميه'!$F:$F,$H:$H,'حركه المخزن الرئيسي اليوميه'!$H:$H)</f>
        <v>0.0</v>
      </c>
      <c r="M2559" s="22">
        <f>+SUMIF('حركه المخزن الرئيسي اليوميه'!$F:$F,$H:$H,'حركه المخزن الرئيسي اليوميه'!$I:$I)</f>
        <v>0.0</v>
      </c>
      <c r="N2559" s="22">
        <f>+K2559+L2559-M2559</f>
        <v>0.0</v>
      </c>
      <c r="O2559" s="22">
        <f>+N2559</f>
        <v>0.0</v>
      </c>
      <c r="P2559" s="22">
        <f>+N2559-O2559</f>
        <v>0.0</v>
      </c>
      <c r="Q2559" s="57"/>
      <c r="R2559" s="58"/>
    </row>
    <row r="2560" spans="8:8" ht="15.0" customHeight="1">
      <c r="B2560" s="54">
        <v>2704.0</v>
      </c>
      <c r="C2560" s="8"/>
      <c r="D2560" s="8"/>
      <c r="E2560" s="8"/>
      <c r="F2560" s="8"/>
      <c r="G2560" s="8"/>
      <c r="H2560" s="8"/>
      <c r="I2560" s="55"/>
      <c r="J2560" s="78" t="s">
        <v>6475</v>
      </c>
      <c r="K2560" s="22">
        <v>0.0</v>
      </c>
      <c r="L2560" s="22">
        <f>+SUMIF('حركه المخزن الرئيسي اليوميه'!$F:$F,$H:$H,'حركه المخزن الرئيسي اليوميه'!$H:$H)</f>
        <v>0.0</v>
      </c>
      <c r="M2560" s="22">
        <f>+SUMIF('حركه المخزن الرئيسي اليوميه'!$F:$F,$H:$H,'حركه المخزن الرئيسي اليوميه'!$I:$I)</f>
        <v>0.0</v>
      </c>
      <c r="N2560" s="22">
        <f>+K2560+L2560-M2560</f>
        <v>0.0</v>
      </c>
      <c r="O2560" s="22">
        <f>+N2560</f>
        <v>0.0</v>
      </c>
      <c r="P2560" s="22">
        <f>+N2560-O2560</f>
        <v>0.0</v>
      </c>
      <c r="Q2560" s="57"/>
      <c r="R2560" s="58"/>
    </row>
    <row r="2561" spans="8:8" ht="15.0" customHeight="1">
      <c r="B2561" s="54">
        <v>2705.0</v>
      </c>
      <c r="C2561" s="8"/>
      <c r="D2561" s="8"/>
      <c r="E2561" s="8"/>
      <c r="F2561" s="8"/>
      <c r="G2561" s="8"/>
      <c r="H2561" s="8"/>
      <c r="I2561" s="55"/>
      <c r="J2561" s="78" t="s">
        <v>6476</v>
      </c>
      <c r="K2561" s="22">
        <v>0.0</v>
      </c>
      <c r="L2561" s="22">
        <f>+SUMIF('حركه المخزن الرئيسي اليوميه'!$F:$F,$H:$H,'حركه المخزن الرئيسي اليوميه'!$H:$H)</f>
        <v>0.0</v>
      </c>
      <c r="M2561" s="22">
        <f>+SUMIF('حركه المخزن الرئيسي اليوميه'!$F:$F,$H:$H,'حركه المخزن الرئيسي اليوميه'!$I:$I)</f>
        <v>0.0</v>
      </c>
      <c r="N2561" s="22">
        <f>+K2561+L2561-M2561</f>
        <v>0.0</v>
      </c>
      <c r="O2561" s="22">
        <f>+N2561</f>
        <v>0.0</v>
      </c>
      <c r="P2561" s="22">
        <f>+N2561-O2561</f>
        <v>0.0</v>
      </c>
      <c r="Q2561" s="57"/>
      <c r="R2561" s="58"/>
    </row>
    <row r="2562" spans="8:8" ht="15.0" customHeight="1">
      <c r="B2562" s="54">
        <v>2706.0</v>
      </c>
      <c r="C2562" s="8"/>
      <c r="D2562" s="8"/>
      <c r="E2562" s="8"/>
      <c r="F2562" s="8"/>
      <c r="G2562" s="8"/>
      <c r="H2562" s="8"/>
      <c r="I2562" s="55"/>
      <c r="J2562" s="78" t="s">
        <v>6477</v>
      </c>
      <c r="K2562" s="22">
        <v>0.0</v>
      </c>
      <c r="L2562" s="22">
        <f>+SUMIF('حركه المخزن الرئيسي اليوميه'!$F:$F,$H:$H,'حركه المخزن الرئيسي اليوميه'!$H:$H)</f>
        <v>0.0</v>
      </c>
      <c r="M2562" s="22">
        <f>+SUMIF('حركه المخزن الرئيسي اليوميه'!$F:$F,$H:$H,'حركه المخزن الرئيسي اليوميه'!$I:$I)</f>
        <v>0.0</v>
      </c>
      <c r="N2562" s="22">
        <f>+K2562+L2562-M2562</f>
        <v>0.0</v>
      </c>
      <c r="O2562" s="22">
        <f>+N2562</f>
        <v>0.0</v>
      </c>
      <c r="P2562" s="22">
        <f>+N2562-O2562</f>
        <v>0.0</v>
      </c>
      <c r="Q2562" s="57"/>
      <c r="R2562" s="58"/>
    </row>
    <row r="2563" spans="8:8" ht="15.0" customHeight="1">
      <c r="B2563" s="54">
        <v>2707.0</v>
      </c>
      <c r="C2563" s="8"/>
      <c r="D2563" s="8"/>
      <c r="E2563" s="8"/>
      <c r="F2563" s="8"/>
      <c r="G2563" s="8"/>
      <c r="H2563" s="8"/>
      <c r="I2563" s="55"/>
      <c r="J2563" s="78" t="s">
        <v>6478</v>
      </c>
      <c r="K2563" s="22">
        <v>0.0</v>
      </c>
      <c r="L2563" s="22">
        <f>+SUMIF('حركه المخزن الرئيسي اليوميه'!$F:$F,$H:$H,'حركه المخزن الرئيسي اليوميه'!$H:$H)</f>
        <v>0.0</v>
      </c>
      <c r="M2563" s="22">
        <f>+SUMIF('حركه المخزن الرئيسي اليوميه'!$F:$F,$H:$H,'حركه المخزن الرئيسي اليوميه'!$I:$I)</f>
        <v>0.0</v>
      </c>
      <c r="N2563" s="22">
        <f>+K2563+L2563-M2563</f>
        <v>0.0</v>
      </c>
      <c r="O2563" s="22">
        <f>+N2563</f>
        <v>0.0</v>
      </c>
      <c r="P2563" s="22">
        <f>+N2563-O2563</f>
        <v>0.0</v>
      </c>
      <c r="Q2563" s="57"/>
      <c r="R2563" s="58"/>
    </row>
    <row r="2564" spans="8:8" ht="15.0" customHeight="1">
      <c r="B2564" s="54">
        <v>2708.0</v>
      </c>
      <c r="C2564" s="8"/>
      <c r="D2564" s="8"/>
      <c r="E2564" s="8"/>
      <c r="F2564" s="8"/>
      <c r="G2564" s="8"/>
      <c r="H2564" s="8"/>
      <c r="I2564" s="55"/>
      <c r="J2564" s="78" t="s">
        <v>6479</v>
      </c>
      <c r="K2564" s="22">
        <v>0.0</v>
      </c>
      <c r="L2564" s="22">
        <f>+SUMIF('حركه المخزن الرئيسي اليوميه'!$F:$F,$H:$H,'حركه المخزن الرئيسي اليوميه'!$H:$H)</f>
        <v>0.0</v>
      </c>
      <c r="M2564" s="22">
        <f>+SUMIF('حركه المخزن الرئيسي اليوميه'!$F:$F,$H:$H,'حركه المخزن الرئيسي اليوميه'!$I:$I)</f>
        <v>0.0</v>
      </c>
      <c r="N2564" s="22">
        <f>+K2564+L2564-M2564</f>
        <v>0.0</v>
      </c>
      <c r="O2564" s="22">
        <f>+N2564</f>
        <v>0.0</v>
      </c>
      <c r="P2564" s="22">
        <f>+N2564-O2564</f>
        <v>0.0</v>
      </c>
      <c r="Q2564" s="57"/>
      <c r="R2564" s="58"/>
    </row>
    <row r="2565" spans="8:8" ht="15.0" customHeight="1">
      <c r="B2565" s="54">
        <v>2709.0</v>
      </c>
      <c r="C2565" s="8"/>
      <c r="D2565" s="8"/>
      <c r="E2565" s="8"/>
      <c r="F2565" s="8"/>
      <c r="G2565" s="8"/>
      <c r="H2565" s="8"/>
      <c r="I2565" s="55"/>
      <c r="J2565" s="78" t="s">
        <v>6480</v>
      </c>
      <c r="K2565" s="22">
        <v>0.0</v>
      </c>
      <c r="L2565" s="22">
        <f>+SUMIF('حركه المخزن الرئيسي اليوميه'!$F:$F,$H:$H,'حركه المخزن الرئيسي اليوميه'!$H:$H)</f>
        <v>0.0</v>
      </c>
      <c r="M2565" s="22">
        <f>+SUMIF('حركه المخزن الرئيسي اليوميه'!$F:$F,$H:$H,'حركه المخزن الرئيسي اليوميه'!$I:$I)</f>
        <v>0.0</v>
      </c>
      <c r="N2565" s="22">
        <f>+K2565+L2565-M2565</f>
        <v>0.0</v>
      </c>
      <c r="O2565" s="22">
        <f>+N2565</f>
        <v>0.0</v>
      </c>
      <c r="P2565" s="22">
        <f>+N2565-O2565</f>
        <v>0.0</v>
      </c>
      <c r="Q2565" s="57"/>
      <c r="R2565" s="58"/>
    </row>
    <row r="2566" spans="8:8" ht="15.0" customHeight="1">
      <c r="B2566" s="54">
        <v>2710.0</v>
      </c>
      <c r="C2566" s="8"/>
      <c r="D2566" s="8"/>
      <c r="E2566" s="8"/>
      <c r="F2566" s="8"/>
      <c r="G2566" s="8"/>
      <c r="H2566" s="8"/>
      <c r="I2566" s="55"/>
      <c r="J2566" s="78" t="s">
        <v>6481</v>
      </c>
      <c r="K2566" s="22">
        <v>0.0</v>
      </c>
      <c r="L2566" s="22">
        <f>+SUMIF('حركه المخزن الرئيسي اليوميه'!$F:$F,$H:$H,'حركه المخزن الرئيسي اليوميه'!$H:$H)</f>
        <v>0.0</v>
      </c>
      <c r="M2566" s="22">
        <f>+SUMIF('حركه المخزن الرئيسي اليوميه'!$F:$F,$H:$H,'حركه المخزن الرئيسي اليوميه'!$I:$I)</f>
        <v>0.0</v>
      </c>
      <c r="N2566" s="22">
        <f>+K2566+L2566-M2566</f>
        <v>0.0</v>
      </c>
      <c r="O2566" s="22">
        <f>+N2566</f>
        <v>0.0</v>
      </c>
      <c r="P2566" s="22">
        <f>+N2566-O2566</f>
        <v>0.0</v>
      </c>
      <c r="Q2566" s="57"/>
      <c r="R2566" s="58"/>
    </row>
    <row r="2567" spans="8:8" ht="15.0" customHeight="1">
      <c r="B2567" s="54">
        <v>2711.0</v>
      </c>
      <c r="C2567" s="8"/>
      <c r="D2567" s="8"/>
      <c r="E2567" s="8"/>
      <c r="F2567" s="8"/>
      <c r="G2567" s="8"/>
      <c r="H2567" s="8"/>
      <c r="I2567" s="55"/>
      <c r="J2567" s="78" t="s">
        <v>6482</v>
      </c>
      <c r="K2567" s="22">
        <v>0.0</v>
      </c>
      <c r="L2567" s="22">
        <f>+SUMIF('حركه المخزن الرئيسي اليوميه'!$F:$F,$H:$H,'حركه المخزن الرئيسي اليوميه'!$H:$H)</f>
        <v>0.0</v>
      </c>
      <c r="M2567" s="22">
        <f>+SUMIF('حركه المخزن الرئيسي اليوميه'!$F:$F,$H:$H,'حركه المخزن الرئيسي اليوميه'!$I:$I)</f>
        <v>0.0</v>
      </c>
      <c r="N2567" s="22">
        <f>+K2567+L2567-M2567</f>
        <v>0.0</v>
      </c>
      <c r="O2567" s="22">
        <f>+N2567</f>
        <v>0.0</v>
      </c>
      <c r="P2567" s="22">
        <f>+N2567-O2567</f>
        <v>0.0</v>
      </c>
      <c r="Q2567" s="57"/>
      <c r="R2567" s="58"/>
    </row>
    <row r="2568" spans="8:8" ht="15.0" customHeight="1">
      <c r="B2568" s="54">
        <v>2712.0</v>
      </c>
      <c r="C2568" s="8"/>
      <c r="D2568" s="8"/>
      <c r="E2568" s="8"/>
      <c r="F2568" s="8"/>
      <c r="G2568" s="8"/>
      <c r="H2568" s="8"/>
      <c r="I2568" s="55"/>
      <c r="J2568" s="78" t="s">
        <v>6483</v>
      </c>
      <c r="K2568" s="22">
        <v>0.0</v>
      </c>
      <c r="L2568" s="22">
        <f>+SUMIF('حركه المخزن الرئيسي اليوميه'!$F:$F,$H:$H,'حركه المخزن الرئيسي اليوميه'!$H:$H)</f>
        <v>0.0</v>
      </c>
      <c r="M2568" s="22">
        <f>+SUMIF('حركه المخزن الرئيسي اليوميه'!$F:$F,$H:$H,'حركه المخزن الرئيسي اليوميه'!$I:$I)</f>
        <v>0.0</v>
      </c>
      <c r="N2568" s="22">
        <f>+K2568+L2568-M2568</f>
        <v>0.0</v>
      </c>
      <c r="O2568" s="22">
        <f>+N2568</f>
        <v>0.0</v>
      </c>
      <c r="P2568" s="22">
        <f>+N2568-O2568</f>
        <v>0.0</v>
      </c>
      <c r="Q2568" s="57"/>
      <c r="R2568" s="58"/>
    </row>
    <row r="2569" spans="8:8" ht="15.0" customHeight="1">
      <c r="B2569" s="54">
        <v>2713.0</v>
      </c>
      <c r="C2569" s="8"/>
      <c r="D2569" s="8"/>
      <c r="E2569" s="8"/>
      <c r="F2569" s="8"/>
      <c r="G2569" s="8"/>
      <c r="H2569" s="8"/>
      <c r="I2569" s="55"/>
      <c r="J2569" s="78" t="s">
        <v>6484</v>
      </c>
      <c r="K2569" s="22">
        <v>0.0</v>
      </c>
      <c r="L2569" s="22">
        <f>+SUMIF('حركه المخزن الرئيسي اليوميه'!$F:$F,$H:$H,'حركه المخزن الرئيسي اليوميه'!$H:$H)</f>
        <v>0.0</v>
      </c>
      <c r="M2569" s="22">
        <f>+SUMIF('حركه المخزن الرئيسي اليوميه'!$F:$F,$H:$H,'حركه المخزن الرئيسي اليوميه'!$I:$I)</f>
        <v>0.0</v>
      </c>
      <c r="N2569" s="22">
        <f>+K2569+L2569-M2569</f>
        <v>0.0</v>
      </c>
      <c r="O2569" s="22">
        <f>+N2569</f>
        <v>0.0</v>
      </c>
      <c r="P2569" s="22">
        <f>+N2569-O2569</f>
        <v>0.0</v>
      </c>
      <c r="Q2569" s="57"/>
      <c r="R2569" s="58"/>
    </row>
    <row r="2570" spans="8:8" ht="15.0" customHeight="1">
      <c r="B2570" s="54">
        <v>2714.0</v>
      </c>
      <c r="C2570" s="8"/>
      <c r="D2570" s="8"/>
      <c r="E2570" s="8"/>
      <c r="F2570" s="8"/>
      <c r="G2570" s="8"/>
      <c r="H2570" s="8"/>
      <c r="I2570" s="55"/>
      <c r="J2570" s="78" t="s">
        <v>6485</v>
      </c>
      <c r="K2570" s="22">
        <v>0.0</v>
      </c>
      <c r="L2570" s="22">
        <f>+SUMIF('حركه المخزن الرئيسي اليوميه'!$F:$F,$H:$H,'حركه المخزن الرئيسي اليوميه'!$H:$H)</f>
        <v>0.0</v>
      </c>
      <c r="M2570" s="22">
        <f>+SUMIF('حركه المخزن الرئيسي اليوميه'!$F:$F,$H:$H,'حركه المخزن الرئيسي اليوميه'!$I:$I)</f>
        <v>0.0</v>
      </c>
      <c r="N2570" s="22">
        <f>+K2570+L2570-M2570</f>
        <v>0.0</v>
      </c>
      <c r="O2570" s="22">
        <f>+N2570</f>
        <v>0.0</v>
      </c>
      <c r="P2570" s="22">
        <f>+N2570-O2570</f>
        <v>0.0</v>
      </c>
      <c r="Q2570" s="57"/>
      <c r="R2570" s="58"/>
    </row>
    <row r="2571" spans="8:8" ht="15.0" customHeight="1">
      <c r="B2571" s="54">
        <v>2715.0</v>
      </c>
      <c r="C2571" s="8"/>
      <c r="D2571" s="8"/>
      <c r="E2571" s="8"/>
      <c r="F2571" s="8"/>
      <c r="G2571" s="8"/>
      <c r="H2571" s="8"/>
      <c r="I2571" s="55"/>
      <c r="J2571" s="78" t="s">
        <v>6486</v>
      </c>
      <c r="K2571" s="22">
        <v>0.0</v>
      </c>
      <c r="L2571" s="22">
        <f>+SUMIF('حركه المخزن الرئيسي اليوميه'!$F:$F,$H:$H,'حركه المخزن الرئيسي اليوميه'!$H:$H)</f>
        <v>0.0</v>
      </c>
      <c r="M2571" s="22">
        <f>+SUMIF('حركه المخزن الرئيسي اليوميه'!$F:$F,$H:$H,'حركه المخزن الرئيسي اليوميه'!$I:$I)</f>
        <v>0.0</v>
      </c>
      <c r="N2571" s="22">
        <f>+K2571+L2571-M2571</f>
        <v>0.0</v>
      </c>
      <c r="O2571" s="22">
        <f>+N2571</f>
        <v>0.0</v>
      </c>
      <c r="P2571" s="22">
        <f>+N2571-O2571</f>
        <v>0.0</v>
      </c>
      <c r="Q2571" s="57"/>
      <c r="R2571" s="58"/>
    </row>
    <row r="2572" spans="8:8" ht="15.0" customHeight="1">
      <c r="B2572" s="54">
        <v>2716.0</v>
      </c>
      <c r="C2572" s="8"/>
      <c r="D2572" s="8"/>
      <c r="E2572" s="8"/>
      <c r="F2572" s="8"/>
      <c r="G2572" s="8"/>
      <c r="H2572" s="8"/>
      <c r="I2572" s="55"/>
      <c r="J2572" s="78" t="s">
        <v>6487</v>
      </c>
      <c r="K2572" s="22">
        <v>0.0</v>
      </c>
      <c r="L2572" s="22">
        <f>+SUMIF('حركه المخزن الرئيسي اليوميه'!$F:$F,$H:$H,'حركه المخزن الرئيسي اليوميه'!$H:$H)</f>
        <v>0.0</v>
      </c>
      <c r="M2572" s="22">
        <f>+SUMIF('حركه المخزن الرئيسي اليوميه'!$F:$F,$H:$H,'حركه المخزن الرئيسي اليوميه'!$I:$I)</f>
        <v>0.0</v>
      </c>
      <c r="N2572" s="22">
        <f>+K2572+L2572-M2572</f>
        <v>0.0</v>
      </c>
      <c r="O2572" s="22">
        <f>+N2572</f>
        <v>0.0</v>
      </c>
      <c r="P2572" s="22">
        <f>+N2572-O2572</f>
        <v>0.0</v>
      </c>
      <c r="Q2572" s="57"/>
      <c r="R2572" s="58"/>
    </row>
    <row r="2573" spans="8:8" ht="15.0" customHeight="1">
      <c r="B2573" s="54">
        <v>2717.0</v>
      </c>
      <c r="C2573" s="8"/>
      <c r="D2573" s="8"/>
      <c r="E2573" s="8"/>
      <c r="F2573" s="8"/>
      <c r="G2573" s="8"/>
      <c r="H2573" s="8"/>
      <c r="I2573" s="55"/>
      <c r="J2573" s="78" t="s">
        <v>6488</v>
      </c>
      <c r="K2573" s="22">
        <v>0.0</v>
      </c>
      <c r="L2573" s="22">
        <f>+SUMIF('حركه المخزن الرئيسي اليوميه'!$F:$F,$H:$H,'حركه المخزن الرئيسي اليوميه'!$H:$H)</f>
        <v>0.0</v>
      </c>
      <c r="M2573" s="22">
        <f>+SUMIF('حركه المخزن الرئيسي اليوميه'!$F:$F,$H:$H,'حركه المخزن الرئيسي اليوميه'!$I:$I)</f>
        <v>0.0</v>
      </c>
      <c r="N2573" s="22">
        <f>+K2573+L2573-M2573</f>
        <v>0.0</v>
      </c>
      <c r="O2573" s="22">
        <f>+N2573</f>
        <v>0.0</v>
      </c>
      <c r="P2573" s="22">
        <f>+N2573-O2573</f>
        <v>0.0</v>
      </c>
      <c r="Q2573" s="57"/>
      <c r="R2573" s="58"/>
    </row>
    <row r="2574" spans="8:8" ht="15.0" customHeight="1">
      <c r="B2574" s="54">
        <v>2718.0</v>
      </c>
      <c r="C2574" s="8"/>
      <c r="D2574" s="8"/>
      <c r="E2574" s="8"/>
      <c r="F2574" s="8"/>
      <c r="G2574" s="8"/>
      <c r="H2574" s="8"/>
      <c r="I2574" s="55"/>
      <c r="J2574" s="78" t="s">
        <v>6489</v>
      </c>
      <c r="K2574" s="22">
        <v>0.0</v>
      </c>
      <c r="L2574" s="22">
        <f>+SUMIF('حركه المخزن الرئيسي اليوميه'!$F:$F,$H:$H,'حركه المخزن الرئيسي اليوميه'!$H:$H)</f>
        <v>0.0</v>
      </c>
      <c r="M2574" s="22">
        <f>+SUMIF('حركه المخزن الرئيسي اليوميه'!$F:$F,$H:$H,'حركه المخزن الرئيسي اليوميه'!$I:$I)</f>
        <v>0.0</v>
      </c>
      <c r="N2574" s="22">
        <f>+K2574+L2574-M2574</f>
        <v>0.0</v>
      </c>
      <c r="O2574" s="22">
        <f>+N2574</f>
        <v>0.0</v>
      </c>
      <c r="P2574" s="22">
        <f>+N2574-O2574</f>
        <v>0.0</v>
      </c>
      <c r="Q2574" s="57"/>
      <c r="R2574" s="58"/>
    </row>
    <row r="2575" spans="8:8" ht="15.0" customHeight="1">
      <c r="B2575" s="54">
        <v>2719.0</v>
      </c>
      <c r="C2575" s="8"/>
      <c r="D2575" s="8"/>
      <c r="E2575" s="8"/>
      <c r="F2575" s="8"/>
      <c r="G2575" s="8"/>
      <c r="H2575" s="8"/>
      <c r="I2575" s="55"/>
      <c r="J2575" s="78" t="s">
        <v>6490</v>
      </c>
      <c r="K2575" s="22">
        <v>0.0</v>
      </c>
      <c r="L2575" s="22">
        <f>+SUMIF('حركه المخزن الرئيسي اليوميه'!$F:$F,$H:$H,'حركه المخزن الرئيسي اليوميه'!$H:$H)</f>
        <v>0.0</v>
      </c>
      <c r="M2575" s="22">
        <f>+SUMIF('حركه المخزن الرئيسي اليوميه'!$F:$F,$H:$H,'حركه المخزن الرئيسي اليوميه'!$I:$I)</f>
        <v>0.0</v>
      </c>
      <c r="N2575" s="22">
        <f>+K2575+L2575-M2575</f>
        <v>0.0</v>
      </c>
      <c r="O2575" s="22">
        <f>+N2575</f>
        <v>0.0</v>
      </c>
      <c r="P2575" s="22">
        <f>+N2575-O2575</f>
        <v>0.0</v>
      </c>
      <c r="Q2575" s="57"/>
      <c r="R2575" s="58"/>
    </row>
    <row r="2576" spans="8:8" ht="15.0" customHeight="1">
      <c r="B2576" s="54">
        <v>2720.0</v>
      </c>
      <c r="C2576" s="8"/>
      <c r="D2576" s="8"/>
      <c r="E2576" s="8"/>
      <c r="F2576" s="8"/>
      <c r="G2576" s="8"/>
      <c r="H2576" s="8"/>
      <c r="I2576" s="55"/>
      <c r="J2576" s="78" t="s">
        <v>6491</v>
      </c>
      <c r="K2576" s="22">
        <v>0.0</v>
      </c>
      <c r="L2576" s="22">
        <f>+SUMIF('حركه المخزن الرئيسي اليوميه'!$F:$F,$H:$H,'حركه المخزن الرئيسي اليوميه'!$H:$H)</f>
        <v>0.0</v>
      </c>
      <c r="M2576" s="22">
        <f>+SUMIF('حركه المخزن الرئيسي اليوميه'!$F:$F,$H:$H,'حركه المخزن الرئيسي اليوميه'!$I:$I)</f>
        <v>0.0</v>
      </c>
      <c r="N2576" s="22">
        <f>+K2576+L2576-M2576</f>
        <v>0.0</v>
      </c>
      <c r="O2576" s="22">
        <f>+N2576</f>
        <v>0.0</v>
      </c>
      <c r="P2576" s="22">
        <f>+N2576-O2576</f>
        <v>0.0</v>
      </c>
      <c r="Q2576" s="57"/>
      <c r="R2576" s="58"/>
    </row>
    <row r="2577" spans="8:8" ht="15.0" customHeight="1">
      <c r="B2577" s="54">
        <v>2721.0</v>
      </c>
      <c r="C2577" s="8"/>
      <c r="D2577" s="8"/>
      <c r="E2577" s="8"/>
      <c r="F2577" s="8"/>
      <c r="G2577" s="8"/>
      <c r="H2577" s="8"/>
      <c r="I2577" s="55"/>
      <c r="J2577" s="78" t="s">
        <v>6492</v>
      </c>
      <c r="K2577" s="22">
        <v>0.0</v>
      </c>
      <c r="L2577" s="22">
        <f>+SUMIF('حركه المخزن الرئيسي اليوميه'!$F:$F,$H:$H,'حركه المخزن الرئيسي اليوميه'!$H:$H)</f>
        <v>0.0</v>
      </c>
      <c r="M2577" s="22">
        <f>+SUMIF('حركه المخزن الرئيسي اليوميه'!$F:$F,$H:$H,'حركه المخزن الرئيسي اليوميه'!$I:$I)</f>
        <v>0.0</v>
      </c>
      <c r="N2577" s="22">
        <f>+K2577+L2577-M2577</f>
        <v>0.0</v>
      </c>
      <c r="O2577" s="22">
        <f>+N2577</f>
        <v>0.0</v>
      </c>
      <c r="P2577" s="22">
        <f>+N2577-O2577</f>
        <v>0.0</v>
      </c>
      <c r="Q2577" s="57"/>
      <c r="R2577" s="58"/>
    </row>
    <row r="2578" spans="8:8" ht="15.0" customHeight="1">
      <c r="B2578" s="54">
        <v>2722.0</v>
      </c>
      <c r="C2578" s="8"/>
      <c r="D2578" s="8"/>
      <c r="E2578" s="8"/>
      <c r="F2578" s="8"/>
      <c r="G2578" s="8"/>
      <c r="H2578" s="8"/>
      <c r="I2578" s="55"/>
      <c r="J2578" s="78" t="s">
        <v>6493</v>
      </c>
      <c r="K2578" s="22">
        <v>0.0</v>
      </c>
      <c r="L2578" s="22">
        <f>+SUMIF('حركه المخزن الرئيسي اليوميه'!$F:$F,$H:$H,'حركه المخزن الرئيسي اليوميه'!$H:$H)</f>
        <v>0.0</v>
      </c>
      <c r="M2578" s="22">
        <f>+SUMIF('حركه المخزن الرئيسي اليوميه'!$F:$F,$H:$H,'حركه المخزن الرئيسي اليوميه'!$I:$I)</f>
        <v>0.0</v>
      </c>
      <c r="N2578" s="22">
        <f>+K2578+L2578-M2578</f>
        <v>0.0</v>
      </c>
      <c r="O2578" s="22">
        <f>+N2578</f>
        <v>0.0</v>
      </c>
      <c r="P2578" s="22">
        <f>+N2578-O2578</f>
        <v>0.0</v>
      </c>
      <c r="Q2578" s="57"/>
      <c r="R2578" s="58"/>
    </row>
    <row r="2579" spans="8:8" ht="15.0" customHeight="1">
      <c r="B2579" s="54">
        <v>2723.0</v>
      </c>
      <c r="C2579" s="8"/>
      <c r="D2579" s="8"/>
      <c r="E2579" s="8"/>
      <c r="F2579" s="8"/>
      <c r="G2579" s="8"/>
      <c r="H2579" s="8"/>
      <c r="I2579" s="55"/>
      <c r="J2579" s="78" t="s">
        <v>6494</v>
      </c>
      <c r="K2579" s="22">
        <v>0.0</v>
      </c>
      <c r="L2579" s="22">
        <f>+SUMIF('حركه المخزن الرئيسي اليوميه'!$F:$F,$H:$H,'حركه المخزن الرئيسي اليوميه'!$H:$H)</f>
        <v>0.0</v>
      </c>
      <c r="M2579" s="22">
        <f>+SUMIF('حركه المخزن الرئيسي اليوميه'!$F:$F,$H:$H,'حركه المخزن الرئيسي اليوميه'!$I:$I)</f>
        <v>0.0</v>
      </c>
      <c r="N2579" s="22">
        <f>+K2579+L2579-M2579</f>
        <v>0.0</v>
      </c>
      <c r="O2579" s="22">
        <f>+N2579</f>
        <v>0.0</v>
      </c>
      <c r="P2579" s="22">
        <f>+N2579-O2579</f>
        <v>0.0</v>
      </c>
      <c r="Q2579" s="57"/>
      <c r="R2579" s="58"/>
    </row>
    <row r="2580" spans="8:8" ht="15.0" customHeight="1">
      <c r="B2580" s="54">
        <v>2724.0</v>
      </c>
      <c r="C2580" s="8"/>
      <c r="D2580" s="8"/>
      <c r="E2580" s="8"/>
      <c r="F2580" s="8"/>
      <c r="G2580" s="8"/>
      <c r="H2580" s="8"/>
      <c r="I2580" s="55"/>
      <c r="J2580" s="78" t="s">
        <v>6495</v>
      </c>
      <c r="K2580" s="22">
        <v>0.0</v>
      </c>
      <c r="L2580" s="22">
        <f>+SUMIF('حركه المخزن الرئيسي اليوميه'!$F:$F,$H:$H,'حركه المخزن الرئيسي اليوميه'!$H:$H)</f>
        <v>0.0</v>
      </c>
      <c r="M2580" s="22">
        <f>+SUMIF('حركه المخزن الرئيسي اليوميه'!$F:$F,$H:$H,'حركه المخزن الرئيسي اليوميه'!$I:$I)</f>
        <v>0.0</v>
      </c>
      <c r="N2580" s="22">
        <f>+K2580+L2580-M2580</f>
        <v>0.0</v>
      </c>
      <c r="O2580" s="22">
        <f>+N2580</f>
        <v>0.0</v>
      </c>
      <c r="P2580" s="22">
        <f>+N2580-O2580</f>
        <v>0.0</v>
      </c>
      <c r="Q2580" s="57"/>
      <c r="R2580" s="58"/>
    </row>
    <row r="2581" spans="8:8" ht="15.0" customHeight="1">
      <c r="B2581" s="54">
        <v>2725.0</v>
      </c>
      <c r="C2581" s="8"/>
      <c r="D2581" s="8"/>
      <c r="E2581" s="8"/>
      <c r="F2581" s="8"/>
      <c r="G2581" s="8"/>
      <c r="H2581" s="8"/>
      <c r="I2581" s="55"/>
      <c r="J2581" s="78" t="s">
        <v>6496</v>
      </c>
      <c r="K2581" s="22">
        <v>0.0</v>
      </c>
      <c r="L2581" s="22">
        <f>+SUMIF('حركه المخزن الرئيسي اليوميه'!$F:$F,$H:$H,'حركه المخزن الرئيسي اليوميه'!$H:$H)</f>
        <v>0.0</v>
      </c>
      <c r="M2581" s="22">
        <f>+SUMIF('حركه المخزن الرئيسي اليوميه'!$F:$F,$H:$H,'حركه المخزن الرئيسي اليوميه'!$I:$I)</f>
        <v>0.0</v>
      </c>
      <c r="N2581" s="22">
        <f>+K2581+L2581-M2581</f>
        <v>0.0</v>
      </c>
      <c r="O2581" s="22">
        <f>+N2581</f>
        <v>0.0</v>
      </c>
      <c r="P2581" s="22">
        <f>+N2581-O2581</f>
        <v>0.0</v>
      </c>
      <c r="Q2581" s="57"/>
      <c r="R2581" s="58"/>
    </row>
    <row r="2582" spans="8:8" ht="15.0" customHeight="1">
      <c r="B2582" s="54">
        <v>2726.0</v>
      </c>
      <c r="C2582" s="8"/>
      <c r="D2582" s="8"/>
      <c r="E2582" s="8"/>
      <c r="F2582" s="8"/>
      <c r="G2582" s="8"/>
      <c r="H2582" s="8"/>
      <c r="I2582" s="55"/>
      <c r="J2582" s="78" t="s">
        <v>6497</v>
      </c>
      <c r="K2582" s="22">
        <v>0.0</v>
      </c>
      <c r="L2582" s="22">
        <f>+SUMIF('حركه المخزن الرئيسي اليوميه'!$F:$F,$H:$H,'حركه المخزن الرئيسي اليوميه'!$H:$H)</f>
        <v>0.0</v>
      </c>
      <c r="M2582" s="22">
        <f>+SUMIF('حركه المخزن الرئيسي اليوميه'!$F:$F,$H:$H,'حركه المخزن الرئيسي اليوميه'!$I:$I)</f>
        <v>0.0</v>
      </c>
      <c r="N2582" s="22">
        <f>+K2582+L2582-M2582</f>
        <v>0.0</v>
      </c>
      <c r="O2582" s="22">
        <f>+N2582</f>
        <v>0.0</v>
      </c>
      <c r="P2582" s="22">
        <f>+N2582-O2582</f>
        <v>0.0</v>
      </c>
      <c r="Q2582" s="57"/>
      <c r="R2582" s="58"/>
    </row>
    <row r="2583" spans="8:8" ht="15.0" customHeight="1">
      <c r="B2583" s="54">
        <v>2727.0</v>
      </c>
      <c r="C2583" s="8"/>
      <c r="D2583" s="8"/>
      <c r="E2583" s="8"/>
      <c r="F2583" s="8"/>
      <c r="G2583" s="8"/>
      <c r="H2583" s="8"/>
      <c r="I2583" s="55"/>
      <c r="J2583" s="78" t="s">
        <v>6498</v>
      </c>
      <c r="K2583" s="22">
        <v>0.0</v>
      </c>
      <c r="L2583" s="22">
        <f>+SUMIF('حركه المخزن الرئيسي اليوميه'!$F:$F,$H:$H,'حركه المخزن الرئيسي اليوميه'!$H:$H)</f>
        <v>0.0</v>
      </c>
      <c r="M2583" s="22">
        <f>+SUMIF('حركه المخزن الرئيسي اليوميه'!$F:$F,$H:$H,'حركه المخزن الرئيسي اليوميه'!$I:$I)</f>
        <v>0.0</v>
      </c>
      <c r="N2583" s="22">
        <f>+K2583+L2583-M2583</f>
        <v>0.0</v>
      </c>
      <c r="O2583" s="22">
        <f>+N2583</f>
        <v>0.0</v>
      </c>
      <c r="P2583" s="22">
        <f>+N2583-O2583</f>
        <v>0.0</v>
      </c>
      <c r="Q2583" s="57"/>
      <c r="R2583" s="58"/>
    </row>
    <row r="2584" spans="8:8" ht="15.0" customHeight="1">
      <c r="B2584" s="54">
        <v>2728.0</v>
      </c>
      <c r="C2584" s="8"/>
      <c r="D2584" s="8"/>
      <c r="E2584" s="8"/>
      <c r="F2584" s="8"/>
      <c r="G2584" s="8"/>
      <c r="H2584" s="8"/>
      <c r="I2584" s="55"/>
      <c r="J2584" s="78" t="s">
        <v>6499</v>
      </c>
      <c r="K2584" s="22">
        <v>0.0</v>
      </c>
      <c r="L2584" s="22">
        <f>+SUMIF('حركه المخزن الرئيسي اليوميه'!$F:$F,$H:$H,'حركه المخزن الرئيسي اليوميه'!$H:$H)</f>
        <v>0.0</v>
      </c>
      <c r="M2584" s="22">
        <f>+SUMIF('حركه المخزن الرئيسي اليوميه'!$F:$F,$H:$H,'حركه المخزن الرئيسي اليوميه'!$I:$I)</f>
        <v>0.0</v>
      </c>
      <c r="N2584" s="22">
        <f>+K2584+L2584-M2584</f>
        <v>0.0</v>
      </c>
      <c r="O2584" s="22">
        <f>+N2584</f>
        <v>0.0</v>
      </c>
      <c r="P2584" s="22">
        <f>+N2584-O2584</f>
        <v>0.0</v>
      </c>
      <c r="Q2584" s="57"/>
      <c r="R2584" s="58"/>
    </row>
    <row r="2585" spans="8:8" ht="15.0" customHeight="1">
      <c r="B2585" s="54">
        <v>2729.0</v>
      </c>
      <c r="C2585" s="8"/>
      <c r="D2585" s="8"/>
      <c r="E2585" s="8"/>
      <c r="F2585" s="8"/>
      <c r="G2585" s="8"/>
      <c r="H2585" s="8"/>
      <c r="I2585" s="55"/>
      <c r="J2585" s="78" t="s">
        <v>6500</v>
      </c>
      <c r="K2585" s="22">
        <v>0.0</v>
      </c>
      <c r="L2585" s="22">
        <f>+SUMIF('حركه المخزن الرئيسي اليوميه'!$F:$F,$H:$H,'حركه المخزن الرئيسي اليوميه'!$H:$H)</f>
        <v>0.0</v>
      </c>
      <c r="M2585" s="22">
        <f>+SUMIF('حركه المخزن الرئيسي اليوميه'!$F:$F,$H:$H,'حركه المخزن الرئيسي اليوميه'!$I:$I)</f>
        <v>0.0</v>
      </c>
      <c r="N2585" s="22">
        <f>+K2585+L2585-M2585</f>
        <v>0.0</v>
      </c>
      <c r="O2585" s="22">
        <f>+N2585</f>
        <v>0.0</v>
      </c>
      <c r="P2585" s="22">
        <f>+N2585-O2585</f>
        <v>0.0</v>
      </c>
      <c r="Q2585" s="57"/>
      <c r="R2585" s="58"/>
    </row>
    <row r="2586" spans="8:8" ht="15.0" customHeight="1">
      <c r="B2586" s="54">
        <v>2730.0</v>
      </c>
      <c r="C2586" s="8"/>
      <c r="D2586" s="8"/>
      <c r="E2586" s="8"/>
      <c r="F2586" s="8"/>
      <c r="G2586" s="8"/>
      <c r="H2586" s="8"/>
      <c r="I2586" s="55"/>
      <c r="J2586" s="78" t="s">
        <v>6501</v>
      </c>
      <c r="K2586" s="22">
        <v>0.0</v>
      </c>
      <c r="L2586" s="22">
        <f>+SUMIF('حركه المخزن الرئيسي اليوميه'!$F:$F,$H:$H,'حركه المخزن الرئيسي اليوميه'!$H:$H)</f>
        <v>0.0</v>
      </c>
      <c r="M2586" s="22">
        <f>+SUMIF('حركه المخزن الرئيسي اليوميه'!$F:$F,$H:$H,'حركه المخزن الرئيسي اليوميه'!$I:$I)</f>
        <v>0.0</v>
      </c>
      <c r="N2586" s="22">
        <f>+K2586+L2586-M2586</f>
        <v>0.0</v>
      </c>
      <c r="O2586" s="22">
        <f>+N2586</f>
        <v>0.0</v>
      </c>
      <c r="P2586" s="22">
        <f>+N2586-O2586</f>
        <v>0.0</v>
      </c>
      <c r="Q2586" s="57"/>
      <c r="R2586" s="58"/>
    </row>
    <row r="2587" spans="8:8" ht="15.0" customHeight="1">
      <c r="B2587" s="54">
        <v>2731.0</v>
      </c>
      <c r="C2587" s="8"/>
      <c r="D2587" s="8"/>
      <c r="E2587" s="8"/>
      <c r="F2587" s="8"/>
      <c r="G2587" s="8"/>
      <c r="H2587" s="8"/>
      <c r="I2587" s="55"/>
      <c r="J2587" s="78" t="s">
        <v>6502</v>
      </c>
      <c r="K2587" s="22">
        <v>0.0</v>
      </c>
      <c r="L2587" s="22">
        <f>+SUMIF('حركه المخزن الرئيسي اليوميه'!$F:$F,$H:$H,'حركه المخزن الرئيسي اليوميه'!$H:$H)</f>
        <v>0.0</v>
      </c>
      <c r="M2587" s="22">
        <f>+SUMIF('حركه المخزن الرئيسي اليوميه'!$F:$F,$H:$H,'حركه المخزن الرئيسي اليوميه'!$I:$I)</f>
        <v>0.0</v>
      </c>
      <c r="N2587" s="22">
        <f>+K2587+L2587-M2587</f>
        <v>0.0</v>
      </c>
      <c r="O2587" s="22">
        <f>+N2587</f>
        <v>0.0</v>
      </c>
      <c r="P2587" s="22">
        <f>+N2587-O2587</f>
        <v>0.0</v>
      </c>
      <c r="Q2587" s="57"/>
      <c r="R2587" s="58"/>
    </row>
    <row r="2588" spans="8:8" ht="15.0" customHeight="1">
      <c r="B2588" s="54">
        <v>2732.0</v>
      </c>
      <c r="C2588" s="8"/>
      <c r="D2588" s="8"/>
      <c r="E2588" s="8"/>
      <c r="F2588" s="8"/>
      <c r="G2588" s="8"/>
      <c r="H2588" s="8"/>
      <c r="I2588" s="55"/>
      <c r="J2588" s="78" t="s">
        <v>6503</v>
      </c>
      <c r="K2588" s="22">
        <v>0.0</v>
      </c>
      <c r="L2588" s="22">
        <f>+SUMIF('حركه المخزن الرئيسي اليوميه'!$F:$F,$H:$H,'حركه المخزن الرئيسي اليوميه'!$H:$H)</f>
        <v>0.0</v>
      </c>
      <c r="M2588" s="22">
        <f>+SUMIF('حركه المخزن الرئيسي اليوميه'!$F:$F,$H:$H,'حركه المخزن الرئيسي اليوميه'!$I:$I)</f>
        <v>0.0</v>
      </c>
      <c r="N2588" s="22">
        <f>+K2588+L2588-M2588</f>
        <v>0.0</v>
      </c>
      <c r="O2588" s="22">
        <f>+N2588</f>
        <v>0.0</v>
      </c>
      <c r="P2588" s="22">
        <f>+N2588-O2588</f>
        <v>0.0</v>
      </c>
      <c r="Q2588" s="57"/>
      <c r="R2588" s="58"/>
    </row>
    <row r="2589" spans="8:8" ht="15.0" customHeight="1">
      <c r="B2589" s="54">
        <v>2733.0</v>
      </c>
      <c r="C2589" s="8"/>
      <c r="D2589" s="8"/>
      <c r="E2589" s="8"/>
      <c r="F2589" s="8"/>
      <c r="G2589" s="8"/>
      <c r="H2589" s="8"/>
      <c r="I2589" s="55"/>
      <c r="J2589" s="78" t="s">
        <v>6504</v>
      </c>
      <c r="K2589" s="22">
        <v>0.0</v>
      </c>
      <c r="L2589" s="22">
        <f>+SUMIF('حركه المخزن الرئيسي اليوميه'!$F:$F,$H:$H,'حركه المخزن الرئيسي اليوميه'!$H:$H)</f>
        <v>0.0</v>
      </c>
      <c r="M2589" s="22">
        <f>+SUMIF('حركه المخزن الرئيسي اليوميه'!$F:$F,$H:$H,'حركه المخزن الرئيسي اليوميه'!$I:$I)</f>
        <v>0.0</v>
      </c>
      <c r="N2589" s="22">
        <f>+K2589+L2589-M2589</f>
        <v>0.0</v>
      </c>
      <c r="O2589" s="22">
        <f>+N2589</f>
        <v>0.0</v>
      </c>
      <c r="P2589" s="22">
        <f>+N2589-O2589</f>
        <v>0.0</v>
      </c>
      <c r="Q2589" s="57"/>
      <c r="R2589" s="58"/>
    </row>
    <row r="2590" spans="8:8" ht="15.0" customHeight="1">
      <c r="B2590" s="54">
        <v>2734.0</v>
      </c>
      <c r="C2590" s="8"/>
      <c r="D2590" s="8"/>
      <c r="E2590" s="8"/>
      <c r="F2590" s="8"/>
      <c r="G2590" s="8"/>
      <c r="H2590" s="8"/>
      <c r="I2590" s="55"/>
      <c r="J2590" s="78" t="s">
        <v>6505</v>
      </c>
      <c r="K2590" s="22">
        <v>0.0</v>
      </c>
      <c r="L2590" s="22">
        <f>+SUMIF('حركه المخزن الرئيسي اليوميه'!$F:$F,$H:$H,'حركه المخزن الرئيسي اليوميه'!$H:$H)</f>
        <v>0.0</v>
      </c>
      <c r="M2590" s="22">
        <f>+SUMIF('حركه المخزن الرئيسي اليوميه'!$F:$F,$H:$H,'حركه المخزن الرئيسي اليوميه'!$I:$I)</f>
        <v>0.0</v>
      </c>
      <c r="N2590" s="22">
        <f>+K2590+L2590-M2590</f>
        <v>0.0</v>
      </c>
      <c r="O2590" s="22">
        <f>+N2590</f>
        <v>0.0</v>
      </c>
      <c r="P2590" s="22">
        <f>+N2590-O2590</f>
        <v>0.0</v>
      </c>
      <c r="Q2590" s="57"/>
      <c r="R2590" s="58"/>
    </row>
    <row r="2591" spans="8:8" ht="15.0" customHeight="1">
      <c r="B2591" s="54">
        <v>2735.0</v>
      </c>
      <c r="C2591" s="8"/>
      <c r="D2591" s="8"/>
      <c r="E2591" s="8"/>
      <c r="F2591" s="8"/>
      <c r="G2591" s="8"/>
      <c r="H2591" s="8"/>
      <c r="I2591" s="55"/>
      <c r="J2591" s="78" t="s">
        <v>6506</v>
      </c>
      <c r="K2591" s="22">
        <v>0.0</v>
      </c>
      <c r="L2591" s="22">
        <f>+SUMIF('حركه المخزن الرئيسي اليوميه'!$F:$F,$H:$H,'حركه المخزن الرئيسي اليوميه'!$H:$H)</f>
        <v>0.0</v>
      </c>
      <c r="M2591" s="22">
        <f>+SUMIF('حركه المخزن الرئيسي اليوميه'!$F:$F,$H:$H,'حركه المخزن الرئيسي اليوميه'!$I:$I)</f>
        <v>0.0</v>
      </c>
      <c r="N2591" s="22">
        <f>+K2591+L2591-M2591</f>
        <v>0.0</v>
      </c>
      <c r="O2591" s="22">
        <f>+N2591</f>
        <v>0.0</v>
      </c>
      <c r="P2591" s="22">
        <f>+N2591-O2591</f>
        <v>0.0</v>
      </c>
      <c r="Q2591" s="57"/>
      <c r="R2591" s="58"/>
    </row>
    <row r="2592" spans="8:8" ht="15.0" customHeight="1">
      <c r="B2592" s="54">
        <v>2736.0</v>
      </c>
      <c r="C2592" s="8"/>
      <c r="D2592" s="8"/>
      <c r="E2592" s="8"/>
      <c r="F2592" s="8"/>
      <c r="G2592" s="8"/>
      <c r="H2592" s="8"/>
      <c r="I2592" s="55"/>
      <c r="J2592" s="78" t="s">
        <v>6507</v>
      </c>
      <c r="K2592" s="22">
        <v>0.0</v>
      </c>
      <c r="L2592" s="22">
        <f>+SUMIF('حركه المخزن الرئيسي اليوميه'!$F:$F,$H:$H,'حركه المخزن الرئيسي اليوميه'!$H:$H)</f>
        <v>0.0</v>
      </c>
      <c r="M2592" s="22">
        <f>+SUMIF('حركه المخزن الرئيسي اليوميه'!$F:$F,$H:$H,'حركه المخزن الرئيسي اليوميه'!$I:$I)</f>
        <v>0.0</v>
      </c>
      <c r="N2592" s="22">
        <f>+K2592+L2592-M2592</f>
        <v>0.0</v>
      </c>
      <c r="O2592" s="22">
        <f>+N2592</f>
        <v>0.0</v>
      </c>
      <c r="P2592" s="22">
        <f>+N2592-O2592</f>
        <v>0.0</v>
      </c>
      <c r="Q2592" s="57"/>
      <c r="R2592" s="58"/>
    </row>
    <row r="2593" spans="8:8" ht="15.0" customHeight="1">
      <c r="B2593" s="54">
        <v>2737.0</v>
      </c>
      <c r="C2593" s="8"/>
      <c r="D2593" s="8"/>
      <c r="E2593" s="8"/>
      <c r="F2593" s="8"/>
      <c r="G2593" s="8"/>
      <c r="H2593" s="8"/>
      <c r="I2593" s="55"/>
      <c r="J2593" s="78" t="s">
        <v>6508</v>
      </c>
      <c r="K2593" s="22">
        <v>0.0</v>
      </c>
      <c r="L2593" s="22">
        <f>+SUMIF('حركه المخزن الرئيسي اليوميه'!$F:$F,$H:$H,'حركه المخزن الرئيسي اليوميه'!$H:$H)</f>
        <v>0.0</v>
      </c>
      <c r="M2593" s="22">
        <f>+SUMIF('حركه المخزن الرئيسي اليوميه'!$F:$F,$H:$H,'حركه المخزن الرئيسي اليوميه'!$I:$I)</f>
        <v>0.0</v>
      </c>
      <c r="N2593" s="22">
        <f>+K2593+L2593-M2593</f>
        <v>0.0</v>
      </c>
      <c r="O2593" s="22">
        <f>+N2593</f>
        <v>0.0</v>
      </c>
      <c r="P2593" s="22">
        <f>+N2593-O2593</f>
        <v>0.0</v>
      </c>
      <c r="Q2593" s="57"/>
      <c r="R2593" s="58"/>
    </row>
    <row r="2594" spans="8:8" ht="15.0" customHeight="1">
      <c r="B2594" s="54">
        <v>2738.0</v>
      </c>
      <c r="C2594" s="8"/>
      <c r="D2594" s="8"/>
      <c r="E2594" s="8"/>
      <c r="F2594" s="8"/>
      <c r="G2594" s="8"/>
      <c r="H2594" s="8"/>
      <c r="I2594" s="55"/>
      <c r="J2594" s="78" t="s">
        <v>6509</v>
      </c>
      <c r="K2594" s="22">
        <v>0.0</v>
      </c>
      <c r="L2594" s="22">
        <f>+SUMIF('حركه المخزن الرئيسي اليوميه'!$F:$F,$H:$H,'حركه المخزن الرئيسي اليوميه'!$H:$H)</f>
        <v>0.0</v>
      </c>
      <c r="M2594" s="22">
        <f>+SUMIF('حركه المخزن الرئيسي اليوميه'!$F:$F,$H:$H,'حركه المخزن الرئيسي اليوميه'!$I:$I)</f>
        <v>0.0</v>
      </c>
      <c r="N2594" s="22">
        <f>+K2594+L2594-M2594</f>
        <v>0.0</v>
      </c>
      <c r="O2594" s="22">
        <f>+N2594</f>
        <v>0.0</v>
      </c>
      <c r="P2594" s="22">
        <f>+N2594-O2594</f>
        <v>0.0</v>
      </c>
      <c r="Q2594" s="57"/>
      <c r="R2594" s="58"/>
    </row>
    <row r="2595" spans="8:8" ht="15.0" customHeight="1">
      <c r="B2595" s="54">
        <v>2739.0</v>
      </c>
      <c r="C2595" s="8"/>
      <c r="D2595" s="8"/>
      <c r="E2595" s="8"/>
      <c r="F2595" s="8"/>
      <c r="G2595" s="8"/>
      <c r="H2595" s="8"/>
      <c r="I2595" s="55"/>
      <c r="J2595" s="78" t="s">
        <v>6510</v>
      </c>
      <c r="K2595" s="22">
        <v>0.0</v>
      </c>
      <c r="L2595" s="22">
        <f>+SUMIF('حركه المخزن الرئيسي اليوميه'!$F:$F,$H:$H,'حركه المخزن الرئيسي اليوميه'!$H:$H)</f>
        <v>0.0</v>
      </c>
      <c r="M2595" s="22">
        <f>+SUMIF('حركه المخزن الرئيسي اليوميه'!$F:$F,$H:$H,'حركه المخزن الرئيسي اليوميه'!$I:$I)</f>
        <v>0.0</v>
      </c>
      <c r="N2595" s="22">
        <f>+K2595+L2595-M2595</f>
        <v>0.0</v>
      </c>
      <c r="O2595" s="22">
        <f>+N2595</f>
        <v>0.0</v>
      </c>
      <c r="P2595" s="22">
        <f>+N2595-O2595</f>
        <v>0.0</v>
      </c>
      <c r="Q2595" s="57"/>
      <c r="R2595" s="58"/>
    </row>
    <row r="2596" spans="8:8" ht="15.0" customHeight="1">
      <c r="B2596" s="54">
        <v>2740.0</v>
      </c>
      <c r="C2596" s="8"/>
      <c r="D2596" s="8"/>
      <c r="E2596" s="8"/>
      <c r="F2596" s="8"/>
      <c r="G2596" s="8"/>
      <c r="H2596" s="8"/>
      <c r="I2596" s="55"/>
      <c r="J2596" s="78" t="s">
        <v>6511</v>
      </c>
      <c r="K2596" s="22">
        <v>0.0</v>
      </c>
      <c r="L2596" s="22">
        <f>+SUMIF('حركه المخزن الرئيسي اليوميه'!$F:$F,$H:$H,'حركه المخزن الرئيسي اليوميه'!$H:$H)</f>
        <v>0.0</v>
      </c>
      <c r="M2596" s="22">
        <f>+SUMIF('حركه المخزن الرئيسي اليوميه'!$F:$F,$H:$H,'حركه المخزن الرئيسي اليوميه'!$I:$I)</f>
        <v>0.0</v>
      </c>
      <c r="N2596" s="22">
        <f>+K2596+L2596-M2596</f>
        <v>0.0</v>
      </c>
      <c r="O2596" s="22">
        <f>+N2596</f>
        <v>0.0</v>
      </c>
      <c r="P2596" s="22">
        <f>+N2596-O2596</f>
        <v>0.0</v>
      </c>
      <c r="Q2596" s="57"/>
      <c r="R2596" s="58"/>
    </row>
    <row r="2597" spans="8:8" ht="15.0" customHeight="1">
      <c r="B2597" s="54">
        <v>2741.0</v>
      </c>
      <c r="C2597" s="8"/>
      <c r="D2597" s="8"/>
      <c r="E2597" s="8"/>
      <c r="F2597" s="8"/>
      <c r="G2597" s="8"/>
      <c r="H2597" s="8"/>
      <c r="I2597" s="55"/>
      <c r="J2597" s="78" t="s">
        <v>6512</v>
      </c>
      <c r="K2597" s="22">
        <v>0.0</v>
      </c>
      <c r="L2597" s="22">
        <f>+SUMIF('حركه المخزن الرئيسي اليوميه'!$F:$F,$H:$H,'حركه المخزن الرئيسي اليوميه'!$H:$H)</f>
        <v>0.0</v>
      </c>
      <c r="M2597" s="22">
        <f>+SUMIF('حركه المخزن الرئيسي اليوميه'!$F:$F,$H:$H,'حركه المخزن الرئيسي اليوميه'!$I:$I)</f>
        <v>0.0</v>
      </c>
      <c r="N2597" s="22">
        <f>+K2597+L2597-M2597</f>
        <v>0.0</v>
      </c>
      <c r="O2597" s="22">
        <f>+N2597</f>
        <v>0.0</v>
      </c>
      <c r="P2597" s="22">
        <f>+N2597-O2597</f>
        <v>0.0</v>
      </c>
      <c r="Q2597" s="57"/>
      <c r="R2597" s="58"/>
    </row>
    <row r="2598" spans="8:8" ht="15.0" customHeight="1">
      <c r="B2598" s="54">
        <v>2742.0</v>
      </c>
      <c r="C2598" s="8"/>
      <c r="D2598" s="8"/>
      <c r="E2598" s="8"/>
      <c r="F2598" s="8"/>
      <c r="G2598" s="8"/>
      <c r="H2598" s="8"/>
      <c r="I2598" s="55"/>
      <c r="J2598" s="78" t="s">
        <v>6513</v>
      </c>
      <c r="K2598" s="22">
        <v>0.0</v>
      </c>
      <c r="L2598" s="22">
        <f>+SUMIF('حركه المخزن الرئيسي اليوميه'!$F:$F,$H:$H,'حركه المخزن الرئيسي اليوميه'!$H:$H)</f>
        <v>0.0</v>
      </c>
      <c r="M2598" s="22">
        <f>+SUMIF('حركه المخزن الرئيسي اليوميه'!$F:$F,$H:$H,'حركه المخزن الرئيسي اليوميه'!$I:$I)</f>
        <v>0.0</v>
      </c>
      <c r="N2598" s="22">
        <f>+K2598+L2598-M2598</f>
        <v>0.0</v>
      </c>
      <c r="O2598" s="22">
        <f>+N2598</f>
        <v>0.0</v>
      </c>
      <c r="P2598" s="22">
        <f>+N2598-O2598</f>
        <v>0.0</v>
      </c>
      <c r="Q2598" s="57"/>
      <c r="R2598" s="58"/>
    </row>
    <row r="2599" spans="8:8" ht="15.0" customHeight="1">
      <c r="B2599" s="54">
        <v>2743.0</v>
      </c>
      <c r="C2599" s="8"/>
      <c r="D2599" s="8"/>
      <c r="E2599" s="8"/>
      <c r="F2599" s="8"/>
      <c r="G2599" s="8"/>
      <c r="H2599" s="8"/>
      <c r="I2599" s="55"/>
      <c r="J2599" s="78" t="s">
        <v>6514</v>
      </c>
      <c r="K2599" s="22">
        <v>0.0</v>
      </c>
      <c r="L2599" s="22">
        <f>+SUMIF('حركه المخزن الرئيسي اليوميه'!$F:$F,$H:$H,'حركه المخزن الرئيسي اليوميه'!$H:$H)</f>
        <v>0.0</v>
      </c>
      <c r="M2599" s="22">
        <f>+SUMIF('حركه المخزن الرئيسي اليوميه'!$F:$F,$H:$H,'حركه المخزن الرئيسي اليوميه'!$I:$I)</f>
        <v>0.0</v>
      </c>
      <c r="N2599" s="22">
        <f>+K2599+L2599-M2599</f>
        <v>0.0</v>
      </c>
      <c r="O2599" s="22">
        <f>+N2599</f>
        <v>0.0</v>
      </c>
      <c r="P2599" s="22">
        <f>+N2599-O2599</f>
        <v>0.0</v>
      </c>
      <c r="Q2599" s="57"/>
      <c r="R2599" s="58"/>
    </row>
    <row r="2600" spans="8:8" ht="15.0" customHeight="1">
      <c r="B2600" s="54">
        <v>2744.0</v>
      </c>
      <c r="C2600" s="8"/>
      <c r="D2600" s="8"/>
      <c r="E2600" s="8"/>
      <c r="F2600" s="8"/>
      <c r="G2600" s="8"/>
      <c r="H2600" s="8"/>
      <c r="I2600" s="55"/>
      <c r="J2600" s="78" t="s">
        <v>6515</v>
      </c>
      <c r="K2600" s="22">
        <v>0.0</v>
      </c>
      <c r="L2600" s="22">
        <f>+SUMIF('حركه المخزن الرئيسي اليوميه'!$F:$F,$H:$H,'حركه المخزن الرئيسي اليوميه'!$H:$H)</f>
        <v>0.0</v>
      </c>
      <c r="M2600" s="22">
        <f>+SUMIF('حركه المخزن الرئيسي اليوميه'!$F:$F,$H:$H,'حركه المخزن الرئيسي اليوميه'!$I:$I)</f>
        <v>0.0</v>
      </c>
      <c r="N2600" s="22">
        <f>+K2600+L2600-M2600</f>
        <v>0.0</v>
      </c>
      <c r="O2600" s="22">
        <f>+N2600</f>
        <v>0.0</v>
      </c>
      <c r="P2600" s="22">
        <f>+N2600-O2600</f>
        <v>0.0</v>
      </c>
      <c r="Q2600" s="57"/>
      <c r="R2600" s="58"/>
    </row>
    <row r="2601" spans="8:8" ht="15.0" customHeight="1">
      <c r="B2601" s="54">
        <v>2745.0</v>
      </c>
      <c r="C2601" s="8"/>
      <c r="D2601" s="8"/>
      <c r="E2601" s="8"/>
      <c r="F2601" s="8"/>
      <c r="G2601" s="8"/>
      <c r="H2601" s="8"/>
      <c r="I2601" s="55"/>
      <c r="J2601" s="78" t="s">
        <v>6516</v>
      </c>
      <c r="K2601" s="22">
        <v>0.0</v>
      </c>
      <c r="L2601" s="22">
        <f>+SUMIF('حركه المخزن الرئيسي اليوميه'!$F:$F,$H:$H,'حركه المخزن الرئيسي اليوميه'!$H:$H)</f>
        <v>0.0</v>
      </c>
      <c r="M2601" s="22">
        <f>+SUMIF('حركه المخزن الرئيسي اليوميه'!$F:$F,$H:$H,'حركه المخزن الرئيسي اليوميه'!$I:$I)</f>
        <v>0.0</v>
      </c>
      <c r="N2601" s="22">
        <f>+K2601+L2601-M2601</f>
        <v>0.0</v>
      </c>
      <c r="O2601" s="22">
        <f>+N2601</f>
        <v>0.0</v>
      </c>
      <c r="P2601" s="22">
        <f>+N2601-O2601</f>
        <v>0.0</v>
      </c>
      <c r="Q2601" s="57"/>
      <c r="R2601" s="58"/>
    </row>
    <row r="2602" spans="8:8" ht="15.0" customHeight="1">
      <c r="B2602" s="54">
        <v>2746.0</v>
      </c>
      <c r="C2602" s="8"/>
      <c r="D2602" s="8"/>
      <c r="E2602" s="8"/>
      <c r="F2602" s="8"/>
      <c r="G2602" s="8"/>
      <c r="H2602" s="8"/>
      <c r="I2602" s="55"/>
      <c r="J2602" s="78" t="s">
        <v>6517</v>
      </c>
      <c r="K2602" s="22">
        <v>0.0</v>
      </c>
      <c r="L2602" s="22">
        <f>+SUMIF('حركه المخزن الرئيسي اليوميه'!$F:$F,$H:$H,'حركه المخزن الرئيسي اليوميه'!$H:$H)</f>
        <v>0.0</v>
      </c>
      <c r="M2602" s="22">
        <f>+SUMIF('حركه المخزن الرئيسي اليوميه'!$F:$F,$H:$H,'حركه المخزن الرئيسي اليوميه'!$I:$I)</f>
        <v>0.0</v>
      </c>
      <c r="N2602" s="22">
        <f>+K2602+L2602-M2602</f>
        <v>0.0</v>
      </c>
      <c r="O2602" s="22">
        <f>+N2602</f>
        <v>0.0</v>
      </c>
      <c r="P2602" s="22">
        <f>+N2602-O2602</f>
        <v>0.0</v>
      </c>
      <c r="Q2602" s="57"/>
      <c r="R2602" s="58"/>
    </row>
    <row r="2603" spans="8:8" ht="15.0" customHeight="1">
      <c r="B2603" s="54">
        <v>2747.0</v>
      </c>
      <c r="C2603" s="8"/>
      <c r="D2603" s="8"/>
      <c r="E2603" s="8"/>
      <c r="F2603" s="8"/>
      <c r="G2603" s="8"/>
      <c r="H2603" s="8"/>
      <c r="I2603" s="55"/>
      <c r="J2603" s="78" t="s">
        <v>6518</v>
      </c>
      <c r="K2603" s="22">
        <v>0.0</v>
      </c>
      <c r="L2603" s="22">
        <f>+SUMIF('حركه المخزن الرئيسي اليوميه'!$F:$F,$H:$H,'حركه المخزن الرئيسي اليوميه'!$H:$H)</f>
        <v>0.0</v>
      </c>
      <c r="M2603" s="22">
        <f>+SUMIF('حركه المخزن الرئيسي اليوميه'!$F:$F,$H:$H,'حركه المخزن الرئيسي اليوميه'!$I:$I)</f>
        <v>0.0</v>
      </c>
      <c r="N2603" s="22">
        <f>+K2603+L2603-M2603</f>
        <v>0.0</v>
      </c>
      <c r="O2603" s="22">
        <f>+N2603</f>
        <v>0.0</v>
      </c>
      <c r="P2603" s="22">
        <f>+N2603-O2603</f>
        <v>0.0</v>
      </c>
      <c r="Q2603" s="57"/>
      <c r="R2603" s="58"/>
    </row>
    <row r="2604" spans="8:8" ht="15.0" customHeight="1">
      <c r="B2604" s="54">
        <v>2748.0</v>
      </c>
      <c r="C2604" s="8"/>
      <c r="D2604" s="8"/>
      <c r="E2604" s="8"/>
      <c r="F2604" s="8"/>
      <c r="G2604" s="8"/>
      <c r="H2604" s="8"/>
      <c r="I2604" s="55"/>
      <c r="J2604" s="78" t="s">
        <v>6519</v>
      </c>
      <c r="K2604" s="22">
        <v>0.0</v>
      </c>
      <c r="L2604" s="22">
        <f>+SUMIF('حركه المخزن الرئيسي اليوميه'!$F:$F,$H:$H,'حركه المخزن الرئيسي اليوميه'!$H:$H)</f>
        <v>0.0</v>
      </c>
      <c r="M2604" s="22">
        <f>+SUMIF('حركه المخزن الرئيسي اليوميه'!$F:$F,$H:$H,'حركه المخزن الرئيسي اليوميه'!$I:$I)</f>
        <v>0.0</v>
      </c>
      <c r="N2604" s="22">
        <f>+K2604+L2604-M2604</f>
        <v>0.0</v>
      </c>
      <c r="O2604" s="22">
        <f>+N2604</f>
        <v>0.0</v>
      </c>
      <c r="P2604" s="22">
        <f>+N2604-O2604</f>
        <v>0.0</v>
      </c>
      <c r="Q2604" s="57"/>
      <c r="R2604" s="58"/>
    </row>
    <row r="2605" spans="8:8" ht="15.0" customHeight="1">
      <c r="B2605" s="54">
        <v>2749.0</v>
      </c>
      <c r="C2605" s="8"/>
      <c r="D2605" s="8"/>
      <c r="E2605" s="8"/>
      <c r="F2605" s="8"/>
      <c r="G2605" s="8"/>
      <c r="H2605" s="8"/>
      <c r="I2605" s="55"/>
      <c r="J2605" s="78" t="s">
        <v>6520</v>
      </c>
      <c r="K2605" s="22">
        <v>0.0</v>
      </c>
      <c r="L2605" s="22">
        <f>+SUMIF('حركه المخزن الرئيسي اليوميه'!$F:$F,$H:$H,'حركه المخزن الرئيسي اليوميه'!$H:$H)</f>
        <v>0.0</v>
      </c>
      <c r="M2605" s="22">
        <f>+SUMIF('حركه المخزن الرئيسي اليوميه'!$F:$F,$H:$H,'حركه المخزن الرئيسي اليوميه'!$I:$I)</f>
        <v>0.0</v>
      </c>
      <c r="N2605" s="22">
        <f>+K2605+L2605-M2605</f>
        <v>0.0</v>
      </c>
      <c r="O2605" s="22">
        <f>+N2605</f>
        <v>0.0</v>
      </c>
      <c r="P2605" s="22">
        <f>+N2605-O2605</f>
        <v>0.0</v>
      </c>
      <c r="Q2605" s="57"/>
      <c r="R2605" s="58"/>
    </row>
    <row r="2606" spans="8:8" ht="15.0" customHeight="1">
      <c r="B2606" s="54">
        <v>2750.0</v>
      </c>
      <c r="C2606" s="8"/>
      <c r="D2606" s="8"/>
      <c r="E2606" s="8"/>
      <c r="F2606" s="8"/>
      <c r="G2606" s="8"/>
      <c r="H2606" s="8"/>
      <c r="I2606" s="55"/>
      <c r="J2606" s="78" t="s">
        <v>6521</v>
      </c>
      <c r="K2606" s="22">
        <v>0.0</v>
      </c>
      <c r="L2606" s="22">
        <f>+SUMIF('حركه المخزن الرئيسي اليوميه'!$F:$F,$H:$H,'حركه المخزن الرئيسي اليوميه'!$H:$H)</f>
        <v>0.0</v>
      </c>
      <c r="M2606" s="22">
        <f>+SUMIF('حركه المخزن الرئيسي اليوميه'!$F:$F,$H:$H,'حركه المخزن الرئيسي اليوميه'!$I:$I)</f>
        <v>0.0</v>
      </c>
      <c r="N2606" s="22">
        <f>+K2606+L2606-M2606</f>
        <v>0.0</v>
      </c>
      <c r="O2606" s="22">
        <f>+N2606</f>
        <v>0.0</v>
      </c>
      <c r="P2606" s="22">
        <f>+N2606-O2606</f>
        <v>0.0</v>
      </c>
      <c r="Q2606" s="57"/>
      <c r="R2606" s="58"/>
    </row>
    <row r="2607" spans="8:8" ht="15.0" customHeight="1">
      <c r="B2607" s="54">
        <v>2751.0</v>
      </c>
      <c r="C2607" s="8"/>
      <c r="D2607" s="8"/>
      <c r="E2607" s="8"/>
      <c r="F2607" s="8"/>
      <c r="G2607" s="8"/>
      <c r="H2607" s="8"/>
      <c r="I2607" s="55"/>
      <c r="J2607" s="78" t="s">
        <v>6522</v>
      </c>
      <c r="K2607" s="22">
        <v>0.0</v>
      </c>
      <c r="L2607" s="22">
        <f>+SUMIF('حركه المخزن الرئيسي اليوميه'!$F:$F,$H:$H,'حركه المخزن الرئيسي اليوميه'!$H:$H)</f>
        <v>0.0</v>
      </c>
      <c r="M2607" s="22">
        <f>+SUMIF('حركه المخزن الرئيسي اليوميه'!$F:$F,$H:$H,'حركه المخزن الرئيسي اليوميه'!$I:$I)</f>
        <v>0.0</v>
      </c>
      <c r="N2607" s="22">
        <f>+K2607+L2607-M2607</f>
        <v>0.0</v>
      </c>
      <c r="O2607" s="22">
        <f>+N2607</f>
        <v>0.0</v>
      </c>
      <c r="P2607" s="22">
        <f>+N2607-O2607</f>
        <v>0.0</v>
      </c>
      <c r="Q2607" s="57"/>
      <c r="R2607" s="58"/>
    </row>
    <row r="2608" spans="8:8" ht="15.0" customHeight="1">
      <c r="B2608" s="54">
        <v>2752.0</v>
      </c>
      <c r="C2608" s="8"/>
      <c r="D2608" s="8"/>
      <c r="E2608" s="8"/>
      <c r="F2608" s="8"/>
      <c r="G2608" s="8"/>
      <c r="H2608" s="8"/>
      <c r="I2608" s="55"/>
      <c r="J2608" s="78" t="s">
        <v>6523</v>
      </c>
      <c r="K2608" s="22">
        <v>0.0</v>
      </c>
      <c r="L2608" s="22">
        <f>+SUMIF('حركه المخزن الرئيسي اليوميه'!$F:$F,$H:$H,'حركه المخزن الرئيسي اليوميه'!$H:$H)</f>
        <v>0.0</v>
      </c>
      <c r="M2608" s="22">
        <f>+SUMIF('حركه المخزن الرئيسي اليوميه'!$F:$F,$H:$H,'حركه المخزن الرئيسي اليوميه'!$I:$I)</f>
        <v>0.0</v>
      </c>
      <c r="N2608" s="22">
        <f>+K2608+L2608-M2608</f>
        <v>0.0</v>
      </c>
      <c r="O2608" s="22">
        <f>+N2608</f>
        <v>0.0</v>
      </c>
      <c r="P2608" s="22">
        <f>+N2608-O2608</f>
        <v>0.0</v>
      </c>
      <c r="Q2608" s="57"/>
      <c r="R2608" s="58"/>
    </row>
    <row r="2609" spans="8:8" ht="15.0" customHeight="1">
      <c r="B2609" s="54">
        <v>2753.0</v>
      </c>
      <c r="C2609" s="8"/>
      <c r="D2609" s="8"/>
      <c r="E2609" s="8"/>
      <c r="F2609" s="8"/>
      <c r="G2609" s="8"/>
      <c r="H2609" s="8"/>
      <c r="I2609" s="55"/>
      <c r="J2609" s="78" t="s">
        <v>6524</v>
      </c>
      <c r="K2609" s="22">
        <v>0.0</v>
      </c>
      <c r="L2609" s="22">
        <f>+SUMIF('حركه المخزن الرئيسي اليوميه'!$F:$F,$H:$H,'حركه المخزن الرئيسي اليوميه'!$H:$H)</f>
        <v>0.0</v>
      </c>
      <c r="M2609" s="22">
        <f>+SUMIF('حركه المخزن الرئيسي اليوميه'!$F:$F,$H:$H,'حركه المخزن الرئيسي اليوميه'!$I:$I)</f>
        <v>0.0</v>
      </c>
      <c r="N2609" s="22">
        <f>+K2609+L2609-M2609</f>
        <v>0.0</v>
      </c>
      <c r="O2609" s="22">
        <f>+N2609</f>
        <v>0.0</v>
      </c>
      <c r="P2609" s="22">
        <f>+N2609-O2609</f>
        <v>0.0</v>
      </c>
      <c r="Q2609" s="57"/>
      <c r="R2609" s="58"/>
    </row>
    <row r="2610" spans="8:8" ht="15.0" customHeight="1">
      <c r="B2610" s="54">
        <v>2754.0</v>
      </c>
      <c r="C2610" s="8"/>
      <c r="D2610" s="8"/>
      <c r="E2610" s="8"/>
      <c r="F2610" s="8"/>
      <c r="G2610" s="8"/>
      <c r="H2610" s="8"/>
      <c r="I2610" s="55"/>
      <c r="J2610" s="78" t="s">
        <v>6525</v>
      </c>
      <c r="K2610" s="22">
        <v>0.0</v>
      </c>
      <c r="L2610" s="22">
        <f>+SUMIF('حركه المخزن الرئيسي اليوميه'!$F:$F,$H:$H,'حركه المخزن الرئيسي اليوميه'!$H:$H)</f>
        <v>0.0</v>
      </c>
      <c r="M2610" s="22">
        <f>+SUMIF('حركه المخزن الرئيسي اليوميه'!$F:$F,$H:$H,'حركه المخزن الرئيسي اليوميه'!$I:$I)</f>
        <v>0.0</v>
      </c>
      <c r="N2610" s="22">
        <f>+K2610+L2610-M2610</f>
        <v>0.0</v>
      </c>
      <c r="O2610" s="22">
        <f>+N2610</f>
        <v>0.0</v>
      </c>
      <c r="P2610" s="22">
        <f>+N2610-O2610</f>
        <v>0.0</v>
      </c>
      <c r="Q2610" s="57"/>
      <c r="R2610" s="58"/>
    </row>
    <row r="2611" spans="8:8" ht="15.0" customHeight="1">
      <c r="B2611" s="54">
        <v>2755.0</v>
      </c>
      <c r="C2611" s="8"/>
      <c r="D2611" s="8"/>
      <c r="E2611" s="8"/>
      <c r="F2611" s="8"/>
      <c r="G2611" s="8"/>
      <c r="H2611" s="8"/>
      <c r="I2611" s="55"/>
      <c r="J2611" s="78" t="s">
        <v>6526</v>
      </c>
      <c r="K2611" s="22">
        <v>0.0</v>
      </c>
      <c r="L2611" s="22">
        <f>+SUMIF('حركه المخزن الرئيسي اليوميه'!$F:$F,$H:$H,'حركه المخزن الرئيسي اليوميه'!$H:$H)</f>
        <v>0.0</v>
      </c>
      <c r="M2611" s="22">
        <f>+SUMIF('حركه المخزن الرئيسي اليوميه'!$F:$F,$H:$H,'حركه المخزن الرئيسي اليوميه'!$I:$I)</f>
        <v>0.0</v>
      </c>
      <c r="N2611" s="22">
        <f>+K2611+L2611-M2611</f>
        <v>0.0</v>
      </c>
      <c r="O2611" s="22">
        <f>+N2611</f>
        <v>0.0</v>
      </c>
      <c r="P2611" s="22">
        <f>+N2611-O2611</f>
        <v>0.0</v>
      </c>
      <c r="Q2611" s="57"/>
      <c r="R2611" s="58"/>
    </row>
    <row r="2612" spans="8:8" ht="15.0" customHeight="1">
      <c r="B2612" s="54">
        <v>2756.0</v>
      </c>
      <c r="C2612" s="8"/>
      <c r="D2612" s="8"/>
      <c r="E2612" s="8"/>
      <c r="F2612" s="8"/>
      <c r="G2612" s="8"/>
      <c r="H2612" s="8"/>
      <c r="I2612" s="55"/>
      <c r="J2612" s="78" t="s">
        <v>6527</v>
      </c>
      <c r="K2612" s="22">
        <v>0.0</v>
      </c>
      <c r="L2612" s="22">
        <f>+SUMIF('حركه المخزن الرئيسي اليوميه'!$F:$F,$H:$H,'حركه المخزن الرئيسي اليوميه'!$H:$H)</f>
        <v>0.0</v>
      </c>
      <c r="M2612" s="22">
        <f>+SUMIF('حركه المخزن الرئيسي اليوميه'!$F:$F,$H:$H,'حركه المخزن الرئيسي اليوميه'!$I:$I)</f>
        <v>0.0</v>
      </c>
      <c r="N2612" s="22">
        <f>+K2612+L2612-M2612</f>
        <v>0.0</v>
      </c>
      <c r="O2612" s="22">
        <f>+N2612</f>
        <v>0.0</v>
      </c>
      <c r="P2612" s="22">
        <f>+N2612-O2612</f>
        <v>0.0</v>
      </c>
      <c r="Q2612" s="57"/>
      <c r="R2612" s="58"/>
    </row>
    <row r="2613" spans="8:8" ht="15.0" customHeight="1">
      <c r="B2613" s="54">
        <v>2757.0</v>
      </c>
      <c r="C2613" s="8"/>
      <c r="D2613" s="8"/>
      <c r="E2613" s="8"/>
      <c r="F2613" s="8"/>
      <c r="G2613" s="8"/>
      <c r="H2613" s="8"/>
      <c r="I2613" s="55"/>
      <c r="J2613" s="78" t="s">
        <v>6528</v>
      </c>
      <c r="K2613" s="22">
        <v>0.0</v>
      </c>
      <c r="L2613" s="22">
        <f>+SUMIF('حركه المخزن الرئيسي اليوميه'!$F:$F,$H:$H,'حركه المخزن الرئيسي اليوميه'!$H:$H)</f>
        <v>0.0</v>
      </c>
      <c r="M2613" s="22">
        <f>+SUMIF('حركه المخزن الرئيسي اليوميه'!$F:$F,$H:$H,'حركه المخزن الرئيسي اليوميه'!$I:$I)</f>
        <v>0.0</v>
      </c>
      <c r="N2613" s="22">
        <f>+K2613+L2613-M2613</f>
        <v>0.0</v>
      </c>
      <c r="O2613" s="22">
        <f>+N2613</f>
        <v>0.0</v>
      </c>
      <c r="P2613" s="22">
        <f>+N2613-O2613</f>
        <v>0.0</v>
      </c>
      <c r="Q2613" s="57"/>
      <c r="R2613" s="58"/>
    </row>
    <row r="2614" spans="8:8" ht="15.0" customHeight="1">
      <c r="B2614" s="54">
        <v>2758.0</v>
      </c>
      <c r="C2614" s="8"/>
      <c r="D2614" s="8"/>
      <c r="E2614" s="8"/>
      <c r="F2614" s="8"/>
      <c r="G2614" s="8"/>
      <c r="H2614" s="8"/>
      <c r="I2614" s="55"/>
      <c r="J2614" s="78" t="s">
        <v>6529</v>
      </c>
      <c r="K2614" s="22">
        <v>0.0</v>
      </c>
      <c r="L2614" s="22">
        <f>+SUMIF('حركه المخزن الرئيسي اليوميه'!$F:$F,$H:$H,'حركه المخزن الرئيسي اليوميه'!$H:$H)</f>
        <v>0.0</v>
      </c>
      <c r="M2614" s="22">
        <f>+SUMIF('حركه المخزن الرئيسي اليوميه'!$F:$F,$H:$H,'حركه المخزن الرئيسي اليوميه'!$I:$I)</f>
        <v>0.0</v>
      </c>
      <c r="N2614" s="22">
        <f>+K2614+L2614-M2614</f>
        <v>0.0</v>
      </c>
      <c r="O2614" s="22">
        <f>+N2614</f>
        <v>0.0</v>
      </c>
      <c r="P2614" s="22">
        <f>+N2614-O2614</f>
        <v>0.0</v>
      </c>
      <c r="Q2614" s="57"/>
      <c r="R2614" s="58"/>
    </row>
    <row r="2615" spans="8:8" ht="15.0" customHeight="1">
      <c r="B2615" s="54">
        <v>2759.0</v>
      </c>
      <c r="C2615" s="8"/>
      <c r="D2615" s="8"/>
      <c r="E2615" s="8"/>
      <c r="F2615" s="8"/>
      <c r="G2615" s="8"/>
      <c r="H2615" s="8"/>
      <c r="I2615" s="55"/>
      <c r="J2615" s="78" t="s">
        <v>6530</v>
      </c>
      <c r="K2615" s="22">
        <v>0.0</v>
      </c>
      <c r="L2615" s="22">
        <f>+SUMIF('حركه المخزن الرئيسي اليوميه'!$F:$F,$H:$H,'حركه المخزن الرئيسي اليوميه'!$H:$H)</f>
        <v>0.0</v>
      </c>
      <c r="M2615" s="22">
        <f>+SUMIF('حركه المخزن الرئيسي اليوميه'!$F:$F,$H:$H,'حركه المخزن الرئيسي اليوميه'!$I:$I)</f>
        <v>0.0</v>
      </c>
      <c r="N2615" s="22">
        <f>+K2615+L2615-M2615</f>
        <v>0.0</v>
      </c>
      <c r="O2615" s="22">
        <f>+N2615</f>
        <v>0.0</v>
      </c>
      <c r="P2615" s="22">
        <f>+N2615-O2615</f>
        <v>0.0</v>
      </c>
      <c r="Q2615" s="57"/>
      <c r="R2615" s="58"/>
    </row>
    <row r="2616" spans="8:8" ht="15.0" customHeight="1">
      <c r="B2616" s="54">
        <v>2760.0</v>
      </c>
      <c r="C2616" s="8"/>
      <c r="D2616" s="8"/>
      <c r="E2616" s="8"/>
      <c r="F2616" s="8"/>
      <c r="G2616" s="8"/>
      <c r="H2616" s="8"/>
      <c r="I2616" s="55"/>
      <c r="J2616" s="78" t="s">
        <v>6531</v>
      </c>
      <c r="K2616" s="22">
        <v>0.0</v>
      </c>
      <c r="L2616" s="22">
        <f>+SUMIF('حركه المخزن الرئيسي اليوميه'!$F:$F,$H:$H,'حركه المخزن الرئيسي اليوميه'!$H:$H)</f>
        <v>0.0</v>
      </c>
      <c r="M2616" s="22">
        <f>+SUMIF('حركه المخزن الرئيسي اليوميه'!$F:$F,$H:$H,'حركه المخزن الرئيسي اليوميه'!$I:$I)</f>
        <v>0.0</v>
      </c>
      <c r="N2616" s="22">
        <f>+K2616+L2616-M2616</f>
        <v>0.0</v>
      </c>
      <c r="O2616" s="22">
        <f>+N2616</f>
        <v>0.0</v>
      </c>
      <c r="P2616" s="22">
        <f>+N2616-O2616</f>
        <v>0.0</v>
      </c>
      <c r="Q2616" s="57"/>
      <c r="R2616" s="58"/>
    </row>
    <row r="2617" spans="8:8" ht="15.0" customHeight="1">
      <c r="B2617" s="54">
        <v>2761.0</v>
      </c>
      <c r="C2617" s="8"/>
      <c r="D2617" s="8"/>
      <c r="E2617" s="8"/>
      <c r="F2617" s="8"/>
      <c r="G2617" s="8"/>
      <c r="H2617" s="8"/>
      <c r="I2617" s="55"/>
      <c r="J2617" s="78" t="s">
        <v>6532</v>
      </c>
      <c r="K2617" s="22">
        <v>0.0</v>
      </c>
      <c r="L2617" s="22">
        <f>+SUMIF('حركه المخزن الرئيسي اليوميه'!$F:$F,$H:$H,'حركه المخزن الرئيسي اليوميه'!$H:$H)</f>
        <v>0.0</v>
      </c>
      <c r="M2617" s="22">
        <f>+SUMIF('حركه المخزن الرئيسي اليوميه'!$F:$F,$H:$H,'حركه المخزن الرئيسي اليوميه'!$I:$I)</f>
        <v>0.0</v>
      </c>
      <c r="N2617" s="22">
        <f>+K2617+L2617-M2617</f>
        <v>0.0</v>
      </c>
      <c r="O2617" s="22">
        <f>+N2617</f>
        <v>0.0</v>
      </c>
      <c r="P2617" s="22">
        <f>+N2617-O2617</f>
        <v>0.0</v>
      </c>
      <c r="Q2617" s="57"/>
      <c r="R2617" s="58"/>
    </row>
    <row r="2618" spans="8:8" ht="15.0" customHeight="1">
      <c r="B2618" s="54">
        <v>2762.0</v>
      </c>
      <c r="C2618" s="8"/>
      <c r="D2618" s="8"/>
      <c r="E2618" s="8"/>
      <c r="F2618" s="8"/>
      <c r="G2618" s="8"/>
      <c r="H2618" s="8"/>
      <c r="I2618" s="55"/>
      <c r="J2618" s="78" t="s">
        <v>6533</v>
      </c>
      <c r="K2618" s="22">
        <v>0.0</v>
      </c>
      <c r="L2618" s="22">
        <f>+SUMIF('حركه المخزن الرئيسي اليوميه'!$F:$F,$H:$H,'حركه المخزن الرئيسي اليوميه'!$H:$H)</f>
        <v>0.0</v>
      </c>
      <c r="M2618" s="22">
        <f>+SUMIF('حركه المخزن الرئيسي اليوميه'!$F:$F,$H:$H,'حركه المخزن الرئيسي اليوميه'!$I:$I)</f>
        <v>0.0</v>
      </c>
      <c r="N2618" s="22">
        <f>+K2618+L2618-M2618</f>
        <v>0.0</v>
      </c>
      <c r="O2618" s="22">
        <f>+N2618</f>
        <v>0.0</v>
      </c>
      <c r="P2618" s="22">
        <f>+N2618-O2618</f>
        <v>0.0</v>
      </c>
      <c r="Q2618" s="57"/>
      <c r="R2618" s="58"/>
    </row>
    <row r="2619" spans="8:8" ht="15.0" customHeight="1">
      <c r="B2619" s="54">
        <v>2763.0</v>
      </c>
      <c r="C2619" s="8"/>
      <c r="D2619" s="8"/>
      <c r="E2619" s="8"/>
      <c r="F2619" s="8"/>
      <c r="G2619" s="8"/>
      <c r="H2619" s="8"/>
      <c r="I2619" s="55"/>
      <c r="J2619" s="78" t="s">
        <v>6534</v>
      </c>
      <c r="K2619" s="22">
        <v>0.0</v>
      </c>
      <c r="L2619" s="22">
        <f>+SUMIF('حركه المخزن الرئيسي اليوميه'!$F:$F,$H:$H,'حركه المخزن الرئيسي اليوميه'!$H:$H)</f>
        <v>0.0</v>
      </c>
      <c r="M2619" s="22">
        <f>+SUMIF('حركه المخزن الرئيسي اليوميه'!$F:$F,$H:$H,'حركه المخزن الرئيسي اليوميه'!$I:$I)</f>
        <v>0.0</v>
      </c>
      <c r="N2619" s="22">
        <f>+K2619+L2619-M2619</f>
        <v>0.0</v>
      </c>
      <c r="O2619" s="22">
        <f>+N2619</f>
        <v>0.0</v>
      </c>
      <c r="P2619" s="22">
        <f>+N2619-O2619</f>
        <v>0.0</v>
      </c>
      <c r="Q2619" s="57"/>
      <c r="R2619" s="58"/>
    </row>
    <row r="2620" spans="8:8" ht="15.0" customHeight="1">
      <c r="B2620" s="54">
        <v>2764.0</v>
      </c>
      <c r="C2620" s="8"/>
      <c r="D2620" s="8"/>
      <c r="E2620" s="8"/>
      <c r="F2620" s="8"/>
      <c r="G2620" s="8"/>
      <c r="H2620" s="8"/>
      <c r="I2620" s="55"/>
      <c r="J2620" s="78" t="s">
        <v>6535</v>
      </c>
      <c r="K2620" s="22">
        <v>0.0</v>
      </c>
      <c r="L2620" s="22">
        <f>+SUMIF('حركه المخزن الرئيسي اليوميه'!$F:$F,$H:$H,'حركه المخزن الرئيسي اليوميه'!$H:$H)</f>
        <v>0.0</v>
      </c>
      <c r="M2620" s="22">
        <f>+SUMIF('حركه المخزن الرئيسي اليوميه'!$F:$F,$H:$H,'حركه المخزن الرئيسي اليوميه'!$I:$I)</f>
        <v>0.0</v>
      </c>
      <c r="N2620" s="22">
        <f>+K2620+L2620-M2620</f>
        <v>0.0</v>
      </c>
      <c r="O2620" s="22">
        <f>+N2620</f>
        <v>0.0</v>
      </c>
      <c r="P2620" s="22">
        <f>+N2620-O2620</f>
        <v>0.0</v>
      </c>
      <c r="Q2620" s="57"/>
      <c r="R2620" s="58"/>
    </row>
    <row r="2621" spans="8:8" ht="15.0" customHeight="1">
      <c r="B2621" s="54">
        <v>2765.0</v>
      </c>
      <c r="C2621" s="8"/>
      <c r="D2621" s="8"/>
      <c r="E2621" s="8"/>
      <c r="F2621" s="8"/>
      <c r="G2621" s="8"/>
      <c r="H2621" s="8"/>
      <c r="I2621" s="55"/>
      <c r="J2621" s="78" t="s">
        <v>6536</v>
      </c>
      <c r="K2621" s="22">
        <v>0.0</v>
      </c>
      <c r="L2621" s="22">
        <f>+SUMIF('حركه المخزن الرئيسي اليوميه'!$F:$F,$H:$H,'حركه المخزن الرئيسي اليوميه'!$H:$H)</f>
        <v>0.0</v>
      </c>
      <c r="M2621" s="22">
        <f>+SUMIF('حركه المخزن الرئيسي اليوميه'!$F:$F,$H:$H,'حركه المخزن الرئيسي اليوميه'!$I:$I)</f>
        <v>0.0</v>
      </c>
      <c r="N2621" s="22">
        <f>+K2621+L2621-M2621</f>
        <v>0.0</v>
      </c>
      <c r="O2621" s="22">
        <f>+N2621</f>
        <v>0.0</v>
      </c>
      <c r="P2621" s="22">
        <f>+N2621-O2621</f>
        <v>0.0</v>
      </c>
      <c r="Q2621" s="57"/>
      <c r="R2621" s="58"/>
    </row>
    <row r="2622" spans="8:8" ht="15.0" customHeight="1">
      <c r="B2622" s="54">
        <v>2766.0</v>
      </c>
      <c r="C2622" s="8"/>
      <c r="D2622" s="8"/>
      <c r="E2622" s="8"/>
      <c r="F2622" s="8"/>
      <c r="G2622" s="8"/>
      <c r="H2622" s="8"/>
      <c r="I2622" s="55"/>
      <c r="J2622" s="78" t="s">
        <v>6537</v>
      </c>
      <c r="K2622" s="22">
        <v>0.0</v>
      </c>
      <c r="L2622" s="22">
        <f>+SUMIF('حركه المخزن الرئيسي اليوميه'!$F:$F,$H:$H,'حركه المخزن الرئيسي اليوميه'!$H:$H)</f>
        <v>0.0</v>
      </c>
      <c r="M2622" s="22">
        <f>+SUMIF('حركه المخزن الرئيسي اليوميه'!$F:$F,$H:$H,'حركه المخزن الرئيسي اليوميه'!$I:$I)</f>
        <v>0.0</v>
      </c>
      <c r="N2622" s="22">
        <f>+K2622+L2622-M2622</f>
        <v>0.0</v>
      </c>
      <c r="O2622" s="22">
        <f>+N2622</f>
        <v>0.0</v>
      </c>
      <c r="P2622" s="22">
        <f>+N2622-O2622</f>
        <v>0.0</v>
      </c>
      <c r="Q2622" s="57"/>
      <c r="R2622" s="58"/>
    </row>
    <row r="2623" spans="8:8" ht="15.0" customHeight="1">
      <c r="B2623" s="54">
        <v>2767.0</v>
      </c>
      <c r="C2623" s="8"/>
      <c r="D2623" s="8"/>
      <c r="E2623" s="8"/>
      <c r="F2623" s="8"/>
      <c r="G2623" s="8"/>
      <c r="H2623" s="8"/>
      <c r="I2623" s="55"/>
      <c r="J2623" s="78" t="s">
        <v>6538</v>
      </c>
      <c r="K2623" s="22">
        <v>0.0</v>
      </c>
      <c r="L2623" s="22">
        <f>+SUMIF('حركه المخزن الرئيسي اليوميه'!$F:$F,$H:$H,'حركه المخزن الرئيسي اليوميه'!$H:$H)</f>
        <v>0.0</v>
      </c>
      <c r="M2623" s="22">
        <f>+SUMIF('حركه المخزن الرئيسي اليوميه'!$F:$F,$H:$H,'حركه المخزن الرئيسي اليوميه'!$I:$I)</f>
        <v>0.0</v>
      </c>
      <c r="N2623" s="22">
        <f>+K2623+L2623-M2623</f>
        <v>0.0</v>
      </c>
      <c r="O2623" s="22">
        <f>+N2623</f>
        <v>0.0</v>
      </c>
      <c r="P2623" s="22">
        <f>+N2623-O2623</f>
        <v>0.0</v>
      </c>
      <c r="Q2623" s="57"/>
      <c r="R2623" s="58"/>
    </row>
    <row r="2624" spans="8:8" ht="15.0" customHeight="1">
      <c r="B2624" s="54">
        <v>2768.0</v>
      </c>
      <c r="C2624" s="8"/>
      <c r="D2624" s="8"/>
      <c r="E2624" s="8"/>
      <c r="F2624" s="8"/>
      <c r="G2624" s="8"/>
      <c r="H2624" s="8"/>
      <c r="I2624" s="55"/>
      <c r="J2624" s="78" t="s">
        <v>6539</v>
      </c>
      <c r="K2624" s="22">
        <v>0.0</v>
      </c>
      <c r="L2624" s="22">
        <f>+SUMIF('حركه المخزن الرئيسي اليوميه'!$F:$F,$H:$H,'حركه المخزن الرئيسي اليوميه'!$H:$H)</f>
        <v>0.0</v>
      </c>
      <c r="M2624" s="22">
        <f>+SUMIF('حركه المخزن الرئيسي اليوميه'!$F:$F,$H:$H,'حركه المخزن الرئيسي اليوميه'!$I:$I)</f>
        <v>0.0</v>
      </c>
      <c r="N2624" s="22">
        <f>+K2624+L2624-M2624</f>
        <v>0.0</v>
      </c>
      <c r="O2624" s="22">
        <f>+N2624</f>
        <v>0.0</v>
      </c>
      <c r="P2624" s="22">
        <f>+N2624-O2624</f>
        <v>0.0</v>
      </c>
      <c r="Q2624" s="57"/>
      <c r="R2624" s="58"/>
    </row>
    <row r="2625" spans="8:8" ht="15.0" customHeight="1">
      <c r="B2625" s="54">
        <v>2769.0</v>
      </c>
      <c r="C2625" s="8"/>
      <c r="D2625" s="8"/>
      <c r="E2625" s="8"/>
      <c r="F2625" s="8"/>
      <c r="G2625" s="8"/>
      <c r="H2625" s="8"/>
      <c r="I2625" s="55"/>
      <c r="J2625" s="78" t="s">
        <v>6540</v>
      </c>
      <c r="K2625" s="22">
        <v>0.0</v>
      </c>
      <c r="L2625" s="22">
        <f>+SUMIF('حركه المخزن الرئيسي اليوميه'!$F:$F,$H:$H,'حركه المخزن الرئيسي اليوميه'!$H:$H)</f>
        <v>0.0</v>
      </c>
      <c r="M2625" s="22">
        <f>+SUMIF('حركه المخزن الرئيسي اليوميه'!$F:$F,$H:$H,'حركه المخزن الرئيسي اليوميه'!$I:$I)</f>
        <v>0.0</v>
      </c>
      <c r="N2625" s="22">
        <f>+K2625+L2625-M2625</f>
        <v>0.0</v>
      </c>
      <c r="O2625" s="22">
        <f>+N2625</f>
        <v>0.0</v>
      </c>
      <c r="P2625" s="22">
        <f>+N2625-O2625</f>
        <v>0.0</v>
      </c>
      <c r="Q2625" s="57"/>
      <c r="R2625" s="58"/>
    </row>
    <row r="2626" spans="8:8" ht="15.0" customHeight="1">
      <c r="B2626" s="54">
        <v>2770.0</v>
      </c>
      <c r="C2626" s="8"/>
      <c r="D2626" s="8"/>
      <c r="E2626" s="8"/>
      <c r="F2626" s="8"/>
      <c r="G2626" s="8"/>
      <c r="H2626" s="8"/>
      <c r="I2626" s="55"/>
      <c r="J2626" s="78" t="s">
        <v>6541</v>
      </c>
      <c r="K2626" s="22">
        <v>0.0</v>
      </c>
      <c r="L2626" s="22">
        <f>+SUMIF('حركه المخزن الرئيسي اليوميه'!$F:$F,$H:$H,'حركه المخزن الرئيسي اليوميه'!$H:$H)</f>
        <v>0.0</v>
      </c>
      <c r="M2626" s="22">
        <f>+SUMIF('حركه المخزن الرئيسي اليوميه'!$F:$F,$H:$H,'حركه المخزن الرئيسي اليوميه'!$I:$I)</f>
        <v>0.0</v>
      </c>
      <c r="N2626" s="22">
        <f>+K2626+L2626-M2626</f>
        <v>0.0</v>
      </c>
      <c r="O2626" s="22">
        <f>+N2626</f>
        <v>0.0</v>
      </c>
      <c r="P2626" s="22">
        <f>+N2626-O2626</f>
        <v>0.0</v>
      </c>
      <c r="Q2626" s="57"/>
      <c r="R2626" s="58"/>
    </row>
    <row r="2627" spans="8:8" ht="15.0" customHeight="1">
      <c r="B2627" s="54">
        <v>2771.0</v>
      </c>
      <c r="C2627" s="8"/>
      <c r="D2627" s="8"/>
      <c r="E2627" s="8"/>
      <c r="F2627" s="8"/>
      <c r="G2627" s="8"/>
      <c r="H2627" s="8"/>
      <c r="I2627" s="55"/>
      <c r="J2627" s="78" t="s">
        <v>6542</v>
      </c>
      <c r="K2627" s="22">
        <v>0.0</v>
      </c>
      <c r="L2627" s="22">
        <f>+SUMIF('حركه المخزن الرئيسي اليوميه'!$F:$F,$H:$H,'حركه المخزن الرئيسي اليوميه'!$H:$H)</f>
        <v>0.0</v>
      </c>
      <c r="M2627" s="22">
        <f>+SUMIF('حركه المخزن الرئيسي اليوميه'!$F:$F,$H:$H,'حركه المخزن الرئيسي اليوميه'!$I:$I)</f>
        <v>0.0</v>
      </c>
      <c r="N2627" s="22">
        <f>+K2627+L2627-M2627</f>
        <v>0.0</v>
      </c>
      <c r="O2627" s="22">
        <f>+N2627</f>
        <v>0.0</v>
      </c>
      <c r="P2627" s="22">
        <f>+N2627-O2627</f>
        <v>0.0</v>
      </c>
      <c r="Q2627" s="57"/>
      <c r="R2627" s="58"/>
    </row>
    <row r="2628" spans="8:8" ht="15.0" customHeight="1">
      <c r="B2628" s="54">
        <v>2772.0</v>
      </c>
      <c r="C2628" s="8"/>
      <c r="D2628" s="8"/>
      <c r="E2628" s="8"/>
      <c r="F2628" s="8"/>
      <c r="G2628" s="8"/>
      <c r="H2628" s="8"/>
      <c r="I2628" s="55"/>
      <c r="J2628" s="78" t="s">
        <v>6543</v>
      </c>
      <c r="K2628" s="22">
        <v>0.0</v>
      </c>
      <c r="L2628" s="22">
        <f>+SUMIF('حركه المخزن الرئيسي اليوميه'!$F:$F,$H:$H,'حركه المخزن الرئيسي اليوميه'!$H:$H)</f>
        <v>0.0</v>
      </c>
      <c r="M2628" s="22">
        <f>+SUMIF('حركه المخزن الرئيسي اليوميه'!$F:$F,$H:$H,'حركه المخزن الرئيسي اليوميه'!$I:$I)</f>
        <v>0.0</v>
      </c>
      <c r="N2628" s="22">
        <f>+K2628+L2628-M2628</f>
        <v>0.0</v>
      </c>
      <c r="O2628" s="22">
        <f>+N2628</f>
        <v>0.0</v>
      </c>
      <c r="P2628" s="22">
        <f>+N2628-O2628</f>
        <v>0.0</v>
      </c>
      <c r="Q2628" s="57"/>
      <c r="R2628" s="58"/>
    </row>
    <row r="2629" spans="8:8" ht="15.0" customHeight="1">
      <c r="B2629" s="54">
        <v>2773.0</v>
      </c>
      <c r="C2629" s="8"/>
      <c r="D2629" s="8"/>
      <c r="E2629" s="8"/>
      <c r="F2629" s="8"/>
      <c r="G2629" s="8"/>
      <c r="H2629" s="8"/>
      <c r="I2629" s="55"/>
      <c r="J2629" s="78" t="s">
        <v>6544</v>
      </c>
      <c r="K2629" s="22">
        <v>0.0</v>
      </c>
      <c r="L2629" s="22">
        <f>+SUMIF('حركه المخزن الرئيسي اليوميه'!$F:$F,$H:$H,'حركه المخزن الرئيسي اليوميه'!$H:$H)</f>
        <v>0.0</v>
      </c>
      <c r="M2629" s="22">
        <f>+SUMIF('حركه المخزن الرئيسي اليوميه'!$F:$F,$H:$H,'حركه المخزن الرئيسي اليوميه'!$I:$I)</f>
        <v>0.0</v>
      </c>
      <c r="N2629" s="22">
        <f>+K2629+L2629-M2629</f>
        <v>0.0</v>
      </c>
      <c r="O2629" s="22">
        <f>+N2629</f>
        <v>0.0</v>
      </c>
      <c r="P2629" s="22">
        <f>+N2629-O2629</f>
        <v>0.0</v>
      </c>
      <c r="Q2629" s="57"/>
      <c r="R2629" s="58"/>
    </row>
    <row r="2630" spans="8:8" ht="15.0" customHeight="1">
      <c r="B2630" s="54">
        <v>2774.0</v>
      </c>
      <c r="C2630" s="8"/>
      <c r="D2630" s="8"/>
      <c r="E2630" s="8"/>
      <c r="F2630" s="8"/>
      <c r="G2630" s="8"/>
      <c r="H2630" s="8"/>
      <c r="I2630" s="55"/>
      <c r="J2630" s="78" t="s">
        <v>6545</v>
      </c>
      <c r="K2630" s="22">
        <v>0.0</v>
      </c>
      <c r="L2630" s="22">
        <f>+SUMIF('حركه المخزن الرئيسي اليوميه'!$F:$F,$H:$H,'حركه المخزن الرئيسي اليوميه'!$H:$H)</f>
        <v>0.0</v>
      </c>
      <c r="M2630" s="22">
        <f>+SUMIF('حركه المخزن الرئيسي اليوميه'!$F:$F,$H:$H,'حركه المخزن الرئيسي اليوميه'!$I:$I)</f>
        <v>0.0</v>
      </c>
      <c r="N2630" s="22">
        <f>+K2630+L2630-M2630</f>
        <v>0.0</v>
      </c>
      <c r="O2630" s="22">
        <f>+N2630</f>
        <v>0.0</v>
      </c>
      <c r="P2630" s="22">
        <f>+N2630-O2630</f>
        <v>0.0</v>
      </c>
      <c r="Q2630" s="57"/>
      <c r="R2630" s="58"/>
    </row>
    <row r="2631" spans="8:8" ht="15.0" customHeight="1">
      <c r="B2631" s="54">
        <v>2775.0</v>
      </c>
      <c r="C2631" s="8"/>
      <c r="D2631" s="8"/>
      <c r="E2631" s="8"/>
      <c r="F2631" s="8"/>
      <c r="G2631" s="8"/>
      <c r="H2631" s="8"/>
      <c r="I2631" s="55"/>
      <c r="J2631" s="78" t="s">
        <v>6546</v>
      </c>
      <c r="K2631" s="22">
        <v>0.0</v>
      </c>
      <c r="L2631" s="22">
        <f>+SUMIF('حركه المخزن الرئيسي اليوميه'!$F:$F,$H:$H,'حركه المخزن الرئيسي اليوميه'!$H:$H)</f>
        <v>0.0</v>
      </c>
      <c r="M2631" s="22">
        <f>+SUMIF('حركه المخزن الرئيسي اليوميه'!$F:$F,$H:$H,'حركه المخزن الرئيسي اليوميه'!$I:$I)</f>
        <v>0.0</v>
      </c>
      <c r="N2631" s="22">
        <f>+K2631+L2631-M2631</f>
        <v>0.0</v>
      </c>
      <c r="O2631" s="22">
        <f>+N2631</f>
        <v>0.0</v>
      </c>
      <c r="P2631" s="22">
        <f>+N2631-O2631</f>
        <v>0.0</v>
      </c>
      <c r="Q2631" s="57"/>
      <c r="R2631" s="58"/>
    </row>
    <row r="2632" spans="8:8" ht="15.0" customHeight="1">
      <c r="B2632" s="54">
        <v>2776.0</v>
      </c>
      <c r="C2632" s="8"/>
      <c r="D2632" s="8"/>
      <c r="E2632" s="8"/>
      <c r="F2632" s="8"/>
      <c r="G2632" s="8"/>
      <c r="H2632" s="8"/>
      <c r="I2632" s="55"/>
      <c r="J2632" s="78" t="s">
        <v>6547</v>
      </c>
      <c r="K2632" s="22">
        <v>0.0</v>
      </c>
      <c r="L2632" s="22">
        <f>+SUMIF('حركه المخزن الرئيسي اليوميه'!$F:$F,$H:$H,'حركه المخزن الرئيسي اليوميه'!$H:$H)</f>
        <v>0.0</v>
      </c>
      <c r="M2632" s="22">
        <f>+SUMIF('حركه المخزن الرئيسي اليوميه'!$F:$F,$H:$H,'حركه المخزن الرئيسي اليوميه'!$I:$I)</f>
        <v>0.0</v>
      </c>
      <c r="N2632" s="22">
        <f>+K2632+L2632-M2632</f>
        <v>0.0</v>
      </c>
      <c r="O2632" s="22">
        <f>+N2632</f>
        <v>0.0</v>
      </c>
      <c r="P2632" s="22">
        <f>+N2632-O2632</f>
        <v>0.0</v>
      </c>
      <c r="Q2632" s="57"/>
      <c r="R2632" s="58"/>
    </row>
    <row r="2633" spans="8:8" ht="15.0" customHeight="1">
      <c r="B2633" s="54">
        <v>2777.0</v>
      </c>
      <c r="C2633" s="8"/>
      <c r="D2633" s="8"/>
      <c r="E2633" s="8"/>
      <c r="F2633" s="8"/>
      <c r="G2633" s="8"/>
      <c r="H2633" s="8"/>
      <c r="I2633" s="55"/>
      <c r="J2633" s="78" t="s">
        <v>6548</v>
      </c>
      <c r="K2633" s="22">
        <v>0.0</v>
      </c>
      <c r="L2633" s="22">
        <f>+SUMIF('حركه المخزن الرئيسي اليوميه'!$F:$F,$H:$H,'حركه المخزن الرئيسي اليوميه'!$H:$H)</f>
        <v>0.0</v>
      </c>
      <c r="M2633" s="22">
        <f>+SUMIF('حركه المخزن الرئيسي اليوميه'!$F:$F,$H:$H,'حركه المخزن الرئيسي اليوميه'!$I:$I)</f>
        <v>0.0</v>
      </c>
      <c r="N2633" s="22">
        <f>+K2633+L2633-M2633</f>
        <v>0.0</v>
      </c>
      <c r="O2633" s="22">
        <f>+N2633</f>
        <v>0.0</v>
      </c>
      <c r="P2633" s="22">
        <f>+N2633-O2633</f>
        <v>0.0</v>
      </c>
      <c r="Q2633" s="57"/>
      <c r="R2633" s="58"/>
    </row>
    <row r="2634" spans="8:8" ht="15.0" customHeight="1">
      <c r="B2634" s="54">
        <v>2778.0</v>
      </c>
      <c r="C2634" s="8"/>
      <c r="D2634" s="8"/>
      <c r="E2634" s="8"/>
      <c r="F2634" s="8"/>
      <c r="G2634" s="8"/>
      <c r="H2634" s="8"/>
      <c r="I2634" s="55"/>
      <c r="J2634" s="78" t="s">
        <v>6549</v>
      </c>
      <c r="K2634" s="22">
        <v>0.0</v>
      </c>
      <c r="L2634" s="22">
        <f>+SUMIF('حركه المخزن الرئيسي اليوميه'!$F:$F,$H:$H,'حركه المخزن الرئيسي اليوميه'!$H:$H)</f>
        <v>0.0</v>
      </c>
      <c r="M2634" s="22">
        <f>+SUMIF('حركه المخزن الرئيسي اليوميه'!$F:$F,$H:$H,'حركه المخزن الرئيسي اليوميه'!$I:$I)</f>
        <v>0.0</v>
      </c>
      <c r="N2634" s="22">
        <f>+K2634+L2634-M2634</f>
        <v>0.0</v>
      </c>
      <c r="O2634" s="22">
        <f>+N2634</f>
        <v>0.0</v>
      </c>
      <c r="P2634" s="22">
        <f>+N2634-O2634</f>
        <v>0.0</v>
      </c>
      <c r="Q2634" s="57"/>
      <c r="R2634" s="58"/>
    </row>
    <row r="2635" spans="8:8" ht="15.0" customHeight="1">
      <c r="B2635" s="54">
        <v>2779.0</v>
      </c>
      <c r="C2635" s="8"/>
      <c r="D2635" s="8"/>
      <c r="E2635" s="8"/>
      <c r="F2635" s="8"/>
      <c r="G2635" s="8"/>
      <c r="H2635" s="8"/>
      <c r="I2635" s="55"/>
      <c r="J2635" s="78" t="s">
        <v>6550</v>
      </c>
      <c r="K2635" s="22">
        <v>0.0</v>
      </c>
      <c r="L2635" s="22">
        <f>+SUMIF('حركه المخزن الرئيسي اليوميه'!$F:$F,$H:$H,'حركه المخزن الرئيسي اليوميه'!$H:$H)</f>
        <v>0.0</v>
      </c>
      <c r="M2635" s="22">
        <f>+SUMIF('حركه المخزن الرئيسي اليوميه'!$F:$F,$H:$H,'حركه المخزن الرئيسي اليوميه'!$I:$I)</f>
        <v>0.0</v>
      </c>
      <c r="N2635" s="22">
        <f>+K2635+L2635-M2635</f>
        <v>0.0</v>
      </c>
      <c r="O2635" s="22">
        <f>+N2635</f>
        <v>0.0</v>
      </c>
      <c r="P2635" s="22">
        <f>+N2635-O2635</f>
        <v>0.0</v>
      </c>
      <c r="Q2635" s="57"/>
      <c r="R2635" s="58"/>
    </row>
    <row r="2636" spans="8:8" ht="15.0" customHeight="1">
      <c r="B2636" s="54">
        <v>2780.0</v>
      </c>
      <c r="C2636" s="8"/>
      <c r="D2636" s="8"/>
      <c r="E2636" s="8"/>
      <c r="F2636" s="8"/>
      <c r="G2636" s="8"/>
      <c r="H2636" s="8"/>
      <c r="I2636" s="55"/>
      <c r="J2636" s="78" t="s">
        <v>6551</v>
      </c>
      <c r="K2636" s="22">
        <v>0.0</v>
      </c>
      <c r="L2636" s="22">
        <f>+SUMIF('حركه المخزن الرئيسي اليوميه'!$F:$F,$H:$H,'حركه المخزن الرئيسي اليوميه'!$H:$H)</f>
        <v>0.0</v>
      </c>
      <c r="M2636" s="22">
        <f>+SUMIF('حركه المخزن الرئيسي اليوميه'!$F:$F,$H:$H,'حركه المخزن الرئيسي اليوميه'!$I:$I)</f>
        <v>0.0</v>
      </c>
      <c r="N2636" s="22">
        <f>+K2636+L2636-M2636</f>
        <v>0.0</v>
      </c>
      <c r="O2636" s="22">
        <f>+N2636</f>
        <v>0.0</v>
      </c>
      <c r="P2636" s="22">
        <f>+N2636-O2636</f>
        <v>0.0</v>
      </c>
      <c r="Q2636" s="57"/>
      <c r="R2636" s="58"/>
    </row>
    <row r="2637" spans="8:8" ht="15.0" customHeight="1">
      <c r="B2637" s="54">
        <v>2781.0</v>
      </c>
      <c r="C2637" s="8"/>
      <c r="D2637" s="8"/>
      <c r="E2637" s="8"/>
      <c r="F2637" s="8"/>
      <c r="G2637" s="8"/>
      <c r="H2637" s="8"/>
      <c r="I2637" s="55"/>
      <c r="J2637" s="78" t="s">
        <v>6552</v>
      </c>
      <c r="K2637" s="22">
        <v>0.0</v>
      </c>
      <c r="L2637" s="22">
        <f>+SUMIF('حركه المخزن الرئيسي اليوميه'!$F:$F,$H:$H,'حركه المخزن الرئيسي اليوميه'!$H:$H)</f>
        <v>0.0</v>
      </c>
      <c r="M2637" s="22">
        <f>+SUMIF('حركه المخزن الرئيسي اليوميه'!$F:$F,$H:$H,'حركه المخزن الرئيسي اليوميه'!$I:$I)</f>
        <v>0.0</v>
      </c>
      <c r="N2637" s="22">
        <f>+K2637+L2637-M2637</f>
        <v>0.0</v>
      </c>
      <c r="O2637" s="22">
        <f>+N2637</f>
        <v>0.0</v>
      </c>
      <c r="P2637" s="22">
        <f>+N2637-O2637</f>
        <v>0.0</v>
      </c>
      <c r="Q2637" s="57"/>
      <c r="R2637" s="58"/>
    </row>
    <row r="2638" spans="8:8" ht="15.0" customHeight="1">
      <c r="B2638" s="54">
        <v>2782.0</v>
      </c>
      <c r="C2638" s="8"/>
      <c r="D2638" s="8"/>
      <c r="E2638" s="8"/>
      <c r="F2638" s="8"/>
      <c r="G2638" s="8"/>
      <c r="H2638" s="8"/>
      <c r="I2638" s="55"/>
      <c r="J2638" s="78" t="s">
        <v>6553</v>
      </c>
      <c r="K2638" s="22">
        <v>0.0</v>
      </c>
      <c r="L2638" s="22">
        <f>+SUMIF('حركه المخزن الرئيسي اليوميه'!$F:$F,$H:$H,'حركه المخزن الرئيسي اليوميه'!$H:$H)</f>
        <v>0.0</v>
      </c>
      <c r="M2638" s="22">
        <f>+SUMIF('حركه المخزن الرئيسي اليوميه'!$F:$F,$H:$H,'حركه المخزن الرئيسي اليوميه'!$I:$I)</f>
        <v>0.0</v>
      </c>
      <c r="N2638" s="22">
        <f>+K2638+L2638-M2638</f>
        <v>0.0</v>
      </c>
      <c r="O2638" s="22">
        <f>+N2638</f>
        <v>0.0</v>
      </c>
      <c r="P2638" s="22">
        <f>+N2638-O2638</f>
        <v>0.0</v>
      </c>
      <c r="Q2638" s="57"/>
      <c r="R2638" s="58"/>
    </row>
    <row r="2639" spans="8:8" ht="15.0" customHeight="1">
      <c r="B2639" s="54">
        <v>2783.0</v>
      </c>
      <c r="C2639" s="8"/>
      <c r="D2639" s="8"/>
      <c r="E2639" s="8"/>
      <c r="F2639" s="8"/>
      <c r="G2639" s="8"/>
      <c r="H2639" s="8"/>
      <c r="I2639" s="55"/>
      <c r="J2639" s="78" t="s">
        <v>6554</v>
      </c>
      <c r="K2639" s="22">
        <v>0.0</v>
      </c>
      <c r="L2639" s="22">
        <f>+SUMIF('حركه المخزن الرئيسي اليوميه'!$F:$F,$H:$H,'حركه المخزن الرئيسي اليوميه'!$H:$H)</f>
        <v>0.0</v>
      </c>
      <c r="M2639" s="22">
        <f>+SUMIF('حركه المخزن الرئيسي اليوميه'!$F:$F,$H:$H,'حركه المخزن الرئيسي اليوميه'!$I:$I)</f>
        <v>0.0</v>
      </c>
      <c r="N2639" s="22">
        <f>+K2639+L2639-M2639</f>
        <v>0.0</v>
      </c>
      <c r="O2639" s="22">
        <f>+N2639</f>
        <v>0.0</v>
      </c>
      <c r="P2639" s="22">
        <f>+N2639-O2639</f>
        <v>0.0</v>
      </c>
      <c r="Q2639" s="57"/>
      <c r="R2639" s="58"/>
    </row>
    <row r="2640" spans="8:8" ht="15.0" customHeight="1">
      <c r="B2640" s="54">
        <v>2784.0</v>
      </c>
      <c r="C2640" s="8"/>
      <c r="D2640" s="8"/>
      <c r="E2640" s="8"/>
      <c r="F2640" s="8"/>
      <c r="G2640" s="8"/>
      <c r="H2640" s="8"/>
      <c r="I2640" s="55"/>
      <c r="J2640" s="78" t="s">
        <v>6555</v>
      </c>
      <c r="K2640" s="22">
        <v>0.0</v>
      </c>
      <c r="L2640" s="22">
        <f>+SUMIF('حركه المخزن الرئيسي اليوميه'!$F:$F,$H:$H,'حركه المخزن الرئيسي اليوميه'!$H:$H)</f>
        <v>0.0</v>
      </c>
      <c r="M2640" s="22">
        <f>+SUMIF('حركه المخزن الرئيسي اليوميه'!$F:$F,$H:$H,'حركه المخزن الرئيسي اليوميه'!$I:$I)</f>
        <v>0.0</v>
      </c>
      <c r="N2640" s="22">
        <f>+K2640+L2640-M2640</f>
        <v>0.0</v>
      </c>
      <c r="O2640" s="22">
        <f>+N2640</f>
        <v>0.0</v>
      </c>
      <c r="P2640" s="22">
        <f>+N2640-O2640</f>
        <v>0.0</v>
      </c>
      <c r="Q2640" s="57"/>
      <c r="R2640" s="58"/>
    </row>
    <row r="2641" spans="8:8" ht="15.0" customHeight="1">
      <c r="B2641" s="54">
        <v>2785.0</v>
      </c>
      <c r="C2641" s="8"/>
      <c r="D2641" s="8"/>
      <c r="E2641" s="8"/>
      <c r="F2641" s="8"/>
      <c r="G2641" s="8"/>
      <c r="H2641" s="8"/>
      <c r="I2641" s="55"/>
      <c r="J2641" s="78" t="s">
        <v>6556</v>
      </c>
      <c r="K2641" s="22">
        <v>0.0</v>
      </c>
      <c r="L2641" s="22">
        <f>+SUMIF('حركه المخزن الرئيسي اليوميه'!$F:$F,$H:$H,'حركه المخزن الرئيسي اليوميه'!$H:$H)</f>
        <v>0.0</v>
      </c>
      <c r="M2641" s="22">
        <f>+SUMIF('حركه المخزن الرئيسي اليوميه'!$F:$F,$H:$H,'حركه المخزن الرئيسي اليوميه'!$I:$I)</f>
        <v>0.0</v>
      </c>
      <c r="N2641" s="22">
        <f>+K2641+L2641-M2641</f>
        <v>0.0</v>
      </c>
      <c r="O2641" s="22">
        <f>+N2641</f>
        <v>0.0</v>
      </c>
      <c r="P2641" s="22">
        <f>+N2641-O2641</f>
        <v>0.0</v>
      </c>
      <c r="Q2641" s="57"/>
      <c r="R2641" s="58"/>
    </row>
    <row r="2642" spans="8:8" ht="15.0" customHeight="1">
      <c r="B2642" s="54">
        <v>2786.0</v>
      </c>
      <c r="C2642" s="8"/>
      <c r="D2642" s="8"/>
      <c r="E2642" s="8"/>
      <c r="F2642" s="8"/>
      <c r="G2642" s="8"/>
      <c r="H2642" s="8"/>
      <c r="I2642" s="55"/>
      <c r="J2642" s="78" t="s">
        <v>6557</v>
      </c>
      <c r="K2642" s="22">
        <v>0.0</v>
      </c>
      <c r="L2642" s="22">
        <f>+SUMIF('حركه المخزن الرئيسي اليوميه'!$F:$F,$H:$H,'حركه المخزن الرئيسي اليوميه'!$H:$H)</f>
        <v>0.0</v>
      </c>
      <c r="M2642" s="22">
        <f>+SUMIF('حركه المخزن الرئيسي اليوميه'!$F:$F,$H:$H,'حركه المخزن الرئيسي اليوميه'!$I:$I)</f>
        <v>0.0</v>
      </c>
      <c r="N2642" s="22">
        <f>+K2642+L2642-M2642</f>
        <v>0.0</v>
      </c>
      <c r="O2642" s="22">
        <f>+N2642</f>
        <v>0.0</v>
      </c>
      <c r="P2642" s="22">
        <f>+N2642-O2642</f>
        <v>0.0</v>
      </c>
      <c r="Q2642" s="57"/>
      <c r="R2642" s="58"/>
    </row>
    <row r="2643" spans="8:8" ht="15.0" customHeight="1">
      <c r="B2643" s="54">
        <v>2787.0</v>
      </c>
      <c r="C2643" s="8"/>
      <c r="D2643" s="8"/>
      <c r="E2643" s="8"/>
      <c r="F2643" s="8"/>
      <c r="G2643" s="8"/>
      <c r="H2643" s="8"/>
      <c r="I2643" s="55"/>
      <c r="J2643" s="78" t="s">
        <v>6558</v>
      </c>
      <c r="K2643" s="22">
        <v>0.0</v>
      </c>
      <c r="L2643" s="22">
        <f>+SUMIF('حركه المخزن الرئيسي اليوميه'!$F:$F,$H:$H,'حركه المخزن الرئيسي اليوميه'!$H:$H)</f>
        <v>0.0</v>
      </c>
      <c r="M2643" s="22">
        <f>+SUMIF('حركه المخزن الرئيسي اليوميه'!$F:$F,$H:$H,'حركه المخزن الرئيسي اليوميه'!$I:$I)</f>
        <v>0.0</v>
      </c>
      <c r="N2643" s="22">
        <f>+K2643+L2643-M2643</f>
        <v>0.0</v>
      </c>
      <c r="O2643" s="22">
        <f>+N2643</f>
        <v>0.0</v>
      </c>
      <c r="P2643" s="22">
        <f>+N2643-O2643</f>
        <v>0.0</v>
      </c>
      <c r="Q2643" s="57"/>
      <c r="R2643" s="58"/>
    </row>
    <row r="2644" spans="8:8" ht="15.0" customHeight="1">
      <c r="B2644" s="54">
        <v>2788.0</v>
      </c>
      <c r="C2644" s="8"/>
      <c r="D2644" s="8"/>
      <c r="E2644" s="8"/>
      <c r="F2644" s="8"/>
      <c r="G2644" s="8"/>
      <c r="H2644" s="8"/>
      <c r="I2644" s="55"/>
      <c r="J2644" s="78" t="s">
        <v>6559</v>
      </c>
      <c r="K2644" s="22">
        <v>0.0</v>
      </c>
      <c r="L2644" s="22">
        <f>+SUMIF('حركه المخزن الرئيسي اليوميه'!$F:$F,$H:$H,'حركه المخزن الرئيسي اليوميه'!$H:$H)</f>
        <v>0.0</v>
      </c>
      <c r="M2644" s="22">
        <f>+SUMIF('حركه المخزن الرئيسي اليوميه'!$F:$F,$H:$H,'حركه المخزن الرئيسي اليوميه'!$I:$I)</f>
        <v>0.0</v>
      </c>
      <c r="N2644" s="22">
        <f>+K2644+L2644-M2644</f>
        <v>0.0</v>
      </c>
      <c r="O2644" s="22">
        <f>+N2644</f>
        <v>0.0</v>
      </c>
      <c r="P2644" s="22">
        <f>+N2644-O2644</f>
        <v>0.0</v>
      </c>
      <c r="Q2644" s="57"/>
      <c r="R2644" s="58"/>
    </row>
    <row r="2645" spans="8:8" ht="15.0" customHeight="1">
      <c r="B2645" s="54">
        <v>2789.0</v>
      </c>
      <c r="C2645" s="8"/>
      <c r="D2645" s="8"/>
      <c r="E2645" s="8"/>
      <c r="F2645" s="8"/>
      <c r="G2645" s="8"/>
      <c r="H2645" s="8"/>
      <c r="I2645" s="55"/>
      <c r="J2645" s="78" t="s">
        <v>6560</v>
      </c>
      <c r="K2645" s="22">
        <v>0.0</v>
      </c>
      <c r="L2645" s="22">
        <f>+SUMIF('حركه المخزن الرئيسي اليوميه'!$F:$F,$H:$H,'حركه المخزن الرئيسي اليوميه'!$H:$H)</f>
        <v>0.0</v>
      </c>
      <c r="M2645" s="22">
        <f>+SUMIF('حركه المخزن الرئيسي اليوميه'!$F:$F,$H:$H,'حركه المخزن الرئيسي اليوميه'!$I:$I)</f>
        <v>0.0</v>
      </c>
      <c r="N2645" s="22">
        <f>+K2645+L2645-M2645</f>
        <v>0.0</v>
      </c>
      <c r="O2645" s="22">
        <f>+N2645</f>
        <v>0.0</v>
      </c>
      <c r="P2645" s="22">
        <f>+N2645-O2645</f>
        <v>0.0</v>
      </c>
      <c r="Q2645" s="57"/>
      <c r="R2645" s="58"/>
    </row>
    <row r="2646" spans="8:8" ht="15.0" customHeight="1">
      <c r="B2646" s="54">
        <v>2790.0</v>
      </c>
      <c r="C2646" s="8"/>
      <c r="D2646" s="8"/>
      <c r="E2646" s="8"/>
      <c r="F2646" s="8"/>
      <c r="G2646" s="8"/>
      <c r="H2646" s="8"/>
      <c r="I2646" s="55"/>
      <c r="J2646" s="78" t="s">
        <v>6561</v>
      </c>
      <c r="K2646" s="22">
        <v>0.0</v>
      </c>
      <c r="L2646" s="22">
        <f>+SUMIF('حركه المخزن الرئيسي اليوميه'!$F:$F,$H:$H,'حركه المخزن الرئيسي اليوميه'!$H:$H)</f>
        <v>0.0</v>
      </c>
      <c r="M2646" s="22">
        <f>+SUMIF('حركه المخزن الرئيسي اليوميه'!$F:$F,$H:$H,'حركه المخزن الرئيسي اليوميه'!$I:$I)</f>
        <v>0.0</v>
      </c>
      <c r="N2646" s="22">
        <f>+K2646+L2646-M2646</f>
        <v>0.0</v>
      </c>
      <c r="O2646" s="22">
        <f>+N2646</f>
        <v>0.0</v>
      </c>
      <c r="P2646" s="22">
        <f>+N2646-O2646</f>
        <v>0.0</v>
      </c>
      <c r="Q2646" s="57"/>
      <c r="R2646" s="58"/>
    </row>
    <row r="2647" spans="8:8" ht="15.0" customHeight="1">
      <c r="B2647" s="54">
        <v>2791.0</v>
      </c>
      <c r="C2647" s="8"/>
      <c r="D2647" s="8"/>
      <c r="E2647" s="8"/>
      <c r="F2647" s="8"/>
      <c r="G2647" s="8"/>
      <c r="H2647" s="8"/>
      <c r="I2647" s="55"/>
      <c r="J2647" s="78" t="s">
        <v>6562</v>
      </c>
      <c r="K2647" s="22">
        <v>0.0</v>
      </c>
      <c r="L2647" s="22">
        <f>+SUMIF('حركه المخزن الرئيسي اليوميه'!$F:$F,$H:$H,'حركه المخزن الرئيسي اليوميه'!$H:$H)</f>
        <v>0.0</v>
      </c>
      <c r="M2647" s="22">
        <f>+SUMIF('حركه المخزن الرئيسي اليوميه'!$F:$F,$H:$H,'حركه المخزن الرئيسي اليوميه'!$I:$I)</f>
        <v>0.0</v>
      </c>
      <c r="N2647" s="22">
        <f>+K2647+L2647-M2647</f>
        <v>0.0</v>
      </c>
      <c r="O2647" s="22">
        <f>+N2647</f>
        <v>0.0</v>
      </c>
      <c r="P2647" s="22">
        <f>+N2647-O2647</f>
        <v>0.0</v>
      </c>
      <c r="Q2647" s="57"/>
      <c r="R2647" s="58"/>
    </row>
    <row r="2648" spans="8:8" ht="15.0" customHeight="1">
      <c r="B2648" s="54">
        <v>2792.0</v>
      </c>
      <c r="C2648" s="8"/>
      <c r="D2648" s="8"/>
      <c r="E2648" s="8"/>
      <c r="F2648" s="8"/>
      <c r="G2648" s="8"/>
      <c r="H2648" s="8"/>
      <c r="I2648" s="55"/>
      <c r="J2648" s="78" t="s">
        <v>6563</v>
      </c>
      <c r="K2648" s="22">
        <v>0.0</v>
      </c>
      <c r="L2648" s="22">
        <f>+SUMIF('حركه المخزن الرئيسي اليوميه'!$F:$F,$H:$H,'حركه المخزن الرئيسي اليوميه'!$H:$H)</f>
        <v>0.0</v>
      </c>
      <c r="M2648" s="22">
        <f>+SUMIF('حركه المخزن الرئيسي اليوميه'!$F:$F,$H:$H,'حركه المخزن الرئيسي اليوميه'!$I:$I)</f>
        <v>0.0</v>
      </c>
      <c r="N2648" s="22">
        <f>+K2648+L2648-M2648</f>
        <v>0.0</v>
      </c>
      <c r="O2648" s="22">
        <f>+N2648</f>
        <v>0.0</v>
      </c>
      <c r="P2648" s="22">
        <f>+N2648-O2648</f>
        <v>0.0</v>
      </c>
      <c r="Q2648" s="57"/>
      <c r="R2648" s="58"/>
    </row>
    <row r="2649" spans="8:8" ht="15.0" customHeight="1">
      <c r="B2649" s="54">
        <v>2793.0</v>
      </c>
      <c r="C2649" s="8"/>
      <c r="D2649" s="8"/>
      <c r="E2649" s="8"/>
      <c r="F2649" s="8"/>
      <c r="G2649" s="8"/>
      <c r="H2649" s="8"/>
      <c r="I2649" s="55"/>
      <c r="J2649" s="78" t="s">
        <v>6564</v>
      </c>
      <c r="K2649" s="22">
        <v>0.0</v>
      </c>
      <c r="L2649" s="22">
        <f>+SUMIF('حركه المخزن الرئيسي اليوميه'!$F:$F,$H:$H,'حركه المخزن الرئيسي اليوميه'!$H:$H)</f>
        <v>0.0</v>
      </c>
      <c r="M2649" s="22">
        <f>+SUMIF('حركه المخزن الرئيسي اليوميه'!$F:$F,$H:$H,'حركه المخزن الرئيسي اليوميه'!$I:$I)</f>
        <v>0.0</v>
      </c>
      <c r="N2649" s="22">
        <f>+K2649+L2649-M2649</f>
        <v>0.0</v>
      </c>
      <c r="O2649" s="22">
        <f>+N2649</f>
        <v>0.0</v>
      </c>
      <c r="P2649" s="22">
        <f>+N2649-O2649</f>
        <v>0.0</v>
      </c>
      <c r="Q2649" s="57"/>
      <c r="R2649" s="58"/>
    </row>
    <row r="2650" spans="8:8" ht="15.0" customHeight="1">
      <c r="B2650" s="54">
        <v>2794.0</v>
      </c>
      <c r="C2650" s="8"/>
      <c r="D2650" s="8"/>
      <c r="E2650" s="8"/>
      <c r="F2650" s="8"/>
      <c r="G2650" s="8"/>
      <c r="H2650" s="8"/>
      <c r="I2650" s="55"/>
      <c r="J2650" s="78" t="s">
        <v>6565</v>
      </c>
      <c r="K2650" s="22">
        <v>0.0</v>
      </c>
      <c r="L2650" s="22">
        <f>+SUMIF('حركه المخزن الرئيسي اليوميه'!$F:$F,$H:$H,'حركه المخزن الرئيسي اليوميه'!$H:$H)</f>
        <v>0.0</v>
      </c>
      <c r="M2650" s="22">
        <f>+SUMIF('حركه المخزن الرئيسي اليوميه'!$F:$F,$H:$H,'حركه المخزن الرئيسي اليوميه'!$I:$I)</f>
        <v>0.0</v>
      </c>
      <c r="N2650" s="22">
        <f>+K2650+L2650-M2650</f>
        <v>0.0</v>
      </c>
      <c r="O2650" s="22">
        <f>+N2650</f>
        <v>0.0</v>
      </c>
      <c r="P2650" s="22">
        <f>+N2650-O2650</f>
        <v>0.0</v>
      </c>
      <c r="Q2650" s="57"/>
      <c r="R2650" s="58"/>
    </row>
    <row r="2651" spans="8:8" ht="15.0" customHeight="1">
      <c r="B2651" s="54">
        <v>2795.0</v>
      </c>
      <c r="C2651" s="8"/>
      <c r="D2651" s="8"/>
      <c r="E2651" s="8"/>
      <c r="F2651" s="8"/>
      <c r="G2651" s="8"/>
      <c r="H2651" s="8"/>
      <c r="I2651" s="55"/>
      <c r="J2651" s="78" t="s">
        <v>6566</v>
      </c>
      <c r="K2651" s="22">
        <v>0.0</v>
      </c>
      <c r="L2651" s="22">
        <f>+SUMIF('حركه المخزن الرئيسي اليوميه'!$F:$F,$H:$H,'حركه المخزن الرئيسي اليوميه'!$H:$H)</f>
        <v>0.0</v>
      </c>
      <c r="M2651" s="22">
        <f>+SUMIF('حركه المخزن الرئيسي اليوميه'!$F:$F,$H:$H,'حركه المخزن الرئيسي اليوميه'!$I:$I)</f>
        <v>0.0</v>
      </c>
      <c r="N2651" s="22">
        <f>+K2651+L2651-M2651</f>
        <v>0.0</v>
      </c>
      <c r="O2651" s="22">
        <f>+N2651</f>
        <v>0.0</v>
      </c>
      <c r="P2651" s="22">
        <f>+N2651-O2651</f>
        <v>0.0</v>
      </c>
      <c r="Q2651" s="57"/>
      <c r="R2651" s="58"/>
    </row>
    <row r="2652" spans="8:8" ht="15.0" customHeight="1">
      <c r="B2652" s="54">
        <v>2796.0</v>
      </c>
      <c r="C2652" s="8"/>
      <c r="D2652" s="8"/>
      <c r="E2652" s="8"/>
      <c r="F2652" s="8"/>
      <c r="G2652" s="8"/>
      <c r="H2652" s="8"/>
      <c r="I2652" s="55"/>
      <c r="J2652" s="78" t="s">
        <v>6567</v>
      </c>
      <c r="K2652" s="22">
        <v>0.0</v>
      </c>
      <c r="L2652" s="22">
        <f>+SUMIF('حركه المخزن الرئيسي اليوميه'!$F:$F,$H:$H,'حركه المخزن الرئيسي اليوميه'!$H:$H)</f>
        <v>0.0</v>
      </c>
      <c r="M2652" s="22">
        <f>+SUMIF('حركه المخزن الرئيسي اليوميه'!$F:$F,$H:$H,'حركه المخزن الرئيسي اليوميه'!$I:$I)</f>
        <v>0.0</v>
      </c>
      <c r="N2652" s="22">
        <f>+K2652+L2652-M2652</f>
        <v>0.0</v>
      </c>
      <c r="O2652" s="22">
        <f>+N2652</f>
        <v>0.0</v>
      </c>
      <c r="P2652" s="22">
        <f>+N2652-O2652</f>
        <v>0.0</v>
      </c>
      <c r="Q2652" s="57"/>
      <c r="R2652" s="58"/>
    </row>
    <row r="2653" spans="8:8" ht="15.0" customHeight="1">
      <c r="B2653" s="54">
        <v>2797.0</v>
      </c>
      <c r="C2653" s="8"/>
      <c r="D2653" s="8"/>
      <c r="E2653" s="8"/>
      <c r="F2653" s="8"/>
      <c r="G2653" s="8"/>
      <c r="H2653" s="8"/>
      <c r="I2653" s="55"/>
      <c r="J2653" s="78" t="s">
        <v>6568</v>
      </c>
      <c r="K2653" s="22">
        <v>0.0</v>
      </c>
      <c r="L2653" s="22">
        <f>+SUMIF('حركه المخزن الرئيسي اليوميه'!$F:$F,$H:$H,'حركه المخزن الرئيسي اليوميه'!$H:$H)</f>
        <v>0.0</v>
      </c>
      <c r="M2653" s="22">
        <f>+SUMIF('حركه المخزن الرئيسي اليوميه'!$F:$F,$H:$H,'حركه المخزن الرئيسي اليوميه'!$I:$I)</f>
        <v>0.0</v>
      </c>
      <c r="N2653" s="22">
        <f>+K2653+L2653-M2653</f>
        <v>0.0</v>
      </c>
      <c r="O2653" s="22">
        <f>+N2653</f>
        <v>0.0</v>
      </c>
      <c r="P2653" s="22">
        <f>+N2653-O2653</f>
        <v>0.0</v>
      </c>
      <c r="Q2653" s="57"/>
      <c r="R2653" s="58"/>
    </row>
    <row r="2654" spans="8:8" ht="15.0" customHeight="1">
      <c r="B2654" s="54">
        <v>2798.0</v>
      </c>
      <c r="C2654" s="8"/>
      <c r="D2654" s="8"/>
      <c r="E2654" s="8"/>
      <c r="F2654" s="8"/>
      <c r="G2654" s="8"/>
      <c r="H2654" s="8"/>
      <c r="I2654" s="55"/>
      <c r="J2654" s="78" t="s">
        <v>6569</v>
      </c>
      <c r="K2654" s="22">
        <v>0.0</v>
      </c>
      <c r="L2654" s="22">
        <f>+SUMIF('حركه المخزن الرئيسي اليوميه'!$F:$F,$H:$H,'حركه المخزن الرئيسي اليوميه'!$H:$H)</f>
        <v>0.0</v>
      </c>
      <c r="M2654" s="22">
        <f>+SUMIF('حركه المخزن الرئيسي اليوميه'!$F:$F,$H:$H,'حركه المخزن الرئيسي اليوميه'!$I:$I)</f>
        <v>0.0</v>
      </c>
      <c r="N2654" s="22">
        <f>+K2654+L2654-M2654</f>
        <v>0.0</v>
      </c>
      <c r="O2654" s="22">
        <f>+N2654</f>
        <v>0.0</v>
      </c>
      <c r="P2654" s="22">
        <f>+N2654-O2654</f>
        <v>0.0</v>
      </c>
      <c r="Q2654" s="57"/>
      <c r="R2654" s="58"/>
    </row>
    <row r="2655" spans="8:8" ht="15.0" customHeight="1">
      <c r="B2655" s="54">
        <v>2799.0</v>
      </c>
      <c r="C2655" s="8"/>
      <c r="D2655" s="8"/>
      <c r="E2655" s="8"/>
      <c r="F2655" s="8"/>
      <c r="G2655" s="8"/>
      <c r="H2655" s="8"/>
      <c r="I2655" s="55"/>
      <c r="J2655" s="78" t="s">
        <v>6570</v>
      </c>
      <c r="K2655" s="22">
        <v>0.0</v>
      </c>
      <c r="L2655" s="22">
        <f>+SUMIF('حركه المخزن الرئيسي اليوميه'!$F:$F,$H:$H,'حركه المخزن الرئيسي اليوميه'!$H:$H)</f>
        <v>0.0</v>
      </c>
      <c r="M2655" s="22">
        <f>+SUMIF('حركه المخزن الرئيسي اليوميه'!$F:$F,$H:$H,'حركه المخزن الرئيسي اليوميه'!$I:$I)</f>
        <v>0.0</v>
      </c>
      <c r="N2655" s="22">
        <f>+K2655+L2655-M2655</f>
        <v>0.0</v>
      </c>
      <c r="O2655" s="22">
        <f>+N2655</f>
        <v>0.0</v>
      </c>
      <c r="P2655" s="22">
        <f>+N2655-O2655</f>
        <v>0.0</v>
      </c>
      <c r="Q2655" s="57"/>
      <c r="R2655" s="58"/>
    </row>
    <row r="2656" spans="8:8" ht="15.0" customHeight="1">
      <c r="B2656" s="54">
        <v>2800.0</v>
      </c>
      <c r="C2656" s="8"/>
      <c r="D2656" s="8"/>
      <c r="E2656" s="8"/>
      <c r="F2656" s="8"/>
      <c r="G2656" s="8"/>
      <c r="H2656" s="8"/>
      <c r="I2656" s="55"/>
      <c r="J2656" s="78" t="s">
        <v>6571</v>
      </c>
      <c r="K2656" s="22">
        <v>0.0</v>
      </c>
      <c r="L2656" s="22">
        <f>+SUMIF('حركه المخزن الرئيسي اليوميه'!$F:$F,$H:$H,'حركه المخزن الرئيسي اليوميه'!$H:$H)</f>
        <v>0.0</v>
      </c>
      <c r="M2656" s="22">
        <f>+SUMIF('حركه المخزن الرئيسي اليوميه'!$F:$F,$H:$H,'حركه المخزن الرئيسي اليوميه'!$I:$I)</f>
        <v>0.0</v>
      </c>
      <c r="N2656" s="22">
        <f>+K2656+L2656-M2656</f>
        <v>0.0</v>
      </c>
      <c r="O2656" s="22">
        <f>+N2656</f>
        <v>0.0</v>
      </c>
      <c r="P2656" s="22">
        <f>+N2656-O2656</f>
        <v>0.0</v>
      </c>
      <c r="Q2656" s="57"/>
      <c r="R2656" s="58"/>
    </row>
    <row r="2657" spans="8:8" ht="15.0" customHeight="1">
      <c r="B2657" s="54">
        <v>2801.0</v>
      </c>
      <c r="C2657" s="8"/>
      <c r="D2657" s="8"/>
      <c r="E2657" s="8"/>
      <c r="F2657" s="8"/>
      <c r="G2657" s="8"/>
      <c r="H2657" s="8"/>
      <c r="I2657" s="55"/>
      <c r="J2657" s="78" t="s">
        <v>6572</v>
      </c>
      <c r="K2657" s="22">
        <v>0.0</v>
      </c>
      <c r="L2657" s="22">
        <f>+SUMIF('حركه المخزن الرئيسي اليوميه'!$F:$F,$H:$H,'حركه المخزن الرئيسي اليوميه'!$H:$H)</f>
        <v>0.0</v>
      </c>
      <c r="M2657" s="22">
        <f>+SUMIF('حركه المخزن الرئيسي اليوميه'!$F:$F,$H:$H,'حركه المخزن الرئيسي اليوميه'!$I:$I)</f>
        <v>0.0</v>
      </c>
      <c r="N2657" s="22">
        <f>+K2657+L2657-M2657</f>
        <v>0.0</v>
      </c>
      <c r="O2657" s="22">
        <f>+N2657</f>
        <v>0.0</v>
      </c>
      <c r="P2657" s="22">
        <f>+N2657-O2657</f>
        <v>0.0</v>
      </c>
      <c r="Q2657" s="57"/>
      <c r="R2657" s="58"/>
    </row>
    <row r="2658" spans="8:8" ht="15.0" customHeight="1">
      <c r="B2658" s="54">
        <v>2802.0</v>
      </c>
      <c r="C2658" s="8"/>
      <c r="D2658" s="8"/>
      <c r="E2658" s="8"/>
      <c r="F2658" s="8"/>
      <c r="G2658" s="8"/>
      <c r="H2658" s="8"/>
      <c r="I2658" s="55"/>
      <c r="J2658" s="78" t="s">
        <v>6573</v>
      </c>
      <c r="K2658" s="22">
        <v>0.0</v>
      </c>
      <c r="L2658" s="22">
        <f>+SUMIF('حركه المخزن الرئيسي اليوميه'!$F:$F,$H:$H,'حركه المخزن الرئيسي اليوميه'!$H:$H)</f>
        <v>0.0</v>
      </c>
      <c r="M2658" s="22">
        <f>+SUMIF('حركه المخزن الرئيسي اليوميه'!$F:$F,$H:$H,'حركه المخزن الرئيسي اليوميه'!$I:$I)</f>
        <v>0.0</v>
      </c>
      <c r="N2658" s="22">
        <f>+K2658+L2658-M2658</f>
        <v>0.0</v>
      </c>
      <c r="O2658" s="22">
        <f>+N2658</f>
        <v>0.0</v>
      </c>
      <c r="P2658" s="22">
        <f>+N2658-O2658</f>
        <v>0.0</v>
      </c>
      <c r="Q2658" s="57"/>
      <c r="R2658" s="58"/>
    </row>
    <row r="2659" spans="8:8" ht="15.0" customHeight="1">
      <c r="B2659" s="54">
        <v>2803.0</v>
      </c>
      <c r="C2659" s="8"/>
      <c r="D2659" s="8"/>
      <c r="E2659" s="8"/>
      <c r="F2659" s="8"/>
      <c r="G2659" s="8"/>
      <c r="H2659" s="8"/>
      <c r="I2659" s="55"/>
      <c r="J2659" s="78" t="s">
        <v>6574</v>
      </c>
      <c r="K2659" s="22">
        <v>0.0</v>
      </c>
      <c r="L2659" s="22">
        <f>+SUMIF('حركه المخزن الرئيسي اليوميه'!$F:$F,$H:$H,'حركه المخزن الرئيسي اليوميه'!$H:$H)</f>
        <v>0.0</v>
      </c>
      <c r="M2659" s="22">
        <f>+SUMIF('حركه المخزن الرئيسي اليوميه'!$F:$F,$H:$H,'حركه المخزن الرئيسي اليوميه'!$I:$I)</f>
        <v>0.0</v>
      </c>
      <c r="N2659" s="22">
        <f>+K2659+L2659-M2659</f>
        <v>0.0</v>
      </c>
      <c r="O2659" s="22">
        <f>+N2659</f>
        <v>0.0</v>
      </c>
      <c r="P2659" s="22">
        <f>+N2659-O2659</f>
        <v>0.0</v>
      </c>
      <c r="Q2659" s="57"/>
      <c r="R2659" s="58"/>
    </row>
    <row r="2660" spans="8:8" ht="15.0" customHeight="1">
      <c r="B2660" s="54">
        <v>2804.0</v>
      </c>
      <c r="C2660" s="8"/>
      <c r="D2660" s="8"/>
      <c r="E2660" s="8"/>
      <c r="F2660" s="8"/>
      <c r="G2660" s="8"/>
      <c r="H2660" s="8"/>
      <c r="I2660" s="55"/>
      <c r="J2660" s="78" t="s">
        <v>6575</v>
      </c>
      <c r="K2660" s="22">
        <v>0.0</v>
      </c>
      <c r="L2660" s="22">
        <f>+SUMIF('حركه المخزن الرئيسي اليوميه'!$F:$F,$H:$H,'حركه المخزن الرئيسي اليوميه'!$H:$H)</f>
        <v>0.0</v>
      </c>
      <c r="M2660" s="22">
        <f>+SUMIF('حركه المخزن الرئيسي اليوميه'!$F:$F,$H:$H,'حركه المخزن الرئيسي اليوميه'!$I:$I)</f>
        <v>0.0</v>
      </c>
      <c r="N2660" s="22">
        <f>+K2660+L2660-M2660</f>
        <v>0.0</v>
      </c>
      <c r="O2660" s="22">
        <f>+N2660</f>
        <v>0.0</v>
      </c>
      <c r="P2660" s="22">
        <f>+N2660-O2660</f>
        <v>0.0</v>
      </c>
      <c r="Q2660" s="57"/>
      <c r="R2660" s="58"/>
    </row>
    <row r="2661" spans="8:8" ht="15.0" customHeight="1">
      <c r="B2661" s="54">
        <v>2805.0</v>
      </c>
      <c r="C2661" s="8"/>
      <c r="D2661" s="8"/>
      <c r="E2661" s="8"/>
      <c r="F2661" s="8"/>
      <c r="G2661" s="8"/>
      <c r="H2661" s="8"/>
      <c r="I2661" s="55"/>
      <c r="J2661" s="78" t="s">
        <v>6576</v>
      </c>
      <c r="K2661" s="22">
        <v>0.0</v>
      </c>
      <c r="L2661" s="22">
        <f>+SUMIF('حركه المخزن الرئيسي اليوميه'!$F:$F,$H:$H,'حركه المخزن الرئيسي اليوميه'!$H:$H)</f>
        <v>0.0</v>
      </c>
      <c r="M2661" s="22">
        <f>+SUMIF('حركه المخزن الرئيسي اليوميه'!$F:$F,$H:$H,'حركه المخزن الرئيسي اليوميه'!$I:$I)</f>
        <v>0.0</v>
      </c>
      <c r="N2661" s="22">
        <f>+K2661+L2661-M2661</f>
        <v>0.0</v>
      </c>
      <c r="O2661" s="22">
        <f>+N2661</f>
        <v>0.0</v>
      </c>
      <c r="P2661" s="22">
        <f>+N2661-O2661</f>
        <v>0.0</v>
      </c>
      <c r="Q2661" s="57"/>
      <c r="R2661" s="58"/>
    </row>
    <row r="2662" spans="8:8" ht="15.0" customHeight="1">
      <c r="B2662" s="54">
        <v>2806.0</v>
      </c>
      <c r="C2662" s="8"/>
      <c r="D2662" s="8"/>
      <c r="E2662" s="8"/>
      <c r="F2662" s="8"/>
      <c r="G2662" s="8"/>
      <c r="H2662" s="8"/>
      <c r="I2662" s="55"/>
      <c r="J2662" s="78" t="s">
        <v>6577</v>
      </c>
      <c r="K2662" s="22">
        <v>0.0</v>
      </c>
      <c r="L2662" s="22">
        <f>+SUMIF('حركه المخزن الرئيسي اليوميه'!$F:$F,$H:$H,'حركه المخزن الرئيسي اليوميه'!$H:$H)</f>
        <v>0.0</v>
      </c>
      <c r="M2662" s="22">
        <f>+SUMIF('حركه المخزن الرئيسي اليوميه'!$F:$F,$H:$H,'حركه المخزن الرئيسي اليوميه'!$I:$I)</f>
        <v>0.0</v>
      </c>
      <c r="N2662" s="22">
        <f>+K2662+L2662-M2662</f>
        <v>0.0</v>
      </c>
      <c r="O2662" s="22">
        <f>+N2662</f>
        <v>0.0</v>
      </c>
      <c r="P2662" s="22">
        <f>+N2662-O2662</f>
        <v>0.0</v>
      </c>
      <c r="Q2662" s="57"/>
      <c r="R2662" s="58"/>
    </row>
    <row r="2663" spans="8:8" ht="15.0" customHeight="1">
      <c r="B2663" s="54">
        <v>2807.0</v>
      </c>
      <c r="C2663" s="8"/>
      <c r="D2663" s="8"/>
      <c r="E2663" s="8"/>
      <c r="F2663" s="8"/>
      <c r="G2663" s="8"/>
      <c r="H2663" s="8"/>
      <c r="I2663" s="55"/>
      <c r="J2663" s="78" t="s">
        <v>6578</v>
      </c>
      <c r="K2663" s="22">
        <v>0.0</v>
      </c>
      <c r="L2663" s="22">
        <f>+SUMIF('حركه المخزن الرئيسي اليوميه'!$F:$F,$H:$H,'حركه المخزن الرئيسي اليوميه'!$H:$H)</f>
        <v>0.0</v>
      </c>
      <c r="M2663" s="22">
        <f>+SUMIF('حركه المخزن الرئيسي اليوميه'!$F:$F,$H:$H,'حركه المخزن الرئيسي اليوميه'!$I:$I)</f>
        <v>0.0</v>
      </c>
      <c r="N2663" s="22">
        <f>+K2663+L2663-M2663</f>
        <v>0.0</v>
      </c>
      <c r="O2663" s="22">
        <f>+N2663</f>
        <v>0.0</v>
      </c>
      <c r="P2663" s="22">
        <f>+N2663-O2663</f>
        <v>0.0</v>
      </c>
      <c r="Q2663" s="57"/>
      <c r="R2663" s="58"/>
    </row>
    <row r="2664" spans="8:8" ht="15.0" customHeight="1">
      <c r="B2664" s="54">
        <v>2808.0</v>
      </c>
      <c r="C2664" s="8"/>
      <c r="D2664" s="8"/>
      <c r="E2664" s="8"/>
      <c r="F2664" s="8"/>
      <c r="G2664" s="8"/>
      <c r="H2664" s="8"/>
      <c r="I2664" s="55"/>
      <c r="J2664" s="78" t="s">
        <v>6579</v>
      </c>
      <c r="K2664" s="22">
        <v>0.0</v>
      </c>
      <c r="L2664" s="22">
        <f>+SUMIF('حركه المخزن الرئيسي اليوميه'!$F:$F,$H:$H,'حركه المخزن الرئيسي اليوميه'!$H:$H)</f>
        <v>0.0</v>
      </c>
      <c r="M2664" s="22">
        <f>+SUMIF('حركه المخزن الرئيسي اليوميه'!$F:$F,$H:$H,'حركه المخزن الرئيسي اليوميه'!$I:$I)</f>
        <v>0.0</v>
      </c>
      <c r="N2664" s="22">
        <f>+K2664+L2664-M2664</f>
        <v>0.0</v>
      </c>
      <c r="O2664" s="22">
        <f>+N2664</f>
        <v>0.0</v>
      </c>
      <c r="P2664" s="22">
        <f>+N2664-O2664</f>
        <v>0.0</v>
      </c>
      <c r="Q2664" s="57"/>
      <c r="R2664" s="58"/>
    </row>
    <row r="2665" spans="8:8" ht="15.0" customHeight="1">
      <c r="B2665" s="54">
        <v>2809.0</v>
      </c>
      <c r="C2665" s="8"/>
      <c r="D2665" s="8"/>
      <c r="E2665" s="8"/>
      <c r="F2665" s="8"/>
      <c r="G2665" s="8"/>
      <c r="H2665" s="8"/>
      <c r="I2665" s="55"/>
      <c r="J2665" s="78" t="s">
        <v>6580</v>
      </c>
      <c r="K2665" s="22">
        <v>0.0</v>
      </c>
      <c r="L2665" s="22">
        <f>+SUMIF('حركه المخزن الرئيسي اليوميه'!$F:$F,$H:$H,'حركه المخزن الرئيسي اليوميه'!$H:$H)</f>
        <v>0.0</v>
      </c>
      <c r="M2665" s="22">
        <f>+SUMIF('حركه المخزن الرئيسي اليوميه'!$F:$F,$H:$H,'حركه المخزن الرئيسي اليوميه'!$I:$I)</f>
        <v>0.0</v>
      </c>
      <c r="N2665" s="22">
        <f>+K2665+L2665-M2665</f>
        <v>0.0</v>
      </c>
      <c r="O2665" s="22">
        <f>+N2665</f>
        <v>0.0</v>
      </c>
      <c r="P2665" s="22">
        <f>+N2665-O2665</f>
        <v>0.0</v>
      </c>
      <c r="Q2665" s="57"/>
      <c r="R2665" s="58"/>
    </row>
    <row r="2666" spans="8:8" ht="15.0" customHeight="1">
      <c r="B2666" s="54">
        <v>2810.0</v>
      </c>
      <c r="C2666" s="8"/>
      <c r="D2666" s="8"/>
      <c r="E2666" s="8"/>
      <c r="F2666" s="8"/>
      <c r="G2666" s="8"/>
      <c r="H2666" s="8"/>
      <c r="I2666" s="55"/>
      <c r="J2666" s="78" t="s">
        <v>6581</v>
      </c>
      <c r="K2666" s="22">
        <v>0.0</v>
      </c>
      <c r="L2666" s="22">
        <f>+SUMIF('حركه المخزن الرئيسي اليوميه'!$F:$F,$H:$H,'حركه المخزن الرئيسي اليوميه'!$H:$H)</f>
        <v>0.0</v>
      </c>
      <c r="M2666" s="22">
        <f>+SUMIF('حركه المخزن الرئيسي اليوميه'!$F:$F,$H:$H,'حركه المخزن الرئيسي اليوميه'!$I:$I)</f>
        <v>0.0</v>
      </c>
      <c r="N2666" s="22">
        <f>+K2666+L2666-M2666</f>
        <v>0.0</v>
      </c>
      <c r="O2666" s="22">
        <f>+N2666</f>
        <v>0.0</v>
      </c>
      <c r="P2666" s="22">
        <f>+N2666-O2666</f>
        <v>0.0</v>
      </c>
      <c r="Q2666" s="57"/>
      <c r="R2666" s="58"/>
    </row>
    <row r="2667" spans="8:8" ht="15.0" customHeight="1">
      <c r="B2667" s="54">
        <v>2811.0</v>
      </c>
      <c r="C2667" s="8"/>
      <c r="D2667" s="8"/>
      <c r="E2667" s="8"/>
      <c r="F2667" s="8"/>
      <c r="G2667" s="8"/>
      <c r="H2667" s="8"/>
      <c r="I2667" s="55"/>
      <c r="J2667" s="78" t="s">
        <v>6582</v>
      </c>
      <c r="K2667" s="22">
        <v>0.0</v>
      </c>
      <c r="L2667" s="22">
        <f>+SUMIF('حركه المخزن الرئيسي اليوميه'!$F:$F,$H:$H,'حركه المخزن الرئيسي اليوميه'!$H:$H)</f>
        <v>0.0</v>
      </c>
      <c r="M2667" s="22">
        <f>+SUMIF('حركه المخزن الرئيسي اليوميه'!$F:$F,$H:$H,'حركه المخزن الرئيسي اليوميه'!$I:$I)</f>
        <v>0.0</v>
      </c>
      <c r="N2667" s="22">
        <f>+K2667+L2667-M2667</f>
        <v>0.0</v>
      </c>
      <c r="O2667" s="22">
        <f>+N2667</f>
        <v>0.0</v>
      </c>
      <c r="P2667" s="22">
        <f>+N2667-O2667</f>
        <v>0.0</v>
      </c>
      <c r="Q2667" s="57"/>
      <c r="R2667" s="58"/>
    </row>
    <row r="2668" spans="8:8" ht="15.0" customHeight="1">
      <c r="B2668" s="54">
        <v>2812.0</v>
      </c>
      <c r="C2668" s="8"/>
      <c r="D2668" s="8"/>
      <c r="E2668" s="8"/>
      <c r="F2668" s="8"/>
      <c r="G2668" s="8"/>
      <c r="H2668" s="8"/>
      <c r="I2668" s="55"/>
      <c r="J2668" s="78" t="s">
        <v>6583</v>
      </c>
      <c r="K2668" s="22">
        <v>0.0</v>
      </c>
      <c r="L2668" s="22">
        <f>+SUMIF('حركه المخزن الرئيسي اليوميه'!$F:$F,$H:$H,'حركه المخزن الرئيسي اليوميه'!$H:$H)</f>
        <v>0.0</v>
      </c>
      <c r="M2668" s="22">
        <f>+SUMIF('حركه المخزن الرئيسي اليوميه'!$F:$F,$H:$H,'حركه المخزن الرئيسي اليوميه'!$I:$I)</f>
        <v>0.0</v>
      </c>
      <c r="N2668" s="22">
        <f>+K2668+L2668-M2668</f>
        <v>0.0</v>
      </c>
      <c r="O2668" s="22">
        <f>+N2668</f>
        <v>0.0</v>
      </c>
      <c r="P2668" s="22">
        <f>+N2668-O2668</f>
        <v>0.0</v>
      </c>
      <c r="Q2668" s="57"/>
      <c r="R2668" s="58"/>
    </row>
    <row r="2669" spans="8:8" ht="15.0" customHeight="1">
      <c r="B2669" s="54">
        <v>2813.0</v>
      </c>
      <c r="C2669" s="8"/>
      <c r="D2669" s="8"/>
      <c r="E2669" s="8"/>
      <c r="F2669" s="8"/>
      <c r="G2669" s="8"/>
      <c r="H2669" s="8"/>
      <c r="I2669" s="55"/>
      <c r="J2669" s="78" t="s">
        <v>6584</v>
      </c>
      <c r="K2669" s="22">
        <v>0.0</v>
      </c>
      <c r="L2669" s="22">
        <f>+SUMIF('حركه المخزن الرئيسي اليوميه'!$F:$F,$H:$H,'حركه المخزن الرئيسي اليوميه'!$H:$H)</f>
        <v>0.0</v>
      </c>
      <c r="M2669" s="22">
        <f>+SUMIF('حركه المخزن الرئيسي اليوميه'!$F:$F,$H:$H,'حركه المخزن الرئيسي اليوميه'!$I:$I)</f>
        <v>0.0</v>
      </c>
      <c r="N2669" s="22">
        <f>+K2669+L2669-M2669</f>
        <v>0.0</v>
      </c>
      <c r="O2669" s="22">
        <f>+N2669</f>
        <v>0.0</v>
      </c>
      <c r="P2669" s="22">
        <f>+N2669-O2669</f>
        <v>0.0</v>
      </c>
      <c r="Q2669" s="57"/>
      <c r="R2669" s="58"/>
    </row>
    <row r="2670" spans="8:8" ht="15.0" customHeight="1">
      <c r="B2670" s="54">
        <v>2814.0</v>
      </c>
      <c r="C2670" s="8"/>
      <c r="D2670" s="8"/>
      <c r="E2670" s="8"/>
      <c r="F2670" s="8"/>
      <c r="G2670" s="8"/>
      <c r="H2670" s="8"/>
      <c r="I2670" s="55"/>
      <c r="J2670" s="78" t="s">
        <v>6585</v>
      </c>
      <c r="K2670" s="22">
        <v>0.0</v>
      </c>
      <c r="L2670" s="22">
        <f>+SUMIF('حركه المخزن الرئيسي اليوميه'!$F:$F,$H:$H,'حركه المخزن الرئيسي اليوميه'!$H:$H)</f>
        <v>0.0</v>
      </c>
      <c r="M2670" s="22">
        <f>+SUMIF('حركه المخزن الرئيسي اليوميه'!$F:$F,$H:$H,'حركه المخزن الرئيسي اليوميه'!$I:$I)</f>
        <v>0.0</v>
      </c>
      <c r="N2670" s="22">
        <f>+K2670+L2670-M2670</f>
        <v>0.0</v>
      </c>
      <c r="O2670" s="22">
        <f>+N2670</f>
        <v>0.0</v>
      </c>
      <c r="P2670" s="22">
        <f>+N2670-O2670</f>
        <v>0.0</v>
      </c>
      <c r="Q2670" s="57"/>
      <c r="R2670" s="58"/>
    </row>
    <row r="2671" spans="8:8" ht="15.0" customHeight="1">
      <c r="B2671" s="54">
        <v>2815.0</v>
      </c>
      <c r="C2671" s="8"/>
      <c r="D2671" s="8"/>
      <c r="E2671" s="8"/>
      <c r="F2671" s="8"/>
      <c r="G2671" s="8"/>
      <c r="H2671" s="8"/>
      <c r="I2671" s="55"/>
      <c r="J2671" s="78" t="s">
        <v>6586</v>
      </c>
      <c r="K2671" s="22">
        <v>0.0</v>
      </c>
      <c r="L2671" s="22">
        <f>+SUMIF('حركه المخزن الرئيسي اليوميه'!$F:$F,$H:$H,'حركه المخزن الرئيسي اليوميه'!$H:$H)</f>
        <v>0.0</v>
      </c>
      <c r="M2671" s="22">
        <f>+SUMIF('حركه المخزن الرئيسي اليوميه'!$F:$F,$H:$H,'حركه المخزن الرئيسي اليوميه'!$I:$I)</f>
        <v>0.0</v>
      </c>
      <c r="N2671" s="22">
        <f>+K2671+L2671-M2671</f>
        <v>0.0</v>
      </c>
      <c r="O2671" s="22">
        <f>+N2671</f>
        <v>0.0</v>
      </c>
      <c r="P2671" s="22">
        <f>+N2671-O2671</f>
        <v>0.0</v>
      </c>
      <c r="Q2671" s="57"/>
      <c r="R2671" s="58"/>
    </row>
    <row r="2672" spans="8:8" ht="15.0" customHeight="1">
      <c r="B2672" s="54">
        <v>2816.0</v>
      </c>
      <c r="C2672" s="8"/>
      <c r="D2672" s="8"/>
      <c r="E2672" s="8"/>
      <c r="F2672" s="8"/>
      <c r="G2672" s="8"/>
      <c r="H2672" s="8"/>
      <c r="I2672" s="55"/>
      <c r="J2672" s="78" t="s">
        <v>6587</v>
      </c>
      <c r="K2672" s="22">
        <v>0.0</v>
      </c>
      <c r="L2672" s="22">
        <f>+SUMIF('حركه المخزن الرئيسي اليوميه'!$F:$F,$H:$H,'حركه المخزن الرئيسي اليوميه'!$H:$H)</f>
        <v>0.0</v>
      </c>
      <c r="M2672" s="22">
        <f>+SUMIF('حركه المخزن الرئيسي اليوميه'!$F:$F,$H:$H,'حركه المخزن الرئيسي اليوميه'!$I:$I)</f>
        <v>0.0</v>
      </c>
      <c r="N2672" s="22">
        <f>+K2672+L2672-M2672</f>
        <v>0.0</v>
      </c>
      <c r="O2672" s="22">
        <f>+N2672</f>
        <v>0.0</v>
      </c>
      <c r="P2672" s="22">
        <f>+N2672-O2672</f>
        <v>0.0</v>
      </c>
      <c r="Q2672" s="57"/>
      <c r="R2672" s="58"/>
    </row>
    <row r="2673" spans="8:8" ht="15.0" customHeight="1">
      <c r="B2673" s="54">
        <v>2817.0</v>
      </c>
      <c r="C2673" s="8"/>
      <c r="D2673" s="8"/>
      <c r="E2673" s="8"/>
      <c r="F2673" s="8"/>
      <c r="G2673" s="8"/>
      <c r="H2673" s="8"/>
      <c r="I2673" s="55"/>
      <c r="J2673" s="78" t="s">
        <v>6588</v>
      </c>
      <c r="K2673" s="22">
        <v>0.0</v>
      </c>
      <c r="L2673" s="22">
        <f>+SUMIF('حركه المخزن الرئيسي اليوميه'!$F:$F,$H:$H,'حركه المخزن الرئيسي اليوميه'!$H:$H)</f>
        <v>0.0</v>
      </c>
      <c r="M2673" s="22">
        <f>+SUMIF('حركه المخزن الرئيسي اليوميه'!$F:$F,$H:$H,'حركه المخزن الرئيسي اليوميه'!$I:$I)</f>
        <v>0.0</v>
      </c>
      <c r="N2673" s="22">
        <f>+K2673+L2673-M2673</f>
        <v>0.0</v>
      </c>
      <c r="O2673" s="22">
        <f>+N2673</f>
        <v>0.0</v>
      </c>
      <c r="P2673" s="22">
        <f>+N2673-O2673</f>
        <v>0.0</v>
      </c>
      <c r="Q2673" s="57"/>
      <c r="R2673" s="58"/>
    </row>
    <row r="2674" spans="8:8" ht="15.0" customHeight="1">
      <c r="B2674" s="54">
        <v>2818.0</v>
      </c>
      <c r="C2674" s="8"/>
      <c r="D2674" s="8"/>
      <c r="E2674" s="8"/>
      <c r="F2674" s="8"/>
      <c r="G2674" s="8"/>
      <c r="H2674" s="8"/>
      <c r="I2674" s="55"/>
      <c r="J2674" s="78" t="s">
        <v>6589</v>
      </c>
      <c r="K2674" s="22">
        <v>0.0</v>
      </c>
      <c r="L2674" s="22">
        <f>+SUMIF('حركه المخزن الرئيسي اليوميه'!$F:$F,$H:$H,'حركه المخزن الرئيسي اليوميه'!$H:$H)</f>
        <v>0.0</v>
      </c>
      <c r="M2674" s="22">
        <f>+SUMIF('حركه المخزن الرئيسي اليوميه'!$F:$F,$H:$H,'حركه المخزن الرئيسي اليوميه'!$I:$I)</f>
        <v>0.0</v>
      </c>
      <c r="N2674" s="22">
        <f>+K2674+L2674-M2674</f>
        <v>0.0</v>
      </c>
      <c r="O2674" s="22">
        <f>+N2674</f>
        <v>0.0</v>
      </c>
      <c r="P2674" s="22">
        <f>+N2674-O2674</f>
        <v>0.0</v>
      </c>
      <c r="Q2674" s="57"/>
      <c r="R2674" s="58"/>
    </row>
    <row r="2675" spans="8:8" ht="15.0" customHeight="1">
      <c r="B2675" s="54">
        <v>2819.0</v>
      </c>
      <c r="C2675" s="8"/>
      <c r="D2675" s="8"/>
      <c r="E2675" s="8"/>
      <c r="F2675" s="8"/>
      <c r="G2675" s="8"/>
      <c r="H2675" s="8"/>
      <c r="I2675" s="55"/>
      <c r="J2675" s="78" t="s">
        <v>6590</v>
      </c>
      <c r="K2675" s="22">
        <v>0.0</v>
      </c>
      <c r="L2675" s="22">
        <f>+SUMIF('حركه المخزن الرئيسي اليوميه'!$F:$F,$H:$H,'حركه المخزن الرئيسي اليوميه'!$H:$H)</f>
        <v>0.0</v>
      </c>
      <c r="M2675" s="22">
        <f>+SUMIF('حركه المخزن الرئيسي اليوميه'!$F:$F,$H:$H,'حركه المخزن الرئيسي اليوميه'!$I:$I)</f>
        <v>0.0</v>
      </c>
      <c r="N2675" s="22">
        <f>+K2675+L2675-M2675</f>
        <v>0.0</v>
      </c>
      <c r="O2675" s="22">
        <f>+N2675</f>
        <v>0.0</v>
      </c>
      <c r="P2675" s="22">
        <f>+N2675-O2675</f>
        <v>0.0</v>
      </c>
      <c r="Q2675" s="57"/>
      <c r="R2675" s="58"/>
    </row>
    <row r="2676" spans="8:8" ht="15.0" customHeight="1">
      <c r="B2676" s="54">
        <v>2820.0</v>
      </c>
      <c r="C2676" s="8"/>
      <c r="D2676" s="8"/>
      <c r="E2676" s="8"/>
      <c r="F2676" s="8"/>
      <c r="G2676" s="8"/>
      <c r="H2676" s="8"/>
      <c r="I2676" s="55"/>
      <c r="J2676" s="78" t="s">
        <v>6591</v>
      </c>
      <c r="K2676" s="22">
        <v>0.0</v>
      </c>
      <c r="L2676" s="22">
        <f>+SUMIF('حركه المخزن الرئيسي اليوميه'!$F:$F,$H:$H,'حركه المخزن الرئيسي اليوميه'!$H:$H)</f>
        <v>0.0</v>
      </c>
      <c r="M2676" s="22">
        <f>+SUMIF('حركه المخزن الرئيسي اليوميه'!$F:$F,$H:$H,'حركه المخزن الرئيسي اليوميه'!$I:$I)</f>
        <v>0.0</v>
      </c>
      <c r="N2676" s="22">
        <f>+K2676+L2676-M2676</f>
        <v>0.0</v>
      </c>
      <c r="O2676" s="22">
        <f>+N2676</f>
        <v>0.0</v>
      </c>
      <c r="P2676" s="22">
        <f>+N2676-O2676</f>
        <v>0.0</v>
      </c>
      <c r="Q2676" s="57"/>
      <c r="R2676" s="58"/>
    </row>
    <row r="2677" spans="8:8" ht="15.0" customHeight="1">
      <c r="B2677" s="54">
        <v>2821.0</v>
      </c>
      <c r="C2677" s="8"/>
      <c r="D2677" s="8"/>
      <c r="E2677" s="8"/>
      <c r="F2677" s="8"/>
      <c r="G2677" s="8"/>
      <c r="H2677" s="8"/>
      <c r="I2677" s="55"/>
      <c r="J2677" s="78" t="s">
        <v>6592</v>
      </c>
      <c r="K2677" s="22">
        <v>0.0</v>
      </c>
      <c r="L2677" s="22">
        <f>+SUMIF('حركه المخزن الرئيسي اليوميه'!$F:$F,$H:$H,'حركه المخزن الرئيسي اليوميه'!$H:$H)</f>
        <v>0.0</v>
      </c>
      <c r="M2677" s="22">
        <f>+SUMIF('حركه المخزن الرئيسي اليوميه'!$F:$F,$H:$H,'حركه المخزن الرئيسي اليوميه'!$I:$I)</f>
        <v>0.0</v>
      </c>
      <c r="N2677" s="22">
        <f>+K2677+L2677-M2677</f>
        <v>0.0</v>
      </c>
      <c r="O2677" s="22">
        <f>+N2677</f>
        <v>0.0</v>
      </c>
      <c r="P2677" s="22">
        <f>+N2677-O2677</f>
        <v>0.0</v>
      </c>
      <c r="Q2677" s="57"/>
      <c r="R2677" s="58"/>
    </row>
    <row r="2678" spans="8:8" ht="15.0" customHeight="1">
      <c r="B2678" s="54">
        <v>2822.0</v>
      </c>
      <c r="C2678" s="8"/>
      <c r="D2678" s="8"/>
      <c r="E2678" s="8"/>
      <c r="F2678" s="8"/>
      <c r="G2678" s="8"/>
      <c r="H2678" s="8"/>
      <c r="I2678" s="55"/>
      <c r="J2678" s="78" t="s">
        <v>6593</v>
      </c>
      <c r="K2678" s="22">
        <v>0.0</v>
      </c>
      <c r="L2678" s="22">
        <f>+SUMIF('حركه المخزن الرئيسي اليوميه'!$F:$F,$H:$H,'حركه المخزن الرئيسي اليوميه'!$H:$H)</f>
        <v>0.0</v>
      </c>
      <c r="M2678" s="22">
        <f>+SUMIF('حركه المخزن الرئيسي اليوميه'!$F:$F,$H:$H,'حركه المخزن الرئيسي اليوميه'!$I:$I)</f>
        <v>0.0</v>
      </c>
      <c r="N2678" s="22">
        <f>+K2678+L2678-M2678</f>
        <v>0.0</v>
      </c>
      <c r="O2678" s="22">
        <f>+N2678</f>
        <v>0.0</v>
      </c>
      <c r="P2678" s="22">
        <f>+N2678-O2678</f>
        <v>0.0</v>
      </c>
      <c r="Q2678" s="57"/>
      <c r="R2678" s="58"/>
    </row>
    <row r="2679" spans="8:8" ht="15.0" customHeight="1">
      <c r="B2679" s="54">
        <v>2823.0</v>
      </c>
      <c r="C2679" s="8"/>
      <c r="D2679" s="8"/>
      <c r="E2679" s="8"/>
      <c r="F2679" s="8"/>
      <c r="G2679" s="8"/>
      <c r="H2679" s="8"/>
      <c r="I2679" s="55"/>
      <c r="J2679" s="78" t="s">
        <v>6594</v>
      </c>
      <c r="K2679" s="22">
        <v>0.0</v>
      </c>
      <c r="L2679" s="22">
        <f>+SUMIF('حركه المخزن الرئيسي اليوميه'!$F:$F,$H:$H,'حركه المخزن الرئيسي اليوميه'!$H:$H)</f>
        <v>0.0</v>
      </c>
      <c r="M2679" s="22">
        <f>+SUMIF('حركه المخزن الرئيسي اليوميه'!$F:$F,$H:$H,'حركه المخزن الرئيسي اليوميه'!$I:$I)</f>
        <v>0.0</v>
      </c>
      <c r="N2679" s="22">
        <f>+K2679+L2679-M2679</f>
        <v>0.0</v>
      </c>
      <c r="O2679" s="22">
        <f>+N2679</f>
        <v>0.0</v>
      </c>
      <c r="P2679" s="22">
        <f>+N2679-O2679</f>
        <v>0.0</v>
      </c>
      <c r="Q2679" s="57"/>
      <c r="R2679" s="58"/>
    </row>
    <row r="2680" spans="8:8" ht="15.0" customHeight="1">
      <c r="B2680" s="54">
        <v>2824.0</v>
      </c>
      <c r="C2680" s="8"/>
      <c r="D2680" s="8"/>
      <c r="E2680" s="8"/>
      <c r="F2680" s="8"/>
      <c r="G2680" s="8"/>
      <c r="H2680" s="8"/>
      <c r="I2680" s="55"/>
      <c r="J2680" s="78" t="s">
        <v>6595</v>
      </c>
      <c r="K2680" s="22">
        <v>0.0</v>
      </c>
      <c r="L2680" s="22">
        <f>+SUMIF('حركه المخزن الرئيسي اليوميه'!$F:$F,$H:$H,'حركه المخزن الرئيسي اليوميه'!$H:$H)</f>
        <v>0.0</v>
      </c>
      <c r="M2680" s="22">
        <f>+SUMIF('حركه المخزن الرئيسي اليوميه'!$F:$F,$H:$H,'حركه المخزن الرئيسي اليوميه'!$I:$I)</f>
        <v>0.0</v>
      </c>
      <c r="N2680" s="22">
        <f>+K2680+L2680-M2680</f>
        <v>0.0</v>
      </c>
      <c r="O2680" s="22">
        <f>+N2680</f>
        <v>0.0</v>
      </c>
      <c r="P2680" s="22">
        <f>+N2680-O2680</f>
        <v>0.0</v>
      </c>
      <c r="Q2680" s="57"/>
      <c r="R2680" s="58"/>
    </row>
    <row r="2681" spans="8:8" ht="15.0" customHeight="1">
      <c r="B2681" s="54">
        <v>2825.0</v>
      </c>
      <c r="C2681" s="8"/>
      <c r="D2681" s="8"/>
      <c r="E2681" s="8"/>
      <c r="F2681" s="8"/>
      <c r="G2681" s="8"/>
      <c r="H2681" s="8"/>
      <c r="I2681" s="55"/>
      <c r="J2681" s="78" t="s">
        <v>6596</v>
      </c>
      <c r="K2681" s="22">
        <v>0.0</v>
      </c>
      <c r="L2681" s="22">
        <f>+SUMIF('حركه المخزن الرئيسي اليوميه'!$F:$F,$H:$H,'حركه المخزن الرئيسي اليوميه'!$H:$H)</f>
        <v>0.0</v>
      </c>
      <c r="M2681" s="22">
        <f>+SUMIF('حركه المخزن الرئيسي اليوميه'!$F:$F,$H:$H,'حركه المخزن الرئيسي اليوميه'!$I:$I)</f>
        <v>0.0</v>
      </c>
      <c r="N2681" s="22">
        <f>+K2681+L2681-M2681</f>
        <v>0.0</v>
      </c>
      <c r="O2681" s="22">
        <f>+N2681</f>
        <v>0.0</v>
      </c>
      <c r="P2681" s="22">
        <f>+N2681-O2681</f>
        <v>0.0</v>
      </c>
      <c r="Q2681" s="57"/>
      <c r="R2681" s="58"/>
    </row>
    <row r="2682" spans="8:8" ht="15.0" customHeight="1">
      <c r="B2682" s="54">
        <v>2826.0</v>
      </c>
      <c r="C2682" s="8"/>
      <c r="D2682" s="8"/>
      <c r="E2682" s="8"/>
      <c r="F2682" s="8"/>
      <c r="G2682" s="8"/>
      <c r="H2682" s="8"/>
      <c r="I2682" s="55"/>
      <c r="J2682" s="78" t="s">
        <v>6597</v>
      </c>
      <c r="K2682" s="22">
        <v>0.0</v>
      </c>
      <c r="L2682" s="22">
        <f>+SUMIF('حركه المخزن الرئيسي اليوميه'!$F:$F,$H:$H,'حركه المخزن الرئيسي اليوميه'!$H:$H)</f>
        <v>0.0</v>
      </c>
      <c r="M2682" s="22">
        <f>+SUMIF('حركه المخزن الرئيسي اليوميه'!$F:$F,$H:$H,'حركه المخزن الرئيسي اليوميه'!$I:$I)</f>
        <v>0.0</v>
      </c>
      <c r="N2682" s="22">
        <f>+K2682+L2682-M2682</f>
        <v>0.0</v>
      </c>
      <c r="O2682" s="22">
        <f>+N2682</f>
        <v>0.0</v>
      </c>
      <c r="P2682" s="22">
        <f>+N2682-O2682</f>
        <v>0.0</v>
      </c>
      <c r="Q2682" s="57"/>
      <c r="R2682" s="58"/>
    </row>
    <row r="2683" spans="8:8" ht="15.0" customHeight="1">
      <c r="B2683" s="54">
        <v>2827.0</v>
      </c>
      <c r="C2683" s="8"/>
      <c r="D2683" s="8"/>
      <c r="E2683" s="8"/>
      <c r="F2683" s="8"/>
      <c r="G2683" s="8"/>
      <c r="H2683" s="8"/>
      <c r="I2683" s="55"/>
      <c r="J2683" s="78" t="s">
        <v>6598</v>
      </c>
      <c r="K2683" s="22">
        <v>0.0</v>
      </c>
      <c r="L2683" s="22">
        <f>+SUMIF('حركه المخزن الرئيسي اليوميه'!$F:$F,$H:$H,'حركه المخزن الرئيسي اليوميه'!$H:$H)</f>
        <v>0.0</v>
      </c>
      <c r="M2683" s="22">
        <f>+SUMIF('حركه المخزن الرئيسي اليوميه'!$F:$F,$H:$H,'حركه المخزن الرئيسي اليوميه'!$I:$I)</f>
        <v>0.0</v>
      </c>
      <c r="N2683" s="22">
        <f>+K2683+L2683-M2683</f>
        <v>0.0</v>
      </c>
      <c r="O2683" s="22">
        <f>+N2683</f>
        <v>0.0</v>
      </c>
      <c r="P2683" s="22">
        <f>+N2683-O2683</f>
        <v>0.0</v>
      </c>
      <c r="Q2683" s="57"/>
      <c r="R2683" s="58"/>
    </row>
    <row r="2684" spans="8:8" ht="15.0" customHeight="1">
      <c r="B2684" s="54">
        <v>2828.0</v>
      </c>
      <c r="C2684" s="8"/>
      <c r="D2684" s="8"/>
      <c r="E2684" s="8"/>
      <c r="F2684" s="8"/>
      <c r="G2684" s="8"/>
      <c r="H2684" s="8"/>
      <c r="I2684" s="55"/>
      <c r="J2684" s="78" t="s">
        <v>6599</v>
      </c>
      <c r="K2684" s="22">
        <v>0.0</v>
      </c>
      <c r="L2684" s="22">
        <f>+SUMIF('حركه المخزن الرئيسي اليوميه'!$F:$F,$H:$H,'حركه المخزن الرئيسي اليوميه'!$H:$H)</f>
        <v>0.0</v>
      </c>
      <c r="M2684" s="22">
        <f>+SUMIF('حركه المخزن الرئيسي اليوميه'!$F:$F,$H:$H,'حركه المخزن الرئيسي اليوميه'!$I:$I)</f>
        <v>0.0</v>
      </c>
      <c r="N2684" s="22">
        <f>+K2684+L2684-M2684</f>
        <v>0.0</v>
      </c>
      <c r="O2684" s="22">
        <f>+N2684</f>
        <v>0.0</v>
      </c>
      <c r="P2684" s="22">
        <f>+N2684-O2684</f>
        <v>0.0</v>
      </c>
      <c r="Q2684" s="57"/>
      <c r="R2684" s="58"/>
    </row>
    <row r="2685" spans="8:8" ht="15.0" customHeight="1">
      <c r="B2685" s="54">
        <v>2829.0</v>
      </c>
      <c r="C2685" s="8"/>
      <c r="D2685" s="8"/>
      <c r="E2685" s="8"/>
      <c r="F2685" s="8"/>
      <c r="G2685" s="8"/>
      <c r="H2685" s="8"/>
      <c r="I2685" s="55"/>
      <c r="J2685" s="78" t="s">
        <v>6600</v>
      </c>
      <c r="K2685" s="22">
        <v>0.0</v>
      </c>
      <c r="L2685" s="22">
        <f>+SUMIF('حركه المخزن الرئيسي اليوميه'!$F:$F,$H:$H,'حركه المخزن الرئيسي اليوميه'!$H:$H)</f>
        <v>0.0</v>
      </c>
      <c r="M2685" s="22">
        <f>+SUMIF('حركه المخزن الرئيسي اليوميه'!$F:$F,$H:$H,'حركه المخزن الرئيسي اليوميه'!$I:$I)</f>
        <v>0.0</v>
      </c>
      <c r="N2685" s="22">
        <f>+K2685+L2685-M2685</f>
        <v>0.0</v>
      </c>
      <c r="O2685" s="22">
        <f>+N2685</f>
        <v>0.0</v>
      </c>
      <c r="P2685" s="22">
        <f>+N2685-O2685</f>
        <v>0.0</v>
      </c>
      <c r="Q2685" s="57"/>
      <c r="R2685" s="58"/>
    </row>
    <row r="2686" spans="8:8" ht="15.0" customHeight="1">
      <c r="B2686" s="54">
        <v>2830.0</v>
      </c>
      <c r="C2686" s="8"/>
      <c r="D2686" s="8"/>
      <c r="E2686" s="8"/>
      <c r="F2686" s="8"/>
      <c r="G2686" s="8"/>
      <c r="H2686" s="8"/>
      <c r="I2686" s="55"/>
      <c r="J2686" s="78" t="s">
        <v>6601</v>
      </c>
      <c r="K2686" s="22">
        <v>0.0</v>
      </c>
      <c r="L2686" s="22">
        <f>+SUMIF('حركه المخزن الرئيسي اليوميه'!$F:$F,$H:$H,'حركه المخزن الرئيسي اليوميه'!$H:$H)</f>
        <v>0.0</v>
      </c>
      <c r="M2686" s="22">
        <f>+SUMIF('حركه المخزن الرئيسي اليوميه'!$F:$F,$H:$H,'حركه المخزن الرئيسي اليوميه'!$I:$I)</f>
        <v>0.0</v>
      </c>
      <c r="N2686" s="22">
        <f>+K2686+L2686-M2686</f>
        <v>0.0</v>
      </c>
      <c r="O2686" s="22">
        <f>+N2686</f>
        <v>0.0</v>
      </c>
      <c r="P2686" s="22">
        <f>+N2686-O2686</f>
        <v>0.0</v>
      </c>
      <c r="Q2686" s="57"/>
      <c r="R2686" s="58"/>
    </row>
    <row r="2687" spans="8:8" ht="15.0" customHeight="1">
      <c r="B2687" s="54">
        <v>2831.0</v>
      </c>
      <c r="C2687" s="8"/>
      <c r="D2687" s="8"/>
      <c r="E2687" s="8"/>
      <c r="F2687" s="8"/>
      <c r="G2687" s="8"/>
      <c r="H2687" s="8"/>
      <c r="I2687" s="55"/>
      <c r="J2687" s="78" t="s">
        <v>6602</v>
      </c>
      <c r="K2687" s="22">
        <v>0.0</v>
      </c>
      <c r="L2687" s="22">
        <f>+SUMIF('حركه المخزن الرئيسي اليوميه'!$F:$F,$H:$H,'حركه المخزن الرئيسي اليوميه'!$H:$H)</f>
        <v>0.0</v>
      </c>
      <c r="M2687" s="22">
        <f>+SUMIF('حركه المخزن الرئيسي اليوميه'!$F:$F,$H:$H,'حركه المخزن الرئيسي اليوميه'!$I:$I)</f>
        <v>0.0</v>
      </c>
      <c r="N2687" s="22">
        <f>+K2687+L2687-M2687</f>
        <v>0.0</v>
      </c>
      <c r="O2687" s="22">
        <f>+N2687</f>
        <v>0.0</v>
      </c>
      <c r="P2687" s="22">
        <f>+N2687-O2687</f>
        <v>0.0</v>
      </c>
      <c r="Q2687" s="57"/>
      <c r="R2687" s="58"/>
    </row>
    <row r="2688" spans="8:8" ht="15.0" customHeight="1">
      <c r="B2688" s="54">
        <v>2832.0</v>
      </c>
      <c r="C2688" s="8"/>
      <c r="D2688" s="8"/>
      <c r="E2688" s="8"/>
      <c r="F2688" s="8"/>
      <c r="G2688" s="8"/>
      <c r="H2688" s="8"/>
      <c r="I2688" s="55"/>
      <c r="J2688" s="78" t="s">
        <v>6603</v>
      </c>
      <c r="K2688" s="22">
        <v>0.0</v>
      </c>
      <c r="L2688" s="22">
        <f>+SUMIF('حركه المخزن الرئيسي اليوميه'!$F:$F,$H:$H,'حركه المخزن الرئيسي اليوميه'!$H:$H)</f>
        <v>0.0</v>
      </c>
      <c r="M2688" s="22">
        <f>+SUMIF('حركه المخزن الرئيسي اليوميه'!$F:$F,$H:$H,'حركه المخزن الرئيسي اليوميه'!$I:$I)</f>
        <v>0.0</v>
      </c>
      <c r="N2688" s="22">
        <f>+K2688+L2688-M2688</f>
        <v>0.0</v>
      </c>
      <c r="O2688" s="22">
        <f>+N2688</f>
        <v>0.0</v>
      </c>
      <c r="P2688" s="22">
        <f>+N2688-O2688</f>
        <v>0.0</v>
      </c>
      <c r="Q2688" s="57"/>
      <c r="R2688" s="58"/>
    </row>
    <row r="2689" spans="8:8" ht="15.0" customHeight="1">
      <c r="B2689" s="54">
        <v>2833.0</v>
      </c>
      <c r="C2689" s="8"/>
      <c r="D2689" s="8"/>
      <c r="E2689" s="8"/>
      <c r="F2689" s="8"/>
      <c r="G2689" s="8"/>
      <c r="H2689" s="8"/>
      <c r="I2689" s="55"/>
      <c r="J2689" s="78" t="s">
        <v>6604</v>
      </c>
      <c r="K2689" s="22">
        <v>0.0</v>
      </c>
      <c r="L2689" s="22">
        <f>+SUMIF('حركه المخزن الرئيسي اليوميه'!$F:$F,$H:$H,'حركه المخزن الرئيسي اليوميه'!$H:$H)</f>
        <v>0.0</v>
      </c>
      <c r="M2689" s="22">
        <f>+SUMIF('حركه المخزن الرئيسي اليوميه'!$F:$F,$H:$H,'حركه المخزن الرئيسي اليوميه'!$I:$I)</f>
        <v>0.0</v>
      </c>
      <c r="N2689" s="22">
        <f>+K2689+L2689-M2689</f>
        <v>0.0</v>
      </c>
      <c r="O2689" s="22">
        <f>+N2689</f>
        <v>0.0</v>
      </c>
      <c r="P2689" s="22">
        <f>+N2689-O2689</f>
        <v>0.0</v>
      </c>
      <c r="Q2689" s="57"/>
      <c r="R2689" s="58"/>
    </row>
    <row r="2690" spans="8:8" ht="15.0" customHeight="1">
      <c r="B2690" s="54">
        <v>2834.0</v>
      </c>
      <c r="C2690" s="8"/>
      <c r="D2690" s="8"/>
      <c r="E2690" s="8"/>
      <c r="F2690" s="8"/>
      <c r="G2690" s="8"/>
      <c r="H2690" s="8"/>
      <c r="I2690" s="55"/>
      <c r="J2690" s="78" t="s">
        <v>6605</v>
      </c>
      <c r="K2690" s="22">
        <v>0.0</v>
      </c>
      <c r="L2690" s="22">
        <f>+SUMIF('حركه المخزن الرئيسي اليوميه'!$F:$F,$H:$H,'حركه المخزن الرئيسي اليوميه'!$H:$H)</f>
        <v>0.0</v>
      </c>
      <c r="M2690" s="22">
        <f>+SUMIF('حركه المخزن الرئيسي اليوميه'!$F:$F,$H:$H,'حركه المخزن الرئيسي اليوميه'!$I:$I)</f>
        <v>0.0</v>
      </c>
      <c r="N2690" s="22">
        <f>+K2690+L2690-M2690</f>
        <v>0.0</v>
      </c>
      <c r="O2690" s="22">
        <f>+N2690</f>
        <v>0.0</v>
      </c>
      <c r="P2690" s="22">
        <f>+N2690-O2690</f>
        <v>0.0</v>
      </c>
      <c r="Q2690" s="57"/>
      <c r="R2690" s="58"/>
    </row>
    <row r="2691" spans="8:8" ht="15.0" customHeight="1">
      <c r="B2691" s="54">
        <v>2835.0</v>
      </c>
      <c r="C2691" s="8"/>
      <c r="D2691" s="8"/>
      <c r="E2691" s="8"/>
      <c r="F2691" s="8"/>
      <c r="G2691" s="8"/>
      <c r="H2691" s="8"/>
      <c r="I2691" s="55"/>
      <c r="J2691" s="78" t="s">
        <v>6606</v>
      </c>
      <c r="K2691" s="22">
        <v>0.0</v>
      </c>
      <c r="L2691" s="22">
        <f>+SUMIF('حركه المخزن الرئيسي اليوميه'!$F:$F,$H:$H,'حركه المخزن الرئيسي اليوميه'!$H:$H)</f>
        <v>0.0</v>
      </c>
      <c r="M2691" s="22">
        <f>+SUMIF('حركه المخزن الرئيسي اليوميه'!$F:$F,$H:$H,'حركه المخزن الرئيسي اليوميه'!$I:$I)</f>
        <v>0.0</v>
      </c>
      <c r="N2691" s="22">
        <f>+K2691+L2691-M2691</f>
        <v>0.0</v>
      </c>
      <c r="O2691" s="22">
        <f>+N2691</f>
        <v>0.0</v>
      </c>
      <c r="P2691" s="22">
        <f>+N2691-O2691</f>
        <v>0.0</v>
      </c>
      <c r="Q2691" s="57"/>
      <c r="R2691" s="58"/>
    </row>
    <row r="2692" spans="8:8" ht="15.0" customHeight="1">
      <c r="B2692" s="54">
        <v>2836.0</v>
      </c>
      <c r="C2692" s="8"/>
      <c r="D2692" s="8"/>
      <c r="E2692" s="8"/>
      <c r="F2692" s="8"/>
      <c r="G2692" s="8"/>
      <c r="H2692" s="8"/>
      <c r="I2692" s="55"/>
      <c r="J2692" s="78" t="s">
        <v>6607</v>
      </c>
      <c r="K2692" s="22">
        <v>0.0</v>
      </c>
      <c r="L2692" s="22">
        <f>+SUMIF('حركه المخزن الرئيسي اليوميه'!$F:$F,$H:$H,'حركه المخزن الرئيسي اليوميه'!$H:$H)</f>
        <v>0.0</v>
      </c>
      <c r="M2692" s="22">
        <f>+SUMIF('حركه المخزن الرئيسي اليوميه'!$F:$F,$H:$H,'حركه المخزن الرئيسي اليوميه'!$I:$I)</f>
        <v>0.0</v>
      </c>
      <c r="N2692" s="22">
        <f>+K2692+L2692-M2692</f>
        <v>0.0</v>
      </c>
      <c r="O2692" s="22">
        <f>+N2692</f>
        <v>0.0</v>
      </c>
      <c r="P2692" s="22">
        <f>+N2692-O2692</f>
        <v>0.0</v>
      </c>
      <c r="Q2692" s="57"/>
      <c r="R2692" s="58"/>
    </row>
    <row r="2693" spans="8:8" ht="15.0" customHeight="1">
      <c r="B2693" s="54">
        <v>2837.0</v>
      </c>
      <c r="C2693" s="8"/>
      <c r="D2693" s="8"/>
      <c r="E2693" s="8"/>
      <c r="F2693" s="8"/>
      <c r="G2693" s="8"/>
      <c r="H2693" s="8"/>
      <c r="I2693" s="55"/>
      <c r="J2693" s="78" t="s">
        <v>6608</v>
      </c>
      <c r="K2693" s="22">
        <v>0.0</v>
      </c>
      <c r="L2693" s="22">
        <f>+SUMIF('حركه المخزن الرئيسي اليوميه'!$F:$F,$H:$H,'حركه المخزن الرئيسي اليوميه'!$H:$H)</f>
        <v>0.0</v>
      </c>
      <c r="M2693" s="22">
        <f>+SUMIF('حركه المخزن الرئيسي اليوميه'!$F:$F,$H:$H,'حركه المخزن الرئيسي اليوميه'!$I:$I)</f>
        <v>0.0</v>
      </c>
      <c r="N2693" s="22">
        <f>+K2693+L2693-M2693</f>
        <v>0.0</v>
      </c>
      <c r="O2693" s="22">
        <f>+N2693</f>
        <v>0.0</v>
      </c>
      <c r="P2693" s="22">
        <f>+N2693-O2693</f>
        <v>0.0</v>
      </c>
      <c r="Q2693" s="57"/>
      <c r="R2693" s="58"/>
    </row>
    <row r="2694" spans="8:8" ht="15.0" customHeight="1">
      <c r="B2694" s="54">
        <v>2838.0</v>
      </c>
      <c r="C2694" s="8"/>
      <c r="D2694" s="8"/>
      <c r="E2694" s="8"/>
      <c r="F2694" s="8"/>
      <c r="G2694" s="8"/>
      <c r="H2694" s="8"/>
      <c r="I2694" s="55"/>
      <c r="J2694" s="78" t="s">
        <v>6609</v>
      </c>
      <c r="K2694" s="22">
        <v>0.0</v>
      </c>
      <c r="L2694" s="22">
        <f>+SUMIF('حركه المخزن الرئيسي اليوميه'!$F:$F,$H:$H,'حركه المخزن الرئيسي اليوميه'!$H:$H)</f>
        <v>0.0</v>
      </c>
      <c r="M2694" s="22">
        <f>+SUMIF('حركه المخزن الرئيسي اليوميه'!$F:$F,$H:$H,'حركه المخزن الرئيسي اليوميه'!$I:$I)</f>
        <v>0.0</v>
      </c>
      <c r="N2694" s="22">
        <f>+K2694+L2694-M2694</f>
        <v>0.0</v>
      </c>
      <c r="O2694" s="22">
        <f>+N2694</f>
        <v>0.0</v>
      </c>
      <c r="P2694" s="22">
        <f>+N2694-O2694</f>
        <v>0.0</v>
      </c>
      <c r="Q2694" s="57"/>
      <c r="R2694" s="58"/>
    </row>
    <row r="2695" spans="8:8" ht="15.0" customHeight="1">
      <c r="B2695" s="54">
        <v>2839.0</v>
      </c>
      <c r="C2695" s="8"/>
      <c r="D2695" s="8"/>
      <c r="E2695" s="8"/>
      <c r="F2695" s="8"/>
      <c r="G2695" s="8"/>
      <c r="H2695" s="8"/>
      <c r="I2695" s="55"/>
      <c r="J2695" s="78" t="s">
        <v>6610</v>
      </c>
      <c r="K2695" s="22">
        <v>0.0</v>
      </c>
      <c r="L2695" s="22">
        <f>+SUMIF('حركه المخزن الرئيسي اليوميه'!$F:$F,$H:$H,'حركه المخزن الرئيسي اليوميه'!$H:$H)</f>
        <v>0.0</v>
      </c>
      <c r="M2695" s="22">
        <f>+SUMIF('حركه المخزن الرئيسي اليوميه'!$F:$F,$H:$H,'حركه المخزن الرئيسي اليوميه'!$I:$I)</f>
        <v>0.0</v>
      </c>
      <c r="N2695" s="22">
        <f>+K2695+L2695-M2695</f>
        <v>0.0</v>
      </c>
      <c r="O2695" s="22">
        <f>+N2695</f>
        <v>0.0</v>
      </c>
      <c r="P2695" s="22">
        <f>+N2695-O2695</f>
        <v>0.0</v>
      </c>
      <c r="Q2695" s="57"/>
      <c r="R2695" s="58"/>
    </row>
    <row r="2696" spans="8:8" ht="15.0" customHeight="1">
      <c r="B2696" s="54">
        <v>2840.0</v>
      </c>
      <c r="C2696" s="8"/>
      <c r="D2696" s="8"/>
      <c r="E2696" s="8"/>
      <c r="F2696" s="8"/>
      <c r="G2696" s="8"/>
      <c r="H2696" s="8"/>
      <c r="I2696" s="55"/>
      <c r="J2696" s="78" t="s">
        <v>6611</v>
      </c>
      <c r="K2696" s="22">
        <v>0.0</v>
      </c>
      <c r="L2696" s="22">
        <f>+SUMIF('حركه المخزن الرئيسي اليوميه'!$F:$F,$H:$H,'حركه المخزن الرئيسي اليوميه'!$H:$H)</f>
        <v>0.0</v>
      </c>
      <c r="M2696" s="22">
        <f>+SUMIF('حركه المخزن الرئيسي اليوميه'!$F:$F,$H:$H,'حركه المخزن الرئيسي اليوميه'!$I:$I)</f>
        <v>0.0</v>
      </c>
      <c r="N2696" s="22">
        <f>+K2696+L2696-M2696</f>
        <v>0.0</v>
      </c>
      <c r="O2696" s="22">
        <f>+N2696</f>
        <v>0.0</v>
      </c>
      <c r="P2696" s="22">
        <f>+N2696-O2696</f>
        <v>0.0</v>
      </c>
      <c r="Q2696" s="57"/>
      <c r="R2696" s="58"/>
    </row>
    <row r="2697" spans="8:8" ht="15.0" customHeight="1">
      <c r="B2697" s="54">
        <v>2841.0</v>
      </c>
      <c r="C2697" s="8"/>
      <c r="D2697" s="8"/>
      <c r="E2697" s="8"/>
      <c r="F2697" s="8"/>
      <c r="G2697" s="8"/>
      <c r="H2697" s="8"/>
      <c r="I2697" s="55"/>
      <c r="J2697" s="78" t="s">
        <v>6612</v>
      </c>
      <c r="K2697" s="22">
        <v>0.0</v>
      </c>
      <c r="L2697" s="22">
        <f>+SUMIF('حركه المخزن الرئيسي اليوميه'!$F:$F,$H:$H,'حركه المخزن الرئيسي اليوميه'!$H:$H)</f>
        <v>0.0</v>
      </c>
      <c r="M2697" s="22">
        <f>+SUMIF('حركه المخزن الرئيسي اليوميه'!$F:$F,$H:$H,'حركه المخزن الرئيسي اليوميه'!$I:$I)</f>
        <v>0.0</v>
      </c>
      <c r="N2697" s="22">
        <f>+K2697+L2697-M2697</f>
        <v>0.0</v>
      </c>
      <c r="O2697" s="22">
        <f>+N2697</f>
        <v>0.0</v>
      </c>
      <c r="P2697" s="22">
        <f>+N2697-O2697</f>
        <v>0.0</v>
      </c>
      <c r="Q2697" s="57"/>
      <c r="R2697" s="58"/>
    </row>
    <row r="2698" spans="8:8" ht="15.0" customHeight="1">
      <c r="B2698" s="54">
        <v>2842.0</v>
      </c>
      <c r="C2698" s="8"/>
      <c r="D2698" s="8"/>
      <c r="E2698" s="8"/>
      <c r="F2698" s="8"/>
      <c r="G2698" s="8"/>
      <c r="H2698" s="8"/>
      <c r="I2698" s="55"/>
      <c r="J2698" s="78" t="s">
        <v>6613</v>
      </c>
      <c r="K2698" s="22">
        <v>0.0</v>
      </c>
      <c r="L2698" s="22">
        <f>+SUMIF('حركه المخزن الرئيسي اليوميه'!$F:$F,$H:$H,'حركه المخزن الرئيسي اليوميه'!$H:$H)</f>
        <v>0.0</v>
      </c>
      <c r="M2698" s="22">
        <f>+SUMIF('حركه المخزن الرئيسي اليوميه'!$F:$F,$H:$H,'حركه المخزن الرئيسي اليوميه'!$I:$I)</f>
        <v>0.0</v>
      </c>
      <c r="N2698" s="22">
        <f>+K2698+L2698-M2698</f>
        <v>0.0</v>
      </c>
      <c r="O2698" s="22">
        <f>+N2698</f>
        <v>0.0</v>
      </c>
      <c r="P2698" s="22">
        <f>+N2698-O2698</f>
        <v>0.0</v>
      </c>
      <c r="Q2698" s="57"/>
      <c r="R2698" s="58"/>
    </row>
    <row r="2699" spans="8:8" ht="15.0" customHeight="1">
      <c r="B2699" s="54">
        <v>2843.0</v>
      </c>
      <c r="C2699" s="8"/>
      <c r="D2699" s="8"/>
      <c r="E2699" s="8"/>
      <c r="F2699" s="8"/>
      <c r="G2699" s="8"/>
      <c r="H2699" s="8"/>
      <c r="I2699" s="55"/>
      <c r="J2699" s="78" t="s">
        <v>6614</v>
      </c>
      <c r="K2699" s="22">
        <v>0.0</v>
      </c>
      <c r="L2699" s="22">
        <f>+SUMIF('حركه المخزن الرئيسي اليوميه'!$F:$F,$H:$H,'حركه المخزن الرئيسي اليوميه'!$H:$H)</f>
        <v>0.0</v>
      </c>
      <c r="M2699" s="22">
        <f>+SUMIF('حركه المخزن الرئيسي اليوميه'!$F:$F,$H:$H,'حركه المخزن الرئيسي اليوميه'!$I:$I)</f>
        <v>0.0</v>
      </c>
      <c r="N2699" s="22">
        <f>+K2699+L2699-M2699</f>
        <v>0.0</v>
      </c>
      <c r="O2699" s="22">
        <f>+N2699</f>
        <v>0.0</v>
      </c>
      <c r="P2699" s="22">
        <f>+N2699-O2699</f>
        <v>0.0</v>
      </c>
      <c r="Q2699" s="57"/>
      <c r="R2699" s="58"/>
    </row>
    <row r="2700" spans="8:8" ht="15.0" customHeight="1">
      <c r="B2700" s="54">
        <v>2844.0</v>
      </c>
      <c r="C2700" s="8"/>
      <c r="D2700" s="8"/>
      <c r="E2700" s="8"/>
      <c r="F2700" s="8"/>
      <c r="G2700" s="8"/>
      <c r="H2700" s="8"/>
      <c r="I2700" s="55"/>
      <c r="J2700" s="78" t="s">
        <v>6615</v>
      </c>
      <c r="K2700" s="22">
        <v>0.0</v>
      </c>
      <c r="L2700" s="22">
        <f>+SUMIF('حركه المخزن الرئيسي اليوميه'!$F:$F,$H:$H,'حركه المخزن الرئيسي اليوميه'!$H:$H)</f>
        <v>0.0</v>
      </c>
      <c r="M2700" s="22">
        <f>+SUMIF('حركه المخزن الرئيسي اليوميه'!$F:$F,$H:$H,'حركه المخزن الرئيسي اليوميه'!$I:$I)</f>
        <v>0.0</v>
      </c>
      <c r="N2700" s="22">
        <f>+K2700+L2700-M2700</f>
        <v>0.0</v>
      </c>
      <c r="O2700" s="22">
        <f>+N2700</f>
        <v>0.0</v>
      </c>
      <c r="P2700" s="22">
        <f>+N2700-O2700</f>
        <v>0.0</v>
      </c>
      <c r="Q2700" s="57"/>
      <c r="R2700" s="58"/>
    </row>
    <row r="2701" spans="8:8" ht="15.0" customHeight="1">
      <c r="B2701" s="54">
        <v>2845.0</v>
      </c>
      <c r="C2701" s="8"/>
      <c r="D2701" s="8"/>
      <c r="E2701" s="8"/>
      <c r="F2701" s="8"/>
      <c r="G2701" s="8"/>
      <c r="H2701" s="8"/>
      <c r="I2701" s="55"/>
      <c r="J2701" s="78" t="s">
        <v>6616</v>
      </c>
      <c r="K2701" s="22">
        <v>0.0</v>
      </c>
      <c r="L2701" s="22">
        <f>+SUMIF('حركه المخزن الرئيسي اليوميه'!$F:$F,$H:$H,'حركه المخزن الرئيسي اليوميه'!$H:$H)</f>
        <v>0.0</v>
      </c>
      <c r="M2701" s="22">
        <f>+SUMIF('حركه المخزن الرئيسي اليوميه'!$F:$F,$H:$H,'حركه المخزن الرئيسي اليوميه'!$I:$I)</f>
        <v>0.0</v>
      </c>
      <c r="N2701" s="22">
        <f>+K2701+L2701-M2701</f>
        <v>0.0</v>
      </c>
      <c r="O2701" s="22">
        <f>+N2701</f>
        <v>0.0</v>
      </c>
      <c r="P2701" s="22">
        <f>+N2701-O2701</f>
        <v>0.0</v>
      </c>
      <c r="Q2701" s="57"/>
      <c r="R2701" s="58"/>
    </row>
    <row r="2702" spans="8:8" ht="15.0" customHeight="1">
      <c r="B2702" s="54">
        <v>2846.0</v>
      </c>
      <c r="C2702" s="8"/>
      <c r="D2702" s="8"/>
      <c r="E2702" s="8"/>
      <c r="F2702" s="8"/>
      <c r="G2702" s="8"/>
      <c r="H2702" s="8"/>
      <c r="I2702" s="55"/>
      <c r="J2702" s="78" t="s">
        <v>6617</v>
      </c>
      <c r="K2702" s="22">
        <v>0.0</v>
      </c>
      <c r="L2702" s="22">
        <f>+SUMIF('حركه المخزن الرئيسي اليوميه'!$F:$F,$H:$H,'حركه المخزن الرئيسي اليوميه'!$H:$H)</f>
        <v>0.0</v>
      </c>
      <c r="M2702" s="22">
        <f>+SUMIF('حركه المخزن الرئيسي اليوميه'!$F:$F,$H:$H,'حركه المخزن الرئيسي اليوميه'!$I:$I)</f>
        <v>0.0</v>
      </c>
      <c r="N2702" s="22">
        <f>+K2702+L2702-M2702</f>
        <v>0.0</v>
      </c>
      <c r="O2702" s="22">
        <f>+N2702</f>
        <v>0.0</v>
      </c>
      <c r="P2702" s="22">
        <f>+N2702-O2702</f>
        <v>0.0</v>
      </c>
      <c r="Q2702" s="57"/>
      <c r="R2702" s="58"/>
    </row>
    <row r="2703" spans="8:8" ht="15.0" customHeight="1">
      <c r="B2703" s="54">
        <v>2847.0</v>
      </c>
      <c r="C2703" s="8"/>
      <c r="D2703" s="8"/>
      <c r="E2703" s="8"/>
      <c r="F2703" s="8"/>
      <c r="G2703" s="8"/>
      <c r="H2703" s="8"/>
      <c r="I2703" s="55"/>
      <c r="J2703" s="78" t="s">
        <v>6618</v>
      </c>
      <c r="K2703" s="22">
        <v>0.0</v>
      </c>
      <c r="L2703" s="22">
        <f>+SUMIF('حركه المخزن الرئيسي اليوميه'!$F:$F,$H:$H,'حركه المخزن الرئيسي اليوميه'!$H:$H)</f>
        <v>0.0</v>
      </c>
      <c r="M2703" s="22">
        <f>+SUMIF('حركه المخزن الرئيسي اليوميه'!$F:$F,$H:$H,'حركه المخزن الرئيسي اليوميه'!$I:$I)</f>
        <v>0.0</v>
      </c>
      <c r="N2703" s="22">
        <f>+K2703+L2703-M2703</f>
        <v>0.0</v>
      </c>
      <c r="O2703" s="22">
        <f>+N2703</f>
        <v>0.0</v>
      </c>
      <c r="P2703" s="22">
        <f>+N2703-O2703</f>
        <v>0.0</v>
      </c>
      <c r="Q2703" s="57"/>
      <c r="R2703" s="58"/>
    </row>
    <row r="2704" spans="8:8" ht="15.0" customHeight="1">
      <c r="B2704" s="54">
        <v>2848.0</v>
      </c>
      <c r="C2704" s="8"/>
      <c r="D2704" s="8"/>
      <c r="E2704" s="8"/>
      <c r="F2704" s="8"/>
      <c r="G2704" s="8"/>
      <c r="H2704" s="8"/>
      <c r="I2704" s="55"/>
      <c r="J2704" s="78" t="s">
        <v>6619</v>
      </c>
      <c r="K2704" s="22">
        <v>0.0</v>
      </c>
      <c r="L2704" s="22">
        <f>+SUMIF('حركه المخزن الرئيسي اليوميه'!$F:$F,$H:$H,'حركه المخزن الرئيسي اليوميه'!$H:$H)</f>
        <v>0.0</v>
      </c>
      <c r="M2704" s="22">
        <f>+SUMIF('حركه المخزن الرئيسي اليوميه'!$F:$F,$H:$H,'حركه المخزن الرئيسي اليوميه'!$I:$I)</f>
        <v>0.0</v>
      </c>
      <c r="N2704" s="22">
        <f>+K2704+L2704-M2704</f>
        <v>0.0</v>
      </c>
      <c r="O2704" s="22">
        <f>+N2704</f>
        <v>0.0</v>
      </c>
      <c r="P2704" s="22">
        <f>+N2704-O2704</f>
        <v>0.0</v>
      </c>
      <c r="Q2704" s="57"/>
      <c r="R2704" s="58"/>
    </row>
    <row r="2705" spans="8:8" ht="15.0" customHeight="1">
      <c r="B2705" s="54">
        <v>2849.0</v>
      </c>
      <c r="C2705" s="8"/>
      <c r="D2705" s="8"/>
      <c r="E2705" s="8"/>
      <c r="F2705" s="8"/>
      <c r="G2705" s="8"/>
      <c r="H2705" s="8"/>
      <c r="I2705" s="55"/>
      <c r="J2705" s="78" t="s">
        <v>6620</v>
      </c>
      <c r="K2705" s="22">
        <v>0.0</v>
      </c>
      <c r="L2705" s="22">
        <f>+SUMIF('حركه المخزن الرئيسي اليوميه'!$F:$F,$H:$H,'حركه المخزن الرئيسي اليوميه'!$H:$H)</f>
        <v>0.0</v>
      </c>
      <c r="M2705" s="22">
        <f>+SUMIF('حركه المخزن الرئيسي اليوميه'!$F:$F,$H:$H,'حركه المخزن الرئيسي اليوميه'!$I:$I)</f>
        <v>0.0</v>
      </c>
      <c r="N2705" s="22">
        <f>+K2705+L2705-M2705</f>
        <v>0.0</v>
      </c>
      <c r="O2705" s="22">
        <f>+N2705</f>
        <v>0.0</v>
      </c>
      <c r="P2705" s="22">
        <f>+N2705-O2705</f>
        <v>0.0</v>
      </c>
      <c r="Q2705" s="57"/>
      <c r="R2705" s="58"/>
    </row>
    <row r="2706" spans="8:8" ht="15.0" customHeight="1">
      <c r="B2706" s="54">
        <v>2850.0</v>
      </c>
      <c r="C2706" s="8"/>
      <c r="D2706" s="8"/>
      <c r="E2706" s="8"/>
      <c r="F2706" s="8"/>
      <c r="G2706" s="8"/>
      <c r="H2706" s="8"/>
      <c r="I2706" s="55"/>
      <c r="J2706" s="78" t="s">
        <v>6621</v>
      </c>
      <c r="K2706" s="22">
        <v>0.0</v>
      </c>
      <c r="L2706" s="22">
        <f>+SUMIF('حركه المخزن الرئيسي اليوميه'!$F:$F,$H:$H,'حركه المخزن الرئيسي اليوميه'!$H:$H)</f>
        <v>0.0</v>
      </c>
      <c r="M2706" s="22">
        <f>+SUMIF('حركه المخزن الرئيسي اليوميه'!$F:$F,$H:$H,'حركه المخزن الرئيسي اليوميه'!$I:$I)</f>
        <v>0.0</v>
      </c>
      <c r="N2706" s="22">
        <f>+K2706+L2706-M2706</f>
        <v>0.0</v>
      </c>
      <c r="O2706" s="22">
        <f>+N2706</f>
        <v>0.0</v>
      </c>
      <c r="P2706" s="22">
        <f>+N2706-O2706</f>
        <v>0.0</v>
      </c>
      <c r="Q2706" s="57"/>
      <c r="R2706" s="58"/>
    </row>
    <row r="2707" spans="8:8" ht="15.0" customHeight="1">
      <c r="B2707" s="54">
        <v>2851.0</v>
      </c>
      <c r="C2707" s="8"/>
      <c r="D2707" s="8"/>
      <c r="E2707" s="8"/>
      <c r="F2707" s="8"/>
      <c r="G2707" s="8"/>
      <c r="H2707" s="8"/>
      <c r="I2707" s="55"/>
      <c r="J2707" s="78" t="s">
        <v>6622</v>
      </c>
      <c r="K2707" s="22">
        <v>0.0</v>
      </c>
      <c r="L2707" s="22">
        <f>+SUMIF('حركه المخزن الرئيسي اليوميه'!$F:$F,$H:$H,'حركه المخزن الرئيسي اليوميه'!$H:$H)</f>
        <v>0.0</v>
      </c>
      <c r="M2707" s="22">
        <f>+SUMIF('حركه المخزن الرئيسي اليوميه'!$F:$F,$H:$H,'حركه المخزن الرئيسي اليوميه'!$I:$I)</f>
        <v>0.0</v>
      </c>
      <c r="N2707" s="22">
        <f>+K2707+L2707-M2707</f>
        <v>0.0</v>
      </c>
      <c r="O2707" s="22">
        <f>+N2707</f>
        <v>0.0</v>
      </c>
      <c r="P2707" s="22">
        <f>+N2707-O2707</f>
        <v>0.0</v>
      </c>
      <c r="Q2707" s="57"/>
      <c r="R2707" s="58"/>
    </row>
    <row r="2708" spans="8:8" ht="15.0" customHeight="1">
      <c r="B2708" s="54">
        <v>2852.0</v>
      </c>
      <c r="C2708" s="8"/>
      <c r="D2708" s="8"/>
      <c r="E2708" s="8"/>
      <c r="F2708" s="8"/>
      <c r="G2708" s="8"/>
      <c r="H2708" s="8"/>
      <c r="I2708" s="55"/>
      <c r="J2708" s="78" t="s">
        <v>6623</v>
      </c>
      <c r="K2708" s="22">
        <v>0.0</v>
      </c>
      <c r="L2708" s="22">
        <f>+SUMIF('حركه المخزن الرئيسي اليوميه'!$F:$F,$H:$H,'حركه المخزن الرئيسي اليوميه'!$H:$H)</f>
        <v>0.0</v>
      </c>
      <c r="M2708" s="22">
        <f>+SUMIF('حركه المخزن الرئيسي اليوميه'!$F:$F,$H:$H,'حركه المخزن الرئيسي اليوميه'!$I:$I)</f>
        <v>0.0</v>
      </c>
      <c r="N2708" s="22">
        <f>+K2708+L2708-M2708</f>
        <v>0.0</v>
      </c>
      <c r="O2708" s="22">
        <f>+N2708</f>
        <v>0.0</v>
      </c>
      <c r="P2708" s="22">
        <f>+N2708-O2708</f>
        <v>0.0</v>
      </c>
      <c r="Q2708" s="57"/>
      <c r="R2708" s="58"/>
    </row>
    <row r="2709" spans="8:8" ht="15.0" customHeight="1">
      <c r="B2709" s="54">
        <v>2853.0</v>
      </c>
      <c r="C2709" s="8"/>
      <c r="D2709" s="8"/>
      <c r="E2709" s="8"/>
      <c r="F2709" s="8"/>
      <c r="G2709" s="8"/>
      <c r="H2709" s="8"/>
      <c r="I2709" s="55"/>
      <c r="J2709" s="78" t="s">
        <v>6624</v>
      </c>
      <c r="K2709" s="22">
        <v>0.0</v>
      </c>
      <c r="L2709" s="22">
        <f>+SUMIF('حركه المخزن الرئيسي اليوميه'!$F:$F,$H:$H,'حركه المخزن الرئيسي اليوميه'!$H:$H)</f>
        <v>0.0</v>
      </c>
      <c r="M2709" s="22">
        <f>+SUMIF('حركه المخزن الرئيسي اليوميه'!$F:$F,$H:$H,'حركه المخزن الرئيسي اليوميه'!$I:$I)</f>
        <v>0.0</v>
      </c>
      <c r="N2709" s="22">
        <f>+K2709+L2709-M2709</f>
        <v>0.0</v>
      </c>
      <c r="O2709" s="22">
        <f>+N2709</f>
        <v>0.0</v>
      </c>
      <c r="P2709" s="22">
        <f>+N2709-O2709</f>
        <v>0.0</v>
      </c>
      <c r="Q2709" s="57"/>
      <c r="R2709" s="58"/>
    </row>
    <row r="2710" spans="8:8" ht="15.0" customHeight="1">
      <c r="B2710" s="54">
        <v>2854.0</v>
      </c>
      <c r="C2710" s="8"/>
      <c r="D2710" s="8"/>
      <c r="E2710" s="8"/>
      <c r="F2710" s="8"/>
      <c r="G2710" s="8"/>
      <c r="H2710" s="8"/>
      <c r="I2710" s="55"/>
      <c r="J2710" s="78" t="s">
        <v>6625</v>
      </c>
      <c r="K2710" s="22">
        <v>0.0</v>
      </c>
      <c r="L2710" s="22">
        <f>+SUMIF('حركه المخزن الرئيسي اليوميه'!$F:$F,$H:$H,'حركه المخزن الرئيسي اليوميه'!$H:$H)</f>
        <v>0.0</v>
      </c>
      <c r="M2710" s="22">
        <f>+SUMIF('حركه المخزن الرئيسي اليوميه'!$F:$F,$H:$H,'حركه المخزن الرئيسي اليوميه'!$I:$I)</f>
        <v>0.0</v>
      </c>
      <c r="N2710" s="22">
        <f>+K2710+L2710-M2710</f>
        <v>0.0</v>
      </c>
      <c r="O2710" s="22">
        <f>+N2710</f>
        <v>0.0</v>
      </c>
      <c r="P2710" s="22">
        <f>+N2710-O2710</f>
        <v>0.0</v>
      </c>
      <c r="Q2710" s="57"/>
      <c r="R2710" s="58"/>
    </row>
    <row r="2711" spans="8:8" ht="15.0" customHeight="1">
      <c r="B2711" s="54">
        <v>2855.0</v>
      </c>
      <c r="C2711" s="8"/>
      <c r="D2711" s="8"/>
      <c r="E2711" s="8"/>
      <c r="F2711" s="8"/>
      <c r="G2711" s="8"/>
      <c r="H2711" s="8"/>
      <c r="I2711" s="55"/>
      <c r="J2711" s="78" t="s">
        <v>6626</v>
      </c>
      <c r="K2711" s="22">
        <v>0.0</v>
      </c>
      <c r="L2711" s="22">
        <f>+SUMIF('حركه المخزن الرئيسي اليوميه'!$F:$F,$H:$H,'حركه المخزن الرئيسي اليوميه'!$H:$H)</f>
        <v>0.0</v>
      </c>
      <c r="M2711" s="22">
        <f>+SUMIF('حركه المخزن الرئيسي اليوميه'!$F:$F,$H:$H,'حركه المخزن الرئيسي اليوميه'!$I:$I)</f>
        <v>0.0</v>
      </c>
      <c r="N2711" s="22">
        <f>+K2711+L2711-M2711</f>
        <v>0.0</v>
      </c>
      <c r="O2711" s="22">
        <f>+N2711</f>
        <v>0.0</v>
      </c>
      <c r="P2711" s="22">
        <f>+N2711-O2711</f>
        <v>0.0</v>
      </c>
      <c r="Q2711" s="57"/>
      <c r="R2711" s="58"/>
    </row>
    <row r="2712" spans="8:8" ht="15.0" customHeight="1">
      <c r="B2712" s="54">
        <v>2856.0</v>
      </c>
      <c r="C2712" s="8"/>
      <c r="D2712" s="8"/>
      <c r="E2712" s="8"/>
      <c r="F2712" s="8"/>
      <c r="G2712" s="8"/>
      <c r="H2712" s="8"/>
      <c r="I2712" s="55"/>
      <c r="J2712" s="78" t="s">
        <v>6627</v>
      </c>
      <c r="K2712" s="22">
        <v>0.0</v>
      </c>
      <c r="L2712" s="22">
        <f>+SUMIF('حركه المخزن الرئيسي اليوميه'!$F:$F,$H:$H,'حركه المخزن الرئيسي اليوميه'!$H:$H)</f>
        <v>0.0</v>
      </c>
      <c r="M2712" s="22">
        <f>+SUMIF('حركه المخزن الرئيسي اليوميه'!$F:$F,$H:$H,'حركه المخزن الرئيسي اليوميه'!$I:$I)</f>
        <v>0.0</v>
      </c>
      <c r="N2712" s="22">
        <f>+K2712+L2712-M2712</f>
        <v>0.0</v>
      </c>
      <c r="O2712" s="22">
        <f>+N2712</f>
        <v>0.0</v>
      </c>
      <c r="P2712" s="22">
        <f>+N2712-O2712</f>
        <v>0.0</v>
      </c>
      <c r="Q2712" s="57"/>
      <c r="R2712" s="58"/>
    </row>
    <row r="2713" spans="8:8" ht="15.0" customHeight="1">
      <c r="B2713" s="54">
        <v>2857.0</v>
      </c>
      <c r="C2713" s="8"/>
      <c r="D2713" s="8"/>
      <c r="E2713" s="8"/>
      <c r="F2713" s="8"/>
      <c r="G2713" s="8"/>
      <c r="H2713" s="8"/>
      <c r="I2713" s="55"/>
      <c r="J2713" s="78" t="s">
        <v>6628</v>
      </c>
      <c r="K2713" s="22">
        <v>0.0</v>
      </c>
      <c r="L2713" s="22">
        <f>+SUMIF('حركه المخزن الرئيسي اليوميه'!$F:$F,$H:$H,'حركه المخزن الرئيسي اليوميه'!$H:$H)</f>
        <v>0.0</v>
      </c>
      <c r="M2713" s="22">
        <f>+SUMIF('حركه المخزن الرئيسي اليوميه'!$F:$F,$H:$H,'حركه المخزن الرئيسي اليوميه'!$I:$I)</f>
        <v>0.0</v>
      </c>
      <c r="N2713" s="22">
        <f>+K2713+L2713-M2713</f>
        <v>0.0</v>
      </c>
      <c r="O2713" s="22">
        <f>+N2713</f>
        <v>0.0</v>
      </c>
      <c r="P2713" s="22">
        <f>+N2713-O2713</f>
        <v>0.0</v>
      </c>
      <c r="Q2713" s="57"/>
      <c r="R2713" s="58"/>
    </row>
    <row r="2714" spans="8:8" ht="15.0" customHeight="1">
      <c r="B2714" s="54">
        <v>2858.0</v>
      </c>
      <c r="C2714" s="8"/>
      <c r="D2714" s="8"/>
      <c r="E2714" s="8"/>
      <c r="F2714" s="8"/>
      <c r="G2714" s="8"/>
      <c r="H2714" s="8"/>
      <c r="I2714" s="55"/>
      <c r="J2714" s="78" t="s">
        <v>6629</v>
      </c>
      <c r="K2714" s="22">
        <v>0.0</v>
      </c>
      <c r="L2714" s="22">
        <f>+SUMIF('حركه المخزن الرئيسي اليوميه'!$F:$F,$H:$H,'حركه المخزن الرئيسي اليوميه'!$H:$H)</f>
        <v>0.0</v>
      </c>
      <c r="M2714" s="22">
        <f>+SUMIF('حركه المخزن الرئيسي اليوميه'!$F:$F,$H:$H,'حركه المخزن الرئيسي اليوميه'!$I:$I)</f>
        <v>0.0</v>
      </c>
      <c r="N2714" s="22">
        <f>+K2714+L2714-M2714</f>
        <v>0.0</v>
      </c>
      <c r="O2714" s="22">
        <f>+N2714</f>
        <v>0.0</v>
      </c>
      <c r="P2714" s="22">
        <f>+N2714-O2714</f>
        <v>0.0</v>
      </c>
      <c r="Q2714" s="57"/>
      <c r="R2714" s="58"/>
    </row>
    <row r="2715" spans="8:8" ht="15.0" customHeight="1">
      <c r="B2715" s="54">
        <v>2859.0</v>
      </c>
      <c r="C2715" s="8"/>
      <c r="D2715" s="8"/>
      <c r="E2715" s="8"/>
      <c r="F2715" s="8"/>
      <c r="G2715" s="8"/>
      <c r="H2715" s="8"/>
      <c r="I2715" s="55"/>
      <c r="J2715" s="78" t="s">
        <v>6630</v>
      </c>
      <c r="K2715" s="22">
        <v>0.0</v>
      </c>
      <c r="L2715" s="22">
        <f>+SUMIF('حركه المخزن الرئيسي اليوميه'!$F:$F,$H:$H,'حركه المخزن الرئيسي اليوميه'!$H:$H)</f>
        <v>0.0</v>
      </c>
      <c r="M2715" s="22">
        <f>+SUMIF('حركه المخزن الرئيسي اليوميه'!$F:$F,$H:$H,'حركه المخزن الرئيسي اليوميه'!$I:$I)</f>
        <v>0.0</v>
      </c>
      <c r="N2715" s="22">
        <f>+K2715+L2715-M2715</f>
        <v>0.0</v>
      </c>
      <c r="O2715" s="22">
        <f>+N2715</f>
        <v>0.0</v>
      </c>
      <c r="P2715" s="22">
        <f>+N2715-O2715</f>
        <v>0.0</v>
      </c>
      <c r="Q2715" s="57"/>
      <c r="R2715" s="58"/>
    </row>
    <row r="2716" spans="8:8" ht="15.0" customHeight="1">
      <c r="B2716" s="54">
        <v>2860.0</v>
      </c>
      <c r="C2716" s="8"/>
      <c r="D2716" s="8"/>
      <c r="E2716" s="8"/>
      <c r="F2716" s="8"/>
      <c r="G2716" s="8"/>
      <c r="H2716" s="8"/>
      <c r="I2716" s="55"/>
      <c r="J2716" s="78" t="s">
        <v>6631</v>
      </c>
      <c r="K2716" s="22">
        <v>0.0</v>
      </c>
      <c r="L2716" s="22">
        <f>+SUMIF('حركه المخزن الرئيسي اليوميه'!$F:$F,$H:$H,'حركه المخزن الرئيسي اليوميه'!$H:$H)</f>
        <v>0.0</v>
      </c>
      <c r="M2716" s="22">
        <f>+SUMIF('حركه المخزن الرئيسي اليوميه'!$F:$F,$H:$H,'حركه المخزن الرئيسي اليوميه'!$I:$I)</f>
        <v>0.0</v>
      </c>
      <c r="N2716" s="22">
        <f>+K2716+L2716-M2716</f>
        <v>0.0</v>
      </c>
      <c r="O2716" s="22">
        <f>+N2716</f>
        <v>0.0</v>
      </c>
      <c r="P2716" s="22">
        <f>+N2716-O2716</f>
        <v>0.0</v>
      </c>
      <c r="Q2716" s="57"/>
      <c r="R2716" s="58"/>
    </row>
    <row r="2717" spans="8:8" ht="15.0" customHeight="1">
      <c r="B2717" s="54">
        <v>2861.0</v>
      </c>
      <c r="C2717" s="8"/>
      <c r="D2717" s="8"/>
      <c r="E2717" s="8"/>
      <c r="F2717" s="8"/>
      <c r="G2717" s="8"/>
      <c r="H2717" s="8"/>
      <c r="I2717" s="55"/>
      <c r="J2717" s="78" t="s">
        <v>6632</v>
      </c>
      <c r="K2717" s="22">
        <v>0.0</v>
      </c>
      <c r="L2717" s="22">
        <f>+SUMIF('حركه المخزن الرئيسي اليوميه'!$F:$F,$H:$H,'حركه المخزن الرئيسي اليوميه'!$H:$H)</f>
        <v>0.0</v>
      </c>
      <c r="M2717" s="22">
        <f>+SUMIF('حركه المخزن الرئيسي اليوميه'!$F:$F,$H:$H,'حركه المخزن الرئيسي اليوميه'!$I:$I)</f>
        <v>0.0</v>
      </c>
      <c r="N2717" s="22">
        <f>+K2717+L2717-M2717</f>
        <v>0.0</v>
      </c>
      <c r="O2717" s="22">
        <f>+N2717</f>
        <v>0.0</v>
      </c>
      <c r="P2717" s="22">
        <f>+N2717-O2717</f>
        <v>0.0</v>
      </c>
      <c r="Q2717" s="57"/>
      <c r="R2717" s="58"/>
    </row>
    <row r="2718" spans="8:8" ht="15.0" customHeight="1">
      <c r="B2718" s="54">
        <v>2862.0</v>
      </c>
      <c r="C2718" s="8"/>
      <c r="D2718" s="8"/>
      <c r="E2718" s="8"/>
      <c r="F2718" s="8"/>
      <c r="G2718" s="8"/>
      <c r="H2718" s="8"/>
      <c r="I2718" s="55"/>
      <c r="J2718" s="78" t="s">
        <v>6633</v>
      </c>
      <c r="K2718" s="22">
        <v>0.0</v>
      </c>
      <c r="L2718" s="22">
        <f>+SUMIF('حركه المخزن الرئيسي اليوميه'!$F:$F,$H:$H,'حركه المخزن الرئيسي اليوميه'!$H:$H)</f>
        <v>0.0</v>
      </c>
      <c r="M2718" s="22">
        <f>+SUMIF('حركه المخزن الرئيسي اليوميه'!$F:$F,$H:$H,'حركه المخزن الرئيسي اليوميه'!$I:$I)</f>
        <v>0.0</v>
      </c>
      <c r="N2718" s="22">
        <f>+K2718+L2718-M2718</f>
        <v>0.0</v>
      </c>
      <c r="O2718" s="22">
        <f>+N2718</f>
        <v>0.0</v>
      </c>
      <c r="P2718" s="22">
        <f>+N2718-O2718</f>
        <v>0.0</v>
      </c>
      <c r="Q2718" s="57"/>
      <c r="R2718" s="58"/>
    </row>
    <row r="2719" spans="8:8" ht="15.0" customHeight="1">
      <c r="B2719" s="54">
        <v>2863.0</v>
      </c>
      <c r="C2719" s="8"/>
      <c r="D2719" s="8"/>
      <c r="E2719" s="8"/>
      <c r="F2719" s="8"/>
      <c r="G2719" s="8"/>
      <c r="H2719" s="8"/>
      <c r="I2719" s="55"/>
      <c r="J2719" s="78" t="s">
        <v>6634</v>
      </c>
      <c r="K2719" s="22">
        <v>0.0</v>
      </c>
      <c r="L2719" s="22">
        <f>+SUMIF('حركه المخزن الرئيسي اليوميه'!$F:$F,$H:$H,'حركه المخزن الرئيسي اليوميه'!$H:$H)</f>
        <v>0.0</v>
      </c>
      <c r="M2719" s="22">
        <f>+SUMIF('حركه المخزن الرئيسي اليوميه'!$F:$F,$H:$H,'حركه المخزن الرئيسي اليوميه'!$I:$I)</f>
        <v>0.0</v>
      </c>
      <c r="N2719" s="22">
        <f>+K2719+L2719-M2719</f>
        <v>0.0</v>
      </c>
      <c r="O2719" s="22">
        <f>+N2719</f>
        <v>0.0</v>
      </c>
      <c r="P2719" s="22">
        <f>+N2719-O2719</f>
        <v>0.0</v>
      </c>
      <c r="Q2719" s="57"/>
      <c r="R2719" s="58"/>
    </row>
    <row r="2720" spans="8:8" ht="15.0" customHeight="1">
      <c r="B2720" s="54">
        <v>2864.0</v>
      </c>
      <c r="C2720" s="8"/>
      <c r="D2720" s="8"/>
      <c r="E2720" s="8"/>
      <c r="F2720" s="8"/>
      <c r="G2720" s="8"/>
      <c r="H2720" s="8"/>
      <c r="I2720" s="55"/>
      <c r="J2720" s="78" t="s">
        <v>6635</v>
      </c>
      <c r="K2720" s="22">
        <v>0.0</v>
      </c>
      <c r="L2720" s="22">
        <f>+SUMIF('حركه المخزن الرئيسي اليوميه'!$F:$F,$H:$H,'حركه المخزن الرئيسي اليوميه'!$H:$H)</f>
        <v>0.0</v>
      </c>
      <c r="M2720" s="22">
        <f>+SUMIF('حركه المخزن الرئيسي اليوميه'!$F:$F,$H:$H,'حركه المخزن الرئيسي اليوميه'!$I:$I)</f>
        <v>0.0</v>
      </c>
      <c r="N2720" s="22">
        <f>+K2720+L2720-M2720</f>
        <v>0.0</v>
      </c>
      <c r="O2720" s="22">
        <f>+N2720</f>
        <v>0.0</v>
      </c>
      <c r="P2720" s="22">
        <f>+N2720-O2720</f>
        <v>0.0</v>
      </c>
      <c r="Q2720" s="57"/>
      <c r="R2720" s="58"/>
    </row>
    <row r="2721" spans="8:8" ht="15.0" customHeight="1">
      <c r="B2721" s="54">
        <v>2865.0</v>
      </c>
      <c r="C2721" s="8"/>
      <c r="D2721" s="8"/>
      <c r="E2721" s="8"/>
      <c r="F2721" s="8"/>
      <c r="G2721" s="8"/>
      <c r="H2721" s="8"/>
      <c r="I2721" s="55"/>
      <c r="J2721" s="78" t="s">
        <v>6636</v>
      </c>
      <c r="K2721" s="22">
        <v>0.0</v>
      </c>
      <c r="L2721" s="22">
        <f>+SUMIF('حركه المخزن الرئيسي اليوميه'!$F:$F,$H:$H,'حركه المخزن الرئيسي اليوميه'!$H:$H)</f>
        <v>0.0</v>
      </c>
      <c r="M2721" s="22">
        <f>+SUMIF('حركه المخزن الرئيسي اليوميه'!$F:$F,$H:$H,'حركه المخزن الرئيسي اليوميه'!$I:$I)</f>
        <v>0.0</v>
      </c>
      <c r="N2721" s="22">
        <f>+K2721+L2721-M2721</f>
        <v>0.0</v>
      </c>
      <c r="O2721" s="22">
        <f>+N2721</f>
        <v>0.0</v>
      </c>
      <c r="P2721" s="22">
        <f>+N2721-O2721</f>
        <v>0.0</v>
      </c>
      <c r="Q2721" s="57"/>
      <c r="R2721" s="58"/>
    </row>
    <row r="2722" spans="8:8" ht="15.0" customHeight="1">
      <c r="B2722" s="54">
        <v>2866.0</v>
      </c>
      <c r="C2722" s="8"/>
      <c r="D2722" s="8"/>
      <c r="E2722" s="8"/>
      <c r="F2722" s="8"/>
      <c r="G2722" s="8"/>
      <c r="H2722" s="8"/>
      <c r="I2722" s="55"/>
      <c r="J2722" s="78" t="s">
        <v>6637</v>
      </c>
      <c r="K2722" s="22">
        <v>0.0</v>
      </c>
      <c r="L2722" s="22">
        <f>+SUMIF('حركه المخزن الرئيسي اليوميه'!$F:$F,$H:$H,'حركه المخزن الرئيسي اليوميه'!$H:$H)</f>
        <v>0.0</v>
      </c>
      <c r="M2722" s="22">
        <f>+SUMIF('حركه المخزن الرئيسي اليوميه'!$F:$F,$H:$H,'حركه المخزن الرئيسي اليوميه'!$I:$I)</f>
        <v>0.0</v>
      </c>
      <c r="N2722" s="22">
        <f>+K2722+L2722-M2722</f>
        <v>0.0</v>
      </c>
      <c r="O2722" s="22">
        <f>+N2722</f>
        <v>0.0</v>
      </c>
      <c r="P2722" s="22">
        <f>+N2722-O2722</f>
        <v>0.0</v>
      </c>
      <c r="Q2722" s="57"/>
      <c r="R2722" s="58"/>
    </row>
    <row r="2723" spans="8:8" ht="15.0" customHeight="1">
      <c r="B2723" s="54">
        <v>2867.0</v>
      </c>
      <c r="C2723" s="8"/>
      <c r="D2723" s="8"/>
      <c r="E2723" s="8"/>
      <c r="F2723" s="8"/>
      <c r="G2723" s="8"/>
      <c r="H2723" s="8"/>
      <c r="I2723" s="55"/>
      <c r="J2723" s="78" t="s">
        <v>6638</v>
      </c>
      <c r="K2723" s="22">
        <v>0.0</v>
      </c>
      <c r="L2723" s="22">
        <f>+SUMIF('حركه المخزن الرئيسي اليوميه'!$F:$F,$H:$H,'حركه المخزن الرئيسي اليوميه'!$H:$H)</f>
        <v>0.0</v>
      </c>
      <c r="M2723" s="22">
        <f>+SUMIF('حركه المخزن الرئيسي اليوميه'!$F:$F,$H:$H,'حركه المخزن الرئيسي اليوميه'!$I:$I)</f>
        <v>0.0</v>
      </c>
      <c r="N2723" s="22">
        <f>+K2723+L2723-M2723</f>
        <v>0.0</v>
      </c>
      <c r="O2723" s="22">
        <f>+N2723</f>
        <v>0.0</v>
      </c>
      <c r="P2723" s="22">
        <f>+N2723-O2723</f>
        <v>0.0</v>
      </c>
      <c r="Q2723" s="57"/>
      <c r="R2723" s="58"/>
    </row>
    <row r="2724" spans="8:8" ht="15.0" customHeight="1">
      <c r="B2724" s="54">
        <v>2868.0</v>
      </c>
      <c r="C2724" s="8"/>
      <c r="D2724" s="8"/>
      <c r="E2724" s="8"/>
      <c r="F2724" s="8"/>
      <c r="G2724" s="8"/>
      <c r="H2724" s="8"/>
      <c r="I2724" s="55"/>
      <c r="J2724" s="78" t="s">
        <v>6639</v>
      </c>
      <c r="K2724" s="22">
        <v>0.0</v>
      </c>
      <c r="L2724" s="22">
        <f>+SUMIF('حركه المخزن الرئيسي اليوميه'!$F:$F,$H:$H,'حركه المخزن الرئيسي اليوميه'!$H:$H)</f>
        <v>0.0</v>
      </c>
      <c r="M2724" s="22">
        <f>+SUMIF('حركه المخزن الرئيسي اليوميه'!$F:$F,$H:$H,'حركه المخزن الرئيسي اليوميه'!$I:$I)</f>
        <v>0.0</v>
      </c>
      <c r="N2724" s="22">
        <f>+K2724+L2724-M2724</f>
        <v>0.0</v>
      </c>
      <c r="O2724" s="22">
        <f>+N2724</f>
        <v>0.0</v>
      </c>
      <c r="P2724" s="22">
        <f>+N2724-O2724</f>
        <v>0.0</v>
      </c>
      <c r="Q2724" s="57"/>
      <c r="R2724" s="58"/>
    </row>
    <row r="2725" spans="8:8" ht="15.0" customHeight="1">
      <c r="B2725" s="54">
        <v>2869.0</v>
      </c>
      <c r="C2725" s="8"/>
      <c r="D2725" s="8"/>
      <c r="E2725" s="8"/>
      <c r="F2725" s="8"/>
      <c r="G2725" s="8"/>
      <c r="H2725" s="8"/>
      <c r="I2725" s="55"/>
      <c r="J2725" s="78" t="s">
        <v>6640</v>
      </c>
      <c r="K2725" s="22">
        <v>0.0</v>
      </c>
      <c r="L2725" s="22">
        <f>+SUMIF('حركه المخزن الرئيسي اليوميه'!$F:$F,$H:$H,'حركه المخزن الرئيسي اليوميه'!$H:$H)</f>
        <v>0.0</v>
      </c>
      <c r="M2725" s="22">
        <f>+SUMIF('حركه المخزن الرئيسي اليوميه'!$F:$F,$H:$H,'حركه المخزن الرئيسي اليوميه'!$I:$I)</f>
        <v>0.0</v>
      </c>
      <c r="N2725" s="22">
        <f>+K2725+L2725-M2725</f>
        <v>0.0</v>
      </c>
      <c r="O2725" s="22">
        <f>+N2725</f>
        <v>0.0</v>
      </c>
      <c r="P2725" s="22">
        <f>+N2725-O2725</f>
        <v>0.0</v>
      </c>
      <c r="Q2725" s="57"/>
      <c r="R2725" s="58"/>
    </row>
    <row r="2726" spans="8:8" ht="15.0" customHeight="1">
      <c r="B2726" s="54">
        <v>2870.0</v>
      </c>
      <c r="C2726" s="8"/>
      <c r="D2726" s="8"/>
      <c r="E2726" s="8"/>
      <c r="F2726" s="8"/>
      <c r="G2726" s="8"/>
      <c r="H2726" s="8"/>
      <c r="I2726" s="55"/>
      <c r="J2726" s="78" t="s">
        <v>6641</v>
      </c>
      <c r="K2726" s="22">
        <v>0.0</v>
      </c>
      <c r="L2726" s="22">
        <f>+SUMIF('حركه المخزن الرئيسي اليوميه'!$F:$F,$H:$H,'حركه المخزن الرئيسي اليوميه'!$H:$H)</f>
        <v>0.0</v>
      </c>
      <c r="M2726" s="22">
        <f>+SUMIF('حركه المخزن الرئيسي اليوميه'!$F:$F,$H:$H,'حركه المخزن الرئيسي اليوميه'!$I:$I)</f>
        <v>0.0</v>
      </c>
      <c r="N2726" s="22">
        <f>+K2726+L2726-M2726</f>
        <v>0.0</v>
      </c>
      <c r="O2726" s="22">
        <f>+N2726</f>
        <v>0.0</v>
      </c>
      <c r="P2726" s="22">
        <f>+N2726-O2726</f>
        <v>0.0</v>
      </c>
      <c r="Q2726" s="57"/>
      <c r="R2726" s="58"/>
    </row>
    <row r="2727" spans="8:8" ht="15.0" customHeight="1">
      <c r="B2727" s="54">
        <v>2871.0</v>
      </c>
      <c r="C2727" s="8"/>
      <c r="D2727" s="8"/>
      <c r="E2727" s="8"/>
      <c r="F2727" s="8"/>
      <c r="G2727" s="8"/>
      <c r="H2727" s="8"/>
      <c r="I2727" s="55"/>
      <c r="J2727" s="78" t="s">
        <v>6642</v>
      </c>
      <c r="K2727" s="22">
        <v>0.0</v>
      </c>
      <c r="L2727" s="22">
        <f>+SUMIF('حركه المخزن الرئيسي اليوميه'!$F:$F,$H:$H,'حركه المخزن الرئيسي اليوميه'!$H:$H)</f>
        <v>0.0</v>
      </c>
      <c r="M2727" s="22">
        <f>+SUMIF('حركه المخزن الرئيسي اليوميه'!$F:$F,$H:$H,'حركه المخزن الرئيسي اليوميه'!$I:$I)</f>
        <v>0.0</v>
      </c>
      <c r="N2727" s="22">
        <f>+K2727+L2727-M2727</f>
        <v>0.0</v>
      </c>
      <c r="O2727" s="22">
        <f>+N2727</f>
        <v>0.0</v>
      </c>
      <c r="P2727" s="22">
        <f>+N2727-O2727</f>
        <v>0.0</v>
      </c>
      <c r="Q2727" s="57"/>
      <c r="R2727" s="58"/>
    </row>
    <row r="2728" spans="8:8" ht="15.0" customHeight="1">
      <c r="B2728" s="54">
        <v>2872.0</v>
      </c>
      <c r="C2728" s="8"/>
      <c r="D2728" s="8"/>
      <c r="E2728" s="8"/>
      <c r="F2728" s="8"/>
      <c r="G2728" s="8"/>
      <c r="H2728" s="8"/>
      <c r="I2728" s="55"/>
      <c r="J2728" s="78" t="s">
        <v>6643</v>
      </c>
      <c r="K2728" s="22">
        <v>0.0</v>
      </c>
      <c r="L2728" s="22">
        <f>+SUMIF('حركه المخزن الرئيسي اليوميه'!$F:$F,$H:$H,'حركه المخزن الرئيسي اليوميه'!$H:$H)</f>
        <v>0.0</v>
      </c>
      <c r="M2728" s="22">
        <f>+SUMIF('حركه المخزن الرئيسي اليوميه'!$F:$F,$H:$H,'حركه المخزن الرئيسي اليوميه'!$I:$I)</f>
        <v>0.0</v>
      </c>
      <c r="N2728" s="22">
        <f>+K2728+L2728-M2728</f>
        <v>0.0</v>
      </c>
      <c r="O2728" s="22">
        <f>+N2728</f>
        <v>0.0</v>
      </c>
      <c r="P2728" s="22">
        <f>+N2728-O2728</f>
        <v>0.0</v>
      </c>
      <c r="Q2728" s="57"/>
      <c r="R2728" s="58"/>
    </row>
    <row r="2729" spans="8:8" ht="15.0" customHeight="1">
      <c r="B2729" s="54">
        <v>2873.0</v>
      </c>
      <c r="C2729" s="8"/>
      <c r="D2729" s="8"/>
      <c r="E2729" s="8"/>
      <c r="F2729" s="8"/>
      <c r="G2729" s="8"/>
      <c r="H2729" s="8"/>
      <c r="I2729" s="55"/>
      <c r="J2729" s="78" t="s">
        <v>6644</v>
      </c>
      <c r="K2729" s="22">
        <v>0.0</v>
      </c>
      <c r="L2729" s="22">
        <f>+SUMIF('حركه المخزن الرئيسي اليوميه'!$F:$F,$H:$H,'حركه المخزن الرئيسي اليوميه'!$H:$H)</f>
        <v>0.0</v>
      </c>
      <c r="M2729" s="22">
        <f>+SUMIF('حركه المخزن الرئيسي اليوميه'!$F:$F,$H:$H,'حركه المخزن الرئيسي اليوميه'!$I:$I)</f>
        <v>0.0</v>
      </c>
      <c r="N2729" s="22">
        <f>+K2729+L2729-M2729</f>
        <v>0.0</v>
      </c>
      <c r="O2729" s="22">
        <f>+N2729</f>
        <v>0.0</v>
      </c>
      <c r="P2729" s="22">
        <f>+N2729-O2729</f>
        <v>0.0</v>
      </c>
      <c r="Q2729" s="57"/>
      <c r="R2729" s="58"/>
    </row>
    <row r="2730" spans="8:8" ht="15.0" customHeight="1">
      <c r="B2730" s="54">
        <v>2874.0</v>
      </c>
      <c r="C2730" s="8"/>
      <c r="D2730" s="8"/>
      <c r="E2730" s="8"/>
      <c r="F2730" s="8"/>
      <c r="G2730" s="8"/>
      <c r="H2730" s="8"/>
      <c r="I2730" s="55"/>
      <c r="J2730" s="78" t="s">
        <v>6645</v>
      </c>
      <c r="K2730" s="22">
        <v>0.0</v>
      </c>
      <c r="L2730" s="22">
        <f>+SUMIF('حركه المخزن الرئيسي اليوميه'!$F:$F,$H:$H,'حركه المخزن الرئيسي اليوميه'!$H:$H)</f>
        <v>0.0</v>
      </c>
      <c r="M2730" s="22">
        <f>+SUMIF('حركه المخزن الرئيسي اليوميه'!$F:$F,$H:$H,'حركه المخزن الرئيسي اليوميه'!$I:$I)</f>
        <v>0.0</v>
      </c>
      <c r="N2730" s="22">
        <f>+K2730+L2730-M2730</f>
        <v>0.0</v>
      </c>
      <c r="O2730" s="22">
        <f>+N2730</f>
        <v>0.0</v>
      </c>
      <c r="P2730" s="22">
        <f>+N2730-O2730</f>
        <v>0.0</v>
      </c>
      <c r="Q2730" s="57"/>
      <c r="R2730" s="58"/>
    </row>
    <row r="2731" spans="8:8" ht="15.0" customHeight="1">
      <c r="B2731" s="54">
        <v>2875.0</v>
      </c>
      <c r="C2731" s="8"/>
      <c r="D2731" s="8"/>
      <c r="E2731" s="8"/>
      <c r="F2731" s="8"/>
      <c r="G2731" s="8"/>
      <c r="H2731" s="8"/>
      <c r="I2731" s="55"/>
      <c r="J2731" s="78" t="s">
        <v>6646</v>
      </c>
      <c r="K2731" s="22">
        <v>0.0</v>
      </c>
      <c r="L2731" s="22">
        <f>+SUMIF('حركه المخزن الرئيسي اليوميه'!$F:$F,$H:$H,'حركه المخزن الرئيسي اليوميه'!$H:$H)</f>
        <v>0.0</v>
      </c>
      <c r="M2731" s="22">
        <f>+SUMIF('حركه المخزن الرئيسي اليوميه'!$F:$F,$H:$H,'حركه المخزن الرئيسي اليوميه'!$I:$I)</f>
        <v>0.0</v>
      </c>
      <c r="N2731" s="22">
        <f>+K2731+L2731-M2731</f>
        <v>0.0</v>
      </c>
      <c r="O2731" s="22">
        <f>+N2731</f>
        <v>0.0</v>
      </c>
      <c r="P2731" s="22">
        <f>+N2731-O2731</f>
        <v>0.0</v>
      </c>
      <c r="Q2731" s="57"/>
      <c r="R2731" s="58"/>
    </row>
    <row r="2732" spans="8:8" ht="15.0" customHeight="1">
      <c r="B2732" s="54">
        <v>2876.0</v>
      </c>
      <c r="C2732" s="8"/>
      <c r="D2732" s="8"/>
      <c r="E2732" s="8"/>
      <c r="F2732" s="8"/>
      <c r="G2732" s="8"/>
      <c r="H2732" s="8"/>
      <c r="I2732" s="55"/>
      <c r="J2732" s="78" t="s">
        <v>6647</v>
      </c>
      <c r="K2732" s="22">
        <v>0.0</v>
      </c>
      <c r="L2732" s="22">
        <f>+SUMIF('حركه المخزن الرئيسي اليوميه'!$F:$F,$H:$H,'حركه المخزن الرئيسي اليوميه'!$H:$H)</f>
        <v>0.0</v>
      </c>
      <c r="M2732" s="22">
        <f>+SUMIF('حركه المخزن الرئيسي اليوميه'!$F:$F,$H:$H,'حركه المخزن الرئيسي اليوميه'!$I:$I)</f>
        <v>0.0</v>
      </c>
      <c r="N2732" s="22">
        <f>+K2732+L2732-M2732</f>
        <v>0.0</v>
      </c>
      <c r="O2732" s="22">
        <f>+N2732</f>
        <v>0.0</v>
      </c>
      <c r="P2732" s="22">
        <f>+N2732-O2732</f>
        <v>0.0</v>
      </c>
      <c r="Q2732" s="57"/>
      <c r="R2732" s="58"/>
    </row>
    <row r="2733" spans="8:8" ht="15.0" customHeight="1">
      <c r="B2733" s="54">
        <v>2877.0</v>
      </c>
      <c r="C2733" s="8"/>
      <c r="D2733" s="8"/>
      <c r="E2733" s="8"/>
      <c r="F2733" s="8"/>
      <c r="G2733" s="8"/>
      <c r="H2733" s="8"/>
      <c r="I2733" s="55"/>
      <c r="J2733" s="78" t="s">
        <v>6648</v>
      </c>
      <c r="K2733" s="22">
        <v>0.0</v>
      </c>
      <c r="L2733" s="22">
        <f>+SUMIF('حركه المخزن الرئيسي اليوميه'!$F:$F,$H:$H,'حركه المخزن الرئيسي اليوميه'!$H:$H)</f>
        <v>0.0</v>
      </c>
      <c r="M2733" s="22">
        <f>+SUMIF('حركه المخزن الرئيسي اليوميه'!$F:$F,$H:$H,'حركه المخزن الرئيسي اليوميه'!$I:$I)</f>
        <v>0.0</v>
      </c>
      <c r="N2733" s="22">
        <f>+K2733+L2733-M2733</f>
        <v>0.0</v>
      </c>
      <c r="O2733" s="22">
        <f>+N2733</f>
        <v>0.0</v>
      </c>
      <c r="P2733" s="22">
        <f>+N2733-O2733</f>
        <v>0.0</v>
      </c>
      <c r="Q2733" s="57"/>
      <c r="R2733" s="58"/>
    </row>
    <row r="2734" spans="8:8" ht="15.0" customHeight="1">
      <c r="B2734" s="54">
        <v>2878.0</v>
      </c>
      <c r="C2734" s="8"/>
      <c r="D2734" s="8"/>
      <c r="E2734" s="8"/>
      <c r="F2734" s="8"/>
      <c r="G2734" s="8"/>
      <c r="H2734" s="8"/>
      <c r="I2734" s="55"/>
      <c r="J2734" s="78" t="s">
        <v>6649</v>
      </c>
      <c r="K2734" s="22">
        <v>0.0</v>
      </c>
      <c r="L2734" s="22">
        <f>+SUMIF('حركه المخزن الرئيسي اليوميه'!$F:$F,$H:$H,'حركه المخزن الرئيسي اليوميه'!$H:$H)</f>
        <v>0.0</v>
      </c>
      <c r="M2734" s="22">
        <f>+SUMIF('حركه المخزن الرئيسي اليوميه'!$F:$F,$H:$H,'حركه المخزن الرئيسي اليوميه'!$I:$I)</f>
        <v>0.0</v>
      </c>
      <c r="N2734" s="22">
        <f>+K2734+L2734-M2734</f>
        <v>0.0</v>
      </c>
      <c r="O2734" s="22">
        <f>+N2734</f>
        <v>0.0</v>
      </c>
      <c r="P2734" s="22">
        <f>+N2734-O2734</f>
        <v>0.0</v>
      </c>
      <c r="Q2734" s="57"/>
      <c r="R2734" s="58"/>
    </row>
    <row r="2735" spans="8:8" ht="15.0" customHeight="1">
      <c r="B2735" s="54">
        <v>2879.0</v>
      </c>
      <c r="C2735" s="8"/>
      <c r="D2735" s="8"/>
      <c r="E2735" s="8"/>
      <c r="F2735" s="8"/>
      <c r="G2735" s="8"/>
      <c r="H2735" s="8"/>
      <c r="I2735" s="55"/>
      <c r="J2735" s="78" t="s">
        <v>6650</v>
      </c>
      <c r="K2735" s="22">
        <v>0.0</v>
      </c>
      <c r="L2735" s="22">
        <f>+SUMIF('حركه المخزن الرئيسي اليوميه'!$F:$F,$H:$H,'حركه المخزن الرئيسي اليوميه'!$H:$H)</f>
        <v>0.0</v>
      </c>
      <c r="M2735" s="22">
        <f>+SUMIF('حركه المخزن الرئيسي اليوميه'!$F:$F,$H:$H,'حركه المخزن الرئيسي اليوميه'!$I:$I)</f>
        <v>0.0</v>
      </c>
      <c r="N2735" s="22">
        <f>+K2735+L2735-M2735</f>
        <v>0.0</v>
      </c>
      <c r="O2735" s="22">
        <f>+N2735</f>
        <v>0.0</v>
      </c>
      <c r="P2735" s="22">
        <f>+N2735-O2735</f>
        <v>0.0</v>
      </c>
      <c r="Q2735" s="57"/>
      <c r="R2735" s="58"/>
    </row>
    <row r="2736" spans="8:8" ht="15.0" customHeight="1">
      <c r="B2736" s="54">
        <v>2880.0</v>
      </c>
      <c r="C2736" s="8"/>
      <c r="D2736" s="8"/>
      <c r="E2736" s="8"/>
      <c r="F2736" s="8"/>
      <c r="G2736" s="8"/>
      <c r="H2736" s="8"/>
      <c r="I2736" s="55"/>
      <c r="J2736" s="78" t="s">
        <v>6651</v>
      </c>
      <c r="K2736" s="22">
        <v>0.0</v>
      </c>
      <c r="L2736" s="22">
        <f>+SUMIF('حركه المخزن الرئيسي اليوميه'!$F:$F,$H:$H,'حركه المخزن الرئيسي اليوميه'!$H:$H)</f>
        <v>0.0</v>
      </c>
      <c r="M2736" s="22">
        <f>+SUMIF('حركه المخزن الرئيسي اليوميه'!$F:$F,$H:$H,'حركه المخزن الرئيسي اليوميه'!$I:$I)</f>
        <v>0.0</v>
      </c>
      <c r="N2736" s="22">
        <f>+K2736+L2736-M2736</f>
        <v>0.0</v>
      </c>
      <c r="O2736" s="22">
        <f>+N2736</f>
        <v>0.0</v>
      </c>
      <c r="P2736" s="22">
        <f>+N2736-O2736</f>
        <v>0.0</v>
      </c>
      <c r="Q2736" s="57"/>
      <c r="R2736" s="58"/>
    </row>
    <row r="2737" spans="8:8" ht="15.0" customHeight="1">
      <c r="B2737" s="54">
        <v>2881.0</v>
      </c>
      <c r="C2737" s="8"/>
      <c r="D2737" s="8"/>
      <c r="E2737" s="8"/>
      <c r="F2737" s="8"/>
      <c r="G2737" s="8"/>
      <c r="H2737" s="8"/>
      <c r="I2737" s="55"/>
      <c r="J2737" s="78" t="s">
        <v>6652</v>
      </c>
      <c r="K2737" s="22">
        <v>0.0</v>
      </c>
      <c r="L2737" s="22">
        <f>+SUMIF('حركه المخزن الرئيسي اليوميه'!$F:$F,$H:$H,'حركه المخزن الرئيسي اليوميه'!$H:$H)</f>
        <v>0.0</v>
      </c>
      <c r="M2737" s="22">
        <f>+SUMIF('حركه المخزن الرئيسي اليوميه'!$F:$F,$H:$H,'حركه المخزن الرئيسي اليوميه'!$I:$I)</f>
        <v>0.0</v>
      </c>
      <c r="N2737" s="22">
        <f>+K2737+L2737-M2737</f>
        <v>0.0</v>
      </c>
      <c r="O2737" s="22">
        <f>+N2737</f>
        <v>0.0</v>
      </c>
      <c r="P2737" s="22">
        <f>+N2737-O2737</f>
        <v>0.0</v>
      </c>
      <c r="Q2737" s="57"/>
      <c r="R2737" s="58"/>
    </row>
    <row r="2738" spans="8:8" ht="15.0" customHeight="1">
      <c r="B2738" s="54">
        <v>2882.0</v>
      </c>
      <c r="C2738" s="8"/>
      <c r="D2738" s="8"/>
      <c r="E2738" s="8"/>
      <c r="F2738" s="8"/>
      <c r="G2738" s="8"/>
      <c r="H2738" s="8"/>
      <c r="I2738" s="55"/>
      <c r="J2738" s="78" t="s">
        <v>6653</v>
      </c>
      <c r="K2738" s="22">
        <v>0.0</v>
      </c>
      <c r="L2738" s="22">
        <f>+SUMIF('حركه المخزن الرئيسي اليوميه'!$F:$F,$H:$H,'حركه المخزن الرئيسي اليوميه'!$H:$H)</f>
        <v>0.0</v>
      </c>
      <c r="M2738" s="22">
        <f>+SUMIF('حركه المخزن الرئيسي اليوميه'!$F:$F,$H:$H,'حركه المخزن الرئيسي اليوميه'!$I:$I)</f>
        <v>0.0</v>
      </c>
      <c r="N2738" s="22">
        <f>+K2738+L2738-M2738</f>
        <v>0.0</v>
      </c>
      <c r="O2738" s="22">
        <f>+N2738</f>
        <v>0.0</v>
      </c>
      <c r="P2738" s="22">
        <f>+N2738-O2738</f>
        <v>0.0</v>
      </c>
      <c r="Q2738" s="57"/>
      <c r="R2738" s="58"/>
    </row>
    <row r="2739" spans="8:8" ht="15.0" customHeight="1">
      <c r="B2739" s="54">
        <v>2883.0</v>
      </c>
      <c r="C2739" s="8"/>
      <c r="D2739" s="8"/>
      <c r="E2739" s="8"/>
      <c r="F2739" s="8"/>
      <c r="G2739" s="8"/>
      <c r="H2739" s="8"/>
      <c r="I2739" s="55"/>
      <c r="J2739" s="78" t="s">
        <v>6654</v>
      </c>
      <c r="K2739" s="22">
        <v>0.0</v>
      </c>
      <c r="L2739" s="22">
        <f>+SUMIF('حركه المخزن الرئيسي اليوميه'!$F:$F,$H:$H,'حركه المخزن الرئيسي اليوميه'!$H:$H)</f>
        <v>0.0</v>
      </c>
      <c r="M2739" s="22">
        <f>+SUMIF('حركه المخزن الرئيسي اليوميه'!$F:$F,$H:$H,'حركه المخزن الرئيسي اليوميه'!$I:$I)</f>
        <v>0.0</v>
      </c>
      <c r="N2739" s="22">
        <f>+K2739+L2739-M2739</f>
        <v>0.0</v>
      </c>
      <c r="O2739" s="22">
        <f>+N2739</f>
        <v>0.0</v>
      </c>
      <c r="P2739" s="22">
        <f>+N2739-O2739</f>
        <v>0.0</v>
      </c>
      <c r="Q2739" s="57"/>
      <c r="R2739" s="58"/>
    </row>
    <row r="2740" spans="8:8" ht="15.0" customHeight="1">
      <c r="B2740" s="54">
        <v>2884.0</v>
      </c>
      <c r="C2740" s="8"/>
      <c r="D2740" s="8"/>
      <c r="E2740" s="8"/>
      <c r="F2740" s="8"/>
      <c r="G2740" s="8"/>
      <c r="H2740" s="8"/>
      <c r="I2740" s="55"/>
      <c r="J2740" s="78" t="s">
        <v>6655</v>
      </c>
      <c r="K2740" s="22">
        <v>0.0</v>
      </c>
      <c r="L2740" s="22">
        <f>+SUMIF('حركه المخزن الرئيسي اليوميه'!$F:$F,$H:$H,'حركه المخزن الرئيسي اليوميه'!$H:$H)</f>
        <v>0.0</v>
      </c>
      <c r="M2740" s="22">
        <f>+SUMIF('حركه المخزن الرئيسي اليوميه'!$F:$F,$H:$H,'حركه المخزن الرئيسي اليوميه'!$I:$I)</f>
        <v>0.0</v>
      </c>
      <c r="N2740" s="22">
        <f>+K2740+L2740-M2740</f>
        <v>0.0</v>
      </c>
      <c r="O2740" s="22">
        <f>+N2740</f>
        <v>0.0</v>
      </c>
      <c r="P2740" s="22">
        <f>+N2740-O2740</f>
        <v>0.0</v>
      </c>
      <c r="Q2740" s="57"/>
      <c r="R2740" s="58"/>
    </row>
    <row r="2741" spans="8:8" ht="15.0" customHeight="1">
      <c r="B2741" s="54">
        <v>2885.0</v>
      </c>
      <c r="C2741" s="8"/>
      <c r="D2741" s="8"/>
      <c r="E2741" s="8"/>
      <c r="F2741" s="8"/>
      <c r="G2741" s="8"/>
      <c r="H2741" s="8"/>
      <c r="I2741" s="55"/>
      <c r="J2741" s="78" t="s">
        <v>6656</v>
      </c>
      <c r="K2741" s="22">
        <v>0.0</v>
      </c>
      <c r="L2741" s="22">
        <f>+SUMIF('حركه المخزن الرئيسي اليوميه'!$F:$F,$H:$H,'حركه المخزن الرئيسي اليوميه'!$H:$H)</f>
        <v>0.0</v>
      </c>
      <c r="M2741" s="22">
        <f>+SUMIF('حركه المخزن الرئيسي اليوميه'!$F:$F,$H:$H,'حركه المخزن الرئيسي اليوميه'!$I:$I)</f>
        <v>0.0</v>
      </c>
      <c r="N2741" s="22">
        <f>+K2741+L2741-M2741</f>
        <v>0.0</v>
      </c>
      <c r="O2741" s="22">
        <f>+N2741</f>
        <v>0.0</v>
      </c>
      <c r="P2741" s="22">
        <f>+N2741-O2741</f>
        <v>0.0</v>
      </c>
      <c r="Q2741" s="57"/>
      <c r="R2741" s="58"/>
    </row>
    <row r="2742" spans="8:8" ht="15.0" customHeight="1">
      <c r="B2742" s="54">
        <v>2886.0</v>
      </c>
      <c r="C2742" s="8"/>
      <c r="D2742" s="8"/>
      <c r="E2742" s="8"/>
      <c r="F2742" s="8"/>
      <c r="G2742" s="8"/>
      <c r="H2742" s="8"/>
      <c r="I2742" s="55"/>
      <c r="J2742" s="78" t="s">
        <v>6657</v>
      </c>
      <c r="K2742" s="22">
        <v>0.0</v>
      </c>
      <c r="L2742" s="22">
        <f>+SUMIF('حركه المخزن الرئيسي اليوميه'!$F:$F,$H:$H,'حركه المخزن الرئيسي اليوميه'!$H:$H)</f>
        <v>0.0</v>
      </c>
      <c r="M2742" s="22">
        <f>+SUMIF('حركه المخزن الرئيسي اليوميه'!$F:$F,$H:$H,'حركه المخزن الرئيسي اليوميه'!$I:$I)</f>
        <v>0.0</v>
      </c>
      <c r="N2742" s="22">
        <f>+K2742+L2742-M2742</f>
        <v>0.0</v>
      </c>
      <c r="O2742" s="22">
        <f>+N2742</f>
        <v>0.0</v>
      </c>
      <c r="P2742" s="22">
        <f>+N2742-O2742</f>
        <v>0.0</v>
      </c>
      <c r="Q2742" s="57"/>
      <c r="R2742" s="58"/>
    </row>
    <row r="2743" spans="8:8" ht="15.0" customHeight="1">
      <c r="B2743" s="54">
        <v>2887.0</v>
      </c>
      <c r="C2743" s="8"/>
      <c r="D2743" s="8"/>
      <c r="E2743" s="8"/>
      <c r="F2743" s="8"/>
      <c r="G2743" s="8"/>
      <c r="H2743" s="8"/>
      <c r="I2743" s="55"/>
      <c r="J2743" s="78" t="s">
        <v>6658</v>
      </c>
      <c r="K2743" s="22">
        <v>0.0</v>
      </c>
      <c r="L2743" s="22">
        <f>+SUMIF('حركه المخزن الرئيسي اليوميه'!$F:$F,$H:$H,'حركه المخزن الرئيسي اليوميه'!$H:$H)</f>
        <v>0.0</v>
      </c>
      <c r="M2743" s="22">
        <f>+SUMIF('حركه المخزن الرئيسي اليوميه'!$F:$F,$H:$H,'حركه المخزن الرئيسي اليوميه'!$I:$I)</f>
        <v>0.0</v>
      </c>
      <c r="N2743" s="22">
        <f>+K2743+L2743-M2743</f>
        <v>0.0</v>
      </c>
      <c r="O2743" s="22">
        <f>+N2743</f>
        <v>0.0</v>
      </c>
      <c r="P2743" s="22">
        <f>+N2743-O2743</f>
        <v>0.0</v>
      </c>
      <c r="Q2743" s="57"/>
      <c r="R2743" s="58"/>
    </row>
    <row r="2744" spans="8:8" ht="15.0" customHeight="1">
      <c r="B2744" s="54">
        <v>2888.0</v>
      </c>
      <c r="C2744" s="8"/>
      <c r="D2744" s="8"/>
      <c r="E2744" s="8"/>
      <c r="F2744" s="8"/>
      <c r="G2744" s="8"/>
      <c r="H2744" s="8"/>
      <c r="I2744" s="55"/>
      <c r="J2744" s="78" t="s">
        <v>6659</v>
      </c>
      <c r="K2744" s="22">
        <v>0.0</v>
      </c>
      <c r="L2744" s="22">
        <f>+SUMIF('حركه المخزن الرئيسي اليوميه'!$F:$F,$H:$H,'حركه المخزن الرئيسي اليوميه'!$H:$H)</f>
        <v>0.0</v>
      </c>
      <c r="M2744" s="22">
        <f>+SUMIF('حركه المخزن الرئيسي اليوميه'!$F:$F,$H:$H,'حركه المخزن الرئيسي اليوميه'!$I:$I)</f>
        <v>0.0</v>
      </c>
      <c r="N2744" s="22">
        <f>+K2744+L2744-M2744</f>
        <v>0.0</v>
      </c>
      <c r="O2744" s="22">
        <f>+N2744</f>
        <v>0.0</v>
      </c>
      <c r="P2744" s="22">
        <f>+N2744-O2744</f>
        <v>0.0</v>
      </c>
      <c r="Q2744" s="57"/>
      <c r="R2744" s="58"/>
    </row>
    <row r="2745" spans="8:8" ht="15.0" customHeight="1">
      <c r="B2745" s="54">
        <v>2889.0</v>
      </c>
      <c r="C2745" s="8"/>
      <c r="D2745" s="8"/>
      <c r="E2745" s="8"/>
      <c r="F2745" s="8"/>
      <c r="G2745" s="8"/>
      <c r="H2745" s="8"/>
      <c r="I2745" s="55"/>
      <c r="J2745" s="78" t="s">
        <v>6660</v>
      </c>
      <c r="K2745" s="22">
        <v>0.0</v>
      </c>
      <c r="L2745" s="22">
        <f>+SUMIF('حركه المخزن الرئيسي اليوميه'!$F:$F,$H:$H,'حركه المخزن الرئيسي اليوميه'!$H:$H)</f>
        <v>0.0</v>
      </c>
      <c r="M2745" s="22">
        <f>+SUMIF('حركه المخزن الرئيسي اليوميه'!$F:$F,$H:$H,'حركه المخزن الرئيسي اليوميه'!$I:$I)</f>
        <v>0.0</v>
      </c>
      <c r="N2745" s="22">
        <f>+K2745+L2745-M2745</f>
        <v>0.0</v>
      </c>
      <c r="O2745" s="22">
        <f>+N2745</f>
        <v>0.0</v>
      </c>
      <c r="P2745" s="22">
        <f>+N2745-O2745</f>
        <v>0.0</v>
      </c>
      <c r="Q2745" s="57"/>
      <c r="R2745" s="58"/>
    </row>
    <row r="2746" spans="8:8" ht="15.0" customHeight="1">
      <c r="B2746" s="54">
        <v>2890.0</v>
      </c>
      <c r="C2746" s="8"/>
      <c r="D2746" s="8"/>
      <c r="E2746" s="8"/>
      <c r="F2746" s="8"/>
      <c r="G2746" s="8"/>
      <c r="H2746" s="8"/>
      <c r="I2746" s="55"/>
      <c r="J2746" s="78" t="s">
        <v>6661</v>
      </c>
      <c r="K2746" s="22">
        <v>0.0</v>
      </c>
      <c r="L2746" s="22">
        <f>+SUMIF('حركه المخزن الرئيسي اليوميه'!$F:$F,$H:$H,'حركه المخزن الرئيسي اليوميه'!$H:$H)</f>
        <v>0.0</v>
      </c>
      <c r="M2746" s="22">
        <f>+SUMIF('حركه المخزن الرئيسي اليوميه'!$F:$F,$H:$H,'حركه المخزن الرئيسي اليوميه'!$I:$I)</f>
        <v>0.0</v>
      </c>
      <c r="N2746" s="22">
        <f>+K2746+L2746-M2746</f>
        <v>0.0</v>
      </c>
      <c r="O2746" s="22">
        <f>+N2746</f>
        <v>0.0</v>
      </c>
      <c r="P2746" s="22">
        <f>+N2746-O2746</f>
        <v>0.0</v>
      </c>
      <c r="Q2746" s="57"/>
      <c r="R2746" s="58"/>
    </row>
    <row r="2747" spans="8:8" ht="15.0" customHeight="1">
      <c r="B2747" s="54">
        <v>2891.0</v>
      </c>
      <c r="C2747" s="8"/>
      <c r="D2747" s="8"/>
      <c r="E2747" s="8"/>
      <c r="F2747" s="8"/>
      <c r="G2747" s="8"/>
      <c r="H2747" s="8"/>
      <c r="I2747" s="55"/>
      <c r="J2747" s="78" t="s">
        <v>6662</v>
      </c>
      <c r="K2747" s="22">
        <v>0.0</v>
      </c>
      <c r="L2747" s="22">
        <f>+SUMIF('حركه المخزن الرئيسي اليوميه'!$F:$F,$H:$H,'حركه المخزن الرئيسي اليوميه'!$H:$H)</f>
        <v>0.0</v>
      </c>
      <c r="M2747" s="22">
        <f>+SUMIF('حركه المخزن الرئيسي اليوميه'!$F:$F,$H:$H,'حركه المخزن الرئيسي اليوميه'!$I:$I)</f>
        <v>0.0</v>
      </c>
      <c r="N2747" s="22">
        <f>+K2747+L2747-M2747</f>
        <v>0.0</v>
      </c>
      <c r="O2747" s="22">
        <f>+N2747</f>
        <v>0.0</v>
      </c>
      <c r="P2747" s="22">
        <f>+N2747-O2747</f>
        <v>0.0</v>
      </c>
      <c r="Q2747" s="57"/>
      <c r="R2747" s="58"/>
    </row>
    <row r="2748" spans="8:8" ht="15.0" customHeight="1">
      <c r="B2748" s="54">
        <v>2892.0</v>
      </c>
      <c r="C2748" s="8"/>
      <c r="D2748" s="8"/>
      <c r="E2748" s="8"/>
      <c r="F2748" s="8"/>
      <c r="G2748" s="8"/>
      <c r="H2748" s="8"/>
      <c r="I2748" s="55"/>
      <c r="J2748" s="78" t="s">
        <v>6663</v>
      </c>
      <c r="K2748" s="22">
        <v>0.0</v>
      </c>
      <c r="L2748" s="22">
        <f>+SUMIF('حركه المخزن الرئيسي اليوميه'!$F:$F,$H:$H,'حركه المخزن الرئيسي اليوميه'!$H:$H)</f>
        <v>0.0</v>
      </c>
      <c r="M2748" s="22">
        <f>+SUMIF('حركه المخزن الرئيسي اليوميه'!$F:$F,$H:$H,'حركه المخزن الرئيسي اليوميه'!$I:$I)</f>
        <v>0.0</v>
      </c>
      <c r="N2748" s="22">
        <f>+K2748+L2748-M2748</f>
        <v>0.0</v>
      </c>
      <c r="O2748" s="22">
        <f>+N2748</f>
        <v>0.0</v>
      </c>
      <c r="P2748" s="22">
        <f>+N2748-O2748</f>
        <v>0.0</v>
      </c>
      <c r="Q2748" s="57"/>
      <c r="R2748" s="58"/>
    </row>
    <row r="2749" spans="8:8" ht="15.0" customHeight="1">
      <c r="B2749" s="54">
        <v>2893.0</v>
      </c>
      <c r="C2749" s="8"/>
      <c r="D2749" s="8"/>
      <c r="E2749" s="8"/>
      <c r="F2749" s="8"/>
      <c r="G2749" s="8"/>
      <c r="H2749" s="8"/>
      <c r="I2749" s="55"/>
      <c r="J2749" s="78" t="s">
        <v>6664</v>
      </c>
      <c r="K2749" s="22">
        <v>0.0</v>
      </c>
      <c r="L2749" s="22">
        <f>+SUMIF('حركه المخزن الرئيسي اليوميه'!$F:$F,$H:$H,'حركه المخزن الرئيسي اليوميه'!$H:$H)</f>
        <v>0.0</v>
      </c>
      <c r="M2749" s="22">
        <f>+SUMIF('حركه المخزن الرئيسي اليوميه'!$F:$F,$H:$H,'حركه المخزن الرئيسي اليوميه'!$I:$I)</f>
        <v>0.0</v>
      </c>
      <c r="N2749" s="22">
        <f>+K2749+L2749-M2749</f>
        <v>0.0</v>
      </c>
      <c r="O2749" s="22">
        <f>+N2749</f>
        <v>0.0</v>
      </c>
      <c r="P2749" s="22">
        <f>+N2749-O2749</f>
        <v>0.0</v>
      </c>
      <c r="Q2749" s="57"/>
      <c r="R2749" s="58"/>
    </row>
    <row r="2750" spans="8:8" ht="15.0" customHeight="1">
      <c r="B2750" s="54">
        <v>2894.0</v>
      </c>
      <c r="C2750" s="8"/>
      <c r="D2750" s="8"/>
      <c r="E2750" s="8"/>
      <c r="F2750" s="8"/>
      <c r="G2750" s="8"/>
      <c r="H2750" s="8"/>
      <c r="I2750" s="55"/>
      <c r="J2750" s="78" t="s">
        <v>6665</v>
      </c>
      <c r="K2750" s="22">
        <v>0.0</v>
      </c>
      <c r="L2750" s="22">
        <f>+SUMIF('حركه المخزن الرئيسي اليوميه'!$F:$F,$H:$H,'حركه المخزن الرئيسي اليوميه'!$H:$H)</f>
        <v>0.0</v>
      </c>
      <c r="M2750" s="22">
        <f>+SUMIF('حركه المخزن الرئيسي اليوميه'!$F:$F,$H:$H,'حركه المخزن الرئيسي اليوميه'!$I:$I)</f>
        <v>0.0</v>
      </c>
      <c r="N2750" s="22">
        <f>+K2750+L2750-M2750</f>
        <v>0.0</v>
      </c>
      <c r="O2750" s="22">
        <f>+N2750</f>
        <v>0.0</v>
      </c>
      <c r="P2750" s="22">
        <f>+N2750-O2750</f>
        <v>0.0</v>
      </c>
      <c r="Q2750" s="57"/>
      <c r="R2750" s="58"/>
    </row>
    <row r="2751" spans="8:8" ht="15.0" customHeight="1">
      <c r="B2751" s="54">
        <v>2895.0</v>
      </c>
      <c r="C2751" s="8"/>
      <c r="D2751" s="8"/>
      <c r="E2751" s="8"/>
      <c r="F2751" s="8"/>
      <c r="G2751" s="8"/>
      <c r="H2751" s="8"/>
      <c r="I2751" s="55"/>
      <c r="J2751" s="78" t="s">
        <v>6666</v>
      </c>
      <c r="K2751" s="22">
        <v>0.0</v>
      </c>
      <c r="L2751" s="22">
        <f>+SUMIF('حركه المخزن الرئيسي اليوميه'!$F:$F,$H:$H,'حركه المخزن الرئيسي اليوميه'!$H:$H)</f>
        <v>0.0</v>
      </c>
      <c r="M2751" s="22">
        <f>+SUMIF('حركه المخزن الرئيسي اليوميه'!$F:$F,$H:$H,'حركه المخزن الرئيسي اليوميه'!$I:$I)</f>
        <v>0.0</v>
      </c>
      <c r="N2751" s="22">
        <f>+K2751+L2751-M2751</f>
        <v>0.0</v>
      </c>
      <c r="O2751" s="22">
        <f>+N2751</f>
        <v>0.0</v>
      </c>
      <c r="P2751" s="22">
        <f>+N2751-O2751</f>
        <v>0.0</v>
      </c>
      <c r="Q2751" s="57"/>
      <c r="R2751" s="58"/>
    </row>
    <row r="2752" spans="8:8" ht="15.0" customHeight="1">
      <c r="B2752" s="54">
        <v>2896.0</v>
      </c>
      <c r="C2752" s="8"/>
      <c r="D2752" s="8"/>
      <c r="E2752" s="8"/>
      <c r="F2752" s="8"/>
      <c r="G2752" s="8"/>
      <c r="H2752" s="8"/>
      <c r="I2752" s="55"/>
      <c r="J2752" s="78" t="s">
        <v>6667</v>
      </c>
      <c r="K2752" s="22">
        <v>0.0</v>
      </c>
      <c r="L2752" s="22">
        <f>+SUMIF('حركه المخزن الرئيسي اليوميه'!$F:$F,$H:$H,'حركه المخزن الرئيسي اليوميه'!$H:$H)</f>
        <v>0.0</v>
      </c>
      <c r="M2752" s="22">
        <f>+SUMIF('حركه المخزن الرئيسي اليوميه'!$F:$F,$H:$H,'حركه المخزن الرئيسي اليوميه'!$I:$I)</f>
        <v>0.0</v>
      </c>
      <c r="N2752" s="22">
        <f>+K2752+L2752-M2752</f>
        <v>0.0</v>
      </c>
      <c r="O2752" s="22">
        <f>+N2752</f>
        <v>0.0</v>
      </c>
      <c r="P2752" s="22">
        <f>+N2752-O2752</f>
        <v>0.0</v>
      </c>
      <c r="Q2752" s="57"/>
      <c r="R2752" s="58"/>
    </row>
    <row r="2753" spans="8:8" ht="15.0" customHeight="1">
      <c r="B2753" s="54">
        <v>2897.0</v>
      </c>
      <c r="C2753" s="8"/>
      <c r="D2753" s="8"/>
      <c r="E2753" s="8"/>
      <c r="F2753" s="8"/>
      <c r="G2753" s="8"/>
      <c r="H2753" s="8"/>
      <c r="I2753" s="55"/>
      <c r="J2753" s="78" t="s">
        <v>6668</v>
      </c>
      <c r="K2753" s="22">
        <v>0.0</v>
      </c>
      <c r="L2753" s="22">
        <f>+SUMIF('حركه المخزن الرئيسي اليوميه'!$F:$F,$H:$H,'حركه المخزن الرئيسي اليوميه'!$H:$H)</f>
        <v>0.0</v>
      </c>
      <c r="M2753" s="22">
        <f>+SUMIF('حركه المخزن الرئيسي اليوميه'!$F:$F,$H:$H,'حركه المخزن الرئيسي اليوميه'!$I:$I)</f>
        <v>0.0</v>
      </c>
      <c r="N2753" s="22">
        <f>+K2753+L2753-M2753</f>
        <v>0.0</v>
      </c>
      <c r="O2753" s="22">
        <f>+N2753</f>
        <v>0.0</v>
      </c>
      <c r="P2753" s="22">
        <f>+N2753-O2753</f>
        <v>0.0</v>
      </c>
      <c r="Q2753" s="57"/>
      <c r="R2753" s="58"/>
    </row>
    <row r="2754" spans="8:8" ht="15.0" customHeight="1">
      <c r="B2754" s="54">
        <v>2898.0</v>
      </c>
      <c r="C2754" s="8"/>
      <c r="D2754" s="8"/>
      <c r="E2754" s="8"/>
      <c r="F2754" s="8"/>
      <c r="G2754" s="8"/>
      <c r="H2754" s="8"/>
      <c r="I2754" s="55"/>
      <c r="J2754" s="78" t="s">
        <v>6669</v>
      </c>
      <c r="K2754" s="22">
        <v>0.0</v>
      </c>
      <c r="L2754" s="22">
        <f>+SUMIF('حركه المخزن الرئيسي اليوميه'!$F:$F,$H:$H,'حركه المخزن الرئيسي اليوميه'!$H:$H)</f>
        <v>0.0</v>
      </c>
      <c r="M2754" s="22">
        <f>+SUMIF('حركه المخزن الرئيسي اليوميه'!$F:$F,$H:$H,'حركه المخزن الرئيسي اليوميه'!$I:$I)</f>
        <v>0.0</v>
      </c>
      <c r="N2754" s="22">
        <f>+K2754+L2754-M2754</f>
        <v>0.0</v>
      </c>
      <c r="O2754" s="22">
        <f>+N2754</f>
        <v>0.0</v>
      </c>
      <c r="P2754" s="22">
        <f>+N2754-O2754</f>
        <v>0.0</v>
      </c>
      <c r="Q2754" s="57"/>
      <c r="R2754" s="58"/>
    </row>
    <row r="2755" spans="8:8" ht="15.0" customHeight="1">
      <c r="B2755" s="54">
        <v>2899.0</v>
      </c>
      <c r="C2755" s="8"/>
      <c r="D2755" s="8"/>
      <c r="E2755" s="8"/>
      <c r="F2755" s="8"/>
      <c r="G2755" s="8"/>
      <c r="H2755" s="8"/>
      <c r="I2755" s="55"/>
      <c r="J2755" s="78" t="s">
        <v>6670</v>
      </c>
      <c r="K2755" s="22">
        <v>0.0</v>
      </c>
      <c r="L2755" s="22">
        <f>+SUMIF('حركه المخزن الرئيسي اليوميه'!$F:$F,$H:$H,'حركه المخزن الرئيسي اليوميه'!$H:$H)</f>
        <v>0.0</v>
      </c>
      <c r="M2755" s="22">
        <f>+SUMIF('حركه المخزن الرئيسي اليوميه'!$F:$F,$H:$H,'حركه المخزن الرئيسي اليوميه'!$I:$I)</f>
        <v>0.0</v>
      </c>
      <c r="N2755" s="22">
        <f>+K2755+L2755-M2755</f>
        <v>0.0</v>
      </c>
      <c r="O2755" s="22">
        <f>+N2755</f>
        <v>0.0</v>
      </c>
      <c r="P2755" s="22">
        <f>+N2755-O2755</f>
        <v>0.0</v>
      </c>
      <c r="Q2755" s="57"/>
      <c r="R2755" s="58"/>
    </row>
    <row r="2756" spans="8:8" ht="15.0" customHeight="1">
      <c r="B2756" s="54">
        <v>2900.0</v>
      </c>
      <c r="C2756" s="8"/>
      <c r="D2756" s="8"/>
      <c r="E2756" s="8"/>
      <c r="F2756" s="8"/>
      <c r="G2756" s="8"/>
      <c r="H2756" s="8"/>
      <c r="I2756" s="55"/>
      <c r="J2756" s="78" t="s">
        <v>6671</v>
      </c>
      <c r="K2756" s="22">
        <v>0.0</v>
      </c>
      <c r="L2756" s="22">
        <f>+SUMIF('حركه المخزن الرئيسي اليوميه'!$F:$F,$H:$H,'حركه المخزن الرئيسي اليوميه'!$H:$H)</f>
        <v>0.0</v>
      </c>
      <c r="M2756" s="22">
        <f>+SUMIF('حركه المخزن الرئيسي اليوميه'!$F:$F,$H:$H,'حركه المخزن الرئيسي اليوميه'!$I:$I)</f>
        <v>0.0</v>
      </c>
      <c r="N2756" s="22">
        <f>+K2756+L2756-M2756</f>
        <v>0.0</v>
      </c>
      <c r="O2756" s="22">
        <f>+N2756</f>
        <v>0.0</v>
      </c>
      <c r="P2756" s="22">
        <f>+N2756-O2756</f>
        <v>0.0</v>
      </c>
      <c r="Q2756" s="57"/>
      <c r="R2756" s="58"/>
    </row>
    <row r="2757" spans="8:8" ht="15.0" customHeight="1">
      <c r="B2757" s="54">
        <v>2901.0</v>
      </c>
      <c r="C2757" s="8"/>
      <c r="D2757" s="8"/>
      <c r="E2757" s="8"/>
      <c r="F2757" s="8"/>
      <c r="G2757" s="8"/>
      <c r="H2757" s="8"/>
      <c r="I2757" s="55"/>
      <c r="J2757" s="78" t="s">
        <v>6672</v>
      </c>
      <c r="K2757" s="22">
        <v>0.0</v>
      </c>
      <c r="L2757" s="22">
        <f>+SUMIF('حركه المخزن الرئيسي اليوميه'!$F:$F,$H:$H,'حركه المخزن الرئيسي اليوميه'!$H:$H)</f>
        <v>0.0</v>
      </c>
      <c r="M2757" s="22">
        <f>+SUMIF('حركه المخزن الرئيسي اليوميه'!$F:$F,$H:$H,'حركه المخزن الرئيسي اليوميه'!$I:$I)</f>
        <v>0.0</v>
      </c>
      <c r="N2757" s="22">
        <f>+K2757+L2757-M2757</f>
        <v>0.0</v>
      </c>
      <c r="O2757" s="22">
        <f>+N2757</f>
        <v>0.0</v>
      </c>
      <c r="P2757" s="22">
        <f>+N2757-O2757</f>
        <v>0.0</v>
      </c>
      <c r="Q2757" s="57"/>
      <c r="R2757" s="58"/>
    </row>
    <row r="2758" spans="8:8" ht="15.0" customHeight="1">
      <c r="B2758" s="54">
        <v>2902.0</v>
      </c>
      <c r="C2758" s="8"/>
      <c r="D2758" s="8"/>
      <c r="E2758" s="8"/>
      <c r="F2758" s="8"/>
      <c r="G2758" s="8"/>
      <c r="H2758" s="8"/>
      <c r="I2758" s="55"/>
      <c r="J2758" s="78" t="s">
        <v>6673</v>
      </c>
      <c r="K2758" s="22">
        <v>0.0</v>
      </c>
      <c r="L2758" s="22">
        <f>+SUMIF('حركه المخزن الرئيسي اليوميه'!$F:$F,$H:$H,'حركه المخزن الرئيسي اليوميه'!$H:$H)</f>
        <v>0.0</v>
      </c>
      <c r="M2758" s="22">
        <f>+SUMIF('حركه المخزن الرئيسي اليوميه'!$F:$F,$H:$H,'حركه المخزن الرئيسي اليوميه'!$I:$I)</f>
        <v>0.0</v>
      </c>
      <c r="N2758" s="22">
        <f>+K2758+L2758-M2758</f>
        <v>0.0</v>
      </c>
      <c r="O2758" s="22">
        <f>+N2758</f>
        <v>0.0</v>
      </c>
      <c r="P2758" s="22">
        <f>+N2758-O2758</f>
        <v>0.0</v>
      </c>
      <c r="Q2758" s="57"/>
      <c r="R2758" s="58"/>
    </row>
    <row r="2759" spans="8:8" ht="15.0" customHeight="1">
      <c r="B2759" s="54">
        <v>2903.0</v>
      </c>
      <c r="C2759" s="8"/>
      <c r="D2759" s="8"/>
      <c r="E2759" s="8"/>
      <c r="F2759" s="8"/>
      <c r="G2759" s="8"/>
      <c r="H2759" s="8"/>
      <c r="I2759" s="55"/>
      <c r="J2759" s="78" t="s">
        <v>6674</v>
      </c>
      <c r="K2759" s="22">
        <v>0.0</v>
      </c>
      <c r="L2759" s="22">
        <f>+SUMIF('حركه المخزن الرئيسي اليوميه'!$F:$F,$H:$H,'حركه المخزن الرئيسي اليوميه'!$H:$H)</f>
        <v>0.0</v>
      </c>
      <c r="M2759" s="22">
        <f>+SUMIF('حركه المخزن الرئيسي اليوميه'!$F:$F,$H:$H,'حركه المخزن الرئيسي اليوميه'!$I:$I)</f>
        <v>0.0</v>
      </c>
      <c r="N2759" s="22">
        <f>+K2759+L2759-M2759</f>
        <v>0.0</v>
      </c>
      <c r="O2759" s="22">
        <f>+N2759</f>
        <v>0.0</v>
      </c>
      <c r="P2759" s="22">
        <f>+N2759-O2759</f>
        <v>0.0</v>
      </c>
      <c r="Q2759" s="57"/>
      <c r="R2759" s="58"/>
    </row>
    <row r="2760" spans="8:8" ht="15.0" customHeight="1">
      <c r="B2760" s="54">
        <v>2904.0</v>
      </c>
      <c r="C2760" s="8"/>
      <c r="D2760" s="8"/>
      <c r="E2760" s="8"/>
      <c r="F2760" s="8"/>
      <c r="G2760" s="8"/>
      <c r="H2760" s="8"/>
      <c r="I2760" s="55"/>
      <c r="J2760" s="78" t="s">
        <v>6675</v>
      </c>
      <c r="K2760" s="22">
        <v>0.0</v>
      </c>
      <c r="L2760" s="22">
        <f>+SUMIF('حركه المخزن الرئيسي اليوميه'!$F:$F,$H:$H,'حركه المخزن الرئيسي اليوميه'!$H:$H)</f>
        <v>0.0</v>
      </c>
      <c r="M2760" s="22">
        <f>+SUMIF('حركه المخزن الرئيسي اليوميه'!$F:$F,$H:$H,'حركه المخزن الرئيسي اليوميه'!$I:$I)</f>
        <v>0.0</v>
      </c>
      <c r="N2760" s="22">
        <f>+K2760+L2760-M2760</f>
        <v>0.0</v>
      </c>
      <c r="O2760" s="22">
        <f>+N2760</f>
        <v>0.0</v>
      </c>
      <c r="P2760" s="22">
        <f>+N2760-O2760</f>
        <v>0.0</v>
      </c>
      <c r="Q2760" s="57"/>
      <c r="R2760" s="58"/>
    </row>
    <row r="2761" spans="8:8" ht="15.0" customHeight="1">
      <c r="B2761" s="54">
        <v>2905.0</v>
      </c>
      <c r="C2761" s="8"/>
      <c r="D2761" s="8"/>
      <c r="E2761" s="8"/>
      <c r="F2761" s="8"/>
      <c r="G2761" s="8"/>
      <c r="H2761" s="8"/>
      <c r="I2761" s="55"/>
      <c r="J2761" s="78" t="s">
        <v>6676</v>
      </c>
      <c r="K2761" s="22">
        <v>0.0</v>
      </c>
      <c r="L2761" s="22">
        <f>+SUMIF('حركه المخزن الرئيسي اليوميه'!$F:$F,$H:$H,'حركه المخزن الرئيسي اليوميه'!$H:$H)</f>
        <v>0.0</v>
      </c>
      <c r="M2761" s="22">
        <f>+SUMIF('حركه المخزن الرئيسي اليوميه'!$F:$F,$H:$H,'حركه المخزن الرئيسي اليوميه'!$I:$I)</f>
        <v>0.0</v>
      </c>
      <c r="N2761" s="22">
        <f>+K2761+L2761-M2761</f>
        <v>0.0</v>
      </c>
      <c r="O2761" s="22">
        <f>+N2761</f>
        <v>0.0</v>
      </c>
      <c r="P2761" s="22">
        <f>+N2761-O2761</f>
        <v>0.0</v>
      </c>
      <c r="Q2761" s="57"/>
      <c r="R2761" s="58"/>
    </row>
    <row r="2762" spans="8:8" ht="15.0" customHeight="1">
      <c r="B2762" s="54">
        <v>2906.0</v>
      </c>
      <c r="C2762" s="8"/>
      <c r="D2762" s="8"/>
      <c r="E2762" s="8"/>
      <c r="F2762" s="8"/>
      <c r="G2762" s="8"/>
      <c r="H2762" s="8"/>
      <c r="I2762" s="55"/>
      <c r="J2762" s="78" t="s">
        <v>6677</v>
      </c>
      <c r="K2762" s="22">
        <v>0.0</v>
      </c>
      <c r="L2762" s="22">
        <f>+SUMIF('حركه المخزن الرئيسي اليوميه'!$F:$F,$H:$H,'حركه المخزن الرئيسي اليوميه'!$H:$H)</f>
        <v>0.0</v>
      </c>
      <c r="M2762" s="22">
        <f>+SUMIF('حركه المخزن الرئيسي اليوميه'!$F:$F,$H:$H,'حركه المخزن الرئيسي اليوميه'!$I:$I)</f>
        <v>0.0</v>
      </c>
      <c r="N2762" s="22">
        <f>+K2762+L2762-M2762</f>
        <v>0.0</v>
      </c>
      <c r="O2762" s="22">
        <f>+N2762</f>
        <v>0.0</v>
      </c>
      <c r="P2762" s="22">
        <f>+N2762-O2762</f>
        <v>0.0</v>
      </c>
      <c r="Q2762" s="57"/>
      <c r="R2762" s="58"/>
    </row>
    <row r="2763" spans="8:8" ht="15.0" customHeight="1">
      <c r="B2763" s="54">
        <v>2907.0</v>
      </c>
      <c r="C2763" s="8"/>
      <c r="D2763" s="8"/>
      <c r="E2763" s="8"/>
      <c r="F2763" s="8"/>
      <c r="G2763" s="8"/>
      <c r="H2763" s="8"/>
      <c r="I2763" s="55"/>
      <c r="J2763" s="78" t="s">
        <v>6678</v>
      </c>
      <c r="K2763" s="22">
        <v>0.0</v>
      </c>
      <c r="L2763" s="22">
        <f>+SUMIF('حركه المخزن الرئيسي اليوميه'!$F:$F,$H:$H,'حركه المخزن الرئيسي اليوميه'!$H:$H)</f>
        <v>0.0</v>
      </c>
      <c r="M2763" s="22">
        <f>+SUMIF('حركه المخزن الرئيسي اليوميه'!$F:$F,$H:$H,'حركه المخزن الرئيسي اليوميه'!$I:$I)</f>
        <v>0.0</v>
      </c>
      <c r="N2763" s="22">
        <f>+K2763+L2763-M2763</f>
        <v>0.0</v>
      </c>
      <c r="O2763" s="22">
        <f>+N2763</f>
        <v>0.0</v>
      </c>
      <c r="P2763" s="22">
        <f>+N2763-O2763</f>
        <v>0.0</v>
      </c>
      <c r="Q2763" s="57"/>
      <c r="R2763" s="58"/>
    </row>
    <row r="2764" spans="8:8" ht="15.0" customHeight="1">
      <c r="B2764" s="54">
        <v>2908.0</v>
      </c>
      <c r="C2764" s="8"/>
      <c r="D2764" s="8"/>
      <c r="E2764" s="8"/>
      <c r="F2764" s="8"/>
      <c r="G2764" s="8"/>
      <c r="H2764" s="8"/>
      <c r="I2764" s="55"/>
      <c r="J2764" s="78" t="s">
        <v>6679</v>
      </c>
      <c r="K2764" s="22">
        <v>0.0</v>
      </c>
      <c r="L2764" s="22">
        <f>+SUMIF('حركه المخزن الرئيسي اليوميه'!$F:$F,$H:$H,'حركه المخزن الرئيسي اليوميه'!$H:$H)</f>
        <v>0.0</v>
      </c>
      <c r="M2764" s="22">
        <f>+SUMIF('حركه المخزن الرئيسي اليوميه'!$F:$F,$H:$H,'حركه المخزن الرئيسي اليوميه'!$I:$I)</f>
        <v>0.0</v>
      </c>
      <c r="N2764" s="22">
        <f>+K2764+L2764-M2764</f>
        <v>0.0</v>
      </c>
      <c r="O2764" s="22">
        <f>+N2764</f>
        <v>0.0</v>
      </c>
      <c r="P2764" s="22">
        <f>+N2764-O2764</f>
        <v>0.0</v>
      </c>
      <c r="Q2764" s="57"/>
      <c r="R2764" s="58"/>
    </row>
    <row r="2765" spans="8:8" ht="15.0" customHeight="1">
      <c r="B2765" s="54">
        <v>2909.0</v>
      </c>
      <c r="C2765" s="8"/>
      <c r="D2765" s="8"/>
      <c r="E2765" s="8"/>
      <c r="F2765" s="8"/>
      <c r="G2765" s="8"/>
      <c r="H2765" s="8"/>
      <c r="I2765" s="55"/>
      <c r="J2765" s="78" t="s">
        <v>6680</v>
      </c>
      <c r="K2765" s="22">
        <v>0.0</v>
      </c>
      <c r="L2765" s="22">
        <f>+SUMIF('حركه المخزن الرئيسي اليوميه'!$F:$F,$H:$H,'حركه المخزن الرئيسي اليوميه'!$H:$H)</f>
        <v>0.0</v>
      </c>
      <c r="M2765" s="22">
        <f>+SUMIF('حركه المخزن الرئيسي اليوميه'!$F:$F,$H:$H,'حركه المخزن الرئيسي اليوميه'!$I:$I)</f>
        <v>0.0</v>
      </c>
      <c r="N2765" s="22">
        <f>+K2765+L2765-M2765</f>
        <v>0.0</v>
      </c>
      <c r="O2765" s="22">
        <f>+N2765</f>
        <v>0.0</v>
      </c>
      <c r="P2765" s="22">
        <f>+N2765-O2765</f>
        <v>0.0</v>
      </c>
      <c r="Q2765" s="57"/>
      <c r="R2765" s="58"/>
    </row>
    <row r="2766" spans="8:8" ht="15.0" customHeight="1">
      <c r="B2766" s="54">
        <v>2910.0</v>
      </c>
      <c r="C2766" s="8"/>
      <c r="D2766" s="8"/>
      <c r="E2766" s="8"/>
      <c r="F2766" s="8"/>
      <c r="G2766" s="8"/>
      <c r="H2766" s="8"/>
      <c r="I2766" s="55"/>
      <c r="J2766" s="78" t="s">
        <v>6681</v>
      </c>
      <c r="K2766" s="22">
        <v>0.0</v>
      </c>
      <c r="L2766" s="22">
        <f>+SUMIF('حركه المخزن الرئيسي اليوميه'!$F:$F,$H:$H,'حركه المخزن الرئيسي اليوميه'!$H:$H)</f>
        <v>0.0</v>
      </c>
      <c r="M2766" s="22">
        <f>+SUMIF('حركه المخزن الرئيسي اليوميه'!$F:$F,$H:$H,'حركه المخزن الرئيسي اليوميه'!$I:$I)</f>
        <v>0.0</v>
      </c>
      <c r="N2766" s="22">
        <f>+K2766+L2766-M2766</f>
        <v>0.0</v>
      </c>
      <c r="O2766" s="22">
        <f>+N2766</f>
        <v>0.0</v>
      </c>
      <c r="P2766" s="22">
        <f>+N2766-O2766</f>
        <v>0.0</v>
      </c>
      <c r="Q2766" s="57"/>
      <c r="R2766" s="58"/>
    </row>
    <row r="2767" spans="8:8" ht="15.0" customHeight="1">
      <c r="B2767" s="54">
        <v>2911.0</v>
      </c>
      <c r="C2767" s="8"/>
      <c r="D2767" s="8"/>
      <c r="E2767" s="8"/>
      <c r="F2767" s="8"/>
      <c r="G2767" s="8"/>
      <c r="H2767" s="8"/>
      <c r="I2767" s="55"/>
      <c r="J2767" s="78" t="s">
        <v>6682</v>
      </c>
      <c r="K2767" s="22">
        <v>0.0</v>
      </c>
      <c r="L2767" s="22">
        <f>+SUMIF('حركه المخزن الرئيسي اليوميه'!$F:$F,$H:$H,'حركه المخزن الرئيسي اليوميه'!$H:$H)</f>
        <v>0.0</v>
      </c>
      <c r="M2767" s="22">
        <f>+SUMIF('حركه المخزن الرئيسي اليوميه'!$F:$F,$H:$H,'حركه المخزن الرئيسي اليوميه'!$I:$I)</f>
        <v>0.0</v>
      </c>
      <c r="N2767" s="22">
        <f>+K2767+L2767-M2767</f>
        <v>0.0</v>
      </c>
      <c r="O2767" s="22">
        <f>+N2767</f>
        <v>0.0</v>
      </c>
      <c r="P2767" s="22">
        <f>+N2767-O2767</f>
        <v>0.0</v>
      </c>
      <c r="Q2767" s="57"/>
      <c r="R2767" s="58"/>
    </row>
    <row r="2768" spans="8:8" ht="15.0" customHeight="1">
      <c r="B2768" s="54">
        <v>2912.0</v>
      </c>
      <c r="C2768" s="8"/>
      <c r="D2768" s="8"/>
      <c r="E2768" s="8"/>
      <c r="F2768" s="8"/>
      <c r="G2768" s="8"/>
      <c r="H2768" s="8"/>
      <c r="I2768" s="55"/>
      <c r="J2768" s="78" t="s">
        <v>6683</v>
      </c>
      <c r="K2768" s="22">
        <v>0.0</v>
      </c>
      <c r="L2768" s="22">
        <f>+SUMIF('حركه المخزن الرئيسي اليوميه'!$F:$F,$H:$H,'حركه المخزن الرئيسي اليوميه'!$H:$H)</f>
        <v>0.0</v>
      </c>
      <c r="M2768" s="22">
        <f>+SUMIF('حركه المخزن الرئيسي اليوميه'!$F:$F,$H:$H,'حركه المخزن الرئيسي اليوميه'!$I:$I)</f>
        <v>0.0</v>
      </c>
      <c r="N2768" s="22">
        <f>+K2768+L2768-M2768</f>
        <v>0.0</v>
      </c>
      <c r="O2768" s="22">
        <f>+N2768</f>
        <v>0.0</v>
      </c>
      <c r="P2768" s="22">
        <f>+N2768-O2768</f>
        <v>0.0</v>
      </c>
      <c r="Q2768" s="57"/>
      <c r="R2768" s="58"/>
    </row>
    <row r="2769" spans="8:8" ht="15.0" customHeight="1">
      <c r="B2769" s="54">
        <v>2913.0</v>
      </c>
      <c r="C2769" s="8"/>
      <c r="D2769" s="8"/>
      <c r="E2769" s="8"/>
      <c r="F2769" s="8"/>
      <c r="G2769" s="8"/>
      <c r="H2769" s="8"/>
      <c r="I2769" s="55"/>
      <c r="J2769" s="78" t="s">
        <v>6684</v>
      </c>
      <c r="K2769" s="22">
        <v>0.0</v>
      </c>
      <c r="L2769" s="22">
        <f>+SUMIF('حركه المخزن الرئيسي اليوميه'!$F:$F,$H:$H,'حركه المخزن الرئيسي اليوميه'!$H:$H)</f>
        <v>0.0</v>
      </c>
      <c r="M2769" s="22">
        <f>+SUMIF('حركه المخزن الرئيسي اليوميه'!$F:$F,$H:$H,'حركه المخزن الرئيسي اليوميه'!$I:$I)</f>
        <v>0.0</v>
      </c>
      <c r="N2769" s="22">
        <f>+K2769+L2769-M2769</f>
        <v>0.0</v>
      </c>
      <c r="O2769" s="22">
        <f>+N2769</f>
        <v>0.0</v>
      </c>
      <c r="P2769" s="22">
        <f>+N2769-O2769</f>
        <v>0.0</v>
      </c>
      <c r="Q2769" s="57"/>
      <c r="R2769" s="58"/>
    </row>
    <row r="2770" spans="8:8" ht="15.0" customHeight="1">
      <c r="B2770" s="54">
        <v>2914.0</v>
      </c>
      <c r="C2770" s="8"/>
      <c r="D2770" s="8"/>
      <c r="E2770" s="8"/>
      <c r="F2770" s="8"/>
      <c r="G2770" s="8"/>
      <c r="H2770" s="8"/>
      <c r="I2770" s="55"/>
      <c r="J2770" s="78" t="s">
        <v>6685</v>
      </c>
      <c r="K2770" s="22">
        <v>0.0</v>
      </c>
      <c r="L2770" s="22">
        <f>+SUMIF('حركه المخزن الرئيسي اليوميه'!$F:$F,$H:$H,'حركه المخزن الرئيسي اليوميه'!$H:$H)</f>
        <v>0.0</v>
      </c>
      <c r="M2770" s="22">
        <f>+SUMIF('حركه المخزن الرئيسي اليوميه'!$F:$F,$H:$H,'حركه المخزن الرئيسي اليوميه'!$I:$I)</f>
        <v>0.0</v>
      </c>
      <c r="N2770" s="22">
        <f>+K2770+L2770-M2770</f>
        <v>0.0</v>
      </c>
      <c r="O2770" s="22">
        <f>+N2770</f>
        <v>0.0</v>
      </c>
      <c r="P2770" s="22">
        <f>+N2770-O2770</f>
        <v>0.0</v>
      </c>
      <c r="Q2770" s="57"/>
      <c r="R2770" s="58"/>
    </row>
    <row r="2771" spans="8:8" ht="15.0" customHeight="1">
      <c r="B2771" s="54">
        <v>2915.0</v>
      </c>
      <c r="C2771" s="8"/>
      <c r="D2771" s="8"/>
      <c r="E2771" s="8"/>
      <c r="F2771" s="8"/>
      <c r="G2771" s="8"/>
      <c r="H2771" s="8"/>
      <c r="I2771" s="55"/>
      <c r="J2771" s="78" t="s">
        <v>6686</v>
      </c>
      <c r="K2771" s="22">
        <v>0.0</v>
      </c>
      <c r="L2771" s="22">
        <f>+SUMIF('حركه المخزن الرئيسي اليوميه'!$F:$F,$H:$H,'حركه المخزن الرئيسي اليوميه'!$H:$H)</f>
        <v>0.0</v>
      </c>
      <c r="M2771" s="22">
        <f>+SUMIF('حركه المخزن الرئيسي اليوميه'!$F:$F,$H:$H,'حركه المخزن الرئيسي اليوميه'!$I:$I)</f>
        <v>0.0</v>
      </c>
      <c r="N2771" s="22">
        <f>+K2771+L2771-M2771</f>
        <v>0.0</v>
      </c>
      <c r="O2771" s="22">
        <f>+N2771</f>
        <v>0.0</v>
      </c>
      <c r="P2771" s="22">
        <f>+N2771-O2771</f>
        <v>0.0</v>
      </c>
      <c r="Q2771" s="57"/>
      <c r="R2771" s="58"/>
    </row>
    <row r="2772" spans="8:8" ht="15.0" customHeight="1">
      <c r="B2772" s="54">
        <v>2916.0</v>
      </c>
      <c r="C2772" s="8"/>
      <c r="D2772" s="8"/>
      <c r="E2772" s="8"/>
      <c r="F2772" s="8"/>
      <c r="G2772" s="8"/>
      <c r="H2772" s="8"/>
      <c r="I2772" s="55"/>
      <c r="J2772" s="78" t="s">
        <v>6687</v>
      </c>
      <c r="K2772" s="22">
        <v>0.0</v>
      </c>
      <c r="L2772" s="22">
        <f>+SUMIF('حركه المخزن الرئيسي اليوميه'!$F:$F,$H:$H,'حركه المخزن الرئيسي اليوميه'!$H:$H)</f>
        <v>0.0</v>
      </c>
      <c r="M2772" s="22">
        <f>+SUMIF('حركه المخزن الرئيسي اليوميه'!$F:$F,$H:$H,'حركه المخزن الرئيسي اليوميه'!$I:$I)</f>
        <v>0.0</v>
      </c>
      <c r="N2772" s="22">
        <f>+K2772+L2772-M2772</f>
        <v>0.0</v>
      </c>
      <c r="O2772" s="22">
        <f>+N2772</f>
        <v>0.0</v>
      </c>
      <c r="P2772" s="22">
        <f>+N2772-O2772</f>
        <v>0.0</v>
      </c>
      <c r="Q2772" s="57"/>
      <c r="R2772" s="58"/>
    </row>
    <row r="2773" spans="8:8" ht="15.0" customHeight="1">
      <c r="B2773" s="54">
        <v>2917.0</v>
      </c>
      <c r="C2773" s="8"/>
      <c r="D2773" s="8"/>
      <c r="E2773" s="8"/>
      <c r="F2773" s="8"/>
      <c r="G2773" s="8"/>
      <c r="H2773" s="8"/>
      <c r="I2773" s="55"/>
      <c r="J2773" s="78" t="s">
        <v>6688</v>
      </c>
      <c r="K2773" s="22">
        <v>0.0</v>
      </c>
      <c r="L2773" s="22">
        <f>+SUMIF('حركه المخزن الرئيسي اليوميه'!$F:$F,$H:$H,'حركه المخزن الرئيسي اليوميه'!$H:$H)</f>
        <v>0.0</v>
      </c>
      <c r="M2773" s="22">
        <f>+SUMIF('حركه المخزن الرئيسي اليوميه'!$F:$F,$H:$H,'حركه المخزن الرئيسي اليوميه'!$I:$I)</f>
        <v>0.0</v>
      </c>
      <c r="N2773" s="22">
        <f>+K2773+L2773-M2773</f>
        <v>0.0</v>
      </c>
      <c r="O2773" s="22">
        <f>+N2773</f>
        <v>0.0</v>
      </c>
      <c r="P2773" s="22">
        <f>+N2773-O2773</f>
        <v>0.0</v>
      </c>
      <c r="Q2773" s="57"/>
      <c r="R2773" s="58"/>
    </row>
    <row r="2774" spans="8:8" ht="15.0" customHeight="1">
      <c r="B2774" s="54">
        <v>2918.0</v>
      </c>
      <c r="C2774" s="8"/>
      <c r="D2774" s="8"/>
      <c r="E2774" s="8"/>
      <c r="F2774" s="8"/>
      <c r="G2774" s="8"/>
      <c r="H2774" s="8"/>
      <c r="I2774" s="55"/>
      <c r="J2774" s="78" t="s">
        <v>6689</v>
      </c>
      <c r="K2774" s="22">
        <v>0.0</v>
      </c>
      <c r="L2774" s="22">
        <f>+SUMIF('حركه المخزن الرئيسي اليوميه'!$F:$F,$H:$H,'حركه المخزن الرئيسي اليوميه'!$H:$H)</f>
        <v>0.0</v>
      </c>
      <c r="M2774" s="22">
        <f>+SUMIF('حركه المخزن الرئيسي اليوميه'!$F:$F,$H:$H,'حركه المخزن الرئيسي اليوميه'!$I:$I)</f>
        <v>0.0</v>
      </c>
      <c r="N2774" s="22">
        <f>+K2774+L2774-M2774</f>
        <v>0.0</v>
      </c>
      <c r="O2774" s="22">
        <f>+N2774</f>
        <v>0.0</v>
      </c>
      <c r="P2774" s="22">
        <f>+N2774-O2774</f>
        <v>0.0</v>
      </c>
      <c r="Q2774" s="57"/>
      <c r="R2774" s="58"/>
    </row>
    <row r="2775" spans="8:8" ht="15.0" customHeight="1">
      <c r="B2775" s="54">
        <v>2919.0</v>
      </c>
      <c r="C2775" s="8"/>
      <c r="D2775" s="8"/>
      <c r="E2775" s="8"/>
      <c r="F2775" s="8"/>
      <c r="G2775" s="8"/>
      <c r="H2775" s="8"/>
      <c r="I2775" s="55"/>
      <c r="J2775" s="78" t="s">
        <v>6690</v>
      </c>
      <c r="K2775" s="22">
        <v>0.0</v>
      </c>
      <c r="L2775" s="22">
        <f>+SUMIF('حركه المخزن الرئيسي اليوميه'!$F:$F,$H:$H,'حركه المخزن الرئيسي اليوميه'!$H:$H)</f>
        <v>0.0</v>
      </c>
      <c r="M2775" s="22">
        <f>+SUMIF('حركه المخزن الرئيسي اليوميه'!$F:$F,$H:$H,'حركه المخزن الرئيسي اليوميه'!$I:$I)</f>
        <v>0.0</v>
      </c>
      <c r="N2775" s="22">
        <f>+K2775+L2775-M2775</f>
        <v>0.0</v>
      </c>
      <c r="O2775" s="22">
        <f>+N2775</f>
        <v>0.0</v>
      </c>
      <c r="P2775" s="22">
        <f>+N2775-O2775</f>
        <v>0.0</v>
      </c>
      <c r="Q2775" s="57"/>
      <c r="R2775" s="58"/>
    </row>
    <row r="2776" spans="8:8" ht="15.0" customHeight="1">
      <c r="B2776" s="54">
        <v>2920.0</v>
      </c>
      <c r="C2776" s="8"/>
      <c r="D2776" s="8"/>
      <c r="E2776" s="8"/>
      <c r="F2776" s="8"/>
      <c r="G2776" s="8"/>
      <c r="H2776" s="8"/>
      <c r="I2776" s="55"/>
      <c r="J2776" s="78" t="s">
        <v>6691</v>
      </c>
      <c r="K2776" s="22">
        <v>0.0</v>
      </c>
      <c r="L2776" s="22">
        <f>+SUMIF('حركه المخزن الرئيسي اليوميه'!$F:$F,$H:$H,'حركه المخزن الرئيسي اليوميه'!$H:$H)</f>
        <v>0.0</v>
      </c>
      <c r="M2776" s="22">
        <f>+SUMIF('حركه المخزن الرئيسي اليوميه'!$F:$F,$H:$H,'حركه المخزن الرئيسي اليوميه'!$I:$I)</f>
        <v>0.0</v>
      </c>
      <c r="N2776" s="22">
        <f>+K2776+L2776-M2776</f>
        <v>0.0</v>
      </c>
      <c r="O2776" s="22">
        <f>+N2776</f>
        <v>0.0</v>
      </c>
      <c r="P2776" s="22">
        <f>+N2776-O2776</f>
        <v>0.0</v>
      </c>
      <c r="Q2776" s="57"/>
      <c r="R2776" s="58"/>
    </row>
    <row r="2777" spans="8:8" ht="15.0" customHeight="1">
      <c r="B2777" s="54">
        <v>2921.0</v>
      </c>
      <c r="C2777" s="8"/>
      <c r="D2777" s="8"/>
      <c r="E2777" s="8"/>
      <c r="F2777" s="8"/>
      <c r="G2777" s="8"/>
      <c r="H2777" s="8"/>
      <c r="I2777" s="55"/>
      <c r="J2777" s="78" t="s">
        <v>6692</v>
      </c>
      <c r="K2777" s="22">
        <v>0.0</v>
      </c>
      <c r="L2777" s="22">
        <f>+SUMIF('حركه المخزن الرئيسي اليوميه'!$F:$F,$H:$H,'حركه المخزن الرئيسي اليوميه'!$H:$H)</f>
        <v>0.0</v>
      </c>
      <c r="M2777" s="22">
        <f>+SUMIF('حركه المخزن الرئيسي اليوميه'!$F:$F,$H:$H,'حركه المخزن الرئيسي اليوميه'!$I:$I)</f>
        <v>0.0</v>
      </c>
      <c r="N2777" s="22">
        <f>+K2777+L2777-M2777</f>
        <v>0.0</v>
      </c>
      <c r="O2777" s="22">
        <f>+N2777</f>
        <v>0.0</v>
      </c>
      <c r="P2777" s="22">
        <f>+N2777-O2777</f>
        <v>0.0</v>
      </c>
      <c r="Q2777" s="57"/>
      <c r="R2777" s="58"/>
    </row>
    <row r="2778" spans="8:8" ht="15.0" customHeight="1">
      <c r="B2778" s="54">
        <v>2922.0</v>
      </c>
      <c r="C2778" s="8"/>
      <c r="D2778" s="8"/>
      <c r="E2778" s="8"/>
      <c r="F2778" s="8"/>
      <c r="G2778" s="8"/>
      <c r="H2778" s="8"/>
      <c r="I2778" s="55"/>
      <c r="J2778" s="78" t="s">
        <v>6693</v>
      </c>
      <c r="K2778" s="22">
        <v>0.0</v>
      </c>
      <c r="L2778" s="22">
        <f>+SUMIF('حركه المخزن الرئيسي اليوميه'!$F:$F,$H:$H,'حركه المخزن الرئيسي اليوميه'!$H:$H)</f>
        <v>0.0</v>
      </c>
      <c r="M2778" s="22">
        <f>+SUMIF('حركه المخزن الرئيسي اليوميه'!$F:$F,$H:$H,'حركه المخزن الرئيسي اليوميه'!$I:$I)</f>
        <v>0.0</v>
      </c>
      <c r="N2778" s="22">
        <f>+K2778+L2778-M2778</f>
        <v>0.0</v>
      </c>
      <c r="O2778" s="22">
        <f>+N2778</f>
        <v>0.0</v>
      </c>
      <c r="P2778" s="22">
        <f>+N2778-O2778</f>
        <v>0.0</v>
      </c>
      <c r="Q2778" s="57"/>
      <c r="R2778" s="58"/>
    </row>
    <row r="2779" spans="8:8" ht="15.0" customHeight="1">
      <c r="B2779" s="54">
        <v>2923.0</v>
      </c>
      <c r="C2779" s="8"/>
      <c r="D2779" s="8"/>
      <c r="E2779" s="8"/>
      <c r="F2779" s="8"/>
      <c r="G2779" s="8"/>
      <c r="H2779" s="8"/>
      <c r="I2779" s="55"/>
      <c r="J2779" s="78" t="s">
        <v>6694</v>
      </c>
      <c r="K2779" s="22">
        <v>0.0</v>
      </c>
      <c r="L2779" s="22">
        <f>+SUMIF('حركه المخزن الرئيسي اليوميه'!$F:$F,$H:$H,'حركه المخزن الرئيسي اليوميه'!$H:$H)</f>
        <v>0.0</v>
      </c>
      <c r="M2779" s="22">
        <f>+SUMIF('حركه المخزن الرئيسي اليوميه'!$F:$F,$H:$H,'حركه المخزن الرئيسي اليوميه'!$I:$I)</f>
        <v>0.0</v>
      </c>
      <c r="N2779" s="22">
        <f>+K2779+L2779-M2779</f>
        <v>0.0</v>
      </c>
      <c r="O2779" s="22">
        <f>+N2779</f>
        <v>0.0</v>
      </c>
      <c r="P2779" s="22">
        <f>+N2779-O2779</f>
        <v>0.0</v>
      </c>
      <c r="Q2779" s="57"/>
      <c r="R2779" s="58"/>
    </row>
    <row r="2780" spans="8:8" ht="15.0" customHeight="1">
      <c r="B2780" s="54">
        <v>2924.0</v>
      </c>
      <c r="C2780" s="8"/>
      <c r="D2780" s="8"/>
      <c r="E2780" s="8"/>
      <c r="F2780" s="8"/>
      <c r="G2780" s="8"/>
      <c r="H2780" s="8"/>
      <c r="I2780" s="55"/>
      <c r="J2780" s="78" t="s">
        <v>6695</v>
      </c>
      <c r="K2780" s="22">
        <v>0.0</v>
      </c>
      <c r="L2780" s="22">
        <f>+SUMIF('حركه المخزن الرئيسي اليوميه'!$F:$F,$H:$H,'حركه المخزن الرئيسي اليوميه'!$H:$H)</f>
        <v>0.0</v>
      </c>
      <c r="M2780" s="22">
        <f>+SUMIF('حركه المخزن الرئيسي اليوميه'!$F:$F,$H:$H,'حركه المخزن الرئيسي اليوميه'!$I:$I)</f>
        <v>0.0</v>
      </c>
      <c r="N2780" s="22">
        <f>+K2780+L2780-M2780</f>
        <v>0.0</v>
      </c>
      <c r="O2780" s="22">
        <f>+N2780</f>
        <v>0.0</v>
      </c>
      <c r="P2780" s="22">
        <f>+N2780-O2780</f>
        <v>0.0</v>
      </c>
      <c r="Q2780" s="57"/>
      <c r="R2780" s="58"/>
    </row>
    <row r="2781" spans="8:8" ht="15.0" customHeight="1">
      <c r="B2781" s="54">
        <v>2925.0</v>
      </c>
      <c r="C2781" s="8"/>
      <c r="D2781" s="8"/>
      <c r="E2781" s="8"/>
      <c r="F2781" s="8"/>
      <c r="G2781" s="8"/>
      <c r="H2781" s="8"/>
      <c r="I2781" s="55"/>
      <c r="J2781" s="78" t="s">
        <v>6696</v>
      </c>
      <c r="K2781" s="22">
        <v>0.0</v>
      </c>
      <c r="L2781" s="22">
        <f>+SUMIF('حركه المخزن الرئيسي اليوميه'!$F:$F,$H:$H,'حركه المخزن الرئيسي اليوميه'!$H:$H)</f>
        <v>0.0</v>
      </c>
      <c r="M2781" s="22">
        <f>+SUMIF('حركه المخزن الرئيسي اليوميه'!$F:$F,$H:$H,'حركه المخزن الرئيسي اليوميه'!$I:$I)</f>
        <v>0.0</v>
      </c>
      <c r="N2781" s="22">
        <f>+K2781+L2781-M2781</f>
        <v>0.0</v>
      </c>
      <c r="O2781" s="22">
        <f>+N2781</f>
        <v>0.0</v>
      </c>
      <c r="P2781" s="22">
        <f>+N2781-O2781</f>
        <v>0.0</v>
      </c>
      <c r="Q2781" s="57"/>
      <c r="R2781" s="58"/>
    </row>
    <row r="2782" spans="8:8" ht="15.0" customHeight="1">
      <c r="B2782" s="54">
        <v>2926.0</v>
      </c>
      <c r="C2782" s="8"/>
      <c r="D2782" s="8"/>
      <c r="E2782" s="8"/>
      <c r="F2782" s="8"/>
      <c r="G2782" s="8"/>
      <c r="H2782" s="8"/>
      <c r="I2782" s="55"/>
      <c r="J2782" s="78" t="s">
        <v>6697</v>
      </c>
      <c r="K2782" s="22">
        <v>0.0</v>
      </c>
      <c r="L2782" s="22">
        <f>+SUMIF('حركه المخزن الرئيسي اليوميه'!$F:$F,$H:$H,'حركه المخزن الرئيسي اليوميه'!$H:$H)</f>
        <v>0.0</v>
      </c>
      <c r="M2782" s="22">
        <f>+SUMIF('حركه المخزن الرئيسي اليوميه'!$F:$F,$H:$H,'حركه المخزن الرئيسي اليوميه'!$I:$I)</f>
        <v>0.0</v>
      </c>
      <c r="N2782" s="22">
        <f>+K2782+L2782-M2782</f>
        <v>0.0</v>
      </c>
      <c r="O2782" s="22">
        <f>+N2782</f>
        <v>0.0</v>
      </c>
      <c r="P2782" s="22">
        <f>+N2782-O2782</f>
        <v>0.0</v>
      </c>
      <c r="Q2782" s="57"/>
      <c r="R2782" s="58"/>
    </row>
    <row r="2783" spans="8:8" ht="15.0" customHeight="1">
      <c r="B2783" s="54">
        <v>2927.0</v>
      </c>
      <c r="C2783" s="8"/>
      <c r="D2783" s="8"/>
      <c r="E2783" s="8"/>
      <c r="F2783" s="8"/>
      <c r="G2783" s="8"/>
      <c r="H2783" s="8"/>
      <c r="I2783" s="55"/>
      <c r="J2783" s="78" t="s">
        <v>6698</v>
      </c>
      <c r="K2783" s="22">
        <v>0.0</v>
      </c>
      <c r="L2783" s="22">
        <f>+SUMIF('حركه المخزن الرئيسي اليوميه'!$F:$F,$H:$H,'حركه المخزن الرئيسي اليوميه'!$H:$H)</f>
        <v>0.0</v>
      </c>
      <c r="M2783" s="22">
        <f>+SUMIF('حركه المخزن الرئيسي اليوميه'!$F:$F,$H:$H,'حركه المخزن الرئيسي اليوميه'!$I:$I)</f>
        <v>0.0</v>
      </c>
      <c r="N2783" s="22">
        <f>+K2783+L2783-M2783</f>
        <v>0.0</v>
      </c>
      <c r="O2783" s="22">
        <f>+N2783</f>
        <v>0.0</v>
      </c>
      <c r="P2783" s="22">
        <f>+N2783-O2783</f>
        <v>0.0</v>
      </c>
      <c r="Q2783" s="57"/>
      <c r="R2783" s="58"/>
    </row>
    <row r="2784" spans="8:8" ht="15.0" customHeight="1">
      <c r="B2784" s="54">
        <v>2928.0</v>
      </c>
      <c r="C2784" s="8"/>
      <c r="D2784" s="8"/>
      <c r="E2784" s="8"/>
      <c r="F2784" s="8"/>
      <c r="G2784" s="8"/>
      <c r="H2784" s="8"/>
      <c r="I2784" s="55"/>
      <c r="J2784" s="78" t="s">
        <v>6699</v>
      </c>
      <c r="K2784" s="22">
        <v>0.0</v>
      </c>
      <c r="L2784" s="22">
        <f>+SUMIF('حركه المخزن الرئيسي اليوميه'!$F:$F,$H:$H,'حركه المخزن الرئيسي اليوميه'!$H:$H)</f>
        <v>0.0</v>
      </c>
      <c r="M2784" s="22">
        <f>+SUMIF('حركه المخزن الرئيسي اليوميه'!$F:$F,$H:$H,'حركه المخزن الرئيسي اليوميه'!$I:$I)</f>
        <v>0.0</v>
      </c>
      <c r="N2784" s="22">
        <f>+K2784+L2784-M2784</f>
        <v>0.0</v>
      </c>
      <c r="O2784" s="22">
        <f>+N2784</f>
        <v>0.0</v>
      </c>
      <c r="P2784" s="22">
        <f>+N2784-O2784</f>
        <v>0.0</v>
      </c>
      <c r="Q2784" s="57"/>
      <c r="R2784" s="58"/>
    </row>
    <row r="2785" spans="8:8" ht="15.0" customHeight="1">
      <c r="B2785" s="54">
        <v>2929.0</v>
      </c>
      <c r="C2785" s="8"/>
      <c r="D2785" s="8"/>
      <c r="E2785" s="8"/>
      <c r="F2785" s="8"/>
      <c r="G2785" s="8"/>
      <c r="H2785" s="8"/>
      <c r="I2785" s="55"/>
      <c r="J2785" s="78" t="s">
        <v>6700</v>
      </c>
      <c r="K2785" s="22">
        <v>0.0</v>
      </c>
      <c r="L2785" s="22">
        <f>+SUMIF('حركه المخزن الرئيسي اليوميه'!$F:$F,$H:$H,'حركه المخزن الرئيسي اليوميه'!$H:$H)</f>
        <v>0.0</v>
      </c>
      <c r="M2785" s="22">
        <f>+SUMIF('حركه المخزن الرئيسي اليوميه'!$F:$F,$H:$H,'حركه المخزن الرئيسي اليوميه'!$I:$I)</f>
        <v>0.0</v>
      </c>
      <c r="N2785" s="22">
        <f>+K2785+L2785-M2785</f>
        <v>0.0</v>
      </c>
      <c r="O2785" s="22">
        <f>+N2785</f>
        <v>0.0</v>
      </c>
      <c r="P2785" s="22">
        <f>+N2785-O2785</f>
        <v>0.0</v>
      </c>
      <c r="Q2785" s="57"/>
      <c r="R2785" s="58"/>
    </row>
    <row r="2786" spans="8:8" ht="15.0" customHeight="1">
      <c r="B2786" s="54">
        <v>2930.0</v>
      </c>
      <c r="C2786" s="8"/>
      <c r="D2786" s="8"/>
      <c r="E2786" s="8"/>
      <c r="F2786" s="8"/>
      <c r="G2786" s="8"/>
      <c r="H2786" s="8"/>
      <c r="I2786" s="55"/>
      <c r="J2786" s="78" t="s">
        <v>6701</v>
      </c>
      <c r="K2786" s="22">
        <v>0.0</v>
      </c>
      <c r="L2786" s="22">
        <f>+SUMIF('حركه المخزن الرئيسي اليوميه'!$F:$F,$H:$H,'حركه المخزن الرئيسي اليوميه'!$H:$H)</f>
        <v>0.0</v>
      </c>
      <c r="M2786" s="22">
        <f>+SUMIF('حركه المخزن الرئيسي اليوميه'!$F:$F,$H:$H,'حركه المخزن الرئيسي اليوميه'!$I:$I)</f>
        <v>0.0</v>
      </c>
      <c r="N2786" s="22">
        <f>+K2786+L2786-M2786</f>
        <v>0.0</v>
      </c>
      <c r="O2786" s="22">
        <f>+N2786</f>
        <v>0.0</v>
      </c>
      <c r="P2786" s="22">
        <f>+N2786-O2786</f>
        <v>0.0</v>
      </c>
      <c r="Q2786" s="57"/>
      <c r="R2786" s="58"/>
    </row>
    <row r="2787" spans="8:8" ht="15.0" customHeight="1">
      <c r="B2787" s="54">
        <v>2931.0</v>
      </c>
      <c r="C2787" s="8"/>
      <c r="D2787" s="8"/>
      <c r="E2787" s="8"/>
      <c r="F2787" s="8"/>
      <c r="G2787" s="8"/>
      <c r="H2787" s="8"/>
      <c r="I2787" s="55"/>
      <c r="J2787" s="78" t="s">
        <v>6702</v>
      </c>
      <c r="K2787" s="22">
        <v>0.0</v>
      </c>
      <c r="L2787" s="22">
        <f>+SUMIF('حركه المخزن الرئيسي اليوميه'!$F:$F,$H:$H,'حركه المخزن الرئيسي اليوميه'!$H:$H)</f>
        <v>0.0</v>
      </c>
      <c r="M2787" s="22">
        <f>+SUMIF('حركه المخزن الرئيسي اليوميه'!$F:$F,$H:$H,'حركه المخزن الرئيسي اليوميه'!$I:$I)</f>
        <v>0.0</v>
      </c>
      <c r="N2787" s="22">
        <f>+K2787+L2787-M2787</f>
        <v>0.0</v>
      </c>
      <c r="O2787" s="22">
        <f>+N2787</f>
        <v>0.0</v>
      </c>
      <c r="P2787" s="22">
        <f>+N2787-O2787</f>
        <v>0.0</v>
      </c>
      <c r="Q2787" s="57"/>
      <c r="R2787" s="58"/>
    </row>
    <row r="2788" spans="8:8" ht="15.0" customHeight="1">
      <c r="B2788" s="54">
        <v>2932.0</v>
      </c>
      <c r="C2788" s="8"/>
      <c r="D2788" s="8"/>
      <c r="E2788" s="8"/>
      <c r="F2788" s="8"/>
      <c r="G2788" s="8"/>
      <c r="H2788" s="8"/>
      <c r="I2788" s="55"/>
      <c r="J2788" s="78" t="s">
        <v>6703</v>
      </c>
      <c r="K2788" s="22">
        <v>0.0</v>
      </c>
      <c r="L2788" s="22">
        <f>+SUMIF('حركه المخزن الرئيسي اليوميه'!$F:$F,$H:$H,'حركه المخزن الرئيسي اليوميه'!$H:$H)</f>
        <v>0.0</v>
      </c>
      <c r="M2788" s="22">
        <f>+SUMIF('حركه المخزن الرئيسي اليوميه'!$F:$F,$H:$H,'حركه المخزن الرئيسي اليوميه'!$I:$I)</f>
        <v>0.0</v>
      </c>
      <c r="N2788" s="22">
        <f>+K2788+L2788-M2788</f>
        <v>0.0</v>
      </c>
      <c r="O2788" s="22">
        <f>+N2788</f>
        <v>0.0</v>
      </c>
      <c r="P2788" s="22">
        <f>+N2788-O2788</f>
        <v>0.0</v>
      </c>
      <c r="Q2788" s="57"/>
      <c r="R2788" s="58"/>
    </row>
    <row r="2789" spans="8:8" ht="15.0" customHeight="1">
      <c r="B2789" s="54">
        <v>2933.0</v>
      </c>
      <c r="C2789" s="8"/>
      <c r="D2789" s="8"/>
      <c r="E2789" s="8"/>
      <c r="F2789" s="8"/>
      <c r="G2789" s="8"/>
      <c r="H2789" s="8"/>
      <c r="I2789" s="55"/>
      <c r="J2789" s="78" t="s">
        <v>6704</v>
      </c>
      <c r="K2789" s="22">
        <v>0.0</v>
      </c>
      <c r="L2789" s="22">
        <f>+SUMIF('حركه المخزن الرئيسي اليوميه'!$F:$F,$H:$H,'حركه المخزن الرئيسي اليوميه'!$H:$H)</f>
        <v>0.0</v>
      </c>
      <c r="M2789" s="22">
        <f>+SUMIF('حركه المخزن الرئيسي اليوميه'!$F:$F,$H:$H,'حركه المخزن الرئيسي اليوميه'!$I:$I)</f>
        <v>0.0</v>
      </c>
      <c r="N2789" s="22">
        <f>+K2789+L2789-M2789</f>
        <v>0.0</v>
      </c>
      <c r="O2789" s="22">
        <f>+N2789</f>
        <v>0.0</v>
      </c>
      <c r="P2789" s="22">
        <f>+N2789-O2789</f>
        <v>0.0</v>
      </c>
      <c r="Q2789" s="57"/>
      <c r="R2789" s="58"/>
    </row>
    <row r="2790" spans="8:8" ht="15.0" customHeight="1">
      <c r="B2790" s="54">
        <v>2934.0</v>
      </c>
      <c r="C2790" s="8"/>
      <c r="D2790" s="8"/>
      <c r="E2790" s="8"/>
      <c r="F2790" s="8"/>
      <c r="G2790" s="8"/>
      <c r="H2790" s="8"/>
      <c r="I2790" s="55"/>
      <c r="J2790" s="78" t="s">
        <v>6705</v>
      </c>
      <c r="K2790" s="22">
        <v>0.0</v>
      </c>
      <c r="L2790" s="22">
        <f>+SUMIF('حركه المخزن الرئيسي اليوميه'!$F:$F,$H:$H,'حركه المخزن الرئيسي اليوميه'!$H:$H)</f>
        <v>0.0</v>
      </c>
      <c r="M2790" s="22">
        <f>+SUMIF('حركه المخزن الرئيسي اليوميه'!$F:$F,$H:$H,'حركه المخزن الرئيسي اليوميه'!$I:$I)</f>
        <v>0.0</v>
      </c>
      <c r="N2790" s="22">
        <f>+K2790+L2790-M2790</f>
        <v>0.0</v>
      </c>
      <c r="O2790" s="22">
        <f>+N2790</f>
        <v>0.0</v>
      </c>
      <c r="P2790" s="22">
        <f>+N2790-O2790</f>
        <v>0.0</v>
      </c>
      <c r="Q2790" s="57"/>
      <c r="R2790" s="58"/>
    </row>
    <row r="2791" spans="8:8" ht="15.0" customHeight="1">
      <c r="B2791" s="54">
        <v>2935.0</v>
      </c>
      <c r="C2791" s="8"/>
      <c r="D2791" s="8"/>
      <c r="E2791" s="8"/>
      <c r="F2791" s="8"/>
      <c r="G2791" s="8"/>
      <c r="H2791" s="8"/>
      <c r="I2791" s="55"/>
      <c r="J2791" s="78" t="s">
        <v>6706</v>
      </c>
      <c r="K2791" s="22">
        <v>0.0</v>
      </c>
      <c r="L2791" s="22">
        <f>+SUMIF('حركه المخزن الرئيسي اليوميه'!$F:$F,$H:$H,'حركه المخزن الرئيسي اليوميه'!$H:$H)</f>
        <v>0.0</v>
      </c>
      <c r="M2791" s="22">
        <f>+SUMIF('حركه المخزن الرئيسي اليوميه'!$F:$F,$H:$H,'حركه المخزن الرئيسي اليوميه'!$I:$I)</f>
        <v>0.0</v>
      </c>
      <c r="N2791" s="22">
        <f>+K2791+L2791-M2791</f>
        <v>0.0</v>
      </c>
      <c r="O2791" s="22">
        <f>+N2791</f>
        <v>0.0</v>
      </c>
      <c r="P2791" s="22">
        <f>+N2791-O2791</f>
        <v>0.0</v>
      </c>
      <c r="Q2791" s="57"/>
      <c r="R2791" s="58"/>
    </row>
    <row r="2792" spans="8:8" ht="15.0" customHeight="1">
      <c r="B2792" s="54">
        <v>2936.0</v>
      </c>
      <c r="C2792" s="8"/>
      <c r="D2792" s="8"/>
      <c r="E2792" s="8"/>
      <c r="F2792" s="8"/>
      <c r="G2792" s="8"/>
      <c r="H2792" s="8"/>
      <c r="I2792" s="55"/>
      <c r="J2792" s="78" t="s">
        <v>6707</v>
      </c>
      <c r="K2792" s="22">
        <v>0.0</v>
      </c>
      <c r="L2792" s="22">
        <f>+SUMIF('حركه المخزن الرئيسي اليوميه'!$F:$F,$H:$H,'حركه المخزن الرئيسي اليوميه'!$H:$H)</f>
        <v>0.0</v>
      </c>
      <c r="M2792" s="22">
        <f>+SUMIF('حركه المخزن الرئيسي اليوميه'!$F:$F,$H:$H,'حركه المخزن الرئيسي اليوميه'!$I:$I)</f>
        <v>0.0</v>
      </c>
      <c r="N2792" s="22">
        <f>+K2792+L2792-M2792</f>
        <v>0.0</v>
      </c>
      <c r="O2792" s="22">
        <f>+N2792</f>
        <v>0.0</v>
      </c>
      <c r="P2792" s="22">
        <f>+N2792-O2792</f>
        <v>0.0</v>
      </c>
      <c r="Q2792" s="57"/>
      <c r="R2792" s="58"/>
    </row>
    <row r="2793" spans="8:8" ht="15.0" customHeight="1">
      <c r="B2793" s="54">
        <v>2937.0</v>
      </c>
      <c r="C2793" s="8"/>
      <c r="D2793" s="8"/>
      <c r="E2793" s="8"/>
      <c r="F2793" s="8"/>
      <c r="G2793" s="8"/>
      <c r="H2793" s="8"/>
      <c r="I2793" s="55"/>
      <c r="J2793" s="78" t="s">
        <v>6708</v>
      </c>
      <c r="K2793" s="22">
        <v>0.0</v>
      </c>
      <c r="L2793" s="22">
        <f>+SUMIF('حركه المخزن الرئيسي اليوميه'!$F:$F,$H:$H,'حركه المخزن الرئيسي اليوميه'!$H:$H)</f>
        <v>0.0</v>
      </c>
      <c r="M2793" s="22">
        <f>+SUMIF('حركه المخزن الرئيسي اليوميه'!$F:$F,$H:$H,'حركه المخزن الرئيسي اليوميه'!$I:$I)</f>
        <v>0.0</v>
      </c>
      <c r="N2793" s="22">
        <f>+K2793+L2793-M2793</f>
        <v>0.0</v>
      </c>
      <c r="O2793" s="22">
        <f>+N2793</f>
        <v>0.0</v>
      </c>
      <c r="P2793" s="22">
        <f>+N2793-O2793</f>
        <v>0.0</v>
      </c>
      <c r="Q2793" s="57"/>
      <c r="R2793" s="58"/>
    </row>
    <row r="2794" spans="8:8" ht="15.0" customHeight="1">
      <c r="B2794" s="54">
        <v>2938.0</v>
      </c>
      <c r="C2794" s="8"/>
      <c r="D2794" s="8"/>
      <c r="E2794" s="8"/>
      <c r="F2794" s="8"/>
      <c r="G2794" s="8"/>
      <c r="H2794" s="8"/>
      <c r="I2794" s="55"/>
      <c r="J2794" s="78" t="s">
        <v>6709</v>
      </c>
      <c r="K2794" s="22">
        <v>0.0</v>
      </c>
      <c r="L2794" s="22">
        <f>+SUMIF('حركه المخزن الرئيسي اليوميه'!$F:$F,$H:$H,'حركه المخزن الرئيسي اليوميه'!$H:$H)</f>
        <v>0.0</v>
      </c>
      <c r="M2794" s="22">
        <f>+SUMIF('حركه المخزن الرئيسي اليوميه'!$F:$F,$H:$H,'حركه المخزن الرئيسي اليوميه'!$I:$I)</f>
        <v>0.0</v>
      </c>
      <c r="N2794" s="22">
        <f>+K2794+L2794-M2794</f>
        <v>0.0</v>
      </c>
      <c r="O2794" s="22">
        <f>+N2794</f>
        <v>0.0</v>
      </c>
      <c r="P2794" s="22">
        <f>+N2794-O2794</f>
        <v>0.0</v>
      </c>
      <c r="Q2794" s="57"/>
      <c r="R2794" s="58"/>
    </row>
    <row r="2795" spans="8:8" ht="15.0" customHeight="1">
      <c r="B2795" s="54">
        <v>2939.0</v>
      </c>
      <c r="C2795" s="8"/>
      <c r="D2795" s="8"/>
      <c r="E2795" s="8"/>
      <c r="F2795" s="8"/>
      <c r="G2795" s="8"/>
      <c r="H2795" s="8"/>
      <c r="I2795" s="55"/>
      <c r="J2795" s="78" t="s">
        <v>6710</v>
      </c>
      <c r="K2795" s="22">
        <v>0.0</v>
      </c>
      <c r="L2795" s="22">
        <f>+SUMIF('حركه المخزن الرئيسي اليوميه'!$F:$F,$H:$H,'حركه المخزن الرئيسي اليوميه'!$H:$H)</f>
        <v>0.0</v>
      </c>
      <c r="M2795" s="22">
        <f>+SUMIF('حركه المخزن الرئيسي اليوميه'!$F:$F,$H:$H,'حركه المخزن الرئيسي اليوميه'!$I:$I)</f>
        <v>0.0</v>
      </c>
      <c r="N2795" s="22">
        <f>+K2795+L2795-M2795</f>
        <v>0.0</v>
      </c>
      <c r="O2795" s="22">
        <f>+N2795</f>
        <v>0.0</v>
      </c>
      <c r="P2795" s="22">
        <f>+N2795-O2795</f>
        <v>0.0</v>
      </c>
      <c r="Q2795" s="57"/>
      <c r="R2795" s="58"/>
    </row>
    <row r="2796" spans="8:8" ht="15.0" customHeight="1">
      <c r="B2796" s="54">
        <v>2940.0</v>
      </c>
      <c r="C2796" s="8"/>
      <c r="D2796" s="8"/>
      <c r="E2796" s="8"/>
      <c r="F2796" s="8"/>
      <c r="G2796" s="8"/>
      <c r="H2796" s="8"/>
      <c r="I2796" s="55"/>
      <c r="J2796" s="78" t="s">
        <v>6711</v>
      </c>
      <c r="K2796" s="22">
        <v>0.0</v>
      </c>
      <c r="L2796" s="22">
        <f>+SUMIF('حركه المخزن الرئيسي اليوميه'!$F:$F,$H:$H,'حركه المخزن الرئيسي اليوميه'!$H:$H)</f>
        <v>0.0</v>
      </c>
      <c r="M2796" s="22">
        <f>+SUMIF('حركه المخزن الرئيسي اليوميه'!$F:$F,$H:$H,'حركه المخزن الرئيسي اليوميه'!$I:$I)</f>
        <v>0.0</v>
      </c>
      <c r="N2796" s="22">
        <f>+K2796+L2796-M2796</f>
        <v>0.0</v>
      </c>
      <c r="O2796" s="22">
        <f>+N2796</f>
        <v>0.0</v>
      </c>
      <c r="P2796" s="22">
        <f>+N2796-O2796</f>
        <v>0.0</v>
      </c>
      <c r="Q2796" s="57"/>
      <c r="R2796" s="58"/>
    </row>
    <row r="2797" spans="8:8" ht="15.0" customHeight="1">
      <c r="B2797" s="54">
        <v>2941.0</v>
      </c>
      <c r="C2797" s="8"/>
      <c r="D2797" s="8"/>
      <c r="E2797" s="8"/>
      <c r="F2797" s="8"/>
      <c r="G2797" s="8"/>
      <c r="H2797" s="8"/>
      <c r="I2797" s="55"/>
      <c r="J2797" s="78" t="s">
        <v>6712</v>
      </c>
      <c r="K2797" s="22">
        <v>0.0</v>
      </c>
      <c r="L2797" s="22">
        <f>+SUMIF('حركه المخزن الرئيسي اليوميه'!$F:$F,$H:$H,'حركه المخزن الرئيسي اليوميه'!$H:$H)</f>
        <v>0.0</v>
      </c>
      <c r="M2797" s="22">
        <f>+SUMIF('حركه المخزن الرئيسي اليوميه'!$F:$F,$H:$H,'حركه المخزن الرئيسي اليوميه'!$I:$I)</f>
        <v>0.0</v>
      </c>
      <c r="N2797" s="22">
        <f>+K2797+L2797-M2797</f>
        <v>0.0</v>
      </c>
      <c r="O2797" s="22">
        <f>+N2797</f>
        <v>0.0</v>
      </c>
      <c r="P2797" s="22">
        <f>+N2797-O2797</f>
        <v>0.0</v>
      </c>
      <c r="Q2797" s="57"/>
      <c r="R2797" s="58"/>
    </row>
    <row r="2798" spans="8:8" ht="15.0" customHeight="1">
      <c r="B2798" s="54">
        <v>2942.0</v>
      </c>
      <c r="C2798" s="8"/>
      <c r="D2798" s="8"/>
      <c r="E2798" s="8"/>
      <c r="F2798" s="8"/>
      <c r="G2798" s="8"/>
      <c r="H2798" s="8"/>
      <c r="I2798" s="55"/>
      <c r="J2798" s="78" t="s">
        <v>6713</v>
      </c>
      <c r="K2798" s="22">
        <v>0.0</v>
      </c>
      <c r="L2798" s="22">
        <f>+SUMIF('حركه المخزن الرئيسي اليوميه'!$F:$F,$H:$H,'حركه المخزن الرئيسي اليوميه'!$H:$H)</f>
        <v>0.0</v>
      </c>
      <c r="M2798" s="22">
        <f>+SUMIF('حركه المخزن الرئيسي اليوميه'!$F:$F,$H:$H,'حركه المخزن الرئيسي اليوميه'!$I:$I)</f>
        <v>0.0</v>
      </c>
      <c r="N2798" s="22">
        <f>+K2798+L2798-M2798</f>
        <v>0.0</v>
      </c>
      <c r="O2798" s="22">
        <f>+N2798</f>
        <v>0.0</v>
      </c>
      <c r="P2798" s="22">
        <f>+N2798-O2798</f>
        <v>0.0</v>
      </c>
      <c r="Q2798" s="57"/>
      <c r="R2798" s="58"/>
    </row>
    <row r="2799" spans="8:8" ht="15.0" customHeight="1">
      <c r="B2799" s="54">
        <v>2943.0</v>
      </c>
      <c r="C2799" s="8"/>
      <c r="D2799" s="8"/>
      <c r="E2799" s="8"/>
      <c r="F2799" s="8"/>
      <c r="G2799" s="8"/>
      <c r="H2799" s="8"/>
      <c r="I2799" s="55"/>
      <c r="J2799" s="78" t="s">
        <v>6714</v>
      </c>
      <c r="K2799" s="22">
        <v>0.0</v>
      </c>
      <c r="L2799" s="22">
        <f>+SUMIF('حركه المخزن الرئيسي اليوميه'!$F:$F,$H:$H,'حركه المخزن الرئيسي اليوميه'!$H:$H)</f>
        <v>0.0</v>
      </c>
      <c r="M2799" s="22">
        <f>+SUMIF('حركه المخزن الرئيسي اليوميه'!$F:$F,$H:$H,'حركه المخزن الرئيسي اليوميه'!$I:$I)</f>
        <v>0.0</v>
      </c>
      <c r="N2799" s="22">
        <f>+K2799+L2799-M2799</f>
        <v>0.0</v>
      </c>
      <c r="O2799" s="22">
        <f>+N2799</f>
        <v>0.0</v>
      </c>
      <c r="P2799" s="22">
        <f>+N2799-O2799</f>
        <v>0.0</v>
      </c>
      <c r="Q2799" s="57"/>
      <c r="R2799" s="58"/>
    </row>
    <row r="2800" spans="8:8" ht="15.0" customHeight="1">
      <c r="B2800" s="54">
        <v>2944.0</v>
      </c>
      <c r="C2800" s="8"/>
      <c r="D2800" s="8"/>
      <c r="E2800" s="8"/>
      <c r="F2800" s="8"/>
      <c r="G2800" s="8"/>
      <c r="H2800" s="8"/>
      <c r="I2800" s="55"/>
      <c r="J2800" s="78" t="s">
        <v>6715</v>
      </c>
      <c r="K2800" s="22">
        <v>0.0</v>
      </c>
      <c r="L2800" s="22">
        <f>+SUMIF('حركه المخزن الرئيسي اليوميه'!$F:$F,$H:$H,'حركه المخزن الرئيسي اليوميه'!$H:$H)</f>
        <v>0.0</v>
      </c>
      <c r="M2800" s="22">
        <f>+SUMIF('حركه المخزن الرئيسي اليوميه'!$F:$F,$H:$H,'حركه المخزن الرئيسي اليوميه'!$I:$I)</f>
        <v>0.0</v>
      </c>
      <c r="N2800" s="22">
        <f>+K2800+L2800-M2800</f>
        <v>0.0</v>
      </c>
      <c r="O2800" s="22">
        <f>+N2800</f>
        <v>0.0</v>
      </c>
      <c r="P2800" s="22">
        <f>+N2800-O2800</f>
        <v>0.0</v>
      </c>
      <c r="Q2800" s="57"/>
      <c r="R2800" s="58"/>
    </row>
    <row r="2801" spans="8:8" ht="15.0" customHeight="1">
      <c r="B2801" s="54">
        <v>2945.0</v>
      </c>
      <c r="C2801" s="8"/>
      <c r="D2801" s="8"/>
      <c r="E2801" s="8"/>
      <c r="F2801" s="8"/>
      <c r="G2801" s="8"/>
      <c r="H2801" s="8"/>
      <c r="I2801" s="55"/>
      <c r="J2801" s="78" t="s">
        <v>6716</v>
      </c>
      <c r="K2801" s="22">
        <v>0.0</v>
      </c>
      <c r="L2801" s="22">
        <f>+SUMIF('حركه المخزن الرئيسي اليوميه'!$F:$F,$H:$H,'حركه المخزن الرئيسي اليوميه'!$H:$H)</f>
        <v>0.0</v>
      </c>
      <c r="M2801" s="22">
        <f>+SUMIF('حركه المخزن الرئيسي اليوميه'!$F:$F,$H:$H,'حركه المخزن الرئيسي اليوميه'!$I:$I)</f>
        <v>0.0</v>
      </c>
      <c r="N2801" s="22">
        <f>+K2801+L2801-M2801</f>
        <v>0.0</v>
      </c>
      <c r="O2801" s="22">
        <f>+N2801</f>
        <v>0.0</v>
      </c>
      <c r="P2801" s="22">
        <f>+N2801-O2801</f>
        <v>0.0</v>
      </c>
      <c r="Q2801" s="57"/>
      <c r="R2801" s="58"/>
    </row>
    <row r="2802" spans="8:8" ht="15.0" customHeight="1">
      <c r="B2802" s="54">
        <v>2946.0</v>
      </c>
      <c r="C2802" s="8"/>
      <c r="D2802" s="8"/>
      <c r="E2802" s="8"/>
      <c r="F2802" s="8"/>
      <c r="G2802" s="8"/>
      <c r="H2802" s="8"/>
      <c r="I2802" s="55"/>
      <c r="J2802" s="78" t="s">
        <v>6717</v>
      </c>
      <c r="K2802" s="22">
        <v>0.0</v>
      </c>
      <c r="L2802" s="22">
        <f>+SUMIF('حركه المخزن الرئيسي اليوميه'!$F:$F,$H:$H,'حركه المخزن الرئيسي اليوميه'!$H:$H)</f>
        <v>0.0</v>
      </c>
      <c r="M2802" s="22">
        <f>+SUMIF('حركه المخزن الرئيسي اليوميه'!$F:$F,$H:$H,'حركه المخزن الرئيسي اليوميه'!$I:$I)</f>
        <v>0.0</v>
      </c>
      <c r="N2802" s="22">
        <f>+K2802+L2802-M2802</f>
        <v>0.0</v>
      </c>
      <c r="O2802" s="22">
        <f>+N2802</f>
        <v>0.0</v>
      </c>
      <c r="P2802" s="22">
        <f>+N2802-O2802</f>
        <v>0.0</v>
      </c>
      <c r="Q2802" s="57"/>
      <c r="R2802" s="58"/>
    </row>
    <row r="2803" spans="8:8" ht="15.0" customHeight="1">
      <c r="B2803" s="54">
        <v>2947.0</v>
      </c>
      <c r="C2803" s="8"/>
      <c r="D2803" s="8"/>
      <c r="E2803" s="8"/>
      <c r="F2803" s="8"/>
      <c r="G2803" s="8"/>
      <c r="H2803" s="8"/>
      <c r="I2803" s="55"/>
      <c r="J2803" s="78" t="s">
        <v>6718</v>
      </c>
      <c r="K2803" s="22">
        <v>0.0</v>
      </c>
      <c r="L2803" s="22">
        <f>+SUMIF('حركه المخزن الرئيسي اليوميه'!$F:$F,$H:$H,'حركه المخزن الرئيسي اليوميه'!$H:$H)</f>
        <v>0.0</v>
      </c>
      <c r="M2803" s="22">
        <f>+SUMIF('حركه المخزن الرئيسي اليوميه'!$F:$F,$H:$H,'حركه المخزن الرئيسي اليوميه'!$I:$I)</f>
        <v>0.0</v>
      </c>
      <c r="N2803" s="22">
        <f>+K2803+L2803-M2803</f>
        <v>0.0</v>
      </c>
      <c r="O2803" s="22">
        <f>+N2803</f>
        <v>0.0</v>
      </c>
      <c r="P2803" s="22">
        <f>+N2803-O2803</f>
        <v>0.0</v>
      </c>
      <c r="Q2803" s="57"/>
      <c r="R2803" s="58"/>
    </row>
    <row r="2804" spans="8:8" ht="15.0" customHeight="1">
      <c r="B2804" s="54">
        <v>2948.0</v>
      </c>
      <c r="C2804" s="8"/>
      <c r="D2804" s="8"/>
      <c r="E2804" s="8"/>
      <c r="F2804" s="8"/>
      <c r="G2804" s="8"/>
      <c r="H2804" s="8"/>
      <c r="I2804" s="55"/>
      <c r="J2804" s="78" t="s">
        <v>6719</v>
      </c>
      <c r="K2804" s="22">
        <v>0.0</v>
      </c>
      <c r="L2804" s="22">
        <f>+SUMIF('حركه المخزن الرئيسي اليوميه'!$F:$F,$H:$H,'حركه المخزن الرئيسي اليوميه'!$H:$H)</f>
        <v>0.0</v>
      </c>
      <c r="M2804" s="22">
        <f>+SUMIF('حركه المخزن الرئيسي اليوميه'!$F:$F,$H:$H,'حركه المخزن الرئيسي اليوميه'!$I:$I)</f>
        <v>0.0</v>
      </c>
      <c r="N2804" s="22">
        <f>+K2804+L2804-M2804</f>
        <v>0.0</v>
      </c>
      <c r="O2804" s="22">
        <f>+N2804</f>
        <v>0.0</v>
      </c>
      <c r="P2804" s="22">
        <f>+N2804-O2804</f>
        <v>0.0</v>
      </c>
      <c r="Q2804" s="57"/>
      <c r="R2804" s="58"/>
    </row>
    <row r="2805" spans="8:8" ht="15.0" customHeight="1">
      <c r="B2805" s="54">
        <v>2949.0</v>
      </c>
      <c r="C2805" s="8"/>
      <c r="D2805" s="8"/>
      <c r="E2805" s="8"/>
      <c r="F2805" s="8"/>
      <c r="G2805" s="8"/>
      <c r="H2805" s="8"/>
      <c r="I2805" s="55"/>
      <c r="J2805" s="78" t="s">
        <v>6720</v>
      </c>
      <c r="K2805" s="22">
        <v>0.0</v>
      </c>
      <c r="L2805" s="22">
        <f>+SUMIF('حركه المخزن الرئيسي اليوميه'!$F:$F,$H:$H,'حركه المخزن الرئيسي اليوميه'!$H:$H)</f>
        <v>0.0</v>
      </c>
      <c r="M2805" s="22">
        <f>+SUMIF('حركه المخزن الرئيسي اليوميه'!$F:$F,$H:$H,'حركه المخزن الرئيسي اليوميه'!$I:$I)</f>
        <v>0.0</v>
      </c>
      <c r="N2805" s="22">
        <f>+K2805+L2805-M2805</f>
        <v>0.0</v>
      </c>
      <c r="O2805" s="22">
        <f>+N2805</f>
        <v>0.0</v>
      </c>
      <c r="P2805" s="22">
        <f>+N2805-O2805</f>
        <v>0.0</v>
      </c>
      <c r="Q2805" s="57"/>
      <c r="R2805" s="58"/>
    </row>
    <row r="2806" spans="8:8" ht="15.0" customHeight="1">
      <c r="B2806" s="54">
        <v>2950.0</v>
      </c>
      <c r="C2806" s="8"/>
      <c r="D2806" s="8"/>
      <c r="E2806" s="8"/>
      <c r="F2806" s="8"/>
      <c r="G2806" s="8"/>
      <c r="H2806" s="8"/>
      <c r="I2806" s="55"/>
      <c r="J2806" s="78" t="s">
        <v>6721</v>
      </c>
      <c r="K2806" s="22">
        <v>0.0</v>
      </c>
      <c r="L2806" s="22">
        <f>+SUMIF('حركه المخزن الرئيسي اليوميه'!$F:$F,$H:$H,'حركه المخزن الرئيسي اليوميه'!$H:$H)</f>
        <v>0.0</v>
      </c>
      <c r="M2806" s="22">
        <f>+SUMIF('حركه المخزن الرئيسي اليوميه'!$F:$F,$H:$H,'حركه المخزن الرئيسي اليوميه'!$I:$I)</f>
        <v>0.0</v>
      </c>
      <c r="N2806" s="22">
        <f>+K2806+L2806-M2806</f>
        <v>0.0</v>
      </c>
      <c r="O2806" s="22">
        <f>+N2806</f>
        <v>0.0</v>
      </c>
      <c r="P2806" s="22">
        <f>+N2806-O2806</f>
        <v>0.0</v>
      </c>
      <c r="Q2806" s="57"/>
      <c r="R2806" s="58"/>
    </row>
    <row r="2807" spans="8:8" ht="15.0" customHeight="1">
      <c r="B2807" s="54">
        <v>2951.0</v>
      </c>
      <c r="C2807" s="8"/>
      <c r="D2807" s="8"/>
      <c r="E2807" s="8"/>
      <c r="F2807" s="8"/>
      <c r="G2807" s="8"/>
      <c r="H2807" s="8"/>
      <c r="I2807" s="55"/>
      <c r="J2807" s="78" t="s">
        <v>6722</v>
      </c>
      <c r="K2807" s="22">
        <v>0.0</v>
      </c>
      <c r="L2807" s="22">
        <f>+SUMIF('حركه المخزن الرئيسي اليوميه'!$F:$F,$H:$H,'حركه المخزن الرئيسي اليوميه'!$H:$H)</f>
        <v>0.0</v>
      </c>
      <c r="M2807" s="22">
        <f>+SUMIF('حركه المخزن الرئيسي اليوميه'!$F:$F,$H:$H,'حركه المخزن الرئيسي اليوميه'!$I:$I)</f>
        <v>0.0</v>
      </c>
      <c r="N2807" s="22">
        <f>+K2807+L2807-M2807</f>
        <v>0.0</v>
      </c>
      <c r="O2807" s="22">
        <f>+N2807</f>
        <v>0.0</v>
      </c>
      <c r="P2807" s="22">
        <f>+N2807-O2807</f>
        <v>0.0</v>
      </c>
      <c r="Q2807" s="57"/>
      <c r="R2807" s="58"/>
    </row>
    <row r="2808" spans="8:8" ht="15.0" customHeight="1">
      <c r="B2808" s="54">
        <v>2952.0</v>
      </c>
      <c r="C2808" s="8"/>
      <c r="D2808" s="8"/>
      <c r="E2808" s="8"/>
      <c r="F2808" s="8"/>
      <c r="G2808" s="8"/>
      <c r="H2808" s="8"/>
      <c r="I2808" s="55"/>
      <c r="J2808" s="78" t="s">
        <v>6723</v>
      </c>
      <c r="K2808" s="22">
        <v>0.0</v>
      </c>
      <c r="L2808" s="22">
        <f>+SUMIF('حركه المخزن الرئيسي اليوميه'!$F:$F,$H:$H,'حركه المخزن الرئيسي اليوميه'!$H:$H)</f>
        <v>0.0</v>
      </c>
      <c r="M2808" s="22">
        <f>+SUMIF('حركه المخزن الرئيسي اليوميه'!$F:$F,$H:$H,'حركه المخزن الرئيسي اليوميه'!$I:$I)</f>
        <v>0.0</v>
      </c>
      <c r="N2808" s="22">
        <f>+K2808+L2808-M2808</f>
        <v>0.0</v>
      </c>
      <c r="O2808" s="22">
        <f>+N2808</f>
        <v>0.0</v>
      </c>
      <c r="P2808" s="22">
        <f>+N2808-O2808</f>
        <v>0.0</v>
      </c>
      <c r="Q2808" s="57"/>
      <c r="R2808" s="58"/>
    </row>
    <row r="2809" spans="8:8" ht="15.0" customHeight="1">
      <c r="B2809" s="54">
        <v>2953.0</v>
      </c>
      <c r="C2809" s="8"/>
      <c r="D2809" s="8"/>
      <c r="E2809" s="8"/>
      <c r="F2809" s="8"/>
      <c r="G2809" s="8"/>
      <c r="H2809" s="8"/>
      <c r="I2809" s="55"/>
      <c r="J2809" s="78" t="s">
        <v>6724</v>
      </c>
      <c r="K2809" s="22">
        <v>0.0</v>
      </c>
      <c r="L2809" s="22">
        <f>+SUMIF('حركه المخزن الرئيسي اليوميه'!$F:$F,$H:$H,'حركه المخزن الرئيسي اليوميه'!$H:$H)</f>
        <v>0.0</v>
      </c>
      <c r="M2809" s="22">
        <f>+SUMIF('حركه المخزن الرئيسي اليوميه'!$F:$F,$H:$H,'حركه المخزن الرئيسي اليوميه'!$I:$I)</f>
        <v>0.0</v>
      </c>
      <c r="N2809" s="22">
        <f>+K2809+L2809-M2809</f>
        <v>0.0</v>
      </c>
      <c r="O2809" s="22">
        <f>+N2809</f>
        <v>0.0</v>
      </c>
      <c r="P2809" s="22">
        <f>+N2809-O2809</f>
        <v>0.0</v>
      </c>
      <c r="Q2809" s="57"/>
      <c r="R2809" s="58"/>
    </row>
    <row r="2810" spans="8:8" ht="15.0" customHeight="1">
      <c r="B2810" s="54">
        <v>2954.0</v>
      </c>
      <c r="C2810" s="8"/>
      <c r="D2810" s="8"/>
      <c r="E2810" s="8"/>
      <c r="F2810" s="8"/>
      <c r="G2810" s="8"/>
      <c r="H2810" s="8"/>
      <c r="I2810" s="55"/>
      <c r="J2810" s="78" t="s">
        <v>6725</v>
      </c>
      <c r="K2810" s="22">
        <v>0.0</v>
      </c>
      <c r="L2810" s="22">
        <f>+SUMIF('حركه المخزن الرئيسي اليوميه'!$F:$F,$H:$H,'حركه المخزن الرئيسي اليوميه'!$H:$H)</f>
        <v>0.0</v>
      </c>
      <c r="M2810" s="22">
        <f>+SUMIF('حركه المخزن الرئيسي اليوميه'!$F:$F,$H:$H,'حركه المخزن الرئيسي اليوميه'!$I:$I)</f>
        <v>0.0</v>
      </c>
      <c r="N2810" s="22">
        <f>+K2810+L2810-M2810</f>
        <v>0.0</v>
      </c>
      <c r="O2810" s="22">
        <f>+N2810</f>
        <v>0.0</v>
      </c>
      <c r="P2810" s="22">
        <f>+N2810-O2810</f>
        <v>0.0</v>
      </c>
      <c r="Q2810" s="57"/>
      <c r="R2810" s="58"/>
    </row>
    <row r="2811" spans="8:8" ht="15.0" customHeight="1">
      <c r="B2811" s="54">
        <v>2955.0</v>
      </c>
      <c r="C2811" s="8"/>
      <c r="D2811" s="8"/>
      <c r="E2811" s="8"/>
      <c r="F2811" s="8"/>
      <c r="G2811" s="8"/>
      <c r="H2811" s="8"/>
      <c r="I2811" s="55"/>
      <c r="J2811" s="78" t="s">
        <v>6726</v>
      </c>
      <c r="K2811" s="22">
        <v>0.0</v>
      </c>
      <c r="L2811" s="22">
        <f>+SUMIF('حركه المخزن الرئيسي اليوميه'!$F:$F,$H:$H,'حركه المخزن الرئيسي اليوميه'!$H:$H)</f>
        <v>0.0</v>
      </c>
      <c r="M2811" s="22">
        <f>+SUMIF('حركه المخزن الرئيسي اليوميه'!$F:$F,$H:$H,'حركه المخزن الرئيسي اليوميه'!$I:$I)</f>
        <v>0.0</v>
      </c>
      <c r="N2811" s="22">
        <f>+K2811+L2811-M2811</f>
        <v>0.0</v>
      </c>
      <c r="O2811" s="22">
        <f>+N2811</f>
        <v>0.0</v>
      </c>
      <c r="P2811" s="22">
        <f>+N2811-O2811</f>
        <v>0.0</v>
      </c>
      <c r="Q2811" s="57"/>
      <c r="R2811" s="58"/>
    </row>
    <row r="2812" spans="8:8" ht="15.0" customHeight="1">
      <c r="B2812" s="54">
        <v>2956.0</v>
      </c>
      <c r="C2812" s="8"/>
      <c r="D2812" s="8"/>
      <c r="E2812" s="8"/>
      <c r="F2812" s="8"/>
      <c r="G2812" s="8"/>
      <c r="H2812" s="8"/>
      <c r="I2812" s="55"/>
      <c r="J2812" s="78" t="s">
        <v>6727</v>
      </c>
      <c r="K2812" s="22">
        <v>0.0</v>
      </c>
      <c r="L2812" s="22">
        <f>+SUMIF('حركه المخزن الرئيسي اليوميه'!$F:$F,$H:$H,'حركه المخزن الرئيسي اليوميه'!$H:$H)</f>
        <v>0.0</v>
      </c>
      <c r="M2812" s="22">
        <f>+SUMIF('حركه المخزن الرئيسي اليوميه'!$F:$F,$H:$H,'حركه المخزن الرئيسي اليوميه'!$I:$I)</f>
        <v>0.0</v>
      </c>
      <c r="N2812" s="22">
        <f>+K2812+L2812-M2812</f>
        <v>0.0</v>
      </c>
      <c r="O2812" s="22">
        <f>+N2812</f>
        <v>0.0</v>
      </c>
      <c r="P2812" s="22">
        <f>+N2812-O2812</f>
        <v>0.0</v>
      </c>
      <c r="Q2812" s="57"/>
      <c r="R2812" s="58"/>
    </row>
    <row r="2813" spans="8:8" ht="15.0" customHeight="1">
      <c r="B2813" s="54">
        <v>2957.0</v>
      </c>
      <c r="C2813" s="8"/>
      <c r="D2813" s="8"/>
      <c r="E2813" s="8"/>
      <c r="F2813" s="8"/>
      <c r="G2813" s="8"/>
      <c r="H2813" s="8"/>
      <c r="I2813" s="55"/>
      <c r="J2813" s="78" t="s">
        <v>6728</v>
      </c>
      <c r="K2813" s="22">
        <v>0.0</v>
      </c>
      <c r="L2813" s="22">
        <f>+SUMIF('حركه المخزن الرئيسي اليوميه'!$F:$F,$H:$H,'حركه المخزن الرئيسي اليوميه'!$H:$H)</f>
        <v>0.0</v>
      </c>
      <c r="M2813" s="22">
        <f>+SUMIF('حركه المخزن الرئيسي اليوميه'!$F:$F,$H:$H,'حركه المخزن الرئيسي اليوميه'!$I:$I)</f>
        <v>0.0</v>
      </c>
      <c r="N2813" s="22">
        <f>+K2813+L2813-M2813</f>
        <v>0.0</v>
      </c>
      <c r="O2813" s="22">
        <f>+N2813</f>
        <v>0.0</v>
      </c>
      <c r="P2813" s="22">
        <f>+N2813-O2813</f>
        <v>0.0</v>
      </c>
      <c r="Q2813" s="57"/>
      <c r="R2813" s="58"/>
    </row>
    <row r="2814" spans="8:8" ht="15.0" customHeight="1">
      <c r="B2814" s="54">
        <v>2958.0</v>
      </c>
      <c r="C2814" s="8"/>
      <c r="D2814" s="8"/>
      <c r="E2814" s="8"/>
      <c r="F2814" s="8"/>
      <c r="G2814" s="8"/>
      <c r="H2814" s="8"/>
      <c r="I2814" s="55"/>
      <c r="J2814" s="78" t="s">
        <v>6729</v>
      </c>
      <c r="K2814" s="22">
        <v>0.0</v>
      </c>
      <c r="L2814" s="22">
        <f>+SUMIF('حركه المخزن الرئيسي اليوميه'!$F:$F,$H:$H,'حركه المخزن الرئيسي اليوميه'!$H:$H)</f>
        <v>0.0</v>
      </c>
      <c r="M2814" s="22">
        <f>+SUMIF('حركه المخزن الرئيسي اليوميه'!$F:$F,$H:$H,'حركه المخزن الرئيسي اليوميه'!$I:$I)</f>
        <v>0.0</v>
      </c>
      <c r="N2814" s="22">
        <f>+K2814+L2814-M2814</f>
        <v>0.0</v>
      </c>
      <c r="O2814" s="22">
        <f>+N2814</f>
        <v>0.0</v>
      </c>
      <c r="P2814" s="22">
        <f>+N2814-O2814</f>
        <v>0.0</v>
      </c>
      <c r="Q2814" s="57"/>
      <c r="R2814" s="58"/>
    </row>
    <row r="2815" spans="8:8" ht="15.0" customHeight="1">
      <c r="B2815" s="54">
        <v>2959.0</v>
      </c>
      <c r="C2815" s="8"/>
      <c r="D2815" s="8"/>
      <c r="E2815" s="8"/>
      <c r="F2815" s="8"/>
      <c r="G2815" s="8"/>
      <c r="H2815" s="8"/>
      <c r="I2815" s="55"/>
      <c r="J2815" s="78" t="s">
        <v>6730</v>
      </c>
      <c r="K2815" s="22">
        <v>0.0</v>
      </c>
      <c r="L2815" s="22">
        <f>+SUMIF('حركه المخزن الرئيسي اليوميه'!$F:$F,$H:$H,'حركه المخزن الرئيسي اليوميه'!$H:$H)</f>
        <v>0.0</v>
      </c>
      <c r="M2815" s="22">
        <f>+SUMIF('حركه المخزن الرئيسي اليوميه'!$F:$F,$H:$H,'حركه المخزن الرئيسي اليوميه'!$I:$I)</f>
        <v>0.0</v>
      </c>
      <c r="N2815" s="22">
        <f>+K2815+L2815-M2815</f>
        <v>0.0</v>
      </c>
      <c r="O2815" s="22">
        <f>+N2815</f>
        <v>0.0</v>
      </c>
      <c r="P2815" s="22">
        <f>+N2815-O2815</f>
        <v>0.0</v>
      </c>
      <c r="Q2815" s="57"/>
      <c r="R2815" s="58"/>
    </row>
    <row r="2816" spans="8:8" ht="15.0" customHeight="1">
      <c r="B2816" s="54">
        <v>2960.0</v>
      </c>
      <c r="C2816" s="8"/>
      <c r="D2816" s="8"/>
      <c r="E2816" s="8"/>
      <c r="F2816" s="8"/>
      <c r="G2816" s="8"/>
      <c r="H2816" s="8"/>
      <c r="I2816" s="55"/>
      <c r="J2816" s="78" t="s">
        <v>6731</v>
      </c>
      <c r="K2816" s="22">
        <v>0.0</v>
      </c>
      <c r="L2816" s="22">
        <f>+SUMIF('حركه المخزن الرئيسي اليوميه'!$F:$F,$H:$H,'حركه المخزن الرئيسي اليوميه'!$H:$H)</f>
        <v>0.0</v>
      </c>
      <c r="M2816" s="22">
        <f>+SUMIF('حركه المخزن الرئيسي اليوميه'!$F:$F,$H:$H,'حركه المخزن الرئيسي اليوميه'!$I:$I)</f>
        <v>0.0</v>
      </c>
      <c r="N2816" s="22">
        <f>+K2816+L2816-M2816</f>
        <v>0.0</v>
      </c>
      <c r="O2816" s="22">
        <f>+N2816</f>
        <v>0.0</v>
      </c>
      <c r="P2816" s="22">
        <f>+N2816-O2816</f>
        <v>0.0</v>
      </c>
      <c r="Q2816" s="57"/>
      <c r="R2816" s="58"/>
    </row>
    <row r="2817" spans="8:8" ht="15.0" customHeight="1">
      <c r="B2817" s="54">
        <v>2961.0</v>
      </c>
      <c r="C2817" s="8"/>
      <c r="D2817" s="8"/>
      <c r="E2817" s="8"/>
      <c r="F2817" s="8"/>
      <c r="G2817" s="8"/>
      <c r="H2817" s="8"/>
      <c r="I2817" s="55"/>
      <c r="J2817" s="78" t="s">
        <v>6732</v>
      </c>
      <c r="K2817" s="22">
        <v>0.0</v>
      </c>
      <c r="L2817" s="22">
        <f>+SUMIF('حركه المخزن الرئيسي اليوميه'!$F:$F,$H:$H,'حركه المخزن الرئيسي اليوميه'!$H:$H)</f>
        <v>0.0</v>
      </c>
      <c r="M2817" s="22">
        <f>+SUMIF('حركه المخزن الرئيسي اليوميه'!$F:$F,$H:$H,'حركه المخزن الرئيسي اليوميه'!$I:$I)</f>
        <v>0.0</v>
      </c>
      <c r="N2817" s="22">
        <f>+K2817+L2817-M2817</f>
        <v>0.0</v>
      </c>
      <c r="O2817" s="22">
        <f>+N2817</f>
        <v>0.0</v>
      </c>
      <c r="P2817" s="22">
        <f>+N2817-O2817</f>
        <v>0.0</v>
      </c>
      <c r="Q2817" s="57"/>
      <c r="R2817" s="58"/>
    </row>
    <row r="2818" spans="8:8" ht="15.0" customHeight="1">
      <c r="B2818" s="54">
        <v>2962.0</v>
      </c>
      <c r="C2818" s="8"/>
      <c r="D2818" s="8"/>
      <c r="E2818" s="8"/>
      <c r="F2818" s="8"/>
      <c r="G2818" s="8"/>
      <c r="H2818" s="8"/>
      <c r="I2818" s="55"/>
      <c r="J2818" s="78" t="s">
        <v>6733</v>
      </c>
      <c r="K2818" s="22">
        <v>0.0</v>
      </c>
      <c r="L2818" s="22">
        <f>+SUMIF('حركه المخزن الرئيسي اليوميه'!$F:$F,$H:$H,'حركه المخزن الرئيسي اليوميه'!$H:$H)</f>
        <v>0.0</v>
      </c>
      <c r="M2818" s="22">
        <f>+SUMIF('حركه المخزن الرئيسي اليوميه'!$F:$F,$H:$H,'حركه المخزن الرئيسي اليوميه'!$I:$I)</f>
        <v>0.0</v>
      </c>
      <c r="N2818" s="22">
        <f>+K2818+L2818-M2818</f>
        <v>0.0</v>
      </c>
      <c r="O2818" s="22">
        <f>+N2818</f>
        <v>0.0</v>
      </c>
      <c r="P2818" s="22">
        <f>+N2818-O2818</f>
        <v>0.0</v>
      </c>
      <c r="Q2818" s="57"/>
      <c r="R2818" s="58"/>
    </row>
    <row r="2819" spans="8:8" ht="15.0" customHeight="1">
      <c r="B2819" s="54">
        <v>2963.0</v>
      </c>
      <c r="C2819" s="8"/>
      <c r="D2819" s="8"/>
      <c r="E2819" s="8"/>
      <c r="F2819" s="8"/>
      <c r="G2819" s="8"/>
      <c r="H2819" s="8"/>
      <c r="I2819" s="55"/>
      <c r="J2819" s="78" t="s">
        <v>6734</v>
      </c>
      <c r="K2819" s="22">
        <v>0.0</v>
      </c>
      <c r="L2819" s="22">
        <f>+SUMIF('حركه المخزن الرئيسي اليوميه'!$F:$F,$H:$H,'حركه المخزن الرئيسي اليوميه'!$H:$H)</f>
        <v>0.0</v>
      </c>
      <c r="M2819" s="22">
        <f>+SUMIF('حركه المخزن الرئيسي اليوميه'!$F:$F,$H:$H,'حركه المخزن الرئيسي اليوميه'!$I:$I)</f>
        <v>0.0</v>
      </c>
      <c r="N2819" s="22">
        <f>+K2819+L2819-M2819</f>
        <v>0.0</v>
      </c>
      <c r="O2819" s="22">
        <f>+N2819</f>
        <v>0.0</v>
      </c>
      <c r="P2819" s="22">
        <f>+N2819-O2819</f>
        <v>0.0</v>
      </c>
      <c r="Q2819" s="57"/>
      <c r="R2819" s="58"/>
    </row>
    <row r="2820" spans="8:8" ht="15.0" customHeight="1">
      <c r="B2820" s="54">
        <v>2964.0</v>
      </c>
      <c r="C2820" s="8"/>
      <c r="D2820" s="8"/>
      <c r="E2820" s="8"/>
      <c r="F2820" s="8"/>
      <c r="G2820" s="8"/>
      <c r="H2820" s="8"/>
      <c r="I2820" s="55"/>
      <c r="J2820" s="78" t="s">
        <v>6735</v>
      </c>
      <c r="K2820" s="22">
        <v>0.0</v>
      </c>
      <c r="L2820" s="22">
        <f>+SUMIF('حركه المخزن الرئيسي اليوميه'!$F:$F,$H:$H,'حركه المخزن الرئيسي اليوميه'!$H:$H)</f>
        <v>0.0</v>
      </c>
      <c r="M2820" s="22">
        <f>+SUMIF('حركه المخزن الرئيسي اليوميه'!$F:$F,$H:$H,'حركه المخزن الرئيسي اليوميه'!$I:$I)</f>
        <v>0.0</v>
      </c>
      <c r="N2820" s="22">
        <f>+K2820+L2820-M2820</f>
        <v>0.0</v>
      </c>
      <c r="O2820" s="22">
        <f>+N2820</f>
        <v>0.0</v>
      </c>
      <c r="P2820" s="22">
        <f>+N2820-O2820</f>
        <v>0.0</v>
      </c>
      <c r="Q2820" s="57"/>
      <c r="R2820" s="58"/>
    </row>
    <row r="2821" spans="8:8" ht="15.0" customHeight="1">
      <c r="B2821" s="54">
        <v>2965.0</v>
      </c>
      <c r="C2821" s="8"/>
      <c r="D2821" s="8"/>
      <c r="E2821" s="8"/>
      <c r="F2821" s="8"/>
      <c r="G2821" s="8"/>
      <c r="H2821" s="8"/>
      <c r="I2821" s="55"/>
      <c r="J2821" s="78" t="s">
        <v>6736</v>
      </c>
      <c r="K2821" s="22">
        <v>0.0</v>
      </c>
      <c r="L2821" s="22">
        <f>+SUMIF('حركه المخزن الرئيسي اليوميه'!$F:$F,$H:$H,'حركه المخزن الرئيسي اليوميه'!$H:$H)</f>
        <v>0.0</v>
      </c>
      <c r="M2821" s="22">
        <f>+SUMIF('حركه المخزن الرئيسي اليوميه'!$F:$F,$H:$H,'حركه المخزن الرئيسي اليوميه'!$I:$I)</f>
        <v>0.0</v>
      </c>
      <c r="N2821" s="22">
        <f>+K2821+L2821-M2821</f>
        <v>0.0</v>
      </c>
      <c r="O2821" s="22">
        <f>+N2821</f>
        <v>0.0</v>
      </c>
      <c r="P2821" s="22">
        <f>+N2821-O2821</f>
        <v>0.0</v>
      </c>
      <c r="Q2821" s="57"/>
      <c r="R2821" s="58"/>
    </row>
    <row r="2822" spans="8:8" ht="15.0" customHeight="1">
      <c r="B2822" s="54">
        <v>2966.0</v>
      </c>
      <c r="C2822" s="8"/>
      <c r="D2822" s="8"/>
      <c r="E2822" s="8"/>
      <c r="F2822" s="8"/>
      <c r="G2822" s="8"/>
      <c r="H2822" s="8"/>
      <c r="I2822" s="55"/>
      <c r="J2822" s="78" t="s">
        <v>6737</v>
      </c>
      <c r="K2822" s="22">
        <v>0.0</v>
      </c>
      <c r="L2822" s="22">
        <f>+SUMIF('حركه المخزن الرئيسي اليوميه'!$F:$F,$H:$H,'حركه المخزن الرئيسي اليوميه'!$H:$H)</f>
        <v>0.0</v>
      </c>
      <c r="M2822" s="22">
        <f>+SUMIF('حركه المخزن الرئيسي اليوميه'!$F:$F,$H:$H,'حركه المخزن الرئيسي اليوميه'!$I:$I)</f>
        <v>0.0</v>
      </c>
      <c r="N2822" s="22">
        <f>+K2822+L2822-M2822</f>
        <v>0.0</v>
      </c>
      <c r="O2822" s="22">
        <f>+N2822</f>
        <v>0.0</v>
      </c>
      <c r="P2822" s="22">
        <f>+N2822-O2822</f>
        <v>0.0</v>
      </c>
      <c r="Q2822" s="57"/>
      <c r="R2822" s="58"/>
    </row>
    <row r="2823" spans="8:8" ht="15.0" customHeight="1">
      <c r="B2823" s="54">
        <v>2967.0</v>
      </c>
      <c r="C2823" s="8"/>
      <c r="D2823" s="8"/>
      <c r="E2823" s="8"/>
      <c r="F2823" s="8"/>
      <c r="G2823" s="8"/>
      <c r="H2823" s="8"/>
      <c r="I2823" s="55"/>
      <c r="J2823" s="78" t="s">
        <v>6738</v>
      </c>
      <c r="K2823" s="22">
        <v>0.0</v>
      </c>
      <c r="L2823" s="22">
        <f>+SUMIF('حركه المخزن الرئيسي اليوميه'!$F:$F,$H:$H,'حركه المخزن الرئيسي اليوميه'!$H:$H)</f>
        <v>0.0</v>
      </c>
      <c r="M2823" s="22">
        <f>+SUMIF('حركه المخزن الرئيسي اليوميه'!$F:$F,$H:$H,'حركه المخزن الرئيسي اليوميه'!$I:$I)</f>
        <v>0.0</v>
      </c>
      <c r="N2823" s="22">
        <f>+K2823+L2823-M2823</f>
        <v>0.0</v>
      </c>
      <c r="O2823" s="22">
        <f>+N2823</f>
        <v>0.0</v>
      </c>
      <c r="P2823" s="22">
        <f>+N2823-O2823</f>
        <v>0.0</v>
      </c>
      <c r="Q2823" s="57"/>
      <c r="R2823" s="58"/>
    </row>
    <row r="2824" spans="8:8" ht="15.0" customHeight="1">
      <c r="B2824" s="54">
        <v>2968.0</v>
      </c>
      <c r="C2824" s="8"/>
      <c r="D2824" s="8"/>
      <c r="E2824" s="8"/>
      <c r="F2824" s="8"/>
      <c r="G2824" s="8"/>
      <c r="H2824" s="8"/>
      <c r="I2824" s="55"/>
      <c r="J2824" s="78" t="s">
        <v>6739</v>
      </c>
      <c r="K2824" s="22">
        <v>0.0</v>
      </c>
      <c r="L2824" s="22">
        <f>+SUMIF('حركه المخزن الرئيسي اليوميه'!$F:$F,$H:$H,'حركه المخزن الرئيسي اليوميه'!$H:$H)</f>
        <v>0.0</v>
      </c>
      <c r="M2824" s="22">
        <f>+SUMIF('حركه المخزن الرئيسي اليوميه'!$F:$F,$H:$H,'حركه المخزن الرئيسي اليوميه'!$I:$I)</f>
        <v>0.0</v>
      </c>
      <c r="N2824" s="22">
        <f>+K2824+L2824-M2824</f>
        <v>0.0</v>
      </c>
      <c r="O2824" s="22">
        <f>+N2824</f>
        <v>0.0</v>
      </c>
      <c r="P2824" s="22">
        <f>+N2824-O2824</f>
        <v>0.0</v>
      </c>
      <c r="Q2824" s="57"/>
      <c r="R2824" s="58"/>
    </row>
    <row r="2825" spans="8:8" ht="15.0" customHeight="1">
      <c r="B2825" s="54">
        <v>2969.0</v>
      </c>
      <c r="C2825" s="8"/>
      <c r="D2825" s="8"/>
      <c r="E2825" s="8"/>
      <c r="F2825" s="8"/>
      <c r="G2825" s="8"/>
      <c r="H2825" s="8"/>
      <c r="I2825" s="55"/>
      <c r="J2825" s="78" t="s">
        <v>6740</v>
      </c>
      <c r="K2825" s="22">
        <v>0.0</v>
      </c>
      <c r="L2825" s="22">
        <f>+SUMIF('حركه المخزن الرئيسي اليوميه'!$F:$F,$H:$H,'حركه المخزن الرئيسي اليوميه'!$H:$H)</f>
        <v>0.0</v>
      </c>
      <c r="M2825" s="22">
        <f>+SUMIF('حركه المخزن الرئيسي اليوميه'!$F:$F,$H:$H,'حركه المخزن الرئيسي اليوميه'!$I:$I)</f>
        <v>0.0</v>
      </c>
      <c r="N2825" s="22">
        <f>+K2825+L2825-M2825</f>
        <v>0.0</v>
      </c>
      <c r="O2825" s="22">
        <f>+N2825</f>
        <v>0.0</v>
      </c>
      <c r="P2825" s="22">
        <f>+N2825-O2825</f>
        <v>0.0</v>
      </c>
      <c r="Q2825" s="57"/>
      <c r="R2825" s="58"/>
    </row>
    <row r="2826" spans="8:8" ht="15.0" customHeight="1">
      <c r="B2826" s="54">
        <v>2970.0</v>
      </c>
      <c r="C2826" s="8"/>
      <c r="D2826" s="8"/>
      <c r="E2826" s="8"/>
      <c r="F2826" s="8"/>
      <c r="G2826" s="8"/>
      <c r="H2826" s="8"/>
      <c r="I2826" s="55"/>
      <c r="J2826" s="78" t="s">
        <v>6741</v>
      </c>
      <c r="K2826" s="22">
        <v>0.0</v>
      </c>
      <c r="L2826" s="22">
        <f>+SUMIF('حركه المخزن الرئيسي اليوميه'!$F:$F,$H:$H,'حركه المخزن الرئيسي اليوميه'!$H:$H)</f>
        <v>0.0</v>
      </c>
      <c r="M2826" s="22">
        <f>+SUMIF('حركه المخزن الرئيسي اليوميه'!$F:$F,$H:$H,'حركه المخزن الرئيسي اليوميه'!$I:$I)</f>
        <v>0.0</v>
      </c>
      <c r="N2826" s="22">
        <f>+K2826+L2826-M2826</f>
        <v>0.0</v>
      </c>
      <c r="O2826" s="22">
        <f>+N2826</f>
        <v>0.0</v>
      </c>
      <c r="P2826" s="22">
        <f>+N2826-O2826</f>
        <v>0.0</v>
      </c>
      <c r="Q2826" s="57"/>
      <c r="R2826" s="58"/>
    </row>
    <row r="2827" spans="8:8" ht="15.0" customHeight="1">
      <c r="B2827" s="54">
        <v>2971.0</v>
      </c>
      <c r="C2827" s="8"/>
      <c r="D2827" s="8"/>
      <c r="E2827" s="8"/>
      <c r="F2827" s="8"/>
      <c r="G2827" s="8"/>
      <c r="H2827" s="8"/>
      <c r="I2827" s="55"/>
      <c r="J2827" s="78" t="s">
        <v>6742</v>
      </c>
      <c r="K2827" s="22">
        <v>0.0</v>
      </c>
      <c r="L2827" s="22">
        <f>+SUMIF('حركه المخزن الرئيسي اليوميه'!$F:$F,$H:$H,'حركه المخزن الرئيسي اليوميه'!$H:$H)</f>
        <v>0.0</v>
      </c>
      <c r="M2827" s="22">
        <f>+SUMIF('حركه المخزن الرئيسي اليوميه'!$F:$F,$H:$H,'حركه المخزن الرئيسي اليوميه'!$I:$I)</f>
        <v>0.0</v>
      </c>
      <c r="N2827" s="22">
        <f>+K2827+L2827-M2827</f>
        <v>0.0</v>
      </c>
      <c r="O2827" s="22">
        <f>+N2827</f>
        <v>0.0</v>
      </c>
      <c r="P2827" s="22">
        <f>+N2827-O2827</f>
        <v>0.0</v>
      </c>
      <c r="Q2827" s="57"/>
      <c r="R2827" s="58"/>
    </row>
    <row r="2828" spans="8:8" ht="15.0" customHeight="1">
      <c r="B2828" s="54">
        <v>2972.0</v>
      </c>
      <c r="C2828" s="8"/>
      <c r="D2828" s="8"/>
      <c r="E2828" s="8"/>
      <c r="F2828" s="8"/>
      <c r="G2828" s="8"/>
      <c r="H2828" s="8"/>
      <c r="I2828" s="55"/>
      <c r="J2828" s="78" t="s">
        <v>6743</v>
      </c>
      <c r="K2828" s="22">
        <v>0.0</v>
      </c>
      <c r="L2828" s="22">
        <f>+SUMIF('حركه المخزن الرئيسي اليوميه'!$F:$F,$H:$H,'حركه المخزن الرئيسي اليوميه'!$H:$H)</f>
        <v>0.0</v>
      </c>
      <c r="M2828" s="22">
        <f>+SUMIF('حركه المخزن الرئيسي اليوميه'!$F:$F,$H:$H,'حركه المخزن الرئيسي اليوميه'!$I:$I)</f>
        <v>0.0</v>
      </c>
      <c r="N2828" s="22">
        <f>+K2828+L2828-M2828</f>
        <v>0.0</v>
      </c>
      <c r="O2828" s="22">
        <f>+N2828</f>
        <v>0.0</v>
      </c>
      <c r="P2828" s="22">
        <f>+N2828-O2828</f>
        <v>0.0</v>
      </c>
      <c r="Q2828" s="57"/>
      <c r="R2828" s="58"/>
    </row>
    <row r="2829" spans="8:8" ht="15.0" customHeight="1">
      <c r="B2829" s="54">
        <v>2973.0</v>
      </c>
      <c r="C2829" s="8"/>
      <c r="D2829" s="8"/>
      <c r="E2829" s="8"/>
      <c r="F2829" s="8"/>
      <c r="G2829" s="8"/>
      <c r="H2829" s="8"/>
      <c r="I2829" s="55"/>
      <c r="J2829" s="78" t="s">
        <v>6744</v>
      </c>
      <c r="K2829" s="22">
        <v>0.0</v>
      </c>
      <c r="L2829" s="22">
        <f>+SUMIF('حركه المخزن الرئيسي اليوميه'!$F:$F,$H:$H,'حركه المخزن الرئيسي اليوميه'!$H:$H)</f>
        <v>0.0</v>
      </c>
      <c r="M2829" s="22">
        <f>+SUMIF('حركه المخزن الرئيسي اليوميه'!$F:$F,$H:$H,'حركه المخزن الرئيسي اليوميه'!$I:$I)</f>
        <v>0.0</v>
      </c>
      <c r="N2829" s="22">
        <f>+K2829+L2829-M2829</f>
        <v>0.0</v>
      </c>
      <c r="O2829" s="22">
        <f>+N2829</f>
        <v>0.0</v>
      </c>
      <c r="P2829" s="22">
        <f>+N2829-O2829</f>
        <v>0.0</v>
      </c>
      <c r="Q2829" s="57"/>
      <c r="R2829" s="58"/>
    </row>
    <row r="2830" spans="8:8" ht="15.0" customHeight="1">
      <c r="B2830" s="54">
        <v>2974.0</v>
      </c>
      <c r="C2830" s="8"/>
      <c r="D2830" s="8"/>
      <c r="E2830" s="8"/>
      <c r="F2830" s="8"/>
      <c r="G2830" s="8"/>
      <c r="H2830" s="8"/>
      <c r="I2830" s="55"/>
      <c r="J2830" s="78" t="s">
        <v>6745</v>
      </c>
      <c r="K2830" s="22">
        <v>0.0</v>
      </c>
      <c r="L2830" s="22">
        <f>+SUMIF('حركه المخزن الرئيسي اليوميه'!$F:$F,$H:$H,'حركه المخزن الرئيسي اليوميه'!$H:$H)</f>
        <v>0.0</v>
      </c>
      <c r="M2830" s="22">
        <f>+SUMIF('حركه المخزن الرئيسي اليوميه'!$F:$F,$H:$H,'حركه المخزن الرئيسي اليوميه'!$I:$I)</f>
        <v>0.0</v>
      </c>
      <c r="N2830" s="22">
        <f>+K2830+L2830-M2830</f>
        <v>0.0</v>
      </c>
      <c r="O2830" s="22">
        <f>+N2830</f>
        <v>0.0</v>
      </c>
      <c r="P2830" s="22">
        <f>+N2830-O2830</f>
        <v>0.0</v>
      </c>
      <c r="Q2830" s="57"/>
      <c r="R2830" s="58"/>
    </row>
    <row r="2831" spans="8:8" ht="15.0" customHeight="1">
      <c r="B2831" s="54">
        <v>2975.0</v>
      </c>
      <c r="C2831" s="8"/>
      <c r="D2831" s="8"/>
      <c r="E2831" s="8"/>
      <c r="F2831" s="8"/>
      <c r="G2831" s="8"/>
      <c r="H2831" s="8"/>
      <c r="I2831" s="55"/>
      <c r="J2831" s="78" t="s">
        <v>6746</v>
      </c>
      <c r="K2831" s="22">
        <v>0.0</v>
      </c>
      <c r="L2831" s="22">
        <f>+SUMIF('حركه المخزن الرئيسي اليوميه'!$F:$F,$H:$H,'حركه المخزن الرئيسي اليوميه'!$H:$H)</f>
        <v>0.0</v>
      </c>
      <c r="M2831" s="22">
        <f>+SUMIF('حركه المخزن الرئيسي اليوميه'!$F:$F,$H:$H,'حركه المخزن الرئيسي اليوميه'!$I:$I)</f>
        <v>0.0</v>
      </c>
      <c r="N2831" s="22">
        <f>+K2831+L2831-M2831</f>
        <v>0.0</v>
      </c>
      <c r="O2831" s="22">
        <f>+N2831</f>
        <v>0.0</v>
      </c>
      <c r="P2831" s="22">
        <f>+N2831-O2831</f>
        <v>0.0</v>
      </c>
      <c r="Q2831" s="57"/>
      <c r="R2831" s="58"/>
    </row>
    <row r="2832" spans="8:8" ht="15.0" customHeight="1">
      <c r="B2832" s="54">
        <v>2976.0</v>
      </c>
      <c r="C2832" s="8"/>
      <c r="D2832" s="8"/>
      <c r="E2832" s="8"/>
      <c r="F2832" s="8"/>
      <c r="G2832" s="8"/>
      <c r="H2832" s="8"/>
      <c r="I2832" s="55"/>
      <c r="J2832" s="78" t="s">
        <v>6747</v>
      </c>
      <c r="K2832" s="22">
        <v>0.0</v>
      </c>
      <c r="L2832" s="22">
        <f>+SUMIF('حركه المخزن الرئيسي اليوميه'!$F:$F,$H:$H,'حركه المخزن الرئيسي اليوميه'!$H:$H)</f>
        <v>0.0</v>
      </c>
      <c r="M2832" s="22">
        <f>+SUMIF('حركه المخزن الرئيسي اليوميه'!$F:$F,$H:$H,'حركه المخزن الرئيسي اليوميه'!$I:$I)</f>
        <v>0.0</v>
      </c>
      <c r="N2832" s="22">
        <f>+K2832+L2832-M2832</f>
        <v>0.0</v>
      </c>
      <c r="O2832" s="22">
        <f>+N2832</f>
        <v>0.0</v>
      </c>
      <c r="P2832" s="22">
        <f>+N2832-O2832</f>
        <v>0.0</v>
      </c>
      <c r="Q2832" s="57"/>
      <c r="R2832" s="58"/>
    </row>
    <row r="2833" spans="8:8" ht="15.0" customHeight="1">
      <c r="B2833" s="54">
        <v>2977.0</v>
      </c>
      <c r="C2833" s="8"/>
      <c r="D2833" s="8"/>
      <c r="E2833" s="8"/>
      <c r="F2833" s="8"/>
      <c r="G2833" s="8"/>
      <c r="H2833" s="8"/>
      <c r="I2833" s="55"/>
      <c r="J2833" s="78" t="s">
        <v>6748</v>
      </c>
      <c r="K2833" s="22">
        <v>0.0</v>
      </c>
      <c r="L2833" s="22">
        <f>+SUMIF('حركه المخزن الرئيسي اليوميه'!$F:$F,$H:$H,'حركه المخزن الرئيسي اليوميه'!$H:$H)</f>
        <v>0.0</v>
      </c>
      <c r="M2833" s="22">
        <f>+SUMIF('حركه المخزن الرئيسي اليوميه'!$F:$F,$H:$H,'حركه المخزن الرئيسي اليوميه'!$I:$I)</f>
        <v>0.0</v>
      </c>
      <c r="N2833" s="22">
        <f>+K2833+L2833-M2833</f>
        <v>0.0</v>
      </c>
      <c r="O2833" s="22">
        <f>+N2833</f>
        <v>0.0</v>
      </c>
      <c r="P2833" s="22">
        <f>+N2833-O2833</f>
        <v>0.0</v>
      </c>
      <c r="Q2833" s="57"/>
      <c r="R2833" s="58"/>
    </row>
    <row r="2834" spans="8:8" ht="15.0" customHeight="1">
      <c r="B2834" s="54">
        <v>2978.0</v>
      </c>
      <c r="C2834" s="8"/>
      <c r="D2834" s="8"/>
      <c r="E2834" s="8"/>
      <c r="F2834" s="8"/>
      <c r="G2834" s="8"/>
      <c r="H2834" s="8"/>
      <c r="I2834" s="55"/>
      <c r="J2834" s="78" t="s">
        <v>6749</v>
      </c>
      <c r="K2834" s="22">
        <v>0.0</v>
      </c>
      <c r="L2834" s="22">
        <f>+SUMIF('حركه المخزن الرئيسي اليوميه'!$F:$F,$H:$H,'حركه المخزن الرئيسي اليوميه'!$H:$H)</f>
        <v>0.0</v>
      </c>
      <c r="M2834" s="22">
        <f>+SUMIF('حركه المخزن الرئيسي اليوميه'!$F:$F,$H:$H,'حركه المخزن الرئيسي اليوميه'!$I:$I)</f>
        <v>0.0</v>
      </c>
      <c r="N2834" s="22">
        <f>+K2834+L2834-M2834</f>
        <v>0.0</v>
      </c>
      <c r="O2834" s="22">
        <f>+N2834</f>
        <v>0.0</v>
      </c>
      <c r="P2834" s="22">
        <f>+N2834-O2834</f>
        <v>0.0</v>
      </c>
      <c r="Q2834" s="57"/>
      <c r="R2834" s="58"/>
    </row>
    <row r="2835" spans="8:8" ht="15.0" customHeight="1">
      <c r="B2835" s="54">
        <v>2979.0</v>
      </c>
      <c r="C2835" s="8"/>
      <c r="D2835" s="8"/>
      <c r="E2835" s="8"/>
      <c r="F2835" s="8"/>
      <c r="G2835" s="8"/>
      <c r="H2835" s="8"/>
      <c r="I2835" s="55"/>
      <c r="J2835" s="78" t="s">
        <v>6750</v>
      </c>
      <c r="K2835" s="22">
        <v>0.0</v>
      </c>
      <c r="L2835" s="22">
        <f>+SUMIF('حركه المخزن الرئيسي اليوميه'!$F:$F,$H:$H,'حركه المخزن الرئيسي اليوميه'!$H:$H)</f>
        <v>0.0</v>
      </c>
      <c r="M2835" s="22">
        <f>+SUMIF('حركه المخزن الرئيسي اليوميه'!$F:$F,$H:$H,'حركه المخزن الرئيسي اليوميه'!$I:$I)</f>
        <v>0.0</v>
      </c>
      <c r="N2835" s="22">
        <f>+K2835+L2835-M2835</f>
        <v>0.0</v>
      </c>
      <c r="O2835" s="22">
        <f>+N2835</f>
        <v>0.0</v>
      </c>
      <c r="P2835" s="22">
        <f>+N2835-O2835</f>
        <v>0.0</v>
      </c>
      <c r="Q2835" s="57"/>
      <c r="R2835" s="58"/>
    </row>
    <row r="2836" spans="8:8" ht="15.0" customHeight="1">
      <c r="B2836" s="54">
        <v>2980.0</v>
      </c>
      <c r="C2836" s="8"/>
      <c r="D2836" s="8"/>
      <c r="E2836" s="8"/>
      <c r="F2836" s="8"/>
      <c r="G2836" s="8"/>
      <c r="H2836" s="8"/>
      <c r="I2836" s="55"/>
      <c r="J2836" s="78" t="s">
        <v>6751</v>
      </c>
      <c r="K2836" s="22">
        <v>0.0</v>
      </c>
      <c r="L2836" s="22">
        <f>+SUMIF('حركه المخزن الرئيسي اليوميه'!$F:$F,$H:$H,'حركه المخزن الرئيسي اليوميه'!$H:$H)</f>
        <v>0.0</v>
      </c>
      <c r="M2836" s="22">
        <f>+SUMIF('حركه المخزن الرئيسي اليوميه'!$F:$F,$H:$H,'حركه المخزن الرئيسي اليوميه'!$I:$I)</f>
        <v>0.0</v>
      </c>
      <c r="N2836" s="22">
        <f>+K2836+L2836-M2836</f>
        <v>0.0</v>
      </c>
      <c r="O2836" s="22">
        <f>+N2836</f>
        <v>0.0</v>
      </c>
      <c r="P2836" s="22">
        <f>+N2836-O2836</f>
        <v>0.0</v>
      </c>
      <c r="Q2836" s="57"/>
      <c r="R2836" s="58"/>
    </row>
    <row r="2837" spans="8:8" ht="15.0" customHeight="1">
      <c r="B2837" s="54">
        <v>2981.0</v>
      </c>
      <c r="C2837" s="8"/>
      <c r="D2837" s="8"/>
      <c r="E2837" s="8"/>
      <c r="F2837" s="8"/>
      <c r="G2837" s="8"/>
      <c r="H2837" s="8"/>
      <c r="I2837" s="55"/>
      <c r="J2837" s="78" t="s">
        <v>6752</v>
      </c>
      <c r="K2837" s="22">
        <v>0.0</v>
      </c>
      <c r="L2837" s="22">
        <f>+SUMIF('حركه المخزن الرئيسي اليوميه'!$F:$F,$H:$H,'حركه المخزن الرئيسي اليوميه'!$H:$H)</f>
        <v>0.0</v>
      </c>
      <c r="M2837" s="22">
        <f>+SUMIF('حركه المخزن الرئيسي اليوميه'!$F:$F,$H:$H,'حركه المخزن الرئيسي اليوميه'!$I:$I)</f>
        <v>0.0</v>
      </c>
      <c r="N2837" s="22">
        <f>+K2837+L2837-M2837</f>
        <v>0.0</v>
      </c>
      <c r="O2837" s="22">
        <f>+N2837</f>
        <v>0.0</v>
      </c>
      <c r="P2837" s="22">
        <f>+N2837-O2837</f>
        <v>0.0</v>
      </c>
      <c r="Q2837" s="57"/>
      <c r="R2837" s="58"/>
    </row>
    <row r="2838" spans="8:8" ht="15.0" customHeight="1">
      <c r="B2838" s="54">
        <v>2982.0</v>
      </c>
      <c r="C2838" s="8"/>
      <c r="D2838" s="8"/>
      <c r="E2838" s="8"/>
      <c r="F2838" s="8"/>
      <c r="G2838" s="8"/>
      <c r="H2838" s="8"/>
      <c r="I2838" s="55"/>
      <c r="J2838" s="78" t="s">
        <v>6753</v>
      </c>
      <c r="K2838" s="22">
        <v>0.0</v>
      </c>
      <c r="L2838" s="22">
        <f>+SUMIF('حركه المخزن الرئيسي اليوميه'!$F:$F,$H:$H,'حركه المخزن الرئيسي اليوميه'!$H:$H)</f>
        <v>0.0</v>
      </c>
      <c r="M2838" s="22">
        <f>+SUMIF('حركه المخزن الرئيسي اليوميه'!$F:$F,$H:$H,'حركه المخزن الرئيسي اليوميه'!$I:$I)</f>
        <v>0.0</v>
      </c>
      <c r="N2838" s="22">
        <f>+K2838+L2838-M2838</f>
        <v>0.0</v>
      </c>
      <c r="O2838" s="22">
        <f>+N2838</f>
        <v>0.0</v>
      </c>
      <c r="P2838" s="22">
        <f>+N2838-O2838</f>
        <v>0.0</v>
      </c>
      <c r="Q2838" s="57"/>
      <c r="R2838" s="58"/>
    </row>
    <row r="2839" spans="8:8" ht="15.0" customHeight="1">
      <c r="B2839" s="54">
        <v>2983.0</v>
      </c>
      <c r="C2839" s="8"/>
      <c r="D2839" s="8"/>
      <c r="E2839" s="8"/>
      <c r="F2839" s="8"/>
      <c r="G2839" s="8"/>
      <c r="H2839" s="8"/>
      <c r="I2839" s="55"/>
      <c r="J2839" s="78" t="s">
        <v>6754</v>
      </c>
      <c r="K2839" s="22">
        <v>0.0</v>
      </c>
      <c r="L2839" s="22">
        <f>+SUMIF('حركه المخزن الرئيسي اليوميه'!$F:$F,$H:$H,'حركه المخزن الرئيسي اليوميه'!$H:$H)</f>
        <v>0.0</v>
      </c>
      <c r="M2839" s="22">
        <f>+SUMIF('حركه المخزن الرئيسي اليوميه'!$F:$F,$H:$H,'حركه المخزن الرئيسي اليوميه'!$I:$I)</f>
        <v>0.0</v>
      </c>
      <c r="N2839" s="22">
        <f>+K2839+L2839-M2839</f>
        <v>0.0</v>
      </c>
      <c r="O2839" s="22">
        <f>+N2839</f>
        <v>0.0</v>
      </c>
      <c r="P2839" s="22">
        <f>+N2839-O2839</f>
        <v>0.0</v>
      </c>
      <c r="Q2839" s="57"/>
      <c r="R2839" s="58"/>
    </row>
    <row r="2840" spans="8:8" ht="15.0" customHeight="1">
      <c r="B2840" s="54">
        <v>2984.0</v>
      </c>
      <c r="C2840" s="8"/>
      <c r="D2840" s="8"/>
      <c r="E2840" s="8"/>
      <c r="F2840" s="8"/>
      <c r="G2840" s="8"/>
      <c r="H2840" s="8"/>
      <c r="I2840" s="55"/>
      <c r="J2840" s="78" t="s">
        <v>6755</v>
      </c>
      <c r="K2840" s="22">
        <v>0.0</v>
      </c>
      <c r="L2840" s="22">
        <f>+SUMIF('حركه المخزن الرئيسي اليوميه'!$F:$F,$H:$H,'حركه المخزن الرئيسي اليوميه'!$H:$H)</f>
        <v>0.0</v>
      </c>
      <c r="M2840" s="22">
        <f>+SUMIF('حركه المخزن الرئيسي اليوميه'!$F:$F,$H:$H,'حركه المخزن الرئيسي اليوميه'!$I:$I)</f>
        <v>0.0</v>
      </c>
      <c r="N2840" s="22">
        <f>+K2840+L2840-M2840</f>
        <v>0.0</v>
      </c>
      <c r="O2840" s="22">
        <f>+N2840</f>
        <v>0.0</v>
      </c>
      <c r="P2840" s="22">
        <f>+N2840-O2840</f>
        <v>0.0</v>
      </c>
      <c r="Q2840" s="57"/>
      <c r="R2840" s="58"/>
    </row>
    <row r="2841" spans="8:8" ht="15.0" customHeight="1">
      <c r="B2841" s="54">
        <v>2985.0</v>
      </c>
      <c r="C2841" s="8"/>
      <c r="D2841" s="8"/>
      <c r="E2841" s="8"/>
      <c r="F2841" s="8"/>
      <c r="G2841" s="8"/>
      <c r="H2841" s="8"/>
      <c r="I2841" s="55"/>
      <c r="J2841" s="78" t="s">
        <v>6756</v>
      </c>
      <c r="K2841" s="22">
        <v>0.0</v>
      </c>
      <c r="L2841" s="22">
        <f>+SUMIF('حركه المخزن الرئيسي اليوميه'!$F:$F,$H:$H,'حركه المخزن الرئيسي اليوميه'!$H:$H)</f>
        <v>0.0</v>
      </c>
      <c r="M2841" s="22">
        <f>+SUMIF('حركه المخزن الرئيسي اليوميه'!$F:$F,$H:$H,'حركه المخزن الرئيسي اليوميه'!$I:$I)</f>
        <v>0.0</v>
      </c>
      <c r="N2841" s="22">
        <f>+K2841+L2841-M2841</f>
        <v>0.0</v>
      </c>
      <c r="O2841" s="22">
        <f>+N2841</f>
        <v>0.0</v>
      </c>
      <c r="P2841" s="22">
        <f>+N2841-O2841</f>
        <v>0.0</v>
      </c>
      <c r="Q2841" s="57"/>
      <c r="R2841" s="58"/>
    </row>
    <row r="2842" spans="8:8" ht="15.0" customHeight="1">
      <c r="B2842" s="54">
        <v>2986.0</v>
      </c>
      <c r="C2842" s="8"/>
      <c r="D2842" s="8"/>
      <c r="E2842" s="8"/>
      <c r="F2842" s="8"/>
      <c r="G2842" s="8"/>
      <c r="H2842" s="8"/>
      <c r="I2842" s="55"/>
      <c r="J2842" s="78" t="s">
        <v>6757</v>
      </c>
      <c r="K2842" s="22">
        <v>0.0</v>
      </c>
      <c r="L2842" s="22">
        <f>+SUMIF('حركه المخزن الرئيسي اليوميه'!$F:$F,$H:$H,'حركه المخزن الرئيسي اليوميه'!$H:$H)</f>
        <v>0.0</v>
      </c>
      <c r="M2842" s="22">
        <f>+SUMIF('حركه المخزن الرئيسي اليوميه'!$F:$F,$H:$H,'حركه المخزن الرئيسي اليوميه'!$I:$I)</f>
        <v>0.0</v>
      </c>
      <c r="N2842" s="22">
        <f>+K2842+L2842-M2842</f>
        <v>0.0</v>
      </c>
      <c r="O2842" s="22">
        <f>+N2842</f>
        <v>0.0</v>
      </c>
      <c r="P2842" s="22">
        <f>+N2842-O2842</f>
        <v>0.0</v>
      </c>
      <c r="Q2842" s="57"/>
      <c r="R2842" s="58"/>
    </row>
    <row r="2843" spans="8:8" ht="15.0" customHeight="1">
      <c r="B2843" s="54">
        <v>2987.0</v>
      </c>
      <c r="C2843" s="8"/>
      <c r="D2843" s="8"/>
      <c r="E2843" s="8"/>
      <c r="F2843" s="8"/>
      <c r="G2843" s="8"/>
      <c r="H2843" s="8"/>
      <c r="I2843" s="55"/>
      <c r="J2843" s="78" t="s">
        <v>6758</v>
      </c>
      <c r="K2843" s="22">
        <v>0.0</v>
      </c>
      <c r="L2843" s="22">
        <f>+SUMIF('حركه المخزن الرئيسي اليوميه'!$F:$F,$H:$H,'حركه المخزن الرئيسي اليوميه'!$H:$H)</f>
        <v>0.0</v>
      </c>
      <c r="M2843" s="22">
        <f>+SUMIF('حركه المخزن الرئيسي اليوميه'!$F:$F,$H:$H,'حركه المخزن الرئيسي اليوميه'!$I:$I)</f>
        <v>0.0</v>
      </c>
      <c r="N2843" s="22">
        <f>+K2843+L2843-M2843</f>
        <v>0.0</v>
      </c>
      <c r="O2843" s="22">
        <f>+N2843</f>
        <v>0.0</v>
      </c>
      <c r="P2843" s="22">
        <f>+N2843-O2843</f>
        <v>0.0</v>
      </c>
      <c r="Q2843" s="57"/>
      <c r="R2843" s="58"/>
    </row>
    <row r="2844" spans="8:8" ht="15.0" customHeight="1">
      <c r="B2844" s="54">
        <v>2988.0</v>
      </c>
      <c r="C2844" s="8"/>
      <c r="D2844" s="8"/>
      <c r="E2844" s="8"/>
      <c r="F2844" s="8"/>
      <c r="G2844" s="8"/>
      <c r="H2844" s="8"/>
      <c r="I2844" s="55"/>
      <c r="J2844" s="78" t="s">
        <v>6759</v>
      </c>
      <c r="K2844" s="22">
        <v>0.0</v>
      </c>
      <c r="L2844" s="22">
        <f>+SUMIF('حركه المخزن الرئيسي اليوميه'!$F:$F,$H:$H,'حركه المخزن الرئيسي اليوميه'!$H:$H)</f>
        <v>0.0</v>
      </c>
      <c r="M2844" s="22">
        <f>+SUMIF('حركه المخزن الرئيسي اليوميه'!$F:$F,$H:$H,'حركه المخزن الرئيسي اليوميه'!$I:$I)</f>
        <v>0.0</v>
      </c>
      <c r="N2844" s="22">
        <f>+K2844+L2844-M2844</f>
        <v>0.0</v>
      </c>
      <c r="O2844" s="22">
        <f>+N2844</f>
        <v>0.0</v>
      </c>
      <c r="P2844" s="22">
        <f>+N2844-O2844</f>
        <v>0.0</v>
      </c>
      <c r="Q2844" s="57"/>
      <c r="R2844" s="58"/>
    </row>
    <row r="2845" spans="8:8" ht="15.0" customHeight="1">
      <c r="B2845" s="54">
        <v>2989.0</v>
      </c>
      <c r="C2845" s="8"/>
      <c r="D2845" s="8"/>
      <c r="E2845" s="8"/>
      <c r="F2845" s="8"/>
      <c r="G2845" s="8"/>
      <c r="H2845" s="8"/>
      <c r="I2845" s="55"/>
      <c r="J2845" s="78" t="s">
        <v>6760</v>
      </c>
      <c r="K2845" s="22">
        <v>0.0</v>
      </c>
      <c r="L2845" s="22">
        <f>+SUMIF('حركه المخزن الرئيسي اليوميه'!$F:$F,$H:$H,'حركه المخزن الرئيسي اليوميه'!$H:$H)</f>
        <v>0.0</v>
      </c>
      <c r="M2845" s="22">
        <f>+SUMIF('حركه المخزن الرئيسي اليوميه'!$F:$F,$H:$H,'حركه المخزن الرئيسي اليوميه'!$I:$I)</f>
        <v>0.0</v>
      </c>
      <c r="N2845" s="22">
        <f>+K2845+L2845-M2845</f>
        <v>0.0</v>
      </c>
      <c r="O2845" s="22">
        <f>+N2845</f>
        <v>0.0</v>
      </c>
      <c r="P2845" s="22">
        <f>+N2845-O2845</f>
        <v>0.0</v>
      </c>
      <c r="Q2845" s="57"/>
      <c r="R2845" s="58"/>
    </row>
    <row r="2846" spans="8:8" ht="15.0" customHeight="1">
      <c r="B2846" s="54">
        <v>2990.0</v>
      </c>
      <c r="C2846" s="8"/>
      <c r="D2846" s="8"/>
      <c r="E2846" s="8"/>
      <c r="F2846" s="8"/>
      <c r="G2846" s="8"/>
      <c r="H2846" s="8"/>
      <c r="I2846" s="55"/>
      <c r="J2846" s="78" t="s">
        <v>6761</v>
      </c>
      <c r="K2846" s="22">
        <v>0.0</v>
      </c>
      <c r="L2846" s="22">
        <f>+SUMIF('حركه المخزن الرئيسي اليوميه'!$F:$F,$H:$H,'حركه المخزن الرئيسي اليوميه'!$H:$H)</f>
        <v>0.0</v>
      </c>
      <c r="M2846" s="22">
        <f>+SUMIF('حركه المخزن الرئيسي اليوميه'!$F:$F,$H:$H,'حركه المخزن الرئيسي اليوميه'!$I:$I)</f>
        <v>0.0</v>
      </c>
      <c r="N2846" s="22">
        <f>+K2846+L2846-M2846</f>
        <v>0.0</v>
      </c>
      <c r="O2846" s="22">
        <f>+N2846</f>
        <v>0.0</v>
      </c>
      <c r="P2846" s="22">
        <f>+N2846-O2846</f>
        <v>0.0</v>
      </c>
      <c r="Q2846" s="57"/>
      <c r="R2846" s="58"/>
    </row>
    <row r="2847" spans="8:8" ht="15.0" customHeight="1">
      <c r="B2847" s="54">
        <v>2991.0</v>
      </c>
      <c r="C2847" s="8"/>
      <c r="D2847" s="8"/>
      <c r="E2847" s="8"/>
      <c r="F2847" s="8"/>
      <c r="G2847" s="8"/>
      <c r="H2847" s="8"/>
      <c r="I2847" s="55"/>
      <c r="J2847" s="78" t="s">
        <v>6762</v>
      </c>
      <c r="K2847" s="22">
        <v>0.0</v>
      </c>
      <c r="L2847" s="22">
        <f>+SUMIF('حركه المخزن الرئيسي اليوميه'!$F:$F,$H:$H,'حركه المخزن الرئيسي اليوميه'!$H:$H)</f>
        <v>0.0</v>
      </c>
      <c r="M2847" s="22">
        <f>+SUMIF('حركه المخزن الرئيسي اليوميه'!$F:$F,$H:$H,'حركه المخزن الرئيسي اليوميه'!$I:$I)</f>
        <v>0.0</v>
      </c>
      <c r="N2847" s="22">
        <f>+K2847+L2847-M2847</f>
        <v>0.0</v>
      </c>
      <c r="O2847" s="22">
        <f>+N2847</f>
        <v>0.0</v>
      </c>
      <c r="P2847" s="22">
        <f>+N2847-O2847</f>
        <v>0.0</v>
      </c>
      <c r="Q2847" s="57"/>
      <c r="R2847" s="58"/>
    </row>
    <row r="2848" spans="8:8" ht="15.0" customHeight="1">
      <c r="B2848" s="54">
        <v>2992.0</v>
      </c>
      <c r="C2848" s="8"/>
      <c r="D2848" s="8"/>
      <c r="E2848" s="8"/>
      <c r="F2848" s="8"/>
      <c r="G2848" s="8"/>
      <c r="H2848" s="8"/>
      <c r="I2848" s="55"/>
      <c r="J2848" s="78" t="s">
        <v>6763</v>
      </c>
      <c r="K2848" s="22">
        <v>0.0</v>
      </c>
      <c r="L2848" s="22">
        <f>+SUMIF('حركه المخزن الرئيسي اليوميه'!$F:$F,$H:$H,'حركه المخزن الرئيسي اليوميه'!$H:$H)</f>
        <v>0.0</v>
      </c>
      <c r="M2848" s="22">
        <f>+SUMIF('حركه المخزن الرئيسي اليوميه'!$F:$F,$H:$H,'حركه المخزن الرئيسي اليوميه'!$I:$I)</f>
        <v>0.0</v>
      </c>
      <c r="N2848" s="22">
        <f>+K2848+L2848-M2848</f>
        <v>0.0</v>
      </c>
      <c r="O2848" s="22">
        <f>+N2848</f>
        <v>0.0</v>
      </c>
      <c r="P2848" s="22">
        <f>+N2848-O2848</f>
        <v>0.0</v>
      </c>
      <c r="Q2848" s="57"/>
      <c r="R2848" s="58"/>
    </row>
    <row r="2849" spans="8:8" ht="15.0" customHeight="1">
      <c r="B2849" s="54">
        <v>2993.0</v>
      </c>
      <c r="C2849" s="8"/>
      <c r="D2849" s="8"/>
      <c r="E2849" s="8"/>
      <c r="F2849" s="8"/>
      <c r="G2849" s="8"/>
      <c r="H2849" s="8"/>
      <c r="I2849" s="55"/>
      <c r="J2849" s="78" t="s">
        <v>6764</v>
      </c>
      <c r="K2849" s="22">
        <v>0.0</v>
      </c>
      <c r="L2849" s="22">
        <f>+SUMIF('حركه المخزن الرئيسي اليوميه'!$F:$F,$H:$H,'حركه المخزن الرئيسي اليوميه'!$H:$H)</f>
        <v>0.0</v>
      </c>
      <c r="M2849" s="22">
        <f>+SUMIF('حركه المخزن الرئيسي اليوميه'!$F:$F,$H:$H,'حركه المخزن الرئيسي اليوميه'!$I:$I)</f>
        <v>0.0</v>
      </c>
      <c r="N2849" s="22">
        <f>+K2849+L2849-M2849</f>
        <v>0.0</v>
      </c>
      <c r="O2849" s="22">
        <f>+N2849</f>
        <v>0.0</v>
      </c>
      <c r="P2849" s="22">
        <f>+N2849-O2849</f>
        <v>0.0</v>
      </c>
      <c r="Q2849" s="57"/>
      <c r="R2849" s="58"/>
    </row>
    <row r="2850" spans="8:8" ht="15.0" customHeight="1">
      <c r="B2850" s="54">
        <v>2994.0</v>
      </c>
      <c r="C2850" s="8"/>
      <c r="D2850" s="8"/>
      <c r="E2850" s="8"/>
      <c r="F2850" s="8"/>
      <c r="G2850" s="8"/>
      <c r="H2850" s="8"/>
      <c r="I2850" s="55"/>
      <c r="J2850" s="78" t="s">
        <v>6765</v>
      </c>
      <c r="K2850" s="22">
        <v>0.0</v>
      </c>
      <c r="L2850" s="22">
        <f>+SUMIF('حركه المخزن الرئيسي اليوميه'!$F:$F,$H:$H,'حركه المخزن الرئيسي اليوميه'!$H:$H)</f>
        <v>0.0</v>
      </c>
      <c r="M2850" s="22">
        <f>+SUMIF('حركه المخزن الرئيسي اليوميه'!$F:$F,$H:$H,'حركه المخزن الرئيسي اليوميه'!$I:$I)</f>
        <v>0.0</v>
      </c>
      <c r="N2850" s="22">
        <f>+K2850+L2850-M2850</f>
        <v>0.0</v>
      </c>
      <c r="O2850" s="22">
        <f>+N2850</f>
        <v>0.0</v>
      </c>
      <c r="P2850" s="22">
        <f>+N2850-O2850</f>
        <v>0.0</v>
      </c>
      <c r="Q2850" s="57"/>
      <c r="R2850" s="58"/>
    </row>
    <row r="2851" spans="8:8" ht="15.0" customHeight="1">
      <c r="B2851" s="54">
        <v>2995.0</v>
      </c>
      <c r="C2851" s="8"/>
      <c r="D2851" s="8"/>
      <c r="E2851" s="8"/>
      <c r="F2851" s="8"/>
      <c r="G2851" s="8"/>
      <c r="H2851" s="8"/>
      <c r="I2851" s="55"/>
      <c r="J2851" s="78" t="s">
        <v>6766</v>
      </c>
      <c r="K2851" s="22">
        <v>0.0</v>
      </c>
      <c r="L2851" s="22">
        <f>+SUMIF('حركه المخزن الرئيسي اليوميه'!$F:$F,$H:$H,'حركه المخزن الرئيسي اليوميه'!$H:$H)</f>
        <v>0.0</v>
      </c>
      <c r="M2851" s="22">
        <f>+SUMIF('حركه المخزن الرئيسي اليوميه'!$F:$F,$H:$H,'حركه المخزن الرئيسي اليوميه'!$I:$I)</f>
        <v>0.0</v>
      </c>
      <c r="N2851" s="22">
        <f>+K2851+L2851-M2851</f>
        <v>0.0</v>
      </c>
      <c r="O2851" s="22">
        <f>+N2851</f>
        <v>0.0</v>
      </c>
      <c r="P2851" s="22">
        <f>+N2851-O2851</f>
        <v>0.0</v>
      </c>
      <c r="Q2851" s="57"/>
      <c r="R2851" s="58"/>
    </row>
    <row r="2852" spans="8:8" ht="15.0" customHeight="1">
      <c r="B2852" s="54">
        <v>2996.0</v>
      </c>
      <c r="C2852" s="8"/>
      <c r="D2852" s="8"/>
      <c r="E2852" s="8"/>
      <c r="F2852" s="8"/>
      <c r="G2852" s="8"/>
      <c r="H2852" s="8"/>
      <c r="I2852" s="55"/>
      <c r="J2852" s="78" t="s">
        <v>6767</v>
      </c>
      <c r="K2852" s="22">
        <v>0.0</v>
      </c>
      <c r="L2852" s="22">
        <f>+SUMIF('حركه المخزن الرئيسي اليوميه'!$F:$F,$H:$H,'حركه المخزن الرئيسي اليوميه'!$H:$H)</f>
        <v>0.0</v>
      </c>
      <c r="M2852" s="22">
        <f>+SUMIF('حركه المخزن الرئيسي اليوميه'!$F:$F,$H:$H,'حركه المخزن الرئيسي اليوميه'!$I:$I)</f>
        <v>0.0</v>
      </c>
      <c r="N2852" s="22">
        <f>+K2852+L2852-M2852</f>
        <v>0.0</v>
      </c>
      <c r="O2852" s="22">
        <f>+N2852</f>
        <v>0.0</v>
      </c>
      <c r="P2852" s="22">
        <f>+N2852-O2852</f>
        <v>0.0</v>
      </c>
      <c r="Q2852" s="57"/>
      <c r="R2852" s="58"/>
    </row>
    <row r="2853" spans="8:8" ht="15.0" customHeight="1">
      <c r="B2853" s="54">
        <v>2997.0</v>
      </c>
      <c r="C2853" s="8"/>
      <c r="D2853" s="8"/>
      <c r="E2853" s="8"/>
      <c r="F2853" s="8"/>
      <c r="G2853" s="8"/>
      <c r="H2853" s="8"/>
      <c r="I2853" s="55"/>
      <c r="J2853" s="78" t="s">
        <v>6768</v>
      </c>
      <c r="K2853" s="22">
        <v>0.0</v>
      </c>
      <c r="L2853" s="22">
        <f>+SUMIF('حركه المخزن الرئيسي اليوميه'!$F:$F,$H:$H,'حركه المخزن الرئيسي اليوميه'!$H:$H)</f>
        <v>0.0</v>
      </c>
      <c r="M2853" s="22">
        <f>+SUMIF('حركه المخزن الرئيسي اليوميه'!$F:$F,$H:$H,'حركه المخزن الرئيسي اليوميه'!$I:$I)</f>
        <v>0.0</v>
      </c>
      <c r="N2853" s="22">
        <f>+K2853+L2853-M2853</f>
        <v>0.0</v>
      </c>
      <c r="O2853" s="22">
        <f>+N2853</f>
        <v>0.0</v>
      </c>
      <c r="P2853" s="22">
        <f>+N2853-O2853</f>
        <v>0.0</v>
      </c>
      <c r="Q2853" s="57"/>
      <c r="R2853" s="58"/>
    </row>
    <row r="2854" spans="8:8" ht="15.0" customHeight="1">
      <c r="B2854" s="54">
        <v>2998.0</v>
      </c>
      <c r="C2854" s="8"/>
      <c r="D2854" s="8"/>
      <c r="E2854" s="8"/>
      <c r="F2854" s="8"/>
      <c r="G2854" s="8"/>
      <c r="H2854" s="8"/>
      <c r="I2854" s="55"/>
      <c r="J2854" s="78" t="s">
        <v>6769</v>
      </c>
      <c r="K2854" s="22">
        <v>0.0</v>
      </c>
      <c r="L2854" s="22">
        <f>+SUMIF('حركه المخزن الرئيسي اليوميه'!$F:$F,$H:$H,'حركه المخزن الرئيسي اليوميه'!$H:$H)</f>
        <v>0.0</v>
      </c>
      <c r="M2854" s="22">
        <f>+SUMIF('حركه المخزن الرئيسي اليوميه'!$F:$F,$H:$H,'حركه المخزن الرئيسي اليوميه'!$I:$I)</f>
        <v>0.0</v>
      </c>
      <c r="N2854" s="22">
        <f>+K2854+L2854-M2854</f>
        <v>0.0</v>
      </c>
      <c r="O2854" s="22">
        <f>+N2854</f>
        <v>0.0</v>
      </c>
      <c r="P2854" s="22">
        <f>+N2854-O2854</f>
        <v>0.0</v>
      </c>
      <c r="Q2854" s="57"/>
      <c r="R2854" s="58"/>
    </row>
    <row r="2855" spans="8:8" ht="15.0" customHeight="1">
      <c r="B2855" s="54">
        <v>2999.0</v>
      </c>
      <c r="C2855" s="8"/>
      <c r="D2855" s="8"/>
      <c r="E2855" s="8"/>
      <c r="F2855" s="8"/>
      <c r="G2855" s="8"/>
      <c r="H2855" s="8"/>
      <c r="I2855" s="55"/>
      <c r="J2855" s="78" t="s">
        <v>6770</v>
      </c>
      <c r="K2855" s="22">
        <v>0.0</v>
      </c>
      <c r="L2855" s="22">
        <f>+SUMIF('حركه المخزن الرئيسي اليوميه'!$F:$F,$H:$H,'حركه المخزن الرئيسي اليوميه'!$H:$H)</f>
        <v>0.0</v>
      </c>
      <c r="M2855" s="22">
        <f>+SUMIF('حركه المخزن الرئيسي اليوميه'!$F:$F,$H:$H,'حركه المخزن الرئيسي اليوميه'!$I:$I)</f>
        <v>0.0</v>
      </c>
      <c r="N2855" s="22">
        <f>+K2855+L2855-M2855</f>
        <v>0.0</v>
      </c>
      <c r="O2855" s="22">
        <f>+N2855</f>
        <v>0.0</v>
      </c>
      <c r="P2855" s="22">
        <f>+N2855-O2855</f>
        <v>0.0</v>
      </c>
      <c r="Q2855" s="57"/>
      <c r="R2855" s="58"/>
    </row>
    <row r="2856" spans="8:8" ht="15.0" customHeight="1">
      <c r="B2856" s="54">
        <v>3000.0</v>
      </c>
      <c r="C2856" s="8"/>
      <c r="D2856" s="8"/>
      <c r="E2856" s="8"/>
      <c r="F2856" s="8"/>
      <c r="G2856" s="8"/>
      <c r="H2856" s="8"/>
      <c r="I2856" s="55"/>
      <c r="J2856" s="78" t="s">
        <v>6771</v>
      </c>
      <c r="K2856" s="22">
        <v>0.0</v>
      </c>
      <c r="L2856" s="22">
        <f>+SUMIF('حركه المخزن الرئيسي اليوميه'!$F:$F,$H:$H,'حركه المخزن الرئيسي اليوميه'!$H:$H)</f>
        <v>0.0</v>
      </c>
      <c r="M2856" s="22">
        <f>+SUMIF('حركه المخزن الرئيسي اليوميه'!$F:$F,$H:$H,'حركه المخزن الرئيسي اليوميه'!$I:$I)</f>
        <v>0.0</v>
      </c>
      <c r="N2856" s="22">
        <f>+K2856+L2856-M2856</f>
        <v>0.0</v>
      </c>
      <c r="O2856" s="22">
        <f>+N2856</f>
        <v>0.0</v>
      </c>
      <c r="P2856" s="22">
        <f>+N2856-O2856</f>
        <v>0.0</v>
      </c>
      <c r="Q2856" s="57"/>
      <c r="R2856" s="58"/>
    </row>
    <row r="2857" spans="8:8" ht="15.0" customHeight="1">
      <c r="B2857" s="54">
        <v>3001.0</v>
      </c>
      <c r="C2857" s="8"/>
      <c r="D2857" s="8"/>
      <c r="E2857" s="8"/>
      <c r="F2857" s="8"/>
      <c r="G2857" s="8"/>
      <c r="H2857" s="8"/>
      <c r="I2857" s="55"/>
      <c r="J2857" s="78" t="s">
        <v>6772</v>
      </c>
      <c r="K2857" s="22">
        <v>0.0</v>
      </c>
      <c r="L2857" s="22">
        <f>+SUMIF('حركه المخزن الرئيسي اليوميه'!$F:$F,$H:$H,'حركه المخزن الرئيسي اليوميه'!$H:$H)</f>
        <v>0.0</v>
      </c>
      <c r="M2857" s="22">
        <f>+SUMIF('حركه المخزن الرئيسي اليوميه'!$F:$F,$H:$H,'حركه المخزن الرئيسي اليوميه'!$I:$I)</f>
        <v>0.0</v>
      </c>
      <c r="N2857" s="22">
        <f>+K2857+L2857-M2857</f>
        <v>0.0</v>
      </c>
      <c r="O2857" s="22">
        <f>+N2857</f>
        <v>0.0</v>
      </c>
      <c r="P2857" s="22">
        <f>+N2857-O2857</f>
        <v>0.0</v>
      </c>
      <c r="Q2857" s="57"/>
      <c r="R2857" s="58"/>
    </row>
    <row r="2858" spans="8:8" ht="15.0" customHeight="1">
      <c r="B2858" s="54">
        <v>3002.0</v>
      </c>
      <c r="C2858" s="8"/>
      <c r="D2858" s="8"/>
      <c r="E2858" s="8"/>
      <c r="F2858" s="8"/>
      <c r="G2858" s="8"/>
      <c r="H2858" s="8"/>
      <c r="I2858" s="55"/>
      <c r="J2858" s="78" t="s">
        <v>6773</v>
      </c>
      <c r="K2858" s="22">
        <v>0.0</v>
      </c>
      <c r="L2858" s="22">
        <f>+SUMIF('حركه المخزن الرئيسي اليوميه'!$F:$F,$H:$H,'حركه المخزن الرئيسي اليوميه'!$H:$H)</f>
        <v>0.0</v>
      </c>
      <c r="M2858" s="22">
        <f>+SUMIF('حركه المخزن الرئيسي اليوميه'!$F:$F,$H:$H,'حركه المخزن الرئيسي اليوميه'!$I:$I)</f>
        <v>0.0</v>
      </c>
      <c r="N2858" s="22">
        <f>+K2858+L2858-M2858</f>
        <v>0.0</v>
      </c>
      <c r="O2858" s="22">
        <f>+N2858</f>
        <v>0.0</v>
      </c>
      <c r="P2858" s="22">
        <f>+N2858-O2858</f>
        <v>0.0</v>
      </c>
      <c r="Q2858" s="57"/>
      <c r="R2858" s="58"/>
    </row>
    <row r="2859" spans="8:8" ht="15.0" customHeight="1">
      <c r="B2859" s="54">
        <v>3003.0</v>
      </c>
      <c r="C2859" s="8"/>
      <c r="D2859" s="8"/>
      <c r="E2859" s="8"/>
      <c r="F2859" s="8"/>
      <c r="G2859" s="8"/>
      <c r="H2859" s="8"/>
      <c r="I2859" s="55"/>
      <c r="J2859" s="78" t="s">
        <v>6774</v>
      </c>
      <c r="K2859" s="22">
        <v>0.0</v>
      </c>
      <c r="L2859" s="22">
        <f>+SUMIF('حركه المخزن الرئيسي اليوميه'!$F:$F,$H:$H,'حركه المخزن الرئيسي اليوميه'!$H:$H)</f>
        <v>0.0</v>
      </c>
      <c r="M2859" s="22">
        <f>+SUMIF('حركه المخزن الرئيسي اليوميه'!$F:$F,$H:$H,'حركه المخزن الرئيسي اليوميه'!$I:$I)</f>
        <v>0.0</v>
      </c>
      <c r="N2859" s="22">
        <f>+K2859+L2859-M2859</f>
        <v>0.0</v>
      </c>
      <c r="O2859" s="22">
        <f>+N2859</f>
        <v>0.0</v>
      </c>
      <c r="P2859" s="22">
        <f>+N2859-O2859</f>
        <v>0.0</v>
      </c>
      <c r="Q2859" s="57"/>
      <c r="R2859" s="58"/>
    </row>
    <row r="2860" spans="8:8" ht="15.0" customHeight="1">
      <c r="B2860" s="54">
        <v>3004.0</v>
      </c>
      <c r="C2860" s="8"/>
      <c r="D2860" s="8"/>
      <c r="E2860" s="8"/>
      <c r="F2860" s="8"/>
      <c r="G2860" s="8"/>
      <c r="H2860" s="8"/>
      <c r="I2860" s="55"/>
      <c r="J2860" s="78" t="s">
        <v>6775</v>
      </c>
      <c r="K2860" s="22">
        <v>0.0</v>
      </c>
      <c r="L2860" s="22">
        <f>+SUMIF('حركه المخزن الرئيسي اليوميه'!$F:$F,$H:$H,'حركه المخزن الرئيسي اليوميه'!$H:$H)</f>
        <v>0.0</v>
      </c>
      <c r="M2860" s="22">
        <f>+SUMIF('حركه المخزن الرئيسي اليوميه'!$F:$F,$H:$H,'حركه المخزن الرئيسي اليوميه'!$I:$I)</f>
        <v>0.0</v>
      </c>
      <c r="N2860" s="22">
        <f>+K2860+L2860-M2860</f>
        <v>0.0</v>
      </c>
      <c r="O2860" s="22">
        <f>+N2860</f>
        <v>0.0</v>
      </c>
      <c r="P2860" s="22">
        <f>+N2860-O2860</f>
        <v>0.0</v>
      </c>
      <c r="Q2860" s="57"/>
      <c r="R2860" s="58"/>
    </row>
    <row r="2861" spans="8:8" ht="15.0" customHeight="1">
      <c r="B2861" s="54">
        <v>3005.0</v>
      </c>
      <c r="C2861" s="8"/>
      <c r="D2861" s="8"/>
      <c r="E2861" s="8"/>
      <c r="F2861" s="8"/>
      <c r="G2861" s="8"/>
      <c r="H2861" s="8"/>
      <c r="I2861" s="55"/>
      <c r="J2861" s="78" t="s">
        <v>6776</v>
      </c>
      <c r="K2861" s="22">
        <v>0.0</v>
      </c>
      <c r="L2861" s="22">
        <f>+SUMIF('حركه المخزن الرئيسي اليوميه'!$F:$F,$H:$H,'حركه المخزن الرئيسي اليوميه'!$H:$H)</f>
        <v>0.0</v>
      </c>
      <c r="M2861" s="22">
        <f>+SUMIF('حركه المخزن الرئيسي اليوميه'!$F:$F,$H:$H,'حركه المخزن الرئيسي اليوميه'!$I:$I)</f>
        <v>0.0</v>
      </c>
      <c r="N2861" s="22">
        <f>+K2861+L2861-M2861</f>
        <v>0.0</v>
      </c>
      <c r="O2861" s="22">
        <f>+N2861</f>
        <v>0.0</v>
      </c>
      <c r="P2861" s="22">
        <f>+N2861-O2861</f>
        <v>0.0</v>
      </c>
      <c r="Q2861" s="57"/>
      <c r="R2861" s="58"/>
    </row>
    <row r="2862" spans="8:8" ht="15.0" customHeight="1">
      <c r="B2862" s="54">
        <v>3006.0</v>
      </c>
      <c r="C2862" s="8"/>
      <c r="D2862" s="8"/>
      <c r="E2862" s="8"/>
      <c r="F2862" s="8"/>
      <c r="G2862" s="8"/>
      <c r="H2862" s="8"/>
      <c r="I2862" s="55"/>
      <c r="J2862" s="78" t="s">
        <v>6777</v>
      </c>
      <c r="K2862" s="22">
        <v>0.0</v>
      </c>
      <c r="L2862" s="22">
        <f>+SUMIF('حركه المخزن الرئيسي اليوميه'!$F:$F,$H:$H,'حركه المخزن الرئيسي اليوميه'!$H:$H)</f>
        <v>0.0</v>
      </c>
      <c r="M2862" s="22">
        <f>+SUMIF('حركه المخزن الرئيسي اليوميه'!$F:$F,$H:$H,'حركه المخزن الرئيسي اليوميه'!$I:$I)</f>
        <v>0.0</v>
      </c>
      <c r="N2862" s="22">
        <f>+K2862+L2862-M2862</f>
        <v>0.0</v>
      </c>
      <c r="O2862" s="22">
        <f>+N2862</f>
        <v>0.0</v>
      </c>
      <c r="P2862" s="22">
        <f>+N2862-O2862</f>
        <v>0.0</v>
      </c>
      <c r="Q2862" s="57"/>
      <c r="R2862" s="58"/>
    </row>
    <row r="2863" spans="8:8" ht="15.0" customHeight="1">
      <c r="B2863" s="54">
        <v>3007.0</v>
      </c>
      <c r="C2863" s="8"/>
      <c r="D2863" s="8"/>
      <c r="E2863" s="8"/>
      <c r="F2863" s="8"/>
      <c r="G2863" s="8"/>
      <c r="H2863" s="8"/>
      <c r="I2863" s="55"/>
      <c r="J2863" s="78" t="s">
        <v>6778</v>
      </c>
      <c r="K2863" s="22">
        <v>0.0</v>
      </c>
      <c r="L2863" s="22">
        <f>+SUMIF('حركه المخزن الرئيسي اليوميه'!$F:$F,$H:$H,'حركه المخزن الرئيسي اليوميه'!$H:$H)</f>
        <v>0.0</v>
      </c>
      <c r="M2863" s="22">
        <f>+SUMIF('حركه المخزن الرئيسي اليوميه'!$F:$F,$H:$H,'حركه المخزن الرئيسي اليوميه'!$I:$I)</f>
        <v>0.0</v>
      </c>
      <c r="N2863" s="22">
        <f>+K2863+L2863-M2863</f>
        <v>0.0</v>
      </c>
      <c r="O2863" s="22">
        <f>+N2863</f>
        <v>0.0</v>
      </c>
      <c r="P2863" s="22">
        <f>+N2863-O2863</f>
        <v>0.0</v>
      </c>
      <c r="Q2863" s="57"/>
      <c r="R2863" s="58"/>
    </row>
    <row r="2864" spans="8:8" ht="15.0" customHeight="1">
      <c r="B2864" s="54">
        <v>3008.0</v>
      </c>
      <c r="C2864" s="8"/>
      <c r="D2864" s="8"/>
      <c r="E2864" s="8"/>
      <c r="F2864" s="8"/>
      <c r="G2864" s="8"/>
      <c r="H2864" s="8"/>
      <c r="I2864" s="55"/>
      <c r="J2864" s="78" t="s">
        <v>6779</v>
      </c>
      <c r="K2864" s="22">
        <v>0.0</v>
      </c>
      <c r="L2864" s="22">
        <f>+SUMIF('حركه المخزن الرئيسي اليوميه'!$F:$F,$H:$H,'حركه المخزن الرئيسي اليوميه'!$H:$H)</f>
        <v>0.0</v>
      </c>
      <c r="M2864" s="22">
        <f>+SUMIF('حركه المخزن الرئيسي اليوميه'!$F:$F,$H:$H,'حركه المخزن الرئيسي اليوميه'!$I:$I)</f>
        <v>0.0</v>
      </c>
      <c r="N2864" s="22">
        <f>+K2864+L2864-M2864</f>
        <v>0.0</v>
      </c>
      <c r="O2864" s="22">
        <f>+N2864</f>
        <v>0.0</v>
      </c>
      <c r="P2864" s="22">
        <f>+N2864-O2864</f>
        <v>0.0</v>
      </c>
      <c r="Q2864" s="57"/>
      <c r="R2864" s="58"/>
    </row>
    <row r="2865" spans="8:8" ht="15.0" customHeight="1">
      <c r="B2865" s="54">
        <v>3009.0</v>
      </c>
      <c r="C2865" s="8"/>
      <c r="D2865" s="8"/>
      <c r="E2865" s="8"/>
      <c r="F2865" s="8"/>
      <c r="G2865" s="8"/>
      <c r="H2865" s="8"/>
      <c r="I2865" s="55"/>
      <c r="J2865" s="78" t="s">
        <v>6780</v>
      </c>
      <c r="K2865" s="22">
        <v>0.0</v>
      </c>
      <c r="L2865" s="22">
        <f>+SUMIF('حركه المخزن الرئيسي اليوميه'!$F:$F,$H:$H,'حركه المخزن الرئيسي اليوميه'!$H:$H)</f>
        <v>0.0</v>
      </c>
      <c r="M2865" s="22">
        <f>+SUMIF('حركه المخزن الرئيسي اليوميه'!$F:$F,$H:$H,'حركه المخزن الرئيسي اليوميه'!$I:$I)</f>
        <v>0.0</v>
      </c>
      <c r="N2865" s="22">
        <f>+K2865+L2865-M2865</f>
        <v>0.0</v>
      </c>
      <c r="O2865" s="22">
        <f>+N2865</f>
        <v>0.0</v>
      </c>
      <c r="P2865" s="22">
        <f>+N2865-O2865</f>
        <v>0.0</v>
      </c>
      <c r="Q2865" s="57"/>
      <c r="R2865" s="58"/>
    </row>
    <row r="2866" spans="8:8" ht="15.0" customHeight="1">
      <c r="B2866" s="54">
        <v>3010.0</v>
      </c>
      <c r="C2866" s="8"/>
      <c r="D2866" s="8"/>
      <c r="E2866" s="8"/>
      <c r="F2866" s="8"/>
      <c r="G2866" s="8"/>
      <c r="H2866" s="8"/>
      <c r="I2866" s="55"/>
      <c r="J2866" s="78" t="s">
        <v>6781</v>
      </c>
      <c r="K2866" s="22">
        <v>0.0</v>
      </c>
      <c r="L2866" s="22">
        <f>+SUMIF('حركه المخزن الرئيسي اليوميه'!$F:$F,$H:$H,'حركه المخزن الرئيسي اليوميه'!$H:$H)</f>
        <v>0.0</v>
      </c>
      <c r="M2866" s="22">
        <f>+SUMIF('حركه المخزن الرئيسي اليوميه'!$F:$F,$H:$H,'حركه المخزن الرئيسي اليوميه'!$I:$I)</f>
        <v>0.0</v>
      </c>
      <c r="N2866" s="22">
        <f>+K2866+L2866-M2866</f>
        <v>0.0</v>
      </c>
      <c r="O2866" s="22">
        <f>+N2866</f>
        <v>0.0</v>
      </c>
      <c r="P2866" s="22">
        <f>+N2866-O2866</f>
        <v>0.0</v>
      </c>
      <c r="Q2866" s="57"/>
      <c r="R2866" s="58"/>
    </row>
    <row r="2867" spans="8:8" ht="15.0" customHeight="1">
      <c r="B2867" s="54">
        <v>3011.0</v>
      </c>
      <c r="C2867" s="8"/>
      <c r="D2867" s="8"/>
      <c r="E2867" s="8"/>
      <c r="F2867" s="8"/>
      <c r="G2867" s="8"/>
      <c r="H2867" s="8"/>
      <c r="I2867" s="55"/>
      <c r="J2867" s="78" t="s">
        <v>6782</v>
      </c>
      <c r="K2867" s="22">
        <v>0.0</v>
      </c>
      <c r="L2867" s="22">
        <f>+SUMIF('حركه المخزن الرئيسي اليوميه'!$F:$F,$H:$H,'حركه المخزن الرئيسي اليوميه'!$H:$H)</f>
        <v>0.0</v>
      </c>
      <c r="M2867" s="22">
        <f>+SUMIF('حركه المخزن الرئيسي اليوميه'!$F:$F,$H:$H,'حركه المخزن الرئيسي اليوميه'!$I:$I)</f>
        <v>0.0</v>
      </c>
      <c r="N2867" s="22">
        <f>+K2867+L2867-M2867</f>
        <v>0.0</v>
      </c>
      <c r="O2867" s="22">
        <f>+N2867</f>
        <v>0.0</v>
      </c>
      <c r="P2867" s="22">
        <f>+N2867-O2867</f>
        <v>0.0</v>
      </c>
      <c r="Q2867" s="57"/>
      <c r="R2867" s="58"/>
    </row>
    <row r="2868" spans="8:8" ht="15.0" customHeight="1">
      <c r="B2868" s="54">
        <v>3012.0</v>
      </c>
      <c r="C2868" s="8"/>
      <c r="D2868" s="8"/>
      <c r="E2868" s="8"/>
      <c r="F2868" s="8"/>
      <c r="G2868" s="8"/>
      <c r="H2868" s="8"/>
      <c r="I2868" s="55"/>
      <c r="J2868" s="78" t="s">
        <v>6783</v>
      </c>
      <c r="K2868" s="22">
        <v>0.0</v>
      </c>
      <c r="L2868" s="22">
        <f>+SUMIF('حركه المخزن الرئيسي اليوميه'!$F:$F,$H:$H,'حركه المخزن الرئيسي اليوميه'!$H:$H)</f>
        <v>0.0</v>
      </c>
      <c r="M2868" s="22">
        <f>+SUMIF('حركه المخزن الرئيسي اليوميه'!$F:$F,$H:$H,'حركه المخزن الرئيسي اليوميه'!$I:$I)</f>
        <v>0.0</v>
      </c>
      <c r="N2868" s="22">
        <f>+K2868+L2868-M2868</f>
        <v>0.0</v>
      </c>
      <c r="O2868" s="22">
        <f>+N2868</f>
        <v>0.0</v>
      </c>
      <c r="P2868" s="22">
        <f>+N2868-O2868</f>
        <v>0.0</v>
      </c>
      <c r="Q2868" s="57"/>
      <c r="R2868" s="58"/>
    </row>
    <row r="2869" spans="8:8" ht="15.0" customHeight="1">
      <c r="B2869" s="54">
        <v>3013.0</v>
      </c>
      <c r="C2869" s="8"/>
      <c r="D2869" s="8"/>
      <c r="E2869" s="8"/>
      <c r="F2869" s="8"/>
      <c r="G2869" s="8"/>
      <c r="H2869" s="8"/>
      <c r="I2869" s="55"/>
      <c r="J2869" s="78" t="s">
        <v>6784</v>
      </c>
      <c r="K2869" s="22">
        <v>0.0</v>
      </c>
      <c r="L2869" s="22">
        <f>+SUMIF('حركه المخزن الرئيسي اليوميه'!$F:$F,$H:$H,'حركه المخزن الرئيسي اليوميه'!$H:$H)</f>
        <v>0.0</v>
      </c>
      <c r="M2869" s="22">
        <f>+SUMIF('حركه المخزن الرئيسي اليوميه'!$F:$F,$H:$H,'حركه المخزن الرئيسي اليوميه'!$I:$I)</f>
        <v>0.0</v>
      </c>
      <c r="N2869" s="22">
        <f>+K2869+L2869-M2869</f>
        <v>0.0</v>
      </c>
      <c r="O2869" s="22">
        <f>+N2869</f>
        <v>0.0</v>
      </c>
      <c r="P2869" s="22">
        <f>+N2869-O2869</f>
        <v>0.0</v>
      </c>
      <c r="Q2869" s="57"/>
      <c r="R2869" s="58"/>
    </row>
    <row r="2870" spans="8:8" ht="15.0" customHeight="1">
      <c r="B2870" s="54">
        <v>3014.0</v>
      </c>
      <c r="C2870" s="8"/>
      <c r="D2870" s="8"/>
      <c r="E2870" s="8"/>
      <c r="F2870" s="8"/>
      <c r="G2870" s="8"/>
      <c r="H2870" s="8"/>
      <c r="I2870" s="55"/>
      <c r="J2870" s="78" t="s">
        <v>6785</v>
      </c>
      <c r="K2870" s="22">
        <v>0.0</v>
      </c>
      <c r="L2870" s="22">
        <f>+SUMIF('حركه المخزن الرئيسي اليوميه'!$F:$F,$H:$H,'حركه المخزن الرئيسي اليوميه'!$H:$H)</f>
        <v>0.0</v>
      </c>
      <c r="M2870" s="22">
        <f>+SUMIF('حركه المخزن الرئيسي اليوميه'!$F:$F,$H:$H,'حركه المخزن الرئيسي اليوميه'!$I:$I)</f>
        <v>0.0</v>
      </c>
      <c r="N2870" s="22">
        <f>+K2870+L2870-M2870</f>
        <v>0.0</v>
      </c>
      <c r="O2870" s="22">
        <f>+N2870</f>
        <v>0.0</v>
      </c>
      <c r="P2870" s="22">
        <f>+N2870-O2870</f>
        <v>0.0</v>
      </c>
      <c r="Q2870" s="57"/>
      <c r="R2870" s="58"/>
    </row>
    <row r="2871" spans="8:8" ht="15.0" customHeight="1">
      <c r="B2871" s="54">
        <v>3015.0</v>
      </c>
      <c r="C2871" s="8"/>
      <c r="D2871" s="8"/>
      <c r="E2871" s="8"/>
      <c r="F2871" s="8"/>
      <c r="G2871" s="8"/>
      <c r="H2871" s="8"/>
      <c r="I2871" s="55"/>
      <c r="J2871" s="78" t="s">
        <v>6786</v>
      </c>
      <c r="K2871" s="22">
        <v>0.0</v>
      </c>
      <c r="L2871" s="22">
        <f>+SUMIF('حركه المخزن الرئيسي اليوميه'!$F:$F,$H:$H,'حركه المخزن الرئيسي اليوميه'!$H:$H)</f>
        <v>0.0</v>
      </c>
      <c r="M2871" s="22">
        <f>+SUMIF('حركه المخزن الرئيسي اليوميه'!$F:$F,$H:$H,'حركه المخزن الرئيسي اليوميه'!$I:$I)</f>
        <v>0.0</v>
      </c>
      <c r="N2871" s="22">
        <f>+K2871+L2871-M2871</f>
        <v>0.0</v>
      </c>
      <c r="O2871" s="22">
        <f>+N2871</f>
        <v>0.0</v>
      </c>
      <c r="P2871" s="22">
        <f>+N2871-O2871</f>
        <v>0.0</v>
      </c>
      <c r="Q2871" s="57"/>
      <c r="R2871" s="58"/>
    </row>
    <row r="2872" spans="8:8" ht="15.0" customHeight="1">
      <c r="B2872" s="54">
        <v>3016.0</v>
      </c>
      <c r="C2872" s="8"/>
      <c r="D2872" s="8"/>
      <c r="E2872" s="8"/>
      <c r="F2872" s="8"/>
      <c r="G2872" s="8"/>
      <c r="H2872" s="8"/>
      <c r="I2872" s="55"/>
      <c r="J2872" s="78" t="s">
        <v>6787</v>
      </c>
      <c r="K2872" s="22">
        <v>0.0</v>
      </c>
      <c r="L2872" s="22">
        <f>+SUMIF('حركه المخزن الرئيسي اليوميه'!$F:$F,$H:$H,'حركه المخزن الرئيسي اليوميه'!$H:$H)</f>
        <v>0.0</v>
      </c>
      <c r="M2872" s="22">
        <f>+SUMIF('حركه المخزن الرئيسي اليوميه'!$F:$F,$H:$H,'حركه المخزن الرئيسي اليوميه'!$I:$I)</f>
        <v>0.0</v>
      </c>
      <c r="N2872" s="22">
        <f>+K2872+L2872-M2872</f>
        <v>0.0</v>
      </c>
      <c r="O2872" s="22">
        <f>+N2872</f>
        <v>0.0</v>
      </c>
      <c r="P2872" s="22">
        <f>+N2872-O2872</f>
        <v>0.0</v>
      </c>
      <c r="Q2872" s="57"/>
      <c r="R2872" s="58"/>
    </row>
    <row r="2873" spans="8:8" ht="15.0" customHeight="1">
      <c r="B2873" s="54">
        <v>3017.0</v>
      </c>
      <c r="C2873" s="8"/>
      <c r="D2873" s="8"/>
      <c r="E2873" s="8"/>
      <c r="F2873" s="8"/>
      <c r="G2873" s="8"/>
      <c r="H2873" s="8"/>
      <c r="I2873" s="55"/>
      <c r="J2873" s="78" t="s">
        <v>6788</v>
      </c>
      <c r="K2873" s="22">
        <v>0.0</v>
      </c>
      <c r="L2873" s="22">
        <f>+SUMIF('حركه المخزن الرئيسي اليوميه'!$F:$F,$H:$H,'حركه المخزن الرئيسي اليوميه'!$H:$H)</f>
        <v>0.0</v>
      </c>
      <c r="M2873" s="22">
        <f>+SUMIF('حركه المخزن الرئيسي اليوميه'!$F:$F,$H:$H,'حركه المخزن الرئيسي اليوميه'!$I:$I)</f>
        <v>0.0</v>
      </c>
      <c r="N2873" s="22">
        <f>+K2873+L2873-M2873</f>
        <v>0.0</v>
      </c>
      <c r="O2873" s="22">
        <f>+N2873</f>
        <v>0.0</v>
      </c>
      <c r="P2873" s="22">
        <f>+N2873-O2873</f>
        <v>0.0</v>
      </c>
      <c r="Q2873" s="57"/>
      <c r="R2873" s="58"/>
    </row>
    <row r="2874" spans="8:8" ht="15.0" customHeight="1">
      <c r="B2874" s="54">
        <v>3018.0</v>
      </c>
      <c r="C2874" s="8"/>
      <c r="D2874" s="8"/>
      <c r="E2874" s="8"/>
      <c r="F2874" s="8"/>
      <c r="G2874" s="8"/>
      <c r="H2874" s="8"/>
      <c r="I2874" s="55"/>
      <c r="J2874" s="78" t="s">
        <v>6789</v>
      </c>
      <c r="K2874" s="22">
        <v>0.0</v>
      </c>
      <c r="L2874" s="22">
        <f>+SUMIF('حركه المخزن الرئيسي اليوميه'!$F:$F,$H:$H,'حركه المخزن الرئيسي اليوميه'!$H:$H)</f>
        <v>0.0</v>
      </c>
      <c r="M2874" s="22">
        <f>+SUMIF('حركه المخزن الرئيسي اليوميه'!$F:$F,$H:$H,'حركه المخزن الرئيسي اليوميه'!$I:$I)</f>
        <v>0.0</v>
      </c>
      <c r="N2874" s="22">
        <f>+K2874+L2874-M2874</f>
        <v>0.0</v>
      </c>
      <c r="O2874" s="22">
        <f>+N2874</f>
        <v>0.0</v>
      </c>
      <c r="P2874" s="22">
        <f>+N2874-O2874</f>
        <v>0.0</v>
      </c>
      <c r="Q2874" s="57"/>
      <c r="R2874" s="58"/>
    </row>
    <row r="2875" spans="8:8" ht="15.0" customHeight="1">
      <c r="B2875" s="54">
        <v>3019.0</v>
      </c>
      <c r="C2875" s="8"/>
      <c r="D2875" s="8"/>
      <c r="E2875" s="8"/>
      <c r="F2875" s="8"/>
      <c r="G2875" s="8"/>
      <c r="H2875" s="8"/>
      <c r="I2875" s="55"/>
      <c r="J2875" s="78" t="s">
        <v>6790</v>
      </c>
      <c r="K2875" s="22">
        <v>0.0</v>
      </c>
      <c r="L2875" s="22">
        <f>+SUMIF('حركه المخزن الرئيسي اليوميه'!$F:$F,$H:$H,'حركه المخزن الرئيسي اليوميه'!$H:$H)</f>
        <v>0.0</v>
      </c>
      <c r="M2875" s="22">
        <f>+SUMIF('حركه المخزن الرئيسي اليوميه'!$F:$F,$H:$H,'حركه المخزن الرئيسي اليوميه'!$I:$I)</f>
        <v>0.0</v>
      </c>
      <c r="N2875" s="22">
        <f>+K2875+L2875-M2875</f>
        <v>0.0</v>
      </c>
      <c r="O2875" s="22">
        <f>+N2875</f>
        <v>0.0</v>
      </c>
      <c r="P2875" s="22">
        <f>+N2875-O2875</f>
        <v>0.0</v>
      </c>
      <c r="Q2875" s="57"/>
      <c r="R2875" s="58"/>
    </row>
    <row r="2876" spans="8:8" ht="15.0" customHeight="1">
      <c r="B2876" s="54">
        <v>3020.0</v>
      </c>
      <c r="C2876" s="8"/>
      <c r="D2876" s="8"/>
      <c r="E2876" s="8"/>
      <c r="F2876" s="8"/>
      <c r="G2876" s="8"/>
      <c r="H2876" s="8"/>
      <c r="I2876" s="55"/>
      <c r="J2876" s="78" t="s">
        <v>6791</v>
      </c>
      <c r="K2876" s="22">
        <v>0.0</v>
      </c>
      <c r="L2876" s="22">
        <f>+SUMIF('حركه المخزن الرئيسي اليوميه'!$F:$F,$H:$H,'حركه المخزن الرئيسي اليوميه'!$H:$H)</f>
        <v>0.0</v>
      </c>
      <c r="M2876" s="22">
        <f>+SUMIF('حركه المخزن الرئيسي اليوميه'!$F:$F,$H:$H,'حركه المخزن الرئيسي اليوميه'!$I:$I)</f>
        <v>0.0</v>
      </c>
      <c r="N2876" s="22">
        <f>+K2876+L2876-M2876</f>
        <v>0.0</v>
      </c>
      <c r="O2876" s="22">
        <f>+N2876</f>
        <v>0.0</v>
      </c>
      <c r="P2876" s="22">
        <f>+N2876-O2876</f>
        <v>0.0</v>
      </c>
      <c r="Q2876" s="57"/>
      <c r="R2876" s="58"/>
    </row>
    <row r="2877" spans="8:8" ht="15.0" customHeight="1">
      <c r="B2877" s="54">
        <v>3021.0</v>
      </c>
      <c r="C2877" s="8"/>
      <c r="D2877" s="8"/>
      <c r="E2877" s="8"/>
      <c r="F2877" s="8"/>
      <c r="G2877" s="8"/>
      <c r="H2877" s="8"/>
      <c r="I2877" s="55"/>
      <c r="J2877" s="78" t="s">
        <v>6792</v>
      </c>
      <c r="K2877" s="22">
        <v>0.0</v>
      </c>
      <c r="L2877" s="22">
        <f>+SUMIF('حركه المخزن الرئيسي اليوميه'!$F:$F,$H:$H,'حركه المخزن الرئيسي اليوميه'!$H:$H)</f>
        <v>0.0</v>
      </c>
      <c r="M2877" s="22">
        <f>+SUMIF('حركه المخزن الرئيسي اليوميه'!$F:$F,$H:$H,'حركه المخزن الرئيسي اليوميه'!$I:$I)</f>
        <v>0.0</v>
      </c>
      <c r="N2877" s="22">
        <f>+K2877+L2877-M2877</f>
        <v>0.0</v>
      </c>
      <c r="O2877" s="22">
        <f>+N2877</f>
        <v>0.0</v>
      </c>
      <c r="P2877" s="22">
        <f>+N2877-O2877</f>
        <v>0.0</v>
      </c>
      <c r="Q2877" s="57"/>
      <c r="R2877" s="58"/>
    </row>
    <row r="2878" spans="8:8" ht="15.0" customHeight="1">
      <c r="B2878" s="54">
        <v>3022.0</v>
      </c>
      <c r="C2878" s="8"/>
      <c r="D2878" s="8"/>
      <c r="E2878" s="8"/>
      <c r="F2878" s="8"/>
      <c r="G2878" s="8"/>
      <c r="H2878" s="8"/>
      <c r="I2878" s="55"/>
      <c r="J2878" s="78" t="s">
        <v>6793</v>
      </c>
      <c r="K2878" s="22">
        <v>0.0</v>
      </c>
      <c r="L2878" s="22">
        <f>+SUMIF('حركه المخزن الرئيسي اليوميه'!$F:$F,$H:$H,'حركه المخزن الرئيسي اليوميه'!$H:$H)</f>
        <v>0.0</v>
      </c>
      <c r="M2878" s="22">
        <f>+SUMIF('حركه المخزن الرئيسي اليوميه'!$F:$F,$H:$H,'حركه المخزن الرئيسي اليوميه'!$I:$I)</f>
        <v>0.0</v>
      </c>
      <c r="N2878" s="22">
        <f>+K2878+L2878-M2878</f>
        <v>0.0</v>
      </c>
      <c r="O2878" s="22">
        <f>+N2878</f>
        <v>0.0</v>
      </c>
      <c r="P2878" s="22">
        <f>+N2878-O2878</f>
        <v>0.0</v>
      </c>
      <c r="Q2878" s="57"/>
      <c r="R2878" s="58"/>
    </row>
    <row r="2879" spans="8:8" ht="15.0" customHeight="1">
      <c r="B2879" s="54">
        <v>3023.0</v>
      </c>
      <c r="C2879" s="8"/>
      <c r="D2879" s="8"/>
      <c r="E2879" s="8"/>
      <c r="F2879" s="8"/>
      <c r="G2879" s="8"/>
      <c r="H2879" s="8"/>
      <c r="I2879" s="55"/>
      <c r="J2879" s="78" t="s">
        <v>6794</v>
      </c>
      <c r="K2879" s="22">
        <v>0.0</v>
      </c>
      <c r="L2879" s="22">
        <f>+SUMIF('حركه المخزن الرئيسي اليوميه'!$F:$F,$H:$H,'حركه المخزن الرئيسي اليوميه'!$H:$H)</f>
        <v>0.0</v>
      </c>
      <c r="M2879" s="22">
        <f>+SUMIF('حركه المخزن الرئيسي اليوميه'!$F:$F,$H:$H,'حركه المخزن الرئيسي اليوميه'!$I:$I)</f>
        <v>0.0</v>
      </c>
      <c r="N2879" s="22">
        <f>+K2879+L2879-M2879</f>
        <v>0.0</v>
      </c>
      <c r="O2879" s="22">
        <f>+N2879</f>
        <v>0.0</v>
      </c>
      <c r="P2879" s="22">
        <f>+N2879-O2879</f>
        <v>0.0</v>
      </c>
      <c r="Q2879" s="57"/>
      <c r="R2879" s="58"/>
    </row>
    <row r="2880" spans="8:8" ht="15.0" customHeight="1">
      <c r="B2880" s="54">
        <v>3024.0</v>
      </c>
      <c r="C2880" s="8"/>
      <c r="D2880" s="8"/>
      <c r="E2880" s="8"/>
      <c r="F2880" s="8"/>
      <c r="G2880" s="8"/>
      <c r="H2880" s="8"/>
      <c r="I2880" s="55"/>
      <c r="J2880" s="78" t="s">
        <v>6795</v>
      </c>
      <c r="K2880" s="22">
        <v>0.0</v>
      </c>
      <c r="L2880" s="22">
        <f>+SUMIF('حركه المخزن الرئيسي اليوميه'!$F:$F,$H:$H,'حركه المخزن الرئيسي اليوميه'!$H:$H)</f>
        <v>0.0</v>
      </c>
      <c r="M2880" s="22">
        <f>+SUMIF('حركه المخزن الرئيسي اليوميه'!$F:$F,$H:$H,'حركه المخزن الرئيسي اليوميه'!$I:$I)</f>
        <v>0.0</v>
      </c>
      <c r="N2880" s="22">
        <f>+K2880+L2880-M2880</f>
        <v>0.0</v>
      </c>
      <c r="O2880" s="22">
        <f>+N2880</f>
        <v>0.0</v>
      </c>
      <c r="P2880" s="22">
        <f>+N2880-O2880</f>
        <v>0.0</v>
      </c>
      <c r="Q2880" s="57"/>
      <c r="R2880" s="58"/>
    </row>
    <row r="2881" spans="8:8" ht="15.0" customHeight="1">
      <c r="B2881" s="54">
        <v>3025.0</v>
      </c>
      <c r="C2881" s="8"/>
      <c r="D2881" s="8"/>
      <c r="E2881" s="8"/>
      <c r="F2881" s="8"/>
      <c r="G2881" s="8"/>
      <c r="H2881" s="8"/>
      <c r="I2881" s="55"/>
      <c r="J2881" s="78" t="s">
        <v>6796</v>
      </c>
      <c r="K2881" s="22">
        <v>0.0</v>
      </c>
      <c r="L2881" s="22">
        <f>+SUMIF('حركه المخزن الرئيسي اليوميه'!$F:$F,$H:$H,'حركه المخزن الرئيسي اليوميه'!$H:$H)</f>
        <v>0.0</v>
      </c>
      <c r="M2881" s="22">
        <f>+SUMIF('حركه المخزن الرئيسي اليوميه'!$F:$F,$H:$H,'حركه المخزن الرئيسي اليوميه'!$I:$I)</f>
        <v>0.0</v>
      </c>
      <c r="N2881" s="22">
        <f>+K2881+L2881-M2881</f>
        <v>0.0</v>
      </c>
      <c r="O2881" s="22">
        <f>+N2881</f>
        <v>0.0</v>
      </c>
      <c r="P2881" s="22">
        <f>+N2881-O2881</f>
        <v>0.0</v>
      </c>
      <c r="Q2881" s="57"/>
      <c r="R2881" s="58"/>
    </row>
    <row r="2882" spans="8:8" ht="15.0" customHeight="1">
      <c r="B2882" s="54">
        <v>3026.0</v>
      </c>
      <c r="C2882" s="8"/>
      <c r="D2882" s="8"/>
      <c r="E2882" s="8"/>
      <c r="F2882" s="8"/>
      <c r="G2882" s="8"/>
      <c r="H2882" s="8"/>
      <c r="I2882" s="55"/>
      <c r="J2882" s="78" t="s">
        <v>6797</v>
      </c>
      <c r="K2882" s="22">
        <v>0.0</v>
      </c>
      <c r="L2882" s="22">
        <f>+SUMIF('حركه المخزن الرئيسي اليوميه'!$F:$F,$H:$H,'حركه المخزن الرئيسي اليوميه'!$H:$H)</f>
        <v>0.0</v>
      </c>
      <c r="M2882" s="22">
        <f>+SUMIF('حركه المخزن الرئيسي اليوميه'!$F:$F,$H:$H,'حركه المخزن الرئيسي اليوميه'!$I:$I)</f>
        <v>0.0</v>
      </c>
      <c r="N2882" s="22">
        <f>+K2882+L2882-M2882</f>
        <v>0.0</v>
      </c>
      <c r="O2882" s="22">
        <f>+N2882</f>
        <v>0.0</v>
      </c>
      <c r="P2882" s="22">
        <f>+N2882-O2882</f>
        <v>0.0</v>
      </c>
      <c r="Q2882" s="57"/>
      <c r="R2882" s="58"/>
    </row>
    <row r="2883" spans="8:8" ht="15.0" customHeight="1">
      <c r="B2883" s="54">
        <v>3027.0</v>
      </c>
      <c r="C2883" s="8"/>
      <c r="D2883" s="8"/>
      <c r="E2883" s="8"/>
      <c r="F2883" s="8"/>
      <c r="G2883" s="8"/>
      <c r="H2883" s="8"/>
      <c r="I2883" s="55"/>
      <c r="J2883" s="78" t="s">
        <v>6798</v>
      </c>
      <c r="K2883" s="22">
        <v>0.0</v>
      </c>
      <c r="L2883" s="22">
        <f>+SUMIF('حركه المخزن الرئيسي اليوميه'!$F:$F,$H:$H,'حركه المخزن الرئيسي اليوميه'!$H:$H)</f>
        <v>0.0</v>
      </c>
      <c r="M2883" s="22">
        <f>+SUMIF('حركه المخزن الرئيسي اليوميه'!$F:$F,$H:$H,'حركه المخزن الرئيسي اليوميه'!$I:$I)</f>
        <v>0.0</v>
      </c>
      <c r="N2883" s="22">
        <f>+K2883+L2883-M2883</f>
        <v>0.0</v>
      </c>
      <c r="O2883" s="22">
        <f>+N2883</f>
        <v>0.0</v>
      </c>
      <c r="P2883" s="22">
        <f>+N2883-O2883</f>
        <v>0.0</v>
      </c>
      <c r="Q2883" s="57"/>
      <c r="R2883" s="58"/>
    </row>
    <row r="2884" spans="8:8" ht="15.0" customHeight="1">
      <c r="B2884" s="54">
        <v>3028.0</v>
      </c>
      <c r="C2884" s="8"/>
      <c r="D2884" s="8"/>
      <c r="E2884" s="8"/>
      <c r="F2884" s="8"/>
      <c r="G2884" s="8"/>
      <c r="H2884" s="8"/>
      <c r="I2884" s="55"/>
      <c r="J2884" s="78" t="s">
        <v>6799</v>
      </c>
      <c r="K2884" s="22">
        <v>0.0</v>
      </c>
      <c r="L2884" s="22">
        <f>+SUMIF('حركه المخزن الرئيسي اليوميه'!$F:$F,$H:$H,'حركه المخزن الرئيسي اليوميه'!$H:$H)</f>
        <v>0.0</v>
      </c>
      <c r="M2884" s="22">
        <f>+SUMIF('حركه المخزن الرئيسي اليوميه'!$F:$F,$H:$H,'حركه المخزن الرئيسي اليوميه'!$I:$I)</f>
        <v>0.0</v>
      </c>
      <c r="N2884" s="22">
        <f>+K2884+L2884-M2884</f>
        <v>0.0</v>
      </c>
      <c r="O2884" s="22">
        <f>+N2884</f>
        <v>0.0</v>
      </c>
      <c r="P2884" s="22">
        <f>+N2884-O2884</f>
        <v>0.0</v>
      </c>
      <c r="Q2884" s="57"/>
      <c r="R2884" s="58"/>
    </row>
    <row r="2885" spans="8:8" ht="15.0" customHeight="1">
      <c r="B2885" s="54">
        <v>3029.0</v>
      </c>
      <c r="C2885" s="8"/>
      <c r="D2885" s="8"/>
      <c r="E2885" s="8"/>
      <c r="F2885" s="8"/>
      <c r="G2885" s="8"/>
      <c r="H2885" s="8"/>
      <c r="I2885" s="55"/>
      <c r="J2885" s="78" t="s">
        <v>6800</v>
      </c>
      <c r="K2885" s="22">
        <v>0.0</v>
      </c>
      <c r="L2885" s="22">
        <f>+SUMIF('حركه المخزن الرئيسي اليوميه'!$F:$F,$H:$H,'حركه المخزن الرئيسي اليوميه'!$H:$H)</f>
        <v>0.0</v>
      </c>
      <c r="M2885" s="22">
        <f>+SUMIF('حركه المخزن الرئيسي اليوميه'!$F:$F,$H:$H,'حركه المخزن الرئيسي اليوميه'!$I:$I)</f>
        <v>0.0</v>
      </c>
      <c r="N2885" s="22">
        <f>+K2885+L2885-M2885</f>
        <v>0.0</v>
      </c>
      <c r="O2885" s="22">
        <f>+N2885</f>
        <v>0.0</v>
      </c>
      <c r="P2885" s="22">
        <f>+N2885-O2885</f>
        <v>0.0</v>
      </c>
      <c r="Q2885" s="57"/>
      <c r="R2885" s="58"/>
    </row>
    <row r="2886" spans="8:8" ht="15.0" customHeight="1">
      <c r="B2886" s="54">
        <v>3030.0</v>
      </c>
      <c r="C2886" s="8"/>
      <c r="D2886" s="8"/>
      <c r="E2886" s="8"/>
      <c r="F2886" s="8"/>
      <c r="G2886" s="8"/>
      <c r="H2886" s="8"/>
      <c r="I2886" s="55"/>
      <c r="J2886" s="78" t="s">
        <v>6801</v>
      </c>
      <c r="K2886" s="22">
        <v>0.0</v>
      </c>
      <c r="L2886" s="22">
        <f>+SUMIF('حركه المخزن الرئيسي اليوميه'!$F:$F,$H:$H,'حركه المخزن الرئيسي اليوميه'!$H:$H)</f>
        <v>0.0</v>
      </c>
      <c r="M2886" s="22">
        <f>+SUMIF('حركه المخزن الرئيسي اليوميه'!$F:$F,$H:$H,'حركه المخزن الرئيسي اليوميه'!$I:$I)</f>
        <v>0.0</v>
      </c>
      <c r="N2886" s="22">
        <f>+K2886+L2886-M2886</f>
        <v>0.0</v>
      </c>
      <c r="O2886" s="22">
        <f>+N2886</f>
        <v>0.0</v>
      </c>
      <c r="P2886" s="22">
        <f>+N2886-O2886</f>
        <v>0.0</v>
      </c>
      <c r="Q2886" s="57"/>
      <c r="R2886" s="58"/>
    </row>
    <row r="2887" spans="8:8" ht="15.0" customHeight="1">
      <c r="B2887" s="54">
        <v>3031.0</v>
      </c>
      <c r="C2887" s="8"/>
      <c r="D2887" s="8"/>
      <c r="E2887" s="8"/>
      <c r="F2887" s="8"/>
      <c r="G2887" s="8"/>
      <c r="H2887" s="8"/>
      <c r="I2887" s="55"/>
      <c r="J2887" s="78" t="s">
        <v>6802</v>
      </c>
      <c r="K2887" s="22">
        <v>0.0</v>
      </c>
      <c r="L2887" s="22">
        <f>+SUMIF('حركه المخزن الرئيسي اليوميه'!$F:$F,$H:$H,'حركه المخزن الرئيسي اليوميه'!$H:$H)</f>
        <v>0.0</v>
      </c>
      <c r="M2887" s="22">
        <f>+SUMIF('حركه المخزن الرئيسي اليوميه'!$F:$F,$H:$H,'حركه المخزن الرئيسي اليوميه'!$I:$I)</f>
        <v>0.0</v>
      </c>
      <c r="N2887" s="22">
        <f>+K2887+L2887-M2887</f>
        <v>0.0</v>
      </c>
      <c r="O2887" s="22">
        <f>+N2887</f>
        <v>0.0</v>
      </c>
      <c r="P2887" s="22">
        <f>+N2887-O2887</f>
        <v>0.0</v>
      </c>
      <c r="Q2887" s="57"/>
      <c r="R2887" s="58"/>
    </row>
    <row r="2888" spans="8:8" ht="15.0" customHeight="1">
      <c r="B2888" s="54">
        <v>3032.0</v>
      </c>
      <c r="C2888" s="8"/>
      <c r="D2888" s="8"/>
      <c r="E2888" s="8"/>
      <c r="F2888" s="8"/>
      <c r="G2888" s="8"/>
      <c r="H2888" s="8"/>
      <c r="I2888" s="55"/>
      <c r="J2888" s="78" t="s">
        <v>6803</v>
      </c>
      <c r="K2888" s="22">
        <v>0.0</v>
      </c>
      <c r="L2888" s="22">
        <f>+SUMIF('حركه المخزن الرئيسي اليوميه'!$F:$F,$H:$H,'حركه المخزن الرئيسي اليوميه'!$H:$H)</f>
        <v>0.0</v>
      </c>
      <c r="M2888" s="22">
        <f>+SUMIF('حركه المخزن الرئيسي اليوميه'!$F:$F,$H:$H,'حركه المخزن الرئيسي اليوميه'!$I:$I)</f>
        <v>0.0</v>
      </c>
      <c r="N2888" s="22">
        <f>+K2888+L2888-M2888</f>
        <v>0.0</v>
      </c>
      <c r="O2888" s="22">
        <f>+N2888</f>
        <v>0.0</v>
      </c>
      <c r="P2888" s="22">
        <f>+N2888-O2888</f>
        <v>0.0</v>
      </c>
      <c r="Q2888" s="57"/>
      <c r="R2888" s="58"/>
    </row>
    <row r="2889" spans="8:8" ht="15.0" customHeight="1">
      <c r="B2889" s="54">
        <v>3033.0</v>
      </c>
      <c r="C2889" s="8"/>
      <c r="D2889" s="8"/>
      <c r="E2889" s="8"/>
      <c r="F2889" s="8"/>
      <c r="G2889" s="8"/>
      <c r="H2889" s="8"/>
      <c r="I2889" s="55"/>
      <c r="J2889" s="78" t="s">
        <v>6804</v>
      </c>
      <c r="K2889" s="22">
        <v>0.0</v>
      </c>
      <c r="L2889" s="22">
        <f>+SUMIF('حركه المخزن الرئيسي اليوميه'!$F:$F,$H:$H,'حركه المخزن الرئيسي اليوميه'!$H:$H)</f>
        <v>0.0</v>
      </c>
      <c r="M2889" s="22">
        <f>+SUMIF('حركه المخزن الرئيسي اليوميه'!$F:$F,$H:$H,'حركه المخزن الرئيسي اليوميه'!$I:$I)</f>
        <v>0.0</v>
      </c>
      <c r="N2889" s="22">
        <f>+K2889+L2889-M2889</f>
        <v>0.0</v>
      </c>
      <c r="O2889" s="22">
        <f>+N2889</f>
        <v>0.0</v>
      </c>
      <c r="P2889" s="22">
        <f>+N2889-O2889</f>
        <v>0.0</v>
      </c>
      <c r="Q2889" s="57"/>
      <c r="R2889" s="58"/>
    </row>
    <row r="2890" spans="8:8" ht="15.0" customHeight="1">
      <c r="B2890" s="54">
        <v>3034.0</v>
      </c>
      <c r="C2890" s="8"/>
      <c r="D2890" s="8"/>
      <c r="E2890" s="8"/>
      <c r="F2890" s="8"/>
      <c r="G2890" s="8"/>
      <c r="H2890" s="8"/>
      <c r="I2890" s="55"/>
      <c r="J2890" s="78" t="s">
        <v>6805</v>
      </c>
      <c r="K2890" s="22">
        <v>0.0</v>
      </c>
      <c r="L2890" s="22">
        <f>+SUMIF('حركه المخزن الرئيسي اليوميه'!$F:$F,$H:$H,'حركه المخزن الرئيسي اليوميه'!$H:$H)</f>
        <v>0.0</v>
      </c>
      <c r="M2890" s="22">
        <f>+SUMIF('حركه المخزن الرئيسي اليوميه'!$F:$F,$H:$H,'حركه المخزن الرئيسي اليوميه'!$I:$I)</f>
        <v>0.0</v>
      </c>
      <c r="N2890" s="22">
        <f>+K2890+L2890-M2890</f>
        <v>0.0</v>
      </c>
      <c r="O2890" s="22">
        <f>+N2890</f>
        <v>0.0</v>
      </c>
      <c r="P2890" s="22">
        <f>+N2890-O2890</f>
        <v>0.0</v>
      </c>
      <c r="Q2890" s="57"/>
      <c r="R2890" s="58"/>
    </row>
    <row r="2891" spans="8:8" ht="15.0" customHeight="1">
      <c r="B2891" s="54">
        <v>3035.0</v>
      </c>
      <c r="C2891" s="8"/>
      <c r="D2891" s="8"/>
      <c r="E2891" s="8"/>
      <c r="F2891" s="8"/>
      <c r="G2891" s="8"/>
      <c r="H2891" s="8"/>
      <c r="I2891" s="55"/>
      <c r="J2891" s="78" t="s">
        <v>6806</v>
      </c>
      <c r="K2891" s="22">
        <v>0.0</v>
      </c>
      <c r="L2891" s="22">
        <f>+SUMIF('حركه المخزن الرئيسي اليوميه'!$F:$F,$H:$H,'حركه المخزن الرئيسي اليوميه'!$H:$H)</f>
        <v>0.0</v>
      </c>
      <c r="M2891" s="22">
        <f>+SUMIF('حركه المخزن الرئيسي اليوميه'!$F:$F,$H:$H,'حركه المخزن الرئيسي اليوميه'!$I:$I)</f>
        <v>0.0</v>
      </c>
      <c r="N2891" s="22">
        <f>+K2891+L2891-M2891</f>
        <v>0.0</v>
      </c>
      <c r="O2891" s="22">
        <f>+N2891</f>
        <v>0.0</v>
      </c>
      <c r="P2891" s="22">
        <f>+N2891-O2891</f>
        <v>0.0</v>
      </c>
      <c r="Q2891" s="57"/>
      <c r="R2891" s="58"/>
    </row>
    <row r="2892" spans="8:8" ht="15.0" customHeight="1">
      <c r="B2892" s="54">
        <v>3036.0</v>
      </c>
      <c r="C2892" s="8"/>
      <c r="D2892" s="8"/>
      <c r="E2892" s="8"/>
      <c r="F2892" s="8"/>
      <c r="G2892" s="8"/>
      <c r="H2892" s="8"/>
      <c r="I2892" s="55"/>
      <c r="J2892" s="78" t="s">
        <v>6807</v>
      </c>
      <c r="K2892" s="22">
        <v>0.0</v>
      </c>
      <c r="L2892" s="22">
        <f>+SUMIF('حركه المخزن الرئيسي اليوميه'!$F:$F,$H:$H,'حركه المخزن الرئيسي اليوميه'!$H:$H)</f>
        <v>0.0</v>
      </c>
      <c r="M2892" s="22">
        <f>+SUMIF('حركه المخزن الرئيسي اليوميه'!$F:$F,$H:$H,'حركه المخزن الرئيسي اليوميه'!$I:$I)</f>
        <v>0.0</v>
      </c>
      <c r="N2892" s="22">
        <f>+K2892+L2892-M2892</f>
        <v>0.0</v>
      </c>
      <c r="O2892" s="22">
        <f>+N2892</f>
        <v>0.0</v>
      </c>
      <c r="P2892" s="22">
        <f>+N2892-O2892</f>
        <v>0.0</v>
      </c>
      <c r="Q2892" s="57"/>
      <c r="R2892" s="58"/>
    </row>
    <row r="2893" spans="8:8" ht="15.0" customHeight="1">
      <c r="B2893" s="54">
        <v>3037.0</v>
      </c>
      <c r="C2893" s="8"/>
      <c r="D2893" s="8"/>
      <c r="E2893" s="8"/>
      <c r="F2893" s="8"/>
      <c r="G2893" s="8"/>
      <c r="H2893" s="8"/>
      <c r="I2893" s="55"/>
      <c r="J2893" s="78" t="s">
        <v>6808</v>
      </c>
      <c r="K2893" s="22">
        <v>0.0</v>
      </c>
      <c r="L2893" s="22">
        <f>+SUMIF('حركه المخزن الرئيسي اليوميه'!$F:$F,$H:$H,'حركه المخزن الرئيسي اليوميه'!$H:$H)</f>
        <v>0.0</v>
      </c>
      <c r="M2893" s="22">
        <f>+SUMIF('حركه المخزن الرئيسي اليوميه'!$F:$F,$H:$H,'حركه المخزن الرئيسي اليوميه'!$I:$I)</f>
        <v>0.0</v>
      </c>
      <c r="N2893" s="22">
        <f>+K2893+L2893-M2893</f>
        <v>0.0</v>
      </c>
      <c r="O2893" s="22">
        <f>+N2893</f>
        <v>0.0</v>
      </c>
      <c r="P2893" s="22">
        <f>+N2893-O2893</f>
        <v>0.0</v>
      </c>
      <c r="Q2893" s="57"/>
      <c r="R2893" s="58"/>
    </row>
    <row r="2894" spans="8:8" ht="15.0" customHeight="1">
      <c r="B2894" s="54">
        <v>3038.0</v>
      </c>
      <c r="C2894" s="8"/>
      <c r="D2894" s="8"/>
      <c r="E2894" s="8"/>
      <c r="F2894" s="8"/>
      <c r="G2894" s="8"/>
      <c r="H2894" s="8"/>
      <c r="I2894" s="55"/>
      <c r="J2894" s="78" t="s">
        <v>6809</v>
      </c>
      <c r="K2894" s="22">
        <v>0.0</v>
      </c>
      <c r="L2894" s="22">
        <f>+SUMIF('حركه المخزن الرئيسي اليوميه'!$F:$F,$H:$H,'حركه المخزن الرئيسي اليوميه'!$H:$H)</f>
        <v>0.0</v>
      </c>
      <c r="M2894" s="22">
        <f>+SUMIF('حركه المخزن الرئيسي اليوميه'!$F:$F,$H:$H,'حركه المخزن الرئيسي اليوميه'!$I:$I)</f>
        <v>0.0</v>
      </c>
      <c r="N2894" s="22">
        <f>+K2894+L2894-M2894</f>
        <v>0.0</v>
      </c>
      <c r="O2894" s="22">
        <f>+N2894</f>
        <v>0.0</v>
      </c>
      <c r="P2894" s="22">
        <f>+N2894-O2894</f>
        <v>0.0</v>
      </c>
      <c r="Q2894" s="57"/>
      <c r="R2894" s="58"/>
    </row>
    <row r="2895" spans="8:8" ht="15.0" customHeight="1">
      <c r="B2895" s="54">
        <v>3039.0</v>
      </c>
      <c r="C2895" s="8"/>
      <c r="D2895" s="8"/>
      <c r="E2895" s="8"/>
      <c r="F2895" s="8"/>
      <c r="G2895" s="8"/>
      <c r="H2895" s="8"/>
      <c r="I2895" s="55"/>
      <c r="J2895" s="78" t="s">
        <v>6810</v>
      </c>
      <c r="K2895" s="22">
        <v>0.0</v>
      </c>
      <c r="L2895" s="22">
        <f>+SUMIF('حركه المخزن الرئيسي اليوميه'!$F:$F,$H:$H,'حركه المخزن الرئيسي اليوميه'!$H:$H)</f>
        <v>0.0</v>
      </c>
      <c r="M2895" s="22">
        <f>+SUMIF('حركه المخزن الرئيسي اليوميه'!$F:$F,$H:$H,'حركه المخزن الرئيسي اليوميه'!$I:$I)</f>
        <v>0.0</v>
      </c>
      <c r="N2895" s="22">
        <f>+K2895+L2895-M2895</f>
        <v>0.0</v>
      </c>
      <c r="O2895" s="22">
        <f>+N2895</f>
        <v>0.0</v>
      </c>
      <c r="P2895" s="22">
        <f>+N2895-O2895</f>
        <v>0.0</v>
      </c>
      <c r="Q2895" s="57"/>
      <c r="R2895" s="58"/>
    </row>
    <row r="2896" spans="8:8" ht="15.0" customHeight="1">
      <c r="B2896" s="54">
        <v>3040.0</v>
      </c>
      <c r="C2896" s="8"/>
      <c r="D2896" s="8"/>
      <c r="E2896" s="8"/>
      <c r="F2896" s="8"/>
      <c r="G2896" s="8"/>
      <c r="H2896" s="8"/>
      <c r="I2896" s="55"/>
      <c r="J2896" s="78" t="s">
        <v>6811</v>
      </c>
      <c r="K2896" s="22">
        <v>0.0</v>
      </c>
      <c r="L2896" s="22">
        <f>+SUMIF('حركه المخزن الرئيسي اليوميه'!$F:$F,$H:$H,'حركه المخزن الرئيسي اليوميه'!$H:$H)</f>
        <v>0.0</v>
      </c>
      <c r="M2896" s="22">
        <f>+SUMIF('حركه المخزن الرئيسي اليوميه'!$F:$F,$H:$H,'حركه المخزن الرئيسي اليوميه'!$I:$I)</f>
        <v>0.0</v>
      </c>
      <c r="N2896" s="22">
        <f>+K2896+L2896-M2896</f>
        <v>0.0</v>
      </c>
      <c r="O2896" s="22">
        <f>+N2896</f>
        <v>0.0</v>
      </c>
      <c r="P2896" s="22">
        <f>+N2896-O2896</f>
        <v>0.0</v>
      </c>
      <c r="Q2896" s="57"/>
      <c r="R2896" s="58"/>
    </row>
    <row r="2897" spans="8:8" ht="15.0" customHeight="1">
      <c r="B2897" s="54">
        <v>3041.0</v>
      </c>
      <c r="C2897" s="8"/>
      <c r="D2897" s="8"/>
      <c r="E2897" s="8"/>
      <c r="F2897" s="8"/>
      <c r="G2897" s="8"/>
      <c r="H2897" s="8"/>
      <c r="I2897" s="55"/>
      <c r="J2897" s="78" t="s">
        <v>6812</v>
      </c>
      <c r="K2897" s="22">
        <v>0.0</v>
      </c>
      <c r="L2897" s="22">
        <f>+SUMIF('حركه المخزن الرئيسي اليوميه'!$F:$F,$H:$H,'حركه المخزن الرئيسي اليوميه'!$H:$H)</f>
        <v>0.0</v>
      </c>
      <c r="M2897" s="22">
        <f>+SUMIF('حركه المخزن الرئيسي اليوميه'!$F:$F,$H:$H,'حركه المخزن الرئيسي اليوميه'!$I:$I)</f>
        <v>0.0</v>
      </c>
      <c r="N2897" s="22">
        <f>+K2897+L2897-M2897</f>
        <v>0.0</v>
      </c>
      <c r="O2897" s="22">
        <f>+N2897</f>
        <v>0.0</v>
      </c>
      <c r="P2897" s="22">
        <f>+N2897-O2897</f>
        <v>0.0</v>
      </c>
      <c r="Q2897" s="57"/>
      <c r="R2897" s="58"/>
    </row>
    <row r="2898" spans="8:8" ht="15.0" customHeight="1">
      <c r="B2898" s="54">
        <v>3042.0</v>
      </c>
      <c r="C2898" s="8"/>
      <c r="D2898" s="8"/>
      <c r="E2898" s="8"/>
      <c r="F2898" s="8"/>
      <c r="G2898" s="8"/>
      <c r="H2898" s="8"/>
      <c r="I2898" s="55"/>
      <c r="J2898" s="78" t="s">
        <v>6813</v>
      </c>
      <c r="K2898" s="22">
        <v>0.0</v>
      </c>
      <c r="L2898" s="22">
        <f>+SUMIF('حركه المخزن الرئيسي اليوميه'!$F:$F,$H:$H,'حركه المخزن الرئيسي اليوميه'!$H:$H)</f>
        <v>0.0</v>
      </c>
      <c r="M2898" s="22">
        <f>+SUMIF('حركه المخزن الرئيسي اليوميه'!$F:$F,$H:$H,'حركه المخزن الرئيسي اليوميه'!$I:$I)</f>
        <v>0.0</v>
      </c>
      <c r="N2898" s="22">
        <f>+K2898+L2898-M2898</f>
        <v>0.0</v>
      </c>
      <c r="O2898" s="22">
        <f>+N2898</f>
        <v>0.0</v>
      </c>
      <c r="P2898" s="22">
        <f>+N2898-O2898</f>
        <v>0.0</v>
      </c>
      <c r="Q2898" s="57"/>
      <c r="R2898" s="58"/>
    </row>
    <row r="2899" spans="8:8" ht="15.0" customHeight="1">
      <c r="B2899" s="54">
        <v>3043.0</v>
      </c>
      <c r="C2899" s="8"/>
      <c r="D2899" s="8"/>
      <c r="E2899" s="8"/>
      <c r="F2899" s="8"/>
      <c r="G2899" s="8"/>
      <c r="H2899" s="8"/>
      <c r="I2899" s="55"/>
      <c r="J2899" s="78" t="s">
        <v>6814</v>
      </c>
      <c r="K2899" s="22">
        <v>0.0</v>
      </c>
      <c r="L2899" s="22">
        <f>+SUMIF('حركه المخزن الرئيسي اليوميه'!$F:$F,$H:$H,'حركه المخزن الرئيسي اليوميه'!$H:$H)</f>
        <v>0.0</v>
      </c>
      <c r="M2899" s="22">
        <f>+SUMIF('حركه المخزن الرئيسي اليوميه'!$F:$F,$H:$H,'حركه المخزن الرئيسي اليوميه'!$I:$I)</f>
        <v>0.0</v>
      </c>
      <c r="N2899" s="22">
        <f>+K2899+L2899-M2899</f>
        <v>0.0</v>
      </c>
      <c r="O2899" s="22">
        <f>+N2899</f>
        <v>0.0</v>
      </c>
      <c r="P2899" s="22">
        <f>+N2899-O2899</f>
        <v>0.0</v>
      </c>
      <c r="Q2899" s="57"/>
      <c r="R2899" s="58"/>
    </row>
    <row r="2900" spans="8:8" ht="15.0" customHeight="1">
      <c r="B2900" s="54">
        <v>3044.0</v>
      </c>
      <c r="C2900" s="8"/>
      <c r="D2900" s="8"/>
      <c r="E2900" s="8"/>
      <c r="F2900" s="8"/>
      <c r="G2900" s="8"/>
      <c r="H2900" s="8"/>
      <c r="I2900" s="55"/>
      <c r="J2900" s="78" t="s">
        <v>6815</v>
      </c>
      <c r="K2900" s="22">
        <v>0.0</v>
      </c>
      <c r="L2900" s="22">
        <f>+SUMIF('حركه المخزن الرئيسي اليوميه'!$F:$F,$H:$H,'حركه المخزن الرئيسي اليوميه'!$H:$H)</f>
        <v>0.0</v>
      </c>
      <c r="M2900" s="22">
        <f>+SUMIF('حركه المخزن الرئيسي اليوميه'!$F:$F,$H:$H,'حركه المخزن الرئيسي اليوميه'!$I:$I)</f>
        <v>0.0</v>
      </c>
      <c r="N2900" s="22">
        <f>+K2900+L2900-M2900</f>
        <v>0.0</v>
      </c>
      <c r="O2900" s="22">
        <f>+N2900</f>
        <v>0.0</v>
      </c>
      <c r="P2900" s="22">
        <f>+N2900-O2900</f>
        <v>0.0</v>
      </c>
      <c r="Q2900" s="57"/>
      <c r="R2900" s="58"/>
    </row>
    <row r="2901" spans="8:8" ht="15.0" customHeight="1">
      <c r="B2901" s="54">
        <v>3045.0</v>
      </c>
      <c r="C2901" s="8"/>
      <c r="D2901" s="8"/>
      <c r="E2901" s="8"/>
      <c r="F2901" s="8"/>
      <c r="G2901" s="8"/>
      <c r="H2901" s="8"/>
      <c r="I2901" s="55"/>
      <c r="J2901" s="78" t="s">
        <v>6816</v>
      </c>
      <c r="K2901" s="22">
        <v>0.0</v>
      </c>
      <c r="L2901" s="22">
        <f>+SUMIF('حركه المخزن الرئيسي اليوميه'!$F:$F,$H:$H,'حركه المخزن الرئيسي اليوميه'!$H:$H)</f>
        <v>0.0</v>
      </c>
      <c r="M2901" s="22">
        <f>+SUMIF('حركه المخزن الرئيسي اليوميه'!$F:$F,$H:$H,'حركه المخزن الرئيسي اليوميه'!$I:$I)</f>
        <v>0.0</v>
      </c>
      <c r="N2901" s="22">
        <f>+K2901+L2901-M2901</f>
        <v>0.0</v>
      </c>
      <c r="O2901" s="22">
        <f>+N2901</f>
        <v>0.0</v>
      </c>
      <c r="P2901" s="22">
        <f>+N2901-O2901</f>
        <v>0.0</v>
      </c>
      <c r="Q2901" s="57"/>
      <c r="R2901" s="58"/>
    </row>
    <row r="2902" spans="8:8" ht="15.0" customHeight="1">
      <c r="B2902" s="54">
        <v>3046.0</v>
      </c>
      <c r="C2902" s="8"/>
      <c r="D2902" s="8"/>
      <c r="E2902" s="8"/>
      <c r="F2902" s="8"/>
      <c r="G2902" s="8"/>
      <c r="H2902" s="8"/>
      <c r="I2902" s="55"/>
      <c r="J2902" s="78" t="s">
        <v>6817</v>
      </c>
      <c r="K2902" s="22">
        <v>0.0</v>
      </c>
      <c r="L2902" s="22">
        <f>+SUMIF('حركه المخزن الرئيسي اليوميه'!$F:$F,$H:$H,'حركه المخزن الرئيسي اليوميه'!$H:$H)</f>
        <v>0.0</v>
      </c>
      <c r="M2902" s="22">
        <f>+SUMIF('حركه المخزن الرئيسي اليوميه'!$F:$F,$H:$H,'حركه المخزن الرئيسي اليوميه'!$I:$I)</f>
        <v>0.0</v>
      </c>
      <c r="N2902" s="22">
        <f>+K2902+L2902-M2902</f>
        <v>0.0</v>
      </c>
      <c r="O2902" s="22">
        <f>+N2902</f>
        <v>0.0</v>
      </c>
      <c r="P2902" s="22">
        <f>+N2902-O2902</f>
        <v>0.0</v>
      </c>
      <c r="Q2902" s="57"/>
      <c r="R2902" s="58"/>
    </row>
    <row r="2903" spans="8:8" ht="15.0" customHeight="1">
      <c r="B2903" s="54">
        <v>3047.0</v>
      </c>
      <c r="C2903" s="8"/>
      <c r="D2903" s="8"/>
      <c r="E2903" s="8"/>
      <c r="F2903" s="8"/>
      <c r="G2903" s="8"/>
      <c r="H2903" s="8"/>
      <c r="I2903" s="55"/>
      <c r="J2903" s="78" t="s">
        <v>6818</v>
      </c>
      <c r="K2903" s="22">
        <v>0.0</v>
      </c>
      <c r="L2903" s="22">
        <f>+SUMIF('حركه المخزن الرئيسي اليوميه'!$F:$F,$H:$H,'حركه المخزن الرئيسي اليوميه'!$H:$H)</f>
        <v>0.0</v>
      </c>
      <c r="M2903" s="22">
        <f>+SUMIF('حركه المخزن الرئيسي اليوميه'!$F:$F,$H:$H,'حركه المخزن الرئيسي اليوميه'!$I:$I)</f>
        <v>0.0</v>
      </c>
      <c r="N2903" s="22">
        <f>+K2903+L2903-M2903</f>
        <v>0.0</v>
      </c>
      <c r="O2903" s="22">
        <f>+N2903</f>
        <v>0.0</v>
      </c>
      <c r="P2903" s="22">
        <f>+N2903-O2903</f>
        <v>0.0</v>
      </c>
      <c r="Q2903" s="57"/>
      <c r="R2903" s="58"/>
    </row>
    <row r="2904" spans="8:8" ht="15.0" customHeight="1">
      <c r="B2904" s="54">
        <v>3048.0</v>
      </c>
      <c r="C2904" s="8"/>
      <c r="D2904" s="8"/>
      <c r="E2904" s="8"/>
      <c r="F2904" s="8"/>
      <c r="G2904" s="8"/>
      <c r="H2904" s="8"/>
      <c r="I2904" s="55"/>
      <c r="J2904" s="78" t="s">
        <v>6819</v>
      </c>
      <c r="K2904" s="22">
        <v>0.0</v>
      </c>
      <c r="L2904" s="22">
        <f>+SUMIF('حركه المخزن الرئيسي اليوميه'!$F:$F,$H:$H,'حركه المخزن الرئيسي اليوميه'!$H:$H)</f>
        <v>0.0</v>
      </c>
      <c r="M2904" s="22">
        <f>+SUMIF('حركه المخزن الرئيسي اليوميه'!$F:$F,$H:$H,'حركه المخزن الرئيسي اليوميه'!$I:$I)</f>
        <v>0.0</v>
      </c>
      <c r="N2904" s="22">
        <f>+K2904+L2904-M2904</f>
        <v>0.0</v>
      </c>
      <c r="O2904" s="22">
        <f>+N2904</f>
        <v>0.0</v>
      </c>
      <c r="P2904" s="22">
        <f>+N2904-O2904</f>
        <v>0.0</v>
      </c>
      <c r="Q2904" s="57"/>
      <c r="R2904" s="58"/>
    </row>
    <row r="2905" spans="8:8" ht="15.0" customHeight="1">
      <c r="B2905" s="54">
        <v>3049.0</v>
      </c>
      <c r="C2905" s="8"/>
      <c r="D2905" s="8"/>
      <c r="E2905" s="8"/>
      <c r="F2905" s="8"/>
      <c r="G2905" s="8"/>
      <c r="H2905" s="8"/>
      <c r="I2905" s="55"/>
      <c r="J2905" s="78" t="s">
        <v>6820</v>
      </c>
      <c r="K2905" s="22">
        <v>0.0</v>
      </c>
      <c r="L2905" s="22">
        <f>+SUMIF('حركه المخزن الرئيسي اليوميه'!$F:$F,$H:$H,'حركه المخزن الرئيسي اليوميه'!$H:$H)</f>
        <v>0.0</v>
      </c>
      <c r="M2905" s="22">
        <f>+SUMIF('حركه المخزن الرئيسي اليوميه'!$F:$F,$H:$H,'حركه المخزن الرئيسي اليوميه'!$I:$I)</f>
        <v>0.0</v>
      </c>
      <c r="N2905" s="22">
        <f>+K2905+L2905-M2905</f>
        <v>0.0</v>
      </c>
      <c r="O2905" s="22">
        <f>+N2905</f>
        <v>0.0</v>
      </c>
      <c r="P2905" s="22">
        <f>+N2905-O2905</f>
        <v>0.0</v>
      </c>
      <c r="Q2905" s="57"/>
      <c r="R2905" s="58"/>
    </row>
    <row r="2906" spans="8:8" ht="15.0" customHeight="1">
      <c r="B2906" s="54">
        <v>3050.0</v>
      </c>
      <c r="C2906" s="8"/>
      <c r="D2906" s="8"/>
      <c r="E2906" s="8"/>
      <c r="F2906" s="8"/>
      <c r="G2906" s="8"/>
      <c r="H2906" s="8"/>
      <c r="I2906" s="55"/>
      <c r="J2906" s="78" t="s">
        <v>6821</v>
      </c>
      <c r="K2906" s="22">
        <v>0.0</v>
      </c>
      <c r="L2906" s="22">
        <f>+SUMIF('حركه المخزن الرئيسي اليوميه'!$F:$F,$H:$H,'حركه المخزن الرئيسي اليوميه'!$H:$H)</f>
        <v>0.0</v>
      </c>
      <c r="M2906" s="22">
        <f>+SUMIF('حركه المخزن الرئيسي اليوميه'!$F:$F,$H:$H,'حركه المخزن الرئيسي اليوميه'!$I:$I)</f>
        <v>0.0</v>
      </c>
      <c r="N2906" s="22">
        <f>+K2906+L2906-M2906</f>
        <v>0.0</v>
      </c>
      <c r="O2906" s="22">
        <f>+N2906</f>
        <v>0.0</v>
      </c>
      <c r="P2906" s="22">
        <f>+N2906-O2906</f>
        <v>0.0</v>
      </c>
      <c r="Q2906" s="57"/>
      <c r="R2906" s="58"/>
    </row>
    <row r="2907" spans="8:8" ht="15.0" customHeight="1">
      <c r="B2907" s="54">
        <v>3051.0</v>
      </c>
      <c r="C2907" s="8"/>
      <c r="D2907" s="8"/>
      <c r="E2907" s="8"/>
      <c r="F2907" s="8"/>
      <c r="G2907" s="8"/>
      <c r="H2907" s="8"/>
      <c r="I2907" s="55"/>
      <c r="J2907" s="78" t="s">
        <v>6822</v>
      </c>
      <c r="K2907" s="22">
        <v>0.0</v>
      </c>
      <c r="L2907" s="22">
        <f>+SUMIF('حركه المخزن الرئيسي اليوميه'!$F:$F,$H:$H,'حركه المخزن الرئيسي اليوميه'!$H:$H)</f>
        <v>0.0</v>
      </c>
      <c r="M2907" s="22">
        <f>+SUMIF('حركه المخزن الرئيسي اليوميه'!$F:$F,$H:$H,'حركه المخزن الرئيسي اليوميه'!$I:$I)</f>
        <v>0.0</v>
      </c>
      <c r="N2907" s="22">
        <f>+K2907+L2907-M2907</f>
        <v>0.0</v>
      </c>
      <c r="O2907" s="22">
        <f>+N2907</f>
        <v>0.0</v>
      </c>
      <c r="P2907" s="22">
        <f>+N2907-O2907</f>
        <v>0.0</v>
      </c>
      <c r="Q2907" s="57"/>
      <c r="R2907" s="58"/>
    </row>
    <row r="2908" spans="8:8" ht="15.0" customHeight="1">
      <c r="B2908" s="54">
        <v>3052.0</v>
      </c>
      <c r="C2908" s="8"/>
      <c r="D2908" s="8"/>
      <c r="E2908" s="8"/>
      <c r="F2908" s="8"/>
      <c r="G2908" s="8"/>
      <c r="H2908" s="8"/>
      <c r="I2908" s="55"/>
      <c r="J2908" s="78" t="s">
        <v>6823</v>
      </c>
      <c r="K2908" s="22">
        <v>0.0</v>
      </c>
      <c r="L2908" s="22">
        <f>+SUMIF('حركه المخزن الرئيسي اليوميه'!$F:$F,$H:$H,'حركه المخزن الرئيسي اليوميه'!$H:$H)</f>
        <v>0.0</v>
      </c>
      <c r="M2908" s="22">
        <f>+SUMIF('حركه المخزن الرئيسي اليوميه'!$F:$F,$H:$H,'حركه المخزن الرئيسي اليوميه'!$I:$I)</f>
        <v>0.0</v>
      </c>
      <c r="N2908" s="22">
        <f>+K2908+L2908-M2908</f>
        <v>0.0</v>
      </c>
      <c r="O2908" s="22">
        <f>+N2908</f>
        <v>0.0</v>
      </c>
      <c r="P2908" s="22">
        <f>+N2908-O2908</f>
        <v>0.0</v>
      </c>
      <c r="Q2908" s="57"/>
      <c r="R2908" s="58"/>
    </row>
    <row r="2909" spans="8:8" ht="15.0" customHeight="1">
      <c r="B2909" s="54">
        <v>3053.0</v>
      </c>
      <c r="C2909" s="8"/>
      <c r="D2909" s="8"/>
      <c r="E2909" s="8"/>
      <c r="F2909" s="8"/>
      <c r="G2909" s="8"/>
      <c r="H2909" s="8"/>
      <c r="I2909" s="55"/>
      <c r="J2909" s="78" t="s">
        <v>6824</v>
      </c>
      <c r="K2909" s="22">
        <v>0.0</v>
      </c>
      <c r="L2909" s="22">
        <f>+SUMIF('حركه المخزن الرئيسي اليوميه'!$F:$F,$H:$H,'حركه المخزن الرئيسي اليوميه'!$H:$H)</f>
        <v>0.0</v>
      </c>
      <c r="M2909" s="22">
        <f>+SUMIF('حركه المخزن الرئيسي اليوميه'!$F:$F,$H:$H,'حركه المخزن الرئيسي اليوميه'!$I:$I)</f>
        <v>0.0</v>
      </c>
      <c r="N2909" s="22">
        <f>+K2909+L2909-M2909</f>
        <v>0.0</v>
      </c>
      <c r="O2909" s="22">
        <f>+N2909</f>
        <v>0.0</v>
      </c>
      <c r="P2909" s="22">
        <f>+N2909-O2909</f>
        <v>0.0</v>
      </c>
      <c r="Q2909" s="57"/>
      <c r="R2909" s="58"/>
    </row>
    <row r="2910" spans="8:8" ht="15.0" customHeight="1">
      <c r="B2910" s="54">
        <v>3054.0</v>
      </c>
      <c r="C2910" s="8"/>
      <c r="D2910" s="8"/>
      <c r="E2910" s="8"/>
      <c r="F2910" s="8"/>
      <c r="G2910" s="8"/>
      <c r="H2910" s="8"/>
      <c r="I2910" s="55"/>
      <c r="J2910" s="78" t="s">
        <v>6825</v>
      </c>
      <c r="K2910" s="22">
        <v>0.0</v>
      </c>
      <c r="L2910" s="22">
        <f>+SUMIF('حركه المخزن الرئيسي اليوميه'!$F:$F,$H:$H,'حركه المخزن الرئيسي اليوميه'!$H:$H)</f>
        <v>0.0</v>
      </c>
      <c r="M2910" s="22">
        <f>+SUMIF('حركه المخزن الرئيسي اليوميه'!$F:$F,$H:$H,'حركه المخزن الرئيسي اليوميه'!$I:$I)</f>
        <v>0.0</v>
      </c>
      <c r="N2910" s="22">
        <f>+K2910+L2910-M2910</f>
        <v>0.0</v>
      </c>
      <c r="O2910" s="22">
        <f>+N2910</f>
        <v>0.0</v>
      </c>
      <c r="P2910" s="22">
        <f>+N2910-O2910</f>
        <v>0.0</v>
      </c>
      <c r="Q2910" s="57"/>
      <c r="R2910" s="58"/>
    </row>
    <row r="2911" spans="8:8" ht="15.0" customHeight="1">
      <c r="B2911" s="54">
        <v>3055.0</v>
      </c>
      <c r="C2911" s="8"/>
      <c r="D2911" s="8"/>
      <c r="E2911" s="8"/>
      <c r="F2911" s="8"/>
      <c r="G2911" s="8"/>
      <c r="H2911" s="8"/>
      <c r="I2911" s="55"/>
      <c r="J2911" s="78" t="s">
        <v>6826</v>
      </c>
      <c r="K2911" s="22">
        <v>0.0</v>
      </c>
      <c r="L2911" s="22">
        <f>+SUMIF('حركه المخزن الرئيسي اليوميه'!$F:$F,$H:$H,'حركه المخزن الرئيسي اليوميه'!$H:$H)</f>
        <v>0.0</v>
      </c>
      <c r="M2911" s="22">
        <f>+SUMIF('حركه المخزن الرئيسي اليوميه'!$F:$F,$H:$H,'حركه المخزن الرئيسي اليوميه'!$I:$I)</f>
        <v>0.0</v>
      </c>
      <c r="N2911" s="22">
        <f>+K2911+L2911-M2911</f>
        <v>0.0</v>
      </c>
      <c r="O2911" s="22">
        <f>+N2911</f>
        <v>0.0</v>
      </c>
      <c r="P2911" s="22">
        <f>+N2911-O2911</f>
        <v>0.0</v>
      </c>
      <c r="Q2911" s="57"/>
      <c r="R2911" s="58"/>
    </row>
    <row r="2912" spans="8:8" ht="15.0" customHeight="1">
      <c r="B2912" s="54">
        <v>3056.0</v>
      </c>
      <c r="C2912" s="8"/>
      <c r="D2912" s="8"/>
      <c r="E2912" s="8"/>
      <c r="F2912" s="8"/>
      <c r="G2912" s="8"/>
      <c r="H2912" s="8"/>
      <c r="I2912" s="55"/>
      <c r="J2912" s="78" t="s">
        <v>6827</v>
      </c>
      <c r="K2912" s="22">
        <v>0.0</v>
      </c>
      <c r="L2912" s="22">
        <f>+SUMIF('حركه المخزن الرئيسي اليوميه'!$F:$F,$H:$H,'حركه المخزن الرئيسي اليوميه'!$H:$H)</f>
        <v>0.0</v>
      </c>
      <c r="M2912" s="22">
        <f>+SUMIF('حركه المخزن الرئيسي اليوميه'!$F:$F,$H:$H,'حركه المخزن الرئيسي اليوميه'!$I:$I)</f>
        <v>0.0</v>
      </c>
      <c r="N2912" s="22">
        <f>+K2912+L2912-M2912</f>
        <v>0.0</v>
      </c>
      <c r="O2912" s="22">
        <f>+N2912</f>
        <v>0.0</v>
      </c>
      <c r="P2912" s="22">
        <f>+N2912-O2912</f>
        <v>0.0</v>
      </c>
      <c r="Q2912" s="57"/>
      <c r="R2912" s="58"/>
    </row>
    <row r="2913" spans="8:8" ht="15.0" customHeight="1">
      <c r="B2913" s="54">
        <v>3057.0</v>
      </c>
      <c r="C2913" s="8"/>
      <c r="D2913" s="8"/>
      <c r="E2913" s="8"/>
      <c r="F2913" s="8"/>
      <c r="G2913" s="8"/>
      <c r="H2913" s="8"/>
      <c r="I2913" s="55"/>
      <c r="J2913" s="78" t="s">
        <v>6828</v>
      </c>
      <c r="K2913" s="22">
        <v>0.0</v>
      </c>
      <c r="L2913" s="22">
        <f>+SUMIF('حركه المخزن الرئيسي اليوميه'!$F:$F,$H:$H,'حركه المخزن الرئيسي اليوميه'!$H:$H)</f>
        <v>0.0</v>
      </c>
      <c r="M2913" s="22">
        <f>+SUMIF('حركه المخزن الرئيسي اليوميه'!$F:$F,$H:$H,'حركه المخزن الرئيسي اليوميه'!$I:$I)</f>
        <v>0.0</v>
      </c>
      <c r="N2913" s="22">
        <f>+K2913+L2913-M2913</f>
        <v>0.0</v>
      </c>
      <c r="O2913" s="22">
        <f>+N2913</f>
        <v>0.0</v>
      </c>
      <c r="P2913" s="22">
        <f>+N2913-O2913</f>
        <v>0.0</v>
      </c>
      <c r="Q2913" s="57"/>
      <c r="R2913" s="58"/>
    </row>
    <row r="2914" spans="8:8" ht="15.0" customHeight="1">
      <c r="B2914" s="54">
        <v>3058.0</v>
      </c>
      <c r="C2914" s="8"/>
      <c r="D2914" s="8"/>
      <c r="E2914" s="8"/>
      <c r="F2914" s="8"/>
      <c r="G2914" s="8"/>
      <c r="H2914" s="8"/>
      <c r="I2914" s="55"/>
      <c r="J2914" s="78" t="s">
        <v>6829</v>
      </c>
      <c r="K2914" s="22">
        <v>0.0</v>
      </c>
      <c r="L2914" s="22">
        <f>+SUMIF('حركه المخزن الرئيسي اليوميه'!$F:$F,$H:$H,'حركه المخزن الرئيسي اليوميه'!$H:$H)</f>
        <v>0.0</v>
      </c>
      <c r="M2914" s="22">
        <f>+SUMIF('حركه المخزن الرئيسي اليوميه'!$F:$F,$H:$H,'حركه المخزن الرئيسي اليوميه'!$I:$I)</f>
        <v>0.0</v>
      </c>
      <c r="N2914" s="22">
        <f>+K2914+L2914-M2914</f>
        <v>0.0</v>
      </c>
      <c r="O2914" s="22">
        <f>+N2914</f>
        <v>0.0</v>
      </c>
      <c r="P2914" s="22">
        <f>+N2914-O2914</f>
        <v>0.0</v>
      </c>
      <c r="Q2914" s="57"/>
      <c r="R2914" s="58"/>
    </row>
    <row r="2915" spans="8:8" ht="15.0" customHeight="1">
      <c r="B2915" s="54">
        <v>3059.0</v>
      </c>
      <c r="C2915" s="8"/>
      <c r="D2915" s="8"/>
      <c r="E2915" s="8"/>
      <c r="F2915" s="8"/>
      <c r="G2915" s="8"/>
      <c r="H2915" s="8"/>
      <c r="I2915" s="55"/>
      <c r="J2915" s="78" t="s">
        <v>6830</v>
      </c>
      <c r="K2915" s="22">
        <v>0.0</v>
      </c>
      <c r="L2915" s="22">
        <f>+SUMIF('حركه المخزن الرئيسي اليوميه'!$F:$F,$H:$H,'حركه المخزن الرئيسي اليوميه'!$H:$H)</f>
        <v>0.0</v>
      </c>
      <c r="M2915" s="22">
        <f>+SUMIF('حركه المخزن الرئيسي اليوميه'!$F:$F,$H:$H,'حركه المخزن الرئيسي اليوميه'!$I:$I)</f>
        <v>0.0</v>
      </c>
      <c r="N2915" s="22">
        <f>+K2915+L2915-M2915</f>
        <v>0.0</v>
      </c>
      <c r="O2915" s="22">
        <f>+N2915</f>
        <v>0.0</v>
      </c>
      <c r="P2915" s="22">
        <f>+N2915-O2915</f>
        <v>0.0</v>
      </c>
      <c r="Q2915" s="57"/>
      <c r="R2915" s="58"/>
    </row>
    <row r="2916" spans="8:8" ht="15.0" customHeight="1">
      <c r="B2916" s="54">
        <v>3060.0</v>
      </c>
      <c r="C2916" s="8"/>
      <c r="D2916" s="8"/>
      <c r="E2916" s="8"/>
      <c r="F2916" s="8"/>
      <c r="G2916" s="8"/>
      <c r="H2916" s="8"/>
      <c r="I2916" s="55"/>
      <c r="J2916" s="78" t="s">
        <v>6831</v>
      </c>
      <c r="K2916" s="22">
        <v>0.0</v>
      </c>
      <c r="L2916" s="22">
        <f>+SUMIF('حركه المخزن الرئيسي اليوميه'!$F:$F,$H:$H,'حركه المخزن الرئيسي اليوميه'!$H:$H)</f>
        <v>0.0</v>
      </c>
      <c r="M2916" s="22">
        <f>+SUMIF('حركه المخزن الرئيسي اليوميه'!$F:$F,$H:$H,'حركه المخزن الرئيسي اليوميه'!$I:$I)</f>
        <v>0.0</v>
      </c>
      <c r="N2916" s="22">
        <f>+K2916+L2916-M2916</f>
        <v>0.0</v>
      </c>
      <c r="O2916" s="22">
        <f>+N2916</f>
        <v>0.0</v>
      </c>
      <c r="P2916" s="22">
        <f>+N2916-O2916</f>
        <v>0.0</v>
      </c>
      <c r="Q2916" s="57"/>
      <c r="R2916" s="58"/>
    </row>
    <row r="2917" spans="8:8" ht="15.0" customHeight="1">
      <c r="B2917" s="54">
        <v>3061.0</v>
      </c>
      <c r="C2917" s="8"/>
      <c r="D2917" s="8"/>
      <c r="E2917" s="8"/>
      <c r="F2917" s="8"/>
      <c r="G2917" s="8"/>
      <c r="H2917" s="8"/>
      <c r="I2917" s="55"/>
      <c r="J2917" s="78" t="s">
        <v>6832</v>
      </c>
      <c r="K2917" s="22">
        <v>0.0</v>
      </c>
      <c r="L2917" s="22">
        <f>+SUMIF('حركه المخزن الرئيسي اليوميه'!$F:$F,$H:$H,'حركه المخزن الرئيسي اليوميه'!$H:$H)</f>
        <v>0.0</v>
      </c>
      <c r="M2917" s="22">
        <f>+SUMIF('حركه المخزن الرئيسي اليوميه'!$F:$F,$H:$H,'حركه المخزن الرئيسي اليوميه'!$I:$I)</f>
        <v>0.0</v>
      </c>
      <c r="N2917" s="22">
        <f>+K2917+L2917-M2917</f>
        <v>0.0</v>
      </c>
      <c r="O2917" s="22">
        <f>+N2917</f>
        <v>0.0</v>
      </c>
      <c r="P2917" s="22">
        <f>+N2917-O2917</f>
        <v>0.0</v>
      </c>
      <c r="Q2917" s="57"/>
      <c r="R2917" s="58"/>
    </row>
    <row r="2918" spans="8:8" ht="15.0" customHeight="1">
      <c r="B2918" s="54">
        <v>3062.0</v>
      </c>
      <c r="C2918" s="8"/>
      <c r="D2918" s="8"/>
      <c r="E2918" s="8"/>
      <c r="F2918" s="8"/>
      <c r="G2918" s="8"/>
      <c r="H2918" s="8"/>
      <c r="I2918" s="55"/>
      <c r="J2918" s="78" t="s">
        <v>6833</v>
      </c>
      <c r="K2918" s="22">
        <v>0.0</v>
      </c>
      <c r="L2918" s="22">
        <f>+SUMIF('حركه المخزن الرئيسي اليوميه'!$F:$F,$H:$H,'حركه المخزن الرئيسي اليوميه'!$H:$H)</f>
        <v>0.0</v>
      </c>
      <c r="M2918" s="22">
        <f>+SUMIF('حركه المخزن الرئيسي اليوميه'!$F:$F,$H:$H,'حركه المخزن الرئيسي اليوميه'!$I:$I)</f>
        <v>0.0</v>
      </c>
      <c r="N2918" s="22">
        <f>+K2918+L2918-M2918</f>
        <v>0.0</v>
      </c>
      <c r="O2918" s="22">
        <f>+N2918</f>
        <v>0.0</v>
      </c>
      <c r="P2918" s="22">
        <f>+N2918-O2918</f>
        <v>0.0</v>
      </c>
      <c r="Q2918" s="57"/>
      <c r="R2918" s="58"/>
    </row>
    <row r="2919" spans="8:8" ht="15.0" customHeight="1">
      <c r="B2919" s="54">
        <v>3063.0</v>
      </c>
      <c r="C2919" s="8"/>
      <c r="D2919" s="8"/>
      <c r="E2919" s="8"/>
      <c r="F2919" s="8"/>
      <c r="G2919" s="8"/>
      <c r="H2919" s="8"/>
      <c r="I2919" s="55"/>
      <c r="J2919" s="78" t="s">
        <v>6834</v>
      </c>
      <c r="K2919" s="22">
        <v>0.0</v>
      </c>
      <c r="L2919" s="22">
        <f>+SUMIF('حركه المخزن الرئيسي اليوميه'!$F:$F,$H:$H,'حركه المخزن الرئيسي اليوميه'!$H:$H)</f>
        <v>0.0</v>
      </c>
      <c r="M2919" s="22">
        <f>+SUMIF('حركه المخزن الرئيسي اليوميه'!$F:$F,$H:$H,'حركه المخزن الرئيسي اليوميه'!$I:$I)</f>
        <v>0.0</v>
      </c>
      <c r="N2919" s="22">
        <f>+K2919+L2919-M2919</f>
        <v>0.0</v>
      </c>
      <c r="O2919" s="22">
        <f>+N2919</f>
        <v>0.0</v>
      </c>
      <c r="P2919" s="22">
        <f>+N2919-O2919</f>
        <v>0.0</v>
      </c>
      <c r="Q2919" s="57"/>
      <c r="R2919" s="58"/>
    </row>
    <row r="2920" spans="8:8" ht="15.0" customHeight="1">
      <c r="B2920" s="54">
        <v>3064.0</v>
      </c>
      <c r="C2920" s="8"/>
      <c r="D2920" s="8"/>
      <c r="E2920" s="8"/>
      <c r="F2920" s="8"/>
      <c r="G2920" s="8"/>
      <c r="H2920" s="8"/>
      <c r="I2920" s="55"/>
      <c r="J2920" s="78" t="s">
        <v>6835</v>
      </c>
      <c r="K2920" s="22">
        <v>0.0</v>
      </c>
      <c r="L2920" s="22">
        <f>+SUMIF('حركه المخزن الرئيسي اليوميه'!$F:$F,$H:$H,'حركه المخزن الرئيسي اليوميه'!$H:$H)</f>
        <v>0.0</v>
      </c>
      <c r="M2920" s="22">
        <f>+SUMIF('حركه المخزن الرئيسي اليوميه'!$F:$F,$H:$H,'حركه المخزن الرئيسي اليوميه'!$I:$I)</f>
        <v>0.0</v>
      </c>
      <c r="N2920" s="22">
        <f>+K2920+L2920-M2920</f>
        <v>0.0</v>
      </c>
      <c r="O2920" s="22">
        <f>+N2920</f>
        <v>0.0</v>
      </c>
      <c r="P2920" s="22">
        <f>+N2920-O2920</f>
        <v>0.0</v>
      </c>
      <c r="Q2920" s="57"/>
      <c r="R2920" s="58"/>
    </row>
    <row r="2921" spans="8:8" ht="15.0" customHeight="1">
      <c r="B2921" s="54">
        <v>3065.0</v>
      </c>
      <c r="C2921" s="8"/>
      <c r="D2921" s="8"/>
      <c r="E2921" s="8"/>
      <c r="F2921" s="8"/>
      <c r="G2921" s="8"/>
      <c r="H2921" s="8"/>
      <c r="I2921" s="55"/>
      <c r="J2921" s="78" t="s">
        <v>6836</v>
      </c>
      <c r="K2921" s="22">
        <v>0.0</v>
      </c>
      <c r="L2921" s="22">
        <f>+SUMIF('حركه المخزن الرئيسي اليوميه'!$F:$F,$H:$H,'حركه المخزن الرئيسي اليوميه'!$H:$H)</f>
        <v>0.0</v>
      </c>
      <c r="M2921" s="22">
        <f>+SUMIF('حركه المخزن الرئيسي اليوميه'!$F:$F,$H:$H,'حركه المخزن الرئيسي اليوميه'!$I:$I)</f>
        <v>0.0</v>
      </c>
      <c r="N2921" s="22">
        <f>+K2921+L2921-M2921</f>
        <v>0.0</v>
      </c>
      <c r="O2921" s="22">
        <f>+N2921</f>
        <v>0.0</v>
      </c>
      <c r="P2921" s="22">
        <f>+N2921-O2921</f>
        <v>0.0</v>
      </c>
      <c r="Q2921" s="57"/>
      <c r="R2921" s="58"/>
    </row>
    <row r="2922" spans="8:8" ht="15.0" customHeight="1">
      <c r="B2922" s="54">
        <v>3066.0</v>
      </c>
      <c r="C2922" s="8"/>
      <c r="D2922" s="8"/>
      <c r="E2922" s="8"/>
      <c r="F2922" s="8"/>
      <c r="G2922" s="8"/>
      <c r="H2922" s="8"/>
      <c r="I2922" s="55"/>
      <c r="J2922" s="78" t="s">
        <v>6837</v>
      </c>
      <c r="K2922" s="22">
        <v>0.0</v>
      </c>
      <c r="L2922" s="22">
        <f>+SUMIF('حركه المخزن الرئيسي اليوميه'!$F:$F,$H:$H,'حركه المخزن الرئيسي اليوميه'!$H:$H)</f>
        <v>0.0</v>
      </c>
      <c r="M2922" s="22">
        <f>+SUMIF('حركه المخزن الرئيسي اليوميه'!$F:$F,$H:$H,'حركه المخزن الرئيسي اليوميه'!$I:$I)</f>
        <v>0.0</v>
      </c>
      <c r="N2922" s="22">
        <f>+K2922+L2922-M2922</f>
        <v>0.0</v>
      </c>
      <c r="O2922" s="22">
        <f>+N2922</f>
        <v>0.0</v>
      </c>
      <c r="P2922" s="22">
        <f>+N2922-O2922</f>
        <v>0.0</v>
      </c>
      <c r="Q2922" s="57"/>
      <c r="R2922" s="58"/>
    </row>
    <row r="2923" spans="8:8" ht="15.0" customHeight="1">
      <c r="B2923" s="54">
        <v>3067.0</v>
      </c>
      <c r="C2923" s="8"/>
      <c r="D2923" s="8"/>
      <c r="E2923" s="8"/>
      <c r="F2923" s="8"/>
      <c r="G2923" s="8"/>
      <c r="H2923" s="8"/>
      <c r="I2923" s="55"/>
      <c r="J2923" s="78" t="s">
        <v>6838</v>
      </c>
      <c r="K2923" s="22">
        <v>0.0</v>
      </c>
      <c r="L2923" s="22">
        <f>+SUMIF('حركه المخزن الرئيسي اليوميه'!$F:$F,$H:$H,'حركه المخزن الرئيسي اليوميه'!$H:$H)</f>
        <v>0.0</v>
      </c>
      <c r="M2923" s="22">
        <f>+SUMIF('حركه المخزن الرئيسي اليوميه'!$F:$F,$H:$H,'حركه المخزن الرئيسي اليوميه'!$I:$I)</f>
        <v>0.0</v>
      </c>
      <c r="N2923" s="22">
        <f>+K2923+L2923-M2923</f>
        <v>0.0</v>
      </c>
      <c r="O2923" s="22">
        <f>+N2923</f>
        <v>0.0</v>
      </c>
      <c r="P2923" s="22">
        <f>+N2923-O2923</f>
        <v>0.0</v>
      </c>
      <c r="Q2923" s="57"/>
      <c r="R2923" s="58"/>
    </row>
    <row r="2924" spans="8:8" ht="15.0" customHeight="1">
      <c r="B2924" s="54">
        <v>3068.0</v>
      </c>
      <c r="C2924" s="8"/>
      <c r="D2924" s="8"/>
      <c r="E2924" s="8"/>
      <c r="F2924" s="8"/>
      <c r="G2924" s="8"/>
      <c r="H2924" s="8"/>
      <c r="I2924" s="55"/>
      <c r="J2924" s="78" t="s">
        <v>6839</v>
      </c>
      <c r="K2924" s="22">
        <v>0.0</v>
      </c>
      <c r="L2924" s="22">
        <f>+SUMIF('حركه المخزن الرئيسي اليوميه'!$F:$F,$H:$H,'حركه المخزن الرئيسي اليوميه'!$H:$H)</f>
        <v>0.0</v>
      </c>
      <c r="M2924" s="22">
        <f>+SUMIF('حركه المخزن الرئيسي اليوميه'!$F:$F,$H:$H,'حركه المخزن الرئيسي اليوميه'!$I:$I)</f>
        <v>0.0</v>
      </c>
      <c r="N2924" s="22">
        <f>+K2924+L2924-M2924</f>
        <v>0.0</v>
      </c>
      <c r="O2924" s="22">
        <f>+N2924</f>
        <v>0.0</v>
      </c>
      <c r="P2924" s="22">
        <f>+N2924-O2924</f>
        <v>0.0</v>
      </c>
      <c r="Q2924" s="57"/>
      <c r="R2924" s="58"/>
    </row>
    <row r="2925" spans="8:8" ht="15.0" customHeight="1">
      <c r="B2925" s="54">
        <v>3069.0</v>
      </c>
      <c r="C2925" s="8"/>
      <c r="D2925" s="8"/>
      <c r="E2925" s="8"/>
      <c r="F2925" s="8"/>
      <c r="G2925" s="8"/>
      <c r="H2925" s="8"/>
      <c r="I2925" s="55"/>
      <c r="J2925" s="78" t="s">
        <v>6840</v>
      </c>
      <c r="K2925" s="22">
        <v>0.0</v>
      </c>
      <c r="L2925" s="22">
        <f>+SUMIF('حركه المخزن الرئيسي اليوميه'!$F:$F,$H:$H,'حركه المخزن الرئيسي اليوميه'!$H:$H)</f>
        <v>0.0</v>
      </c>
      <c r="M2925" s="22">
        <f>+SUMIF('حركه المخزن الرئيسي اليوميه'!$F:$F,$H:$H,'حركه المخزن الرئيسي اليوميه'!$I:$I)</f>
        <v>0.0</v>
      </c>
      <c r="N2925" s="22">
        <f>+K2925+L2925-M2925</f>
        <v>0.0</v>
      </c>
      <c r="O2925" s="22">
        <f>+N2925</f>
        <v>0.0</v>
      </c>
      <c r="P2925" s="22">
        <f>+N2925-O2925</f>
        <v>0.0</v>
      </c>
      <c r="Q2925" s="57"/>
      <c r="R2925" s="58"/>
    </row>
    <row r="2926" spans="8:8" ht="15.0" customHeight="1">
      <c r="B2926" s="54">
        <v>3070.0</v>
      </c>
      <c r="C2926" s="8"/>
      <c r="D2926" s="8"/>
      <c r="E2926" s="8"/>
      <c r="F2926" s="8"/>
      <c r="G2926" s="8"/>
      <c r="H2926" s="8"/>
      <c r="I2926" s="55"/>
      <c r="J2926" s="78" t="s">
        <v>6841</v>
      </c>
      <c r="K2926" s="22">
        <v>0.0</v>
      </c>
      <c r="L2926" s="22">
        <f>+SUMIF('حركه المخزن الرئيسي اليوميه'!$F:$F,$H:$H,'حركه المخزن الرئيسي اليوميه'!$H:$H)</f>
        <v>0.0</v>
      </c>
      <c r="M2926" s="22">
        <f>+SUMIF('حركه المخزن الرئيسي اليوميه'!$F:$F,$H:$H,'حركه المخزن الرئيسي اليوميه'!$I:$I)</f>
        <v>0.0</v>
      </c>
      <c r="N2926" s="22">
        <f>+K2926+L2926-M2926</f>
        <v>0.0</v>
      </c>
      <c r="O2926" s="22">
        <f>+N2926</f>
        <v>0.0</v>
      </c>
      <c r="P2926" s="22">
        <f>+N2926-O2926</f>
        <v>0.0</v>
      </c>
      <c r="Q2926" s="57"/>
      <c r="R2926" s="58"/>
    </row>
    <row r="2927" spans="8:8" ht="15.0" customHeight="1">
      <c r="B2927" s="54">
        <v>3071.0</v>
      </c>
      <c r="C2927" s="8"/>
      <c r="D2927" s="8"/>
      <c r="E2927" s="8"/>
      <c r="F2927" s="8"/>
      <c r="G2927" s="8"/>
      <c r="H2927" s="8"/>
      <c r="I2927" s="55"/>
      <c r="J2927" s="78" t="s">
        <v>6842</v>
      </c>
      <c r="K2927" s="22">
        <v>0.0</v>
      </c>
      <c r="L2927" s="22">
        <f>+SUMIF('حركه المخزن الرئيسي اليوميه'!$F:$F,$H:$H,'حركه المخزن الرئيسي اليوميه'!$H:$H)</f>
        <v>0.0</v>
      </c>
      <c r="M2927" s="22">
        <f>+SUMIF('حركه المخزن الرئيسي اليوميه'!$F:$F,$H:$H,'حركه المخزن الرئيسي اليوميه'!$I:$I)</f>
        <v>0.0</v>
      </c>
      <c r="N2927" s="22">
        <f>+K2927+L2927-M2927</f>
        <v>0.0</v>
      </c>
      <c r="O2927" s="22">
        <f>+N2927</f>
        <v>0.0</v>
      </c>
      <c r="P2927" s="22">
        <f>+N2927-O2927</f>
        <v>0.0</v>
      </c>
      <c r="Q2927" s="57"/>
      <c r="R2927" s="58"/>
    </row>
    <row r="2928" spans="8:8" ht="15.0" customHeight="1">
      <c r="B2928" s="54">
        <v>3072.0</v>
      </c>
      <c r="C2928" s="8"/>
      <c r="D2928" s="8"/>
      <c r="E2928" s="8"/>
      <c r="F2928" s="8"/>
      <c r="G2928" s="8"/>
      <c r="H2928" s="8"/>
      <c r="I2928" s="55"/>
      <c r="J2928" s="78" t="s">
        <v>6843</v>
      </c>
      <c r="K2928" s="22">
        <v>0.0</v>
      </c>
      <c r="L2928" s="22">
        <f>+SUMIF('حركه المخزن الرئيسي اليوميه'!$F:$F,$H:$H,'حركه المخزن الرئيسي اليوميه'!$H:$H)</f>
        <v>0.0</v>
      </c>
      <c r="M2928" s="22">
        <f>+SUMIF('حركه المخزن الرئيسي اليوميه'!$F:$F,$H:$H,'حركه المخزن الرئيسي اليوميه'!$I:$I)</f>
        <v>0.0</v>
      </c>
      <c r="N2928" s="22">
        <f>+K2928+L2928-M2928</f>
        <v>0.0</v>
      </c>
      <c r="O2928" s="22">
        <f>+N2928</f>
        <v>0.0</v>
      </c>
      <c r="P2928" s="22">
        <f>+N2928-O2928</f>
        <v>0.0</v>
      </c>
      <c r="Q2928" s="57"/>
      <c r="R2928" s="58"/>
    </row>
    <row r="2929" spans="8:8" ht="15.0" customHeight="1">
      <c r="B2929" s="54">
        <v>3073.0</v>
      </c>
      <c r="C2929" s="8"/>
      <c r="D2929" s="8"/>
      <c r="E2929" s="8"/>
      <c r="F2929" s="8"/>
      <c r="G2929" s="8"/>
      <c r="H2929" s="8"/>
      <c r="I2929" s="55"/>
      <c r="J2929" s="78" t="s">
        <v>6844</v>
      </c>
      <c r="K2929" s="22">
        <v>0.0</v>
      </c>
      <c r="L2929" s="22">
        <f>+SUMIF('حركه المخزن الرئيسي اليوميه'!$F:$F,$H:$H,'حركه المخزن الرئيسي اليوميه'!$H:$H)</f>
        <v>0.0</v>
      </c>
      <c r="M2929" s="22">
        <f>+SUMIF('حركه المخزن الرئيسي اليوميه'!$F:$F,$H:$H,'حركه المخزن الرئيسي اليوميه'!$I:$I)</f>
        <v>0.0</v>
      </c>
      <c r="N2929" s="22">
        <f>+K2929+L2929-M2929</f>
        <v>0.0</v>
      </c>
      <c r="O2929" s="22">
        <f>+N2929</f>
        <v>0.0</v>
      </c>
      <c r="P2929" s="22">
        <f>+N2929-O2929</f>
        <v>0.0</v>
      </c>
      <c r="Q2929" s="57"/>
      <c r="R2929" s="58"/>
    </row>
    <row r="2930" spans="8:8" ht="15.0" customHeight="1">
      <c r="B2930" s="54">
        <v>3074.0</v>
      </c>
      <c r="C2930" s="8"/>
      <c r="D2930" s="8"/>
      <c r="E2930" s="8"/>
      <c r="F2930" s="8"/>
      <c r="G2930" s="8"/>
      <c r="H2930" s="8"/>
      <c r="I2930" s="55"/>
      <c r="J2930" s="78" t="s">
        <v>6845</v>
      </c>
      <c r="K2930" s="22">
        <v>0.0</v>
      </c>
      <c r="L2930" s="22">
        <f>+SUMIF('حركه المخزن الرئيسي اليوميه'!$F:$F,$H:$H,'حركه المخزن الرئيسي اليوميه'!$H:$H)</f>
        <v>0.0</v>
      </c>
      <c r="M2930" s="22">
        <f>+SUMIF('حركه المخزن الرئيسي اليوميه'!$F:$F,$H:$H,'حركه المخزن الرئيسي اليوميه'!$I:$I)</f>
        <v>0.0</v>
      </c>
      <c r="N2930" s="22">
        <f>+K2930+L2930-M2930</f>
        <v>0.0</v>
      </c>
      <c r="O2930" s="22">
        <f>+N2930</f>
        <v>0.0</v>
      </c>
      <c r="P2930" s="22">
        <f>+N2930-O2930</f>
        <v>0.0</v>
      </c>
      <c r="Q2930" s="57"/>
      <c r="R2930" s="58"/>
    </row>
    <row r="2931" spans="8:8" ht="15.0" customHeight="1">
      <c r="B2931" s="54">
        <v>3075.0</v>
      </c>
      <c r="C2931" s="8"/>
      <c r="D2931" s="8"/>
      <c r="E2931" s="8"/>
      <c r="F2931" s="8"/>
      <c r="G2931" s="8"/>
      <c r="H2931" s="8"/>
      <c r="I2931" s="55"/>
      <c r="J2931" s="78" t="s">
        <v>6846</v>
      </c>
      <c r="K2931" s="22">
        <v>0.0</v>
      </c>
      <c r="L2931" s="22">
        <f>+SUMIF('حركه المخزن الرئيسي اليوميه'!$F:$F,$H:$H,'حركه المخزن الرئيسي اليوميه'!$H:$H)</f>
        <v>0.0</v>
      </c>
      <c r="M2931" s="22">
        <f>+SUMIF('حركه المخزن الرئيسي اليوميه'!$F:$F,$H:$H,'حركه المخزن الرئيسي اليوميه'!$I:$I)</f>
        <v>0.0</v>
      </c>
      <c r="N2931" s="22">
        <f>+K2931+L2931-M2931</f>
        <v>0.0</v>
      </c>
      <c r="O2931" s="22">
        <f>+N2931</f>
        <v>0.0</v>
      </c>
      <c r="P2931" s="22">
        <f>+N2931-O2931</f>
        <v>0.0</v>
      </c>
      <c r="Q2931" s="57"/>
      <c r="R2931" s="58"/>
    </row>
    <row r="2932" spans="8:8" ht="15.0" customHeight="1">
      <c r="B2932" s="54">
        <v>3076.0</v>
      </c>
      <c r="C2932" s="8"/>
      <c r="D2932" s="8"/>
      <c r="E2932" s="8"/>
      <c r="F2932" s="8"/>
      <c r="G2932" s="8"/>
      <c r="H2932" s="8"/>
      <c r="I2932" s="55"/>
      <c r="J2932" s="78" t="s">
        <v>6847</v>
      </c>
      <c r="K2932" s="22">
        <v>0.0</v>
      </c>
      <c r="L2932" s="22">
        <f>+SUMIF('حركه المخزن الرئيسي اليوميه'!$F:$F,$H:$H,'حركه المخزن الرئيسي اليوميه'!$H:$H)</f>
        <v>0.0</v>
      </c>
      <c r="M2932" s="22">
        <f>+SUMIF('حركه المخزن الرئيسي اليوميه'!$F:$F,$H:$H,'حركه المخزن الرئيسي اليوميه'!$I:$I)</f>
        <v>0.0</v>
      </c>
      <c r="N2932" s="22">
        <f>+K2932+L2932-M2932</f>
        <v>0.0</v>
      </c>
      <c r="O2932" s="22">
        <f>+N2932</f>
        <v>0.0</v>
      </c>
      <c r="P2932" s="22">
        <f>+N2932-O2932</f>
        <v>0.0</v>
      </c>
      <c r="Q2932" s="57"/>
      <c r="R2932" s="58"/>
    </row>
    <row r="2933" spans="8:8" ht="15.0" customHeight="1">
      <c r="B2933" s="54">
        <v>3077.0</v>
      </c>
      <c r="C2933" s="8"/>
      <c r="D2933" s="8"/>
      <c r="E2933" s="8"/>
      <c r="F2933" s="8"/>
      <c r="G2933" s="8"/>
      <c r="H2933" s="8"/>
      <c r="I2933" s="55"/>
      <c r="J2933" s="78" t="s">
        <v>6848</v>
      </c>
      <c r="K2933" s="22">
        <v>0.0</v>
      </c>
      <c r="L2933" s="22">
        <f>+SUMIF('حركه المخزن الرئيسي اليوميه'!$F:$F,$H:$H,'حركه المخزن الرئيسي اليوميه'!$H:$H)</f>
        <v>0.0</v>
      </c>
      <c r="M2933" s="22">
        <f>+SUMIF('حركه المخزن الرئيسي اليوميه'!$F:$F,$H:$H,'حركه المخزن الرئيسي اليوميه'!$I:$I)</f>
        <v>0.0</v>
      </c>
      <c r="N2933" s="22">
        <f>+K2933+L2933-M2933</f>
        <v>0.0</v>
      </c>
      <c r="O2933" s="22">
        <f>+N2933</f>
        <v>0.0</v>
      </c>
      <c r="P2933" s="22">
        <f>+N2933-O2933</f>
        <v>0.0</v>
      </c>
      <c r="Q2933" s="57"/>
      <c r="R2933" s="58"/>
    </row>
    <row r="2934" spans="8:8" ht="15.0" customHeight="1">
      <c r="B2934" s="54">
        <v>3078.0</v>
      </c>
      <c r="C2934" s="8"/>
      <c r="D2934" s="8"/>
      <c r="E2934" s="8"/>
      <c r="F2934" s="8"/>
      <c r="G2934" s="8"/>
      <c r="H2934" s="8"/>
      <c r="I2934" s="55"/>
      <c r="J2934" s="78" t="s">
        <v>6849</v>
      </c>
      <c r="K2934" s="22">
        <v>0.0</v>
      </c>
      <c r="L2934" s="22">
        <f>+SUMIF('حركه المخزن الرئيسي اليوميه'!$F:$F,$H:$H,'حركه المخزن الرئيسي اليوميه'!$H:$H)</f>
        <v>0.0</v>
      </c>
      <c r="M2934" s="22">
        <f>+SUMIF('حركه المخزن الرئيسي اليوميه'!$F:$F,$H:$H,'حركه المخزن الرئيسي اليوميه'!$I:$I)</f>
        <v>0.0</v>
      </c>
      <c r="N2934" s="22">
        <f>+K2934+L2934-M2934</f>
        <v>0.0</v>
      </c>
      <c r="O2934" s="22">
        <f>+N2934</f>
        <v>0.0</v>
      </c>
      <c r="P2934" s="22">
        <f>+N2934-O2934</f>
        <v>0.0</v>
      </c>
      <c r="Q2934" s="57"/>
      <c r="R2934" s="58"/>
    </row>
    <row r="2935" spans="8:8" ht="15.0" customHeight="1">
      <c r="B2935" s="54">
        <v>3079.0</v>
      </c>
      <c r="C2935" s="8"/>
      <c r="D2935" s="8"/>
      <c r="E2935" s="8"/>
      <c r="F2935" s="8"/>
      <c r="G2935" s="8"/>
      <c r="H2935" s="8"/>
      <c r="I2935" s="55"/>
      <c r="J2935" s="78" t="s">
        <v>6850</v>
      </c>
      <c r="K2935" s="22">
        <v>0.0</v>
      </c>
      <c r="L2935" s="22">
        <f>+SUMIF('حركه المخزن الرئيسي اليوميه'!$F:$F,$H:$H,'حركه المخزن الرئيسي اليوميه'!$H:$H)</f>
        <v>0.0</v>
      </c>
      <c r="M2935" s="22">
        <f>+SUMIF('حركه المخزن الرئيسي اليوميه'!$F:$F,$H:$H,'حركه المخزن الرئيسي اليوميه'!$I:$I)</f>
        <v>0.0</v>
      </c>
      <c r="N2935" s="22">
        <f>+K2935+L2935-M2935</f>
        <v>0.0</v>
      </c>
      <c r="O2935" s="22">
        <f>+N2935</f>
        <v>0.0</v>
      </c>
      <c r="P2935" s="22">
        <f>+N2935-O2935</f>
        <v>0.0</v>
      </c>
      <c r="Q2935" s="57"/>
      <c r="R2935" s="58"/>
    </row>
    <row r="2936" spans="8:8" ht="15.0" customHeight="1">
      <c r="B2936" s="54">
        <v>3080.0</v>
      </c>
      <c r="C2936" s="8"/>
      <c r="D2936" s="8"/>
      <c r="E2936" s="8"/>
      <c r="F2936" s="8"/>
      <c r="G2936" s="8"/>
      <c r="H2936" s="8"/>
      <c r="I2936" s="55"/>
      <c r="J2936" s="78" t="s">
        <v>6851</v>
      </c>
      <c r="K2936" s="22">
        <v>0.0</v>
      </c>
      <c r="L2936" s="22">
        <f>+SUMIF('حركه المخزن الرئيسي اليوميه'!$F:$F,$H:$H,'حركه المخزن الرئيسي اليوميه'!$H:$H)</f>
        <v>0.0</v>
      </c>
      <c r="M2936" s="22">
        <f>+SUMIF('حركه المخزن الرئيسي اليوميه'!$F:$F,$H:$H,'حركه المخزن الرئيسي اليوميه'!$I:$I)</f>
        <v>0.0</v>
      </c>
      <c r="N2936" s="22">
        <f>+K2936+L2936-M2936</f>
        <v>0.0</v>
      </c>
      <c r="O2936" s="22">
        <f>+N2936</f>
        <v>0.0</v>
      </c>
      <c r="P2936" s="22">
        <f>+N2936-O2936</f>
        <v>0.0</v>
      </c>
      <c r="Q2936" s="57"/>
      <c r="R2936" s="58"/>
    </row>
    <row r="2937" spans="8:8" ht="15.0" customHeight="1">
      <c r="B2937" s="54">
        <v>3081.0</v>
      </c>
      <c r="C2937" s="8"/>
      <c r="D2937" s="8"/>
      <c r="E2937" s="8"/>
      <c r="F2937" s="8"/>
      <c r="G2937" s="8"/>
      <c r="H2937" s="8"/>
      <c r="I2937" s="55"/>
      <c r="J2937" s="78" t="s">
        <v>6852</v>
      </c>
      <c r="K2937" s="22">
        <v>0.0</v>
      </c>
      <c r="L2937" s="22">
        <f>+SUMIF('حركه المخزن الرئيسي اليوميه'!$F:$F,$H:$H,'حركه المخزن الرئيسي اليوميه'!$H:$H)</f>
        <v>0.0</v>
      </c>
      <c r="M2937" s="22">
        <f>+SUMIF('حركه المخزن الرئيسي اليوميه'!$F:$F,$H:$H,'حركه المخزن الرئيسي اليوميه'!$I:$I)</f>
        <v>0.0</v>
      </c>
      <c r="N2937" s="22">
        <f>+K2937+L2937-M2937</f>
        <v>0.0</v>
      </c>
      <c r="O2937" s="22">
        <f>+N2937</f>
        <v>0.0</v>
      </c>
      <c r="P2937" s="22">
        <f>+N2937-O2937</f>
        <v>0.0</v>
      </c>
      <c r="Q2937" s="57"/>
      <c r="R2937" s="58"/>
    </row>
    <row r="2938" spans="8:8" ht="15.0" customHeight="1">
      <c r="B2938" s="54">
        <v>3082.0</v>
      </c>
      <c r="C2938" s="8"/>
      <c r="D2938" s="8"/>
      <c r="E2938" s="8"/>
      <c r="F2938" s="8"/>
      <c r="G2938" s="8"/>
      <c r="H2938" s="8"/>
      <c r="I2938" s="55"/>
      <c r="J2938" s="78" t="s">
        <v>6853</v>
      </c>
      <c r="K2938" s="22">
        <v>0.0</v>
      </c>
      <c r="L2938" s="22">
        <f>+SUMIF('حركه المخزن الرئيسي اليوميه'!$F:$F,$H:$H,'حركه المخزن الرئيسي اليوميه'!$H:$H)</f>
        <v>0.0</v>
      </c>
      <c r="M2938" s="22">
        <f>+SUMIF('حركه المخزن الرئيسي اليوميه'!$F:$F,$H:$H,'حركه المخزن الرئيسي اليوميه'!$I:$I)</f>
        <v>0.0</v>
      </c>
      <c r="N2938" s="22">
        <f>+K2938+L2938-M2938</f>
        <v>0.0</v>
      </c>
      <c r="O2938" s="22">
        <f>+N2938</f>
        <v>0.0</v>
      </c>
      <c r="P2938" s="22">
        <f>+N2938-O2938</f>
        <v>0.0</v>
      </c>
      <c r="Q2938" s="57"/>
      <c r="R2938" s="58"/>
    </row>
    <row r="2939" spans="8:8" ht="15.0" customHeight="1">
      <c r="B2939" s="54">
        <v>3083.0</v>
      </c>
      <c r="C2939" s="8"/>
      <c r="D2939" s="8"/>
      <c r="E2939" s="8"/>
      <c r="F2939" s="8"/>
      <c r="G2939" s="8"/>
      <c r="H2939" s="8"/>
      <c r="I2939" s="55"/>
      <c r="J2939" s="78" t="s">
        <v>6854</v>
      </c>
      <c r="K2939" s="22">
        <v>0.0</v>
      </c>
      <c r="L2939" s="22">
        <f>+SUMIF('حركه المخزن الرئيسي اليوميه'!$F:$F,$H:$H,'حركه المخزن الرئيسي اليوميه'!$H:$H)</f>
        <v>0.0</v>
      </c>
      <c r="M2939" s="22">
        <f>+SUMIF('حركه المخزن الرئيسي اليوميه'!$F:$F,$H:$H,'حركه المخزن الرئيسي اليوميه'!$I:$I)</f>
        <v>0.0</v>
      </c>
      <c r="N2939" s="22">
        <f>+K2939+L2939-M2939</f>
        <v>0.0</v>
      </c>
      <c r="O2939" s="22">
        <f>+N2939</f>
        <v>0.0</v>
      </c>
      <c r="P2939" s="22">
        <f>+N2939-O2939</f>
        <v>0.0</v>
      </c>
      <c r="Q2939" s="57"/>
      <c r="R2939" s="58"/>
    </row>
    <row r="2940" spans="8:8" ht="15.0" customHeight="1">
      <c r="B2940" s="54">
        <v>3084.0</v>
      </c>
      <c r="C2940" s="8"/>
      <c r="D2940" s="8"/>
      <c r="E2940" s="8"/>
      <c r="F2940" s="8"/>
      <c r="G2940" s="8"/>
      <c r="H2940" s="8"/>
      <c r="I2940" s="55"/>
      <c r="J2940" s="78" t="s">
        <v>6855</v>
      </c>
      <c r="K2940" s="22">
        <v>0.0</v>
      </c>
      <c r="L2940" s="22">
        <f>+SUMIF('حركه المخزن الرئيسي اليوميه'!$F:$F,$H:$H,'حركه المخزن الرئيسي اليوميه'!$H:$H)</f>
        <v>0.0</v>
      </c>
      <c r="M2940" s="22">
        <f>+SUMIF('حركه المخزن الرئيسي اليوميه'!$F:$F,$H:$H,'حركه المخزن الرئيسي اليوميه'!$I:$I)</f>
        <v>0.0</v>
      </c>
      <c r="N2940" s="22">
        <f>+K2940+L2940-M2940</f>
        <v>0.0</v>
      </c>
      <c r="O2940" s="22">
        <f>+N2940</f>
        <v>0.0</v>
      </c>
      <c r="P2940" s="22">
        <f>+N2940-O2940</f>
        <v>0.0</v>
      </c>
      <c r="Q2940" s="57"/>
      <c r="R2940" s="58"/>
    </row>
    <row r="2941" spans="8:8" ht="15.0" customHeight="1">
      <c r="B2941" s="54">
        <v>3085.0</v>
      </c>
      <c r="C2941" s="8"/>
      <c r="D2941" s="8"/>
      <c r="E2941" s="8"/>
      <c r="F2941" s="8"/>
      <c r="G2941" s="8"/>
      <c r="H2941" s="8"/>
      <c r="I2941" s="55"/>
      <c r="J2941" s="78" t="s">
        <v>6856</v>
      </c>
      <c r="K2941" s="22">
        <v>0.0</v>
      </c>
      <c r="L2941" s="22">
        <f>+SUMIF('حركه المخزن الرئيسي اليوميه'!$F:$F,$H:$H,'حركه المخزن الرئيسي اليوميه'!$H:$H)</f>
        <v>0.0</v>
      </c>
      <c r="M2941" s="22">
        <f>+SUMIF('حركه المخزن الرئيسي اليوميه'!$F:$F,$H:$H,'حركه المخزن الرئيسي اليوميه'!$I:$I)</f>
        <v>0.0</v>
      </c>
      <c r="N2941" s="22">
        <f>+K2941+L2941-M2941</f>
        <v>0.0</v>
      </c>
      <c r="O2941" s="22">
        <f>+N2941</f>
        <v>0.0</v>
      </c>
      <c r="P2941" s="22">
        <f>+N2941-O2941</f>
        <v>0.0</v>
      </c>
      <c r="Q2941" s="57"/>
      <c r="R2941" s="58"/>
    </row>
    <row r="2942" spans="8:8" ht="15.0" customHeight="1">
      <c r="B2942" s="54">
        <v>3086.0</v>
      </c>
      <c r="C2942" s="8"/>
      <c r="D2942" s="8"/>
      <c r="E2942" s="8"/>
      <c r="F2942" s="8"/>
      <c r="G2942" s="8"/>
      <c r="H2942" s="8"/>
      <c r="I2942" s="55"/>
      <c r="J2942" s="78" t="s">
        <v>6857</v>
      </c>
      <c r="K2942" s="22">
        <v>0.0</v>
      </c>
      <c r="L2942" s="22">
        <f>+SUMIF('حركه المخزن الرئيسي اليوميه'!$F:$F,$H:$H,'حركه المخزن الرئيسي اليوميه'!$H:$H)</f>
        <v>0.0</v>
      </c>
      <c r="M2942" s="22">
        <f>+SUMIF('حركه المخزن الرئيسي اليوميه'!$F:$F,$H:$H,'حركه المخزن الرئيسي اليوميه'!$I:$I)</f>
        <v>0.0</v>
      </c>
      <c r="N2942" s="22">
        <f>+K2942+L2942-M2942</f>
        <v>0.0</v>
      </c>
      <c r="O2942" s="22">
        <f>+N2942</f>
        <v>0.0</v>
      </c>
      <c r="P2942" s="22">
        <f>+N2942-O2942</f>
        <v>0.0</v>
      </c>
      <c r="Q2942" s="57"/>
      <c r="R2942" s="58"/>
    </row>
    <row r="2943" spans="8:8" ht="15.0" customHeight="1">
      <c r="B2943" s="54">
        <v>3087.0</v>
      </c>
      <c r="C2943" s="8"/>
      <c r="D2943" s="8"/>
      <c r="E2943" s="8"/>
      <c r="F2943" s="8"/>
      <c r="G2943" s="8"/>
      <c r="H2943" s="8"/>
      <c r="I2943" s="55"/>
      <c r="J2943" s="78" t="s">
        <v>6858</v>
      </c>
      <c r="K2943" s="22">
        <v>0.0</v>
      </c>
      <c r="L2943" s="22">
        <f>+SUMIF('حركه المخزن الرئيسي اليوميه'!$F:$F,$H:$H,'حركه المخزن الرئيسي اليوميه'!$H:$H)</f>
        <v>0.0</v>
      </c>
      <c r="M2943" s="22">
        <f>+SUMIF('حركه المخزن الرئيسي اليوميه'!$F:$F,$H:$H,'حركه المخزن الرئيسي اليوميه'!$I:$I)</f>
        <v>0.0</v>
      </c>
      <c r="N2943" s="22">
        <f>+K2943+L2943-M2943</f>
        <v>0.0</v>
      </c>
      <c r="O2943" s="22">
        <f>+N2943</f>
        <v>0.0</v>
      </c>
      <c r="P2943" s="22">
        <f>+N2943-O2943</f>
        <v>0.0</v>
      </c>
      <c r="Q2943" s="57"/>
      <c r="R2943" s="58"/>
    </row>
    <row r="2944" spans="8:8" ht="15.0" customHeight="1">
      <c r="B2944" s="54">
        <v>3088.0</v>
      </c>
      <c r="C2944" s="8"/>
      <c r="D2944" s="8"/>
      <c r="E2944" s="8"/>
      <c r="F2944" s="8"/>
      <c r="G2944" s="8"/>
      <c r="H2944" s="8"/>
      <c r="I2944" s="55"/>
      <c r="J2944" s="78" t="s">
        <v>6859</v>
      </c>
      <c r="K2944" s="22">
        <v>0.0</v>
      </c>
      <c r="L2944" s="22">
        <f>+SUMIF('حركه المخزن الرئيسي اليوميه'!$F:$F,$H:$H,'حركه المخزن الرئيسي اليوميه'!$H:$H)</f>
        <v>0.0</v>
      </c>
      <c r="M2944" s="22">
        <f>+SUMIF('حركه المخزن الرئيسي اليوميه'!$F:$F,$H:$H,'حركه المخزن الرئيسي اليوميه'!$I:$I)</f>
        <v>0.0</v>
      </c>
      <c r="N2944" s="22">
        <f>+K2944+L2944-M2944</f>
        <v>0.0</v>
      </c>
      <c r="O2944" s="22">
        <f>+N2944</f>
        <v>0.0</v>
      </c>
      <c r="P2944" s="22">
        <f>+N2944-O2944</f>
        <v>0.0</v>
      </c>
      <c r="Q2944" s="57"/>
      <c r="R2944" s="58"/>
    </row>
    <row r="2945" spans="8:8" ht="15.0" customHeight="1">
      <c r="B2945" s="54">
        <v>3089.0</v>
      </c>
      <c r="C2945" s="8"/>
      <c r="D2945" s="8"/>
      <c r="E2945" s="8"/>
      <c r="F2945" s="8"/>
      <c r="G2945" s="8"/>
      <c r="H2945" s="8"/>
      <c r="I2945" s="55"/>
      <c r="J2945" s="78" t="s">
        <v>6860</v>
      </c>
      <c r="K2945" s="22">
        <v>0.0</v>
      </c>
      <c r="L2945" s="22">
        <f>+SUMIF('حركه المخزن الرئيسي اليوميه'!$F:$F,$H:$H,'حركه المخزن الرئيسي اليوميه'!$H:$H)</f>
        <v>0.0</v>
      </c>
      <c r="M2945" s="22">
        <f>+SUMIF('حركه المخزن الرئيسي اليوميه'!$F:$F,$H:$H,'حركه المخزن الرئيسي اليوميه'!$I:$I)</f>
        <v>0.0</v>
      </c>
      <c r="N2945" s="22">
        <f>+K2945+L2945-M2945</f>
        <v>0.0</v>
      </c>
      <c r="O2945" s="22">
        <f>+N2945</f>
        <v>0.0</v>
      </c>
      <c r="P2945" s="22">
        <f>+N2945-O2945</f>
        <v>0.0</v>
      </c>
      <c r="Q2945" s="57"/>
      <c r="R2945" s="58"/>
    </row>
    <row r="2946" spans="8:8" ht="15.0" customHeight="1">
      <c r="B2946" s="54">
        <v>3090.0</v>
      </c>
      <c r="C2946" s="8"/>
      <c r="D2946" s="8"/>
      <c r="E2946" s="8"/>
      <c r="F2946" s="8"/>
      <c r="G2946" s="8"/>
      <c r="H2946" s="8"/>
      <c r="I2946" s="55"/>
      <c r="J2946" s="78" t="s">
        <v>6861</v>
      </c>
      <c r="K2946" s="22">
        <v>0.0</v>
      </c>
      <c r="L2946" s="22">
        <f>+SUMIF('حركه المخزن الرئيسي اليوميه'!$F:$F,$H:$H,'حركه المخزن الرئيسي اليوميه'!$H:$H)</f>
        <v>0.0</v>
      </c>
      <c r="M2946" s="22">
        <f>+SUMIF('حركه المخزن الرئيسي اليوميه'!$F:$F,$H:$H,'حركه المخزن الرئيسي اليوميه'!$I:$I)</f>
        <v>0.0</v>
      </c>
      <c r="N2946" s="22">
        <f>+K2946+L2946-M2946</f>
        <v>0.0</v>
      </c>
      <c r="O2946" s="22">
        <f>+N2946</f>
        <v>0.0</v>
      </c>
      <c r="P2946" s="22">
        <f>+N2946-O2946</f>
        <v>0.0</v>
      </c>
      <c r="Q2946" s="57"/>
      <c r="R2946" s="58"/>
    </row>
    <row r="2947" spans="8:8" ht="15.0" customHeight="1">
      <c r="B2947" s="54">
        <v>3091.0</v>
      </c>
      <c r="C2947" s="8"/>
      <c r="D2947" s="8"/>
      <c r="E2947" s="8"/>
      <c r="F2947" s="8"/>
      <c r="G2947" s="8"/>
      <c r="H2947" s="8"/>
      <c r="I2947" s="55"/>
      <c r="J2947" s="78" t="s">
        <v>6862</v>
      </c>
      <c r="K2947" s="22">
        <v>0.0</v>
      </c>
      <c r="L2947" s="22">
        <f>+SUMIF('حركه المخزن الرئيسي اليوميه'!$F:$F,$H:$H,'حركه المخزن الرئيسي اليوميه'!$H:$H)</f>
        <v>0.0</v>
      </c>
      <c r="M2947" s="22">
        <f>+SUMIF('حركه المخزن الرئيسي اليوميه'!$F:$F,$H:$H,'حركه المخزن الرئيسي اليوميه'!$I:$I)</f>
        <v>0.0</v>
      </c>
      <c r="N2947" s="22">
        <f>+K2947+L2947-M2947</f>
        <v>0.0</v>
      </c>
      <c r="O2947" s="22">
        <f>+N2947</f>
        <v>0.0</v>
      </c>
      <c r="P2947" s="22">
        <f>+N2947-O2947</f>
        <v>0.0</v>
      </c>
      <c r="Q2947" s="57"/>
      <c r="R2947" s="58"/>
    </row>
    <row r="2948" spans="8:8" ht="15.0" customHeight="1">
      <c r="B2948" s="54">
        <v>3092.0</v>
      </c>
      <c r="C2948" s="8"/>
      <c r="D2948" s="8"/>
      <c r="E2948" s="8"/>
      <c r="F2948" s="8"/>
      <c r="G2948" s="8"/>
      <c r="H2948" s="8"/>
      <c r="I2948" s="55"/>
      <c r="J2948" s="78" t="s">
        <v>6863</v>
      </c>
      <c r="K2948" s="22">
        <v>0.0</v>
      </c>
      <c r="L2948" s="22">
        <f>+SUMIF('حركه المخزن الرئيسي اليوميه'!$F:$F,$H:$H,'حركه المخزن الرئيسي اليوميه'!$H:$H)</f>
        <v>0.0</v>
      </c>
      <c r="M2948" s="22">
        <f>+SUMIF('حركه المخزن الرئيسي اليوميه'!$F:$F,$H:$H,'حركه المخزن الرئيسي اليوميه'!$I:$I)</f>
        <v>0.0</v>
      </c>
      <c r="N2948" s="22">
        <f>+K2948+L2948-M2948</f>
        <v>0.0</v>
      </c>
      <c r="O2948" s="22">
        <f>+N2948</f>
        <v>0.0</v>
      </c>
      <c r="P2948" s="22">
        <f>+N2948-O2948</f>
        <v>0.0</v>
      </c>
      <c r="Q2948" s="57"/>
      <c r="R2948" s="58"/>
    </row>
    <row r="2949" spans="8:8" ht="15.0" customHeight="1">
      <c r="B2949" s="54">
        <v>3093.0</v>
      </c>
      <c r="C2949" s="8"/>
      <c r="D2949" s="8"/>
      <c r="E2949" s="8"/>
      <c r="F2949" s="8"/>
      <c r="G2949" s="8"/>
      <c r="H2949" s="8"/>
      <c r="I2949" s="55"/>
      <c r="J2949" s="78" t="s">
        <v>6864</v>
      </c>
      <c r="K2949" s="22">
        <v>0.0</v>
      </c>
      <c r="L2949" s="22">
        <f>+SUMIF('حركه المخزن الرئيسي اليوميه'!$F:$F,$H:$H,'حركه المخزن الرئيسي اليوميه'!$H:$H)</f>
        <v>0.0</v>
      </c>
      <c r="M2949" s="22">
        <f>+SUMIF('حركه المخزن الرئيسي اليوميه'!$F:$F,$H:$H,'حركه المخزن الرئيسي اليوميه'!$I:$I)</f>
        <v>0.0</v>
      </c>
      <c r="N2949" s="22">
        <f>+K2949+L2949-M2949</f>
        <v>0.0</v>
      </c>
      <c r="O2949" s="22">
        <f>+N2949</f>
        <v>0.0</v>
      </c>
      <c r="P2949" s="22">
        <f>+N2949-O2949</f>
        <v>0.0</v>
      </c>
      <c r="Q2949" s="57"/>
      <c r="R2949" s="58"/>
    </row>
    <row r="2950" spans="8:8" ht="15.0" customHeight="1">
      <c r="B2950" s="54">
        <v>3094.0</v>
      </c>
      <c r="C2950" s="8"/>
      <c r="D2950" s="8"/>
      <c r="E2950" s="8"/>
      <c r="F2950" s="8"/>
      <c r="G2950" s="8"/>
      <c r="H2950" s="8"/>
      <c r="I2950" s="55"/>
      <c r="J2950" s="78" t="s">
        <v>6865</v>
      </c>
      <c r="K2950" s="22">
        <v>0.0</v>
      </c>
      <c r="L2950" s="22">
        <f>+SUMIF('حركه المخزن الرئيسي اليوميه'!$F:$F,$H:$H,'حركه المخزن الرئيسي اليوميه'!$H:$H)</f>
        <v>0.0</v>
      </c>
      <c r="M2950" s="22">
        <f>+SUMIF('حركه المخزن الرئيسي اليوميه'!$F:$F,$H:$H,'حركه المخزن الرئيسي اليوميه'!$I:$I)</f>
        <v>0.0</v>
      </c>
      <c r="N2950" s="22">
        <f>+K2950+L2950-M2950</f>
        <v>0.0</v>
      </c>
      <c r="O2950" s="22">
        <f>+N2950</f>
        <v>0.0</v>
      </c>
      <c r="P2950" s="22">
        <f>+N2950-O2950</f>
        <v>0.0</v>
      </c>
      <c r="Q2950" s="57"/>
      <c r="R2950" s="58"/>
    </row>
    <row r="2951" spans="8:8" ht="15.0" customHeight="1">
      <c r="B2951" s="54">
        <v>3095.0</v>
      </c>
      <c r="C2951" s="8"/>
      <c r="D2951" s="8"/>
      <c r="E2951" s="8"/>
      <c r="F2951" s="8"/>
      <c r="G2951" s="8"/>
      <c r="H2951" s="8"/>
      <c r="I2951" s="55"/>
      <c r="J2951" s="78" t="s">
        <v>6866</v>
      </c>
      <c r="K2951" s="22">
        <v>0.0</v>
      </c>
      <c r="L2951" s="22">
        <f>+SUMIF('حركه المخزن الرئيسي اليوميه'!$F:$F,$H:$H,'حركه المخزن الرئيسي اليوميه'!$H:$H)</f>
        <v>0.0</v>
      </c>
      <c r="M2951" s="22">
        <f>+SUMIF('حركه المخزن الرئيسي اليوميه'!$F:$F,$H:$H,'حركه المخزن الرئيسي اليوميه'!$I:$I)</f>
        <v>0.0</v>
      </c>
      <c r="N2951" s="22">
        <f>+K2951+L2951-M2951</f>
        <v>0.0</v>
      </c>
      <c r="O2951" s="22">
        <f>+N2951</f>
        <v>0.0</v>
      </c>
      <c r="P2951" s="22">
        <f>+N2951-O2951</f>
        <v>0.0</v>
      </c>
      <c r="Q2951" s="57"/>
      <c r="R2951" s="58"/>
    </row>
    <row r="2952" spans="8:8" ht="15.0" customHeight="1">
      <c r="B2952" s="54">
        <v>3096.0</v>
      </c>
      <c r="C2952" s="8"/>
      <c r="D2952" s="8"/>
      <c r="E2952" s="8"/>
      <c r="F2952" s="8"/>
      <c r="G2952" s="8"/>
      <c r="H2952" s="8"/>
      <c r="I2952" s="55"/>
      <c r="J2952" s="78" t="s">
        <v>6867</v>
      </c>
      <c r="K2952" s="22">
        <v>0.0</v>
      </c>
      <c r="L2952" s="22">
        <f>+SUMIF('حركه المخزن الرئيسي اليوميه'!$F:$F,$H:$H,'حركه المخزن الرئيسي اليوميه'!$H:$H)</f>
        <v>0.0</v>
      </c>
      <c r="M2952" s="22">
        <f>+SUMIF('حركه المخزن الرئيسي اليوميه'!$F:$F,$H:$H,'حركه المخزن الرئيسي اليوميه'!$I:$I)</f>
        <v>0.0</v>
      </c>
      <c r="N2952" s="22">
        <f>+K2952+L2952-M2952</f>
        <v>0.0</v>
      </c>
      <c r="O2952" s="22">
        <f>+N2952</f>
        <v>0.0</v>
      </c>
      <c r="P2952" s="22">
        <f>+N2952-O2952</f>
        <v>0.0</v>
      </c>
      <c r="Q2952" s="57"/>
      <c r="R2952" s="58"/>
    </row>
    <row r="2953" spans="8:8" ht="15.0" customHeight="1">
      <c r="B2953" s="54">
        <v>3097.0</v>
      </c>
      <c r="C2953" s="8"/>
      <c r="D2953" s="8"/>
      <c r="E2953" s="8"/>
      <c r="F2953" s="8"/>
      <c r="G2953" s="8"/>
      <c r="H2953" s="8"/>
      <c r="I2953" s="55"/>
      <c r="J2953" s="78" t="s">
        <v>6868</v>
      </c>
      <c r="K2953" s="22">
        <v>0.0</v>
      </c>
      <c r="L2953" s="22">
        <f>+SUMIF('حركه المخزن الرئيسي اليوميه'!$F:$F,$H:$H,'حركه المخزن الرئيسي اليوميه'!$H:$H)</f>
        <v>0.0</v>
      </c>
      <c r="M2953" s="22">
        <f>+SUMIF('حركه المخزن الرئيسي اليوميه'!$F:$F,$H:$H,'حركه المخزن الرئيسي اليوميه'!$I:$I)</f>
        <v>0.0</v>
      </c>
      <c r="N2953" s="22">
        <f>+K2953+L2953-M2953</f>
        <v>0.0</v>
      </c>
      <c r="O2953" s="22">
        <f>+N2953</f>
        <v>0.0</v>
      </c>
      <c r="P2953" s="22">
        <f>+N2953-O2953</f>
        <v>0.0</v>
      </c>
      <c r="Q2953" s="57"/>
      <c r="R2953" s="58"/>
    </row>
    <row r="2954" spans="8:8" ht="15.0" customHeight="1">
      <c r="B2954" s="54">
        <v>3098.0</v>
      </c>
      <c r="C2954" s="8"/>
      <c r="D2954" s="8"/>
      <c r="E2954" s="8"/>
      <c r="F2954" s="8"/>
      <c r="G2954" s="8"/>
      <c r="H2954" s="8"/>
      <c r="I2954" s="55"/>
      <c r="J2954" s="78" t="s">
        <v>6869</v>
      </c>
      <c r="K2954" s="22">
        <v>0.0</v>
      </c>
      <c r="L2954" s="22">
        <f>+SUMIF('حركه المخزن الرئيسي اليوميه'!$F:$F,$H:$H,'حركه المخزن الرئيسي اليوميه'!$H:$H)</f>
        <v>0.0</v>
      </c>
      <c r="M2954" s="22">
        <f>+SUMIF('حركه المخزن الرئيسي اليوميه'!$F:$F,$H:$H,'حركه المخزن الرئيسي اليوميه'!$I:$I)</f>
        <v>0.0</v>
      </c>
      <c r="N2954" s="22">
        <f>+K2954+L2954-M2954</f>
        <v>0.0</v>
      </c>
      <c r="O2954" s="22">
        <f>+N2954</f>
        <v>0.0</v>
      </c>
      <c r="P2954" s="22">
        <f>+N2954-O2954</f>
        <v>0.0</v>
      </c>
      <c r="Q2954" s="57"/>
      <c r="R2954" s="58"/>
    </row>
    <row r="2955" spans="8:8" ht="15.0" customHeight="1">
      <c r="B2955" s="54">
        <v>3099.0</v>
      </c>
      <c r="C2955" s="8"/>
      <c r="D2955" s="8"/>
      <c r="E2955" s="8"/>
      <c r="F2955" s="8"/>
      <c r="G2955" s="8"/>
      <c r="H2955" s="8"/>
      <c r="I2955" s="55"/>
      <c r="J2955" s="78" t="s">
        <v>6870</v>
      </c>
      <c r="K2955" s="22">
        <v>0.0</v>
      </c>
      <c r="L2955" s="22">
        <f>+SUMIF('حركه المخزن الرئيسي اليوميه'!$F:$F,$H:$H,'حركه المخزن الرئيسي اليوميه'!$H:$H)</f>
        <v>0.0</v>
      </c>
      <c r="M2955" s="22">
        <f>+SUMIF('حركه المخزن الرئيسي اليوميه'!$F:$F,$H:$H,'حركه المخزن الرئيسي اليوميه'!$I:$I)</f>
        <v>0.0</v>
      </c>
      <c r="N2955" s="22">
        <f>+K2955+L2955-M2955</f>
        <v>0.0</v>
      </c>
      <c r="O2955" s="22">
        <f>+N2955</f>
        <v>0.0</v>
      </c>
      <c r="P2955" s="22">
        <f>+N2955-O2955</f>
        <v>0.0</v>
      </c>
      <c r="Q2955" s="57"/>
      <c r="R2955" s="58"/>
    </row>
    <row r="2956" spans="8:8" ht="15.0" customHeight="1">
      <c r="B2956" s="54">
        <v>3100.0</v>
      </c>
      <c r="C2956" s="8"/>
      <c r="D2956" s="8"/>
      <c r="E2956" s="8"/>
      <c r="F2956" s="8"/>
      <c r="G2956" s="8"/>
      <c r="H2956" s="8"/>
      <c r="I2956" s="55"/>
      <c r="J2956" s="78" t="s">
        <v>6871</v>
      </c>
      <c r="K2956" s="22">
        <v>0.0</v>
      </c>
      <c r="L2956" s="22">
        <f>+SUMIF('حركه المخزن الرئيسي اليوميه'!$F:$F,$H:$H,'حركه المخزن الرئيسي اليوميه'!$H:$H)</f>
        <v>0.0</v>
      </c>
      <c r="M2956" s="22">
        <f>+SUMIF('حركه المخزن الرئيسي اليوميه'!$F:$F,$H:$H,'حركه المخزن الرئيسي اليوميه'!$I:$I)</f>
        <v>0.0</v>
      </c>
      <c r="N2956" s="22">
        <f>+K2956+L2956-M2956</f>
        <v>0.0</v>
      </c>
      <c r="O2956" s="22">
        <f>+N2956</f>
        <v>0.0</v>
      </c>
      <c r="P2956" s="22">
        <f>+N2956-O2956</f>
        <v>0.0</v>
      </c>
      <c r="Q2956" s="57"/>
      <c r="R2956" s="58"/>
    </row>
    <row r="2957" spans="8:8" ht="15.0" customHeight="1">
      <c r="B2957" s="54">
        <v>3101.0</v>
      </c>
      <c r="C2957" s="8"/>
      <c r="D2957" s="8"/>
      <c r="E2957" s="8"/>
      <c r="F2957" s="8"/>
      <c r="G2957" s="8"/>
      <c r="H2957" s="8"/>
      <c r="I2957" s="55"/>
      <c r="J2957" s="78" t="s">
        <v>6872</v>
      </c>
      <c r="K2957" s="22">
        <v>0.0</v>
      </c>
      <c r="L2957" s="22">
        <f>+SUMIF('حركه المخزن الرئيسي اليوميه'!$F:$F,$H:$H,'حركه المخزن الرئيسي اليوميه'!$H:$H)</f>
        <v>0.0</v>
      </c>
      <c r="M2957" s="22">
        <f>+SUMIF('حركه المخزن الرئيسي اليوميه'!$F:$F,$H:$H,'حركه المخزن الرئيسي اليوميه'!$I:$I)</f>
        <v>0.0</v>
      </c>
      <c r="N2957" s="22">
        <f>+K2957+L2957-M2957</f>
        <v>0.0</v>
      </c>
      <c r="O2957" s="22">
        <f>+N2957</f>
        <v>0.0</v>
      </c>
      <c r="P2957" s="22">
        <f>+N2957-O2957</f>
        <v>0.0</v>
      </c>
      <c r="Q2957" s="57"/>
      <c r="R2957" s="58"/>
    </row>
    <row r="2958" spans="8:8" ht="15.0" customHeight="1">
      <c r="B2958" s="54">
        <v>3102.0</v>
      </c>
      <c r="C2958" s="8"/>
      <c r="D2958" s="8"/>
      <c r="E2958" s="8"/>
      <c r="F2958" s="8"/>
      <c r="G2958" s="8"/>
      <c r="H2958" s="8"/>
      <c r="I2958" s="55"/>
      <c r="J2958" s="78" t="s">
        <v>6873</v>
      </c>
      <c r="K2958" s="22">
        <v>0.0</v>
      </c>
      <c r="L2958" s="22">
        <f>+SUMIF('حركه المخزن الرئيسي اليوميه'!$F:$F,$H:$H,'حركه المخزن الرئيسي اليوميه'!$H:$H)</f>
        <v>0.0</v>
      </c>
      <c r="M2958" s="22">
        <f>+SUMIF('حركه المخزن الرئيسي اليوميه'!$F:$F,$H:$H,'حركه المخزن الرئيسي اليوميه'!$I:$I)</f>
        <v>0.0</v>
      </c>
      <c r="N2958" s="22">
        <f>+K2958+L2958-M2958</f>
        <v>0.0</v>
      </c>
      <c r="O2958" s="22">
        <f>+N2958</f>
        <v>0.0</v>
      </c>
      <c r="P2958" s="22">
        <f>+N2958-O2958</f>
        <v>0.0</v>
      </c>
      <c r="Q2958" s="57"/>
      <c r="R2958" s="58"/>
    </row>
    <row r="2959" spans="8:8" ht="15.0" customHeight="1">
      <c r="B2959" s="54">
        <v>3103.0</v>
      </c>
      <c r="C2959" s="8"/>
      <c r="D2959" s="8"/>
      <c r="E2959" s="8"/>
      <c r="F2959" s="8"/>
      <c r="G2959" s="8"/>
      <c r="H2959" s="8"/>
      <c r="I2959" s="55"/>
      <c r="J2959" s="78" t="s">
        <v>6874</v>
      </c>
      <c r="K2959" s="22">
        <v>0.0</v>
      </c>
      <c r="L2959" s="22">
        <f>+SUMIF('حركه المخزن الرئيسي اليوميه'!$F:$F,$H:$H,'حركه المخزن الرئيسي اليوميه'!$H:$H)</f>
        <v>0.0</v>
      </c>
      <c r="M2959" s="22">
        <f>+SUMIF('حركه المخزن الرئيسي اليوميه'!$F:$F,$H:$H,'حركه المخزن الرئيسي اليوميه'!$I:$I)</f>
        <v>0.0</v>
      </c>
      <c r="N2959" s="22">
        <f>+K2959+L2959-M2959</f>
        <v>0.0</v>
      </c>
      <c r="O2959" s="22">
        <f>+N2959</f>
        <v>0.0</v>
      </c>
      <c r="P2959" s="22">
        <f>+N2959-O2959</f>
        <v>0.0</v>
      </c>
      <c r="Q2959" s="57"/>
      <c r="R2959" s="58"/>
    </row>
    <row r="2960" spans="8:8" ht="15.0" customHeight="1">
      <c r="B2960" s="54">
        <v>3104.0</v>
      </c>
      <c r="C2960" s="8"/>
      <c r="D2960" s="8"/>
      <c r="E2960" s="8"/>
      <c r="F2960" s="8"/>
      <c r="G2960" s="8"/>
      <c r="H2960" s="8"/>
      <c r="I2960" s="55"/>
      <c r="J2960" s="78" t="s">
        <v>6875</v>
      </c>
      <c r="K2960" s="22">
        <v>0.0</v>
      </c>
      <c r="L2960" s="22">
        <f>+SUMIF('حركه المخزن الرئيسي اليوميه'!$F:$F,$H:$H,'حركه المخزن الرئيسي اليوميه'!$H:$H)</f>
        <v>0.0</v>
      </c>
      <c r="M2960" s="22">
        <f>+SUMIF('حركه المخزن الرئيسي اليوميه'!$F:$F,$H:$H,'حركه المخزن الرئيسي اليوميه'!$I:$I)</f>
        <v>0.0</v>
      </c>
      <c r="N2960" s="22">
        <f>+K2960+L2960-M2960</f>
        <v>0.0</v>
      </c>
      <c r="O2960" s="22">
        <f>+N2960</f>
        <v>0.0</v>
      </c>
      <c r="P2960" s="22">
        <f>+N2960-O2960</f>
        <v>0.0</v>
      </c>
      <c r="Q2960" s="57"/>
      <c r="R2960" s="58"/>
    </row>
    <row r="2961" spans="8:8" ht="15.0" customHeight="1">
      <c r="B2961" s="54">
        <v>3105.0</v>
      </c>
      <c r="C2961" s="8"/>
      <c r="D2961" s="8"/>
      <c r="E2961" s="8"/>
      <c r="F2961" s="8"/>
      <c r="G2961" s="8"/>
      <c r="H2961" s="8"/>
      <c r="I2961" s="55"/>
      <c r="J2961" s="78" t="s">
        <v>6876</v>
      </c>
      <c r="K2961" s="22">
        <v>0.0</v>
      </c>
      <c r="L2961" s="22">
        <f>+SUMIF('حركه المخزن الرئيسي اليوميه'!$F:$F,$H:$H,'حركه المخزن الرئيسي اليوميه'!$H:$H)</f>
        <v>0.0</v>
      </c>
      <c r="M2961" s="22">
        <f>+SUMIF('حركه المخزن الرئيسي اليوميه'!$F:$F,$H:$H,'حركه المخزن الرئيسي اليوميه'!$I:$I)</f>
        <v>0.0</v>
      </c>
      <c r="N2961" s="22">
        <f>+K2961+L2961-M2961</f>
        <v>0.0</v>
      </c>
      <c r="O2961" s="22">
        <f>+N2961</f>
        <v>0.0</v>
      </c>
      <c r="P2961" s="22">
        <f>+N2961-O2961</f>
        <v>0.0</v>
      </c>
      <c r="Q2961" s="57"/>
      <c r="R2961" s="58"/>
    </row>
    <row r="2962" spans="8:8" ht="15.0" customHeight="1">
      <c r="B2962" s="54">
        <v>3106.0</v>
      </c>
      <c r="C2962" s="8"/>
      <c r="D2962" s="8"/>
      <c r="E2962" s="8"/>
      <c r="F2962" s="8"/>
      <c r="G2962" s="8"/>
      <c r="H2962" s="8"/>
      <c r="I2962" s="55"/>
      <c r="J2962" s="78" t="s">
        <v>6877</v>
      </c>
      <c r="K2962" s="22">
        <v>0.0</v>
      </c>
      <c r="L2962" s="22">
        <f>+SUMIF('حركه المخزن الرئيسي اليوميه'!$F:$F,$H:$H,'حركه المخزن الرئيسي اليوميه'!$H:$H)</f>
        <v>0.0</v>
      </c>
      <c r="M2962" s="22">
        <f>+SUMIF('حركه المخزن الرئيسي اليوميه'!$F:$F,$H:$H,'حركه المخزن الرئيسي اليوميه'!$I:$I)</f>
        <v>0.0</v>
      </c>
      <c r="N2962" s="22">
        <f>+K2962+L2962-M2962</f>
        <v>0.0</v>
      </c>
      <c r="O2962" s="22">
        <f>+N2962</f>
        <v>0.0</v>
      </c>
      <c r="P2962" s="22">
        <f>+N2962-O2962</f>
        <v>0.0</v>
      </c>
      <c r="Q2962" s="57"/>
      <c r="R2962" s="58"/>
    </row>
    <row r="2963" spans="8:8" ht="15.0" customHeight="1">
      <c r="B2963" s="54">
        <v>3107.0</v>
      </c>
      <c r="C2963" s="8"/>
      <c r="D2963" s="8"/>
      <c r="E2963" s="8"/>
      <c r="F2963" s="8"/>
      <c r="G2963" s="8"/>
      <c r="H2963" s="8"/>
      <c r="I2963" s="55"/>
      <c r="J2963" s="78" t="s">
        <v>6878</v>
      </c>
      <c r="K2963" s="22">
        <v>0.0</v>
      </c>
      <c r="L2963" s="22">
        <f>+SUMIF('حركه المخزن الرئيسي اليوميه'!$F:$F,$H:$H,'حركه المخزن الرئيسي اليوميه'!$H:$H)</f>
        <v>0.0</v>
      </c>
      <c r="M2963" s="22">
        <f>+SUMIF('حركه المخزن الرئيسي اليوميه'!$F:$F,$H:$H,'حركه المخزن الرئيسي اليوميه'!$I:$I)</f>
        <v>0.0</v>
      </c>
      <c r="N2963" s="22">
        <f>+K2963+L2963-M2963</f>
        <v>0.0</v>
      </c>
      <c r="O2963" s="22">
        <f>+N2963</f>
        <v>0.0</v>
      </c>
      <c r="P2963" s="22">
        <f>+N2963-O2963</f>
        <v>0.0</v>
      </c>
      <c r="Q2963" s="57"/>
      <c r="R2963" s="58"/>
    </row>
    <row r="2964" spans="8:8" ht="15.0" customHeight="1">
      <c r="B2964" s="54">
        <v>3108.0</v>
      </c>
      <c r="C2964" s="8"/>
      <c r="D2964" s="8"/>
      <c r="E2964" s="8"/>
      <c r="F2964" s="8"/>
      <c r="G2964" s="8"/>
      <c r="H2964" s="8"/>
      <c r="I2964" s="55"/>
      <c r="J2964" s="78" t="s">
        <v>6879</v>
      </c>
      <c r="K2964" s="22">
        <v>0.0</v>
      </c>
      <c r="L2964" s="22">
        <f>+SUMIF('حركه المخزن الرئيسي اليوميه'!$F:$F,$H:$H,'حركه المخزن الرئيسي اليوميه'!$H:$H)</f>
        <v>0.0</v>
      </c>
      <c r="M2964" s="22">
        <f>+SUMIF('حركه المخزن الرئيسي اليوميه'!$F:$F,$H:$H,'حركه المخزن الرئيسي اليوميه'!$I:$I)</f>
        <v>0.0</v>
      </c>
      <c r="N2964" s="22">
        <f>+K2964+L2964-M2964</f>
        <v>0.0</v>
      </c>
      <c r="O2964" s="22">
        <f>+N2964</f>
        <v>0.0</v>
      </c>
      <c r="P2964" s="22">
        <f>+N2964-O2964</f>
        <v>0.0</v>
      </c>
      <c r="Q2964" s="57"/>
      <c r="R2964" s="58"/>
    </row>
    <row r="2965" spans="8:8" ht="15.0" customHeight="1">
      <c r="B2965" s="54">
        <v>3109.0</v>
      </c>
      <c r="C2965" s="8"/>
      <c r="D2965" s="8"/>
      <c r="E2965" s="8"/>
      <c r="F2965" s="8"/>
      <c r="G2965" s="8"/>
      <c r="H2965" s="8"/>
      <c r="I2965" s="55"/>
      <c r="J2965" s="78" t="s">
        <v>6880</v>
      </c>
      <c r="K2965" s="22">
        <v>0.0</v>
      </c>
      <c r="L2965" s="22">
        <f>+SUMIF('حركه المخزن الرئيسي اليوميه'!$F:$F,$H:$H,'حركه المخزن الرئيسي اليوميه'!$H:$H)</f>
        <v>0.0</v>
      </c>
      <c r="M2965" s="22">
        <f>+SUMIF('حركه المخزن الرئيسي اليوميه'!$F:$F,$H:$H,'حركه المخزن الرئيسي اليوميه'!$I:$I)</f>
        <v>0.0</v>
      </c>
      <c r="N2965" s="22">
        <f>+K2965+L2965-M2965</f>
        <v>0.0</v>
      </c>
      <c r="O2965" s="22">
        <f>+N2965</f>
        <v>0.0</v>
      </c>
      <c r="P2965" s="22">
        <f>+N2965-O2965</f>
        <v>0.0</v>
      </c>
      <c r="Q2965" s="57"/>
      <c r="R2965" s="58"/>
    </row>
    <row r="2966" spans="8:8" ht="15.0" customHeight="1">
      <c r="B2966" s="54">
        <v>3110.0</v>
      </c>
      <c r="C2966" s="8"/>
      <c r="D2966" s="8"/>
      <c r="E2966" s="8"/>
      <c r="F2966" s="8"/>
      <c r="G2966" s="8"/>
      <c r="H2966" s="8"/>
      <c r="I2966" s="55"/>
      <c r="J2966" s="78" t="s">
        <v>6881</v>
      </c>
      <c r="K2966" s="22">
        <v>0.0</v>
      </c>
      <c r="L2966" s="22">
        <f>+SUMIF('حركه المخزن الرئيسي اليوميه'!$F:$F,$H:$H,'حركه المخزن الرئيسي اليوميه'!$H:$H)</f>
        <v>0.0</v>
      </c>
      <c r="M2966" s="22">
        <f>+SUMIF('حركه المخزن الرئيسي اليوميه'!$F:$F,$H:$H,'حركه المخزن الرئيسي اليوميه'!$I:$I)</f>
        <v>0.0</v>
      </c>
      <c r="N2966" s="22">
        <f>+K2966+L2966-M2966</f>
        <v>0.0</v>
      </c>
      <c r="O2966" s="22">
        <f>+N2966</f>
        <v>0.0</v>
      </c>
      <c r="P2966" s="22">
        <f>+N2966-O2966</f>
        <v>0.0</v>
      </c>
      <c r="Q2966" s="57"/>
      <c r="R2966" s="58"/>
    </row>
    <row r="2967" spans="8:8" ht="15.0" customHeight="1">
      <c r="B2967" s="54">
        <v>3111.0</v>
      </c>
      <c r="C2967" s="8"/>
      <c r="D2967" s="8"/>
      <c r="E2967" s="8"/>
      <c r="F2967" s="8"/>
      <c r="G2967" s="8"/>
      <c r="H2967" s="8"/>
      <c r="I2967" s="55"/>
      <c r="J2967" s="78" t="s">
        <v>6882</v>
      </c>
      <c r="K2967" s="22">
        <v>0.0</v>
      </c>
      <c r="L2967" s="22">
        <f>+SUMIF('حركه المخزن الرئيسي اليوميه'!$F:$F,$H:$H,'حركه المخزن الرئيسي اليوميه'!$H:$H)</f>
        <v>0.0</v>
      </c>
      <c r="M2967" s="22">
        <f>+SUMIF('حركه المخزن الرئيسي اليوميه'!$F:$F,$H:$H,'حركه المخزن الرئيسي اليوميه'!$I:$I)</f>
        <v>0.0</v>
      </c>
      <c r="N2967" s="22">
        <f>+K2967+L2967-M2967</f>
        <v>0.0</v>
      </c>
      <c r="O2967" s="22">
        <f>+N2967</f>
        <v>0.0</v>
      </c>
      <c r="P2967" s="22">
        <f>+N2967-O2967</f>
        <v>0.0</v>
      </c>
      <c r="Q2967" s="57"/>
      <c r="R2967" s="58"/>
    </row>
    <row r="2968" spans="8:8" ht="15.0" customHeight="1">
      <c r="B2968" s="54">
        <v>3112.0</v>
      </c>
      <c r="C2968" s="8"/>
      <c r="D2968" s="8"/>
      <c r="E2968" s="8"/>
      <c r="F2968" s="8"/>
      <c r="G2968" s="8"/>
      <c r="H2968" s="8"/>
      <c r="I2968" s="55"/>
      <c r="J2968" s="78" t="s">
        <v>6883</v>
      </c>
      <c r="K2968" s="22">
        <v>0.0</v>
      </c>
      <c r="L2968" s="22">
        <f>+SUMIF('حركه المخزن الرئيسي اليوميه'!$F:$F,$H:$H,'حركه المخزن الرئيسي اليوميه'!$H:$H)</f>
        <v>0.0</v>
      </c>
      <c r="M2968" s="22">
        <f>+SUMIF('حركه المخزن الرئيسي اليوميه'!$F:$F,$H:$H,'حركه المخزن الرئيسي اليوميه'!$I:$I)</f>
        <v>0.0</v>
      </c>
      <c r="N2968" s="22">
        <f>+K2968+L2968-M2968</f>
        <v>0.0</v>
      </c>
      <c r="O2968" s="22">
        <f>+N2968</f>
        <v>0.0</v>
      </c>
      <c r="P2968" s="22">
        <f>+N2968-O2968</f>
        <v>0.0</v>
      </c>
      <c r="Q2968" s="57"/>
      <c r="R2968" s="58"/>
    </row>
    <row r="2969" spans="8:8" ht="15.0" customHeight="1">
      <c r="B2969" s="54">
        <v>3113.0</v>
      </c>
      <c r="C2969" s="8"/>
      <c r="D2969" s="8"/>
      <c r="E2969" s="8"/>
      <c r="F2969" s="8"/>
      <c r="G2969" s="8"/>
      <c r="H2969" s="8"/>
      <c r="I2969" s="55"/>
      <c r="J2969" s="78" t="s">
        <v>6884</v>
      </c>
      <c r="K2969" s="22">
        <v>0.0</v>
      </c>
      <c r="L2969" s="22">
        <f>+SUMIF('حركه المخزن الرئيسي اليوميه'!$F:$F,$H:$H,'حركه المخزن الرئيسي اليوميه'!$H:$H)</f>
        <v>0.0</v>
      </c>
      <c r="M2969" s="22">
        <f>+SUMIF('حركه المخزن الرئيسي اليوميه'!$F:$F,$H:$H,'حركه المخزن الرئيسي اليوميه'!$I:$I)</f>
        <v>0.0</v>
      </c>
      <c r="N2969" s="22">
        <f>+K2969+L2969-M2969</f>
        <v>0.0</v>
      </c>
      <c r="O2969" s="22">
        <f>+N2969</f>
        <v>0.0</v>
      </c>
      <c r="P2969" s="22">
        <f>+N2969-O2969</f>
        <v>0.0</v>
      </c>
      <c r="Q2969" s="57"/>
      <c r="R2969" s="58"/>
    </row>
    <row r="2970" spans="8:8" ht="15.0" customHeight="1">
      <c r="B2970" s="54">
        <v>3114.0</v>
      </c>
      <c r="C2970" s="8"/>
      <c r="D2970" s="8"/>
      <c r="E2970" s="8"/>
      <c r="F2970" s="8"/>
      <c r="G2970" s="8"/>
      <c r="H2970" s="8"/>
      <c r="I2970" s="55"/>
      <c r="J2970" s="78" t="s">
        <v>6885</v>
      </c>
      <c r="K2970" s="22">
        <v>0.0</v>
      </c>
      <c r="L2970" s="22">
        <f>+SUMIF('حركه المخزن الرئيسي اليوميه'!$F:$F,$H:$H,'حركه المخزن الرئيسي اليوميه'!$H:$H)</f>
        <v>0.0</v>
      </c>
      <c r="M2970" s="22">
        <f>+SUMIF('حركه المخزن الرئيسي اليوميه'!$F:$F,$H:$H,'حركه المخزن الرئيسي اليوميه'!$I:$I)</f>
        <v>0.0</v>
      </c>
      <c r="N2970" s="22">
        <f>+K2970+L2970-M2970</f>
        <v>0.0</v>
      </c>
      <c r="O2970" s="22">
        <f>+N2970</f>
        <v>0.0</v>
      </c>
      <c r="P2970" s="22">
        <f>+N2970-O2970</f>
        <v>0.0</v>
      </c>
      <c r="Q2970" s="57"/>
      <c r="R2970" s="58"/>
    </row>
    <row r="2971" spans="8:8" ht="15.0" customHeight="1">
      <c r="B2971" s="54">
        <v>3115.0</v>
      </c>
      <c r="C2971" s="8"/>
      <c r="D2971" s="8"/>
      <c r="E2971" s="8"/>
      <c r="F2971" s="8"/>
      <c r="G2971" s="8"/>
      <c r="H2971" s="8"/>
      <c r="I2971" s="55"/>
      <c r="J2971" s="78" t="s">
        <v>6886</v>
      </c>
      <c r="K2971" s="22">
        <v>0.0</v>
      </c>
      <c r="L2971" s="22">
        <f>+SUMIF('حركه المخزن الرئيسي اليوميه'!$F:$F,$H:$H,'حركه المخزن الرئيسي اليوميه'!$H:$H)</f>
        <v>0.0</v>
      </c>
      <c r="M2971" s="22">
        <f>+SUMIF('حركه المخزن الرئيسي اليوميه'!$F:$F,$H:$H,'حركه المخزن الرئيسي اليوميه'!$I:$I)</f>
        <v>0.0</v>
      </c>
      <c r="N2971" s="22">
        <f>+K2971+L2971-M2971</f>
        <v>0.0</v>
      </c>
      <c r="O2971" s="22">
        <f>+N2971</f>
        <v>0.0</v>
      </c>
      <c r="P2971" s="22">
        <f>+N2971-O2971</f>
        <v>0.0</v>
      </c>
      <c r="Q2971" s="57"/>
      <c r="R2971" s="58"/>
    </row>
    <row r="2972" spans="8:8" ht="15.0" customHeight="1">
      <c r="B2972" s="54">
        <v>3116.0</v>
      </c>
      <c r="C2972" s="8"/>
      <c r="D2972" s="8"/>
      <c r="E2972" s="8"/>
      <c r="F2972" s="8"/>
      <c r="G2972" s="8"/>
      <c r="H2972" s="8"/>
      <c r="I2972" s="55"/>
      <c r="J2972" s="78" t="s">
        <v>6887</v>
      </c>
      <c r="K2972" s="22">
        <v>0.0</v>
      </c>
      <c r="L2972" s="22">
        <f>+SUMIF('حركه المخزن الرئيسي اليوميه'!$F:$F,$H:$H,'حركه المخزن الرئيسي اليوميه'!$H:$H)</f>
        <v>0.0</v>
      </c>
      <c r="M2972" s="22">
        <f>+SUMIF('حركه المخزن الرئيسي اليوميه'!$F:$F,$H:$H,'حركه المخزن الرئيسي اليوميه'!$I:$I)</f>
        <v>0.0</v>
      </c>
      <c r="N2972" s="22">
        <f>+K2972+L2972-M2972</f>
        <v>0.0</v>
      </c>
      <c r="O2972" s="22">
        <f>+N2972</f>
        <v>0.0</v>
      </c>
      <c r="P2972" s="22">
        <f>+N2972-O2972</f>
        <v>0.0</v>
      </c>
      <c r="Q2972" s="57"/>
      <c r="R2972" s="58"/>
    </row>
    <row r="2973" spans="8:8" ht="15.0" customHeight="1">
      <c r="B2973" s="54">
        <v>3117.0</v>
      </c>
      <c r="C2973" s="8"/>
      <c r="D2973" s="8"/>
      <c r="E2973" s="8"/>
      <c r="F2973" s="8"/>
      <c r="G2973" s="8"/>
      <c r="H2973" s="8"/>
      <c r="I2973" s="55"/>
      <c r="J2973" s="78" t="s">
        <v>6888</v>
      </c>
      <c r="K2973" s="22">
        <v>0.0</v>
      </c>
      <c r="L2973" s="22">
        <f>+SUMIF('حركه المخزن الرئيسي اليوميه'!$F:$F,$H:$H,'حركه المخزن الرئيسي اليوميه'!$H:$H)</f>
        <v>0.0</v>
      </c>
      <c r="M2973" s="22">
        <f>+SUMIF('حركه المخزن الرئيسي اليوميه'!$F:$F,$H:$H,'حركه المخزن الرئيسي اليوميه'!$I:$I)</f>
        <v>0.0</v>
      </c>
      <c r="N2973" s="22">
        <f>+K2973+L2973-M2973</f>
        <v>0.0</v>
      </c>
      <c r="O2973" s="22">
        <f>+N2973</f>
        <v>0.0</v>
      </c>
      <c r="P2973" s="22">
        <f>+N2973-O2973</f>
        <v>0.0</v>
      </c>
      <c r="Q2973" s="57"/>
      <c r="R2973" s="58"/>
    </row>
    <row r="2974" spans="8:8" ht="15.0" customHeight="1">
      <c r="B2974" s="54">
        <v>3118.0</v>
      </c>
      <c r="C2974" s="8"/>
      <c r="D2974" s="8"/>
      <c r="E2974" s="8"/>
      <c r="F2974" s="8"/>
      <c r="G2974" s="8"/>
      <c r="H2974" s="8"/>
      <c r="I2974" s="55"/>
      <c r="J2974" s="78" t="s">
        <v>6889</v>
      </c>
      <c r="K2974" s="22">
        <v>0.0</v>
      </c>
      <c r="L2974" s="22">
        <f>+SUMIF('حركه المخزن الرئيسي اليوميه'!$F:$F,$H:$H,'حركه المخزن الرئيسي اليوميه'!$H:$H)</f>
        <v>0.0</v>
      </c>
      <c r="M2974" s="22">
        <f>+SUMIF('حركه المخزن الرئيسي اليوميه'!$F:$F,$H:$H,'حركه المخزن الرئيسي اليوميه'!$I:$I)</f>
        <v>0.0</v>
      </c>
      <c r="N2974" s="22">
        <f>+K2974+L2974-M2974</f>
        <v>0.0</v>
      </c>
      <c r="O2974" s="22">
        <f>+N2974</f>
        <v>0.0</v>
      </c>
      <c r="P2974" s="22">
        <f>+N2974-O2974</f>
        <v>0.0</v>
      </c>
      <c r="Q2974" s="57"/>
      <c r="R2974" s="58"/>
    </row>
    <row r="2975" spans="8:8" ht="15.0" customHeight="1">
      <c r="B2975" s="54">
        <v>3119.0</v>
      </c>
      <c r="C2975" s="8"/>
      <c r="D2975" s="8"/>
      <c r="E2975" s="8"/>
      <c r="F2975" s="8"/>
      <c r="G2975" s="8"/>
      <c r="H2975" s="8"/>
      <c r="I2975" s="55"/>
      <c r="J2975" s="78" t="s">
        <v>6890</v>
      </c>
      <c r="K2975" s="22">
        <v>0.0</v>
      </c>
      <c r="L2975" s="22">
        <f>+SUMIF('حركه المخزن الرئيسي اليوميه'!$F:$F,$H:$H,'حركه المخزن الرئيسي اليوميه'!$H:$H)</f>
        <v>0.0</v>
      </c>
      <c r="M2975" s="22">
        <f>+SUMIF('حركه المخزن الرئيسي اليوميه'!$F:$F,$H:$H,'حركه المخزن الرئيسي اليوميه'!$I:$I)</f>
        <v>0.0</v>
      </c>
      <c r="N2975" s="22">
        <f>+K2975+L2975-M2975</f>
        <v>0.0</v>
      </c>
      <c r="O2975" s="22">
        <f>+N2975</f>
        <v>0.0</v>
      </c>
      <c r="P2975" s="22">
        <f>+N2975-O2975</f>
        <v>0.0</v>
      </c>
      <c r="Q2975" s="57"/>
      <c r="R2975" s="58"/>
    </row>
    <row r="2976" spans="8:8" ht="15.0" customHeight="1">
      <c r="B2976" s="54">
        <v>3120.0</v>
      </c>
      <c r="C2976" s="8"/>
      <c r="D2976" s="8"/>
      <c r="E2976" s="8"/>
      <c r="F2976" s="8"/>
      <c r="G2976" s="8"/>
      <c r="H2976" s="8"/>
      <c r="I2976" s="55"/>
      <c r="J2976" s="78" t="s">
        <v>6891</v>
      </c>
      <c r="K2976" s="22">
        <v>0.0</v>
      </c>
      <c r="L2976" s="22">
        <f>+SUMIF('حركه المخزن الرئيسي اليوميه'!$F:$F,$H:$H,'حركه المخزن الرئيسي اليوميه'!$H:$H)</f>
        <v>0.0</v>
      </c>
      <c r="M2976" s="22">
        <f>+SUMIF('حركه المخزن الرئيسي اليوميه'!$F:$F,$H:$H,'حركه المخزن الرئيسي اليوميه'!$I:$I)</f>
        <v>0.0</v>
      </c>
      <c r="N2976" s="22">
        <f>+K2976+L2976-M2976</f>
        <v>0.0</v>
      </c>
      <c r="O2976" s="22">
        <f>+N2976</f>
        <v>0.0</v>
      </c>
      <c r="P2976" s="22">
        <f>+N2976-O2976</f>
        <v>0.0</v>
      </c>
      <c r="Q2976" s="57"/>
      <c r="R2976" s="58"/>
    </row>
    <row r="2977" spans="8:8" ht="15.0" customHeight="1">
      <c r="B2977" s="54">
        <v>3121.0</v>
      </c>
      <c r="C2977" s="8"/>
      <c r="D2977" s="8"/>
      <c r="E2977" s="8"/>
      <c r="F2977" s="8"/>
      <c r="G2977" s="8"/>
      <c r="H2977" s="8"/>
      <c r="I2977" s="55"/>
      <c r="J2977" s="78" t="s">
        <v>6892</v>
      </c>
      <c r="K2977" s="22">
        <v>0.0</v>
      </c>
      <c r="L2977" s="22">
        <f>+SUMIF('حركه المخزن الرئيسي اليوميه'!$F:$F,$H:$H,'حركه المخزن الرئيسي اليوميه'!$H:$H)</f>
        <v>0.0</v>
      </c>
      <c r="M2977" s="22">
        <f>+SUMIF('حركه المخزن الرئيسي اليوميه'!$F:$F,$H:$H,'حركه المخزن الرئيسي اليوميه'!$I:$I)</f>
        <v>0.0</v>
      </c>
      <c r="N2977" s="22">
        <f>+K2977+L2977-M2977</f>
        <v>0.0</v>
      </c>
      <c r="O2977" s="22">
        <f>+N2977</f>
        <v>0.0</v>
      </c>
      <c r="P2977" s="22">
        <f>+N2977-O2977</f>
        <v>0.0</v>
      </c>
      <c r="Q2977" s="57"/>
      <c r="R2977" s="58"/>
    </row>
    <row r="2978" spans="8:8" ht="15.0" customHeight="1">
      <c r="B2978" s="54">
        <v>3122.0</v>
      </c>
      <c r="C2978" s="8"/>
      <c r="D2978" s="8"/>
      <c r="E2978" s="8"/>
      <c r="F2978" s="8"/>
      <c r="G2978" s="8"/>
      <c r="H2978" s="8"/>
      <c r="I2978" s="55"/>
      <c r="J2978" s="78" t="s">
        <v>6893</v>
      </c>
      <c r="K2978" s="22">
        <v>0.0</v>
      </c>
      <c r="L2978" s="22">
        <f>+SUMIF('حركه المخزن الرئيسي اليوميه'!$F:$F,$H:$H,'حركه المخزن الرئيسي اليوميه'!$H:$H)</f>
        <v>0.0</v>
      </c>
      <c r="M2978" s="22">
        <f>+SUMIF('حركه المخزن الرئيسي اليوميه'!$F:$F,$H:$H,'حركه المخزن الرئيسي اليوميه'!$I:$I)</f>
        <v>0.0</v>
      </c>
      <c r="N2978" s="22">
        <f>+K2978+L2978-M2978</f>
        <v>0.0</v>
      </c>
      <c r="O2978" s="22">
        <f>+N2978</f>
        <v>0.0</v>
      </c>
      <c r="P2978" s="22">
        <f>+N2978-O2978</f>
        <v>0.0</v>
      </c>
      <c r="Q2978" s="57"/>
      <c r="R2978" s="58"/>
    </row>
    <row r="2979" spans="8:8" ht="15.0" customHeight="1">
      <c r="B2979" s="54">
        <v>3123.0</v>
      </c>
      <c r="C2979" s="8"/>
      <c r="D2979" s="8"/>
      <c r="E2979" s="8"/>
      <c r="F2979" s="8"/>
      <c r="G2979" s="8"/>
      <c r="H2979" s="8"/>
      <c r="I2979" s="55"/>
      <c r="J2979" s="78" t="s">
        <v>6894</v>
      </c>
      <c r="K2979" s="22">
        <v>0.0</v>
      </c>
      <c r="L2979" s="22">
        <f>+SUMIF('حركه المخزن الرئيسي اليوميه'!$F:$F,$H:$H,'حركه المخزن الرئيسي اليوميه'!$H:$H)</f>
        <v>0.0</v>
      </c>
      <c r="M2979" s="22">
        <f>+SUMIF('حركه المخزن الرئيسي اليوميه'!$F:$F,$H:$H,'حركه المخزن الرئيسي اليوميه'!$I:$I)</f>
        <v>0.0</v>
      </c>
      <c r="N2979" s="22">
        <f>+K2979+L2979-M2979</f>
        <v>0.0</v>
      </c>
      <c r="O2979" s="22">
        <f>+N2979</f>
        <v>0.0</v>
      </c>
      <c r="P2979" s="22">
        <f>+N2979-O2979</f>
        <v>0.0</v>
      </c>
      <c r="Q2979" s="57"/>
      <c r="R2979" s="58"/>
    </row>
    <row r="2980" spans="8:8" ht="15.0" customHeight="1">
      <c r="B2980" s="54">
        <v>3124.0</v>
      </c>
      <c r="C2980" s="8"/>
      <c r="D2980" s="8"/>
      <c r="E2980" s="8"/>
      <c r="F2980" s="8"/>
      <c r="G2980" s="8"/>
      <c r="H2980" s="8"/>
      <c r="I2980" s="55"/>
      <c r="J2980" s="78" t="s">
        <v>6895</v>
      </c>
      <c r="K2980" s="22">
        <v>0.0</v>
      </c>
      <c r="L2980" s="22">
        <f>+SUMIF('حركه المخزن الرئيسي اليوميه'!$F:$F,$H:$H,'حركه المخزن الرئيسي اليوميه'!$H:$H)</f>
        <v>0.0</v>
      </c>
      <c r="M2980" s="22">
        <f>+SUMIF('حركه المخزن الرئيسي اليوميه'!$F:$F,$H:$H,'حركه المخزن الرئيسي اليوميه'!$I:$I)</f>
        <v>0.0</v>
      </c>
      <c r="N2980" s="22">
        <f>+K2980+L2980-M2980</f>
        <v>0.0</v>
      </c>
      <c r="O2980" s="22">
        <f>+N2980</f>
        <v>0.0</v>
      </c>
      <c r="P2980" s="22">
        <f>+N2980-O2980</f>
        <v>0.0</v>
      </c>
      <c r="Q2980" s="57"/>
      <c r="R2980" s="58"/>
    </row>
    <row r="2994" spans="8:8">
      <c r="G2994" s="2" t="s">
        <v>2757</v>
      </c>
    </row>
  </sheetData>
  <mergeCells count="3">
    <mergeCell ref="M2:N3"/>
    <mergeCell ref="K8:O8"/>
    <mergeCell ref="R8:R9"/>
  </mergeCells>
  <printOptions horizontalCentered="1"/>
  <pageMargins left="0.25" right="0.25" top="0.75" bottom="0.75" header="0.3" footer="0.3"/>
  <pageSetup paperSize="9" scale="68" orientation="landscape"/>
  <headerFooter>
    <oddFooter>&amp;C&amp;P</oddFooter>
  </headerFooter>
  <drawing r:id="rId1"/>
  <legacyDrawing r:id="rId2"/>
</worksheet>
</file>

<file path=xl/worksheets/sheet5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dimension ref="A1:XFD1151"/>
  <sheetViews>
    <sheetView workbookViewId="0" rightToLeft="1" zoomScale="57">
      <pane xSplit="1" ySplit="5" topLeftCell="B6" state="frozen" activePane="bottomRight"/>
      <selection pane="bottomRight" activeCell="C263" sqref="C263"/>
    </sheetView>
  </sheetViews>
  <sheetFormatPr defaultRowHeight="18.0" defaultColWidth="9"/>
  <cols>
    <col min="1" max="1" customWidth="1" width="1.125" style="87"/>
    <col min="2" max="2" customWidth="1" width="16.625" style="88"/>
    <col min="3" max="3" customWidth="1" width="15.375" style="89"/>
    <col min="4" max="4" customWidth="1" width="17.25" style="88"/>
    <col min="5" max="5" customWidth="1" bestFit="1" width="41.125" style="88"/>
    <col min="6" max="6" customWidth="1" width="52.125" style="87"/>
    <col min="7" max="7" customWidth="1" bestFit="1" width="14.875" style="90"/>
    <col min="8" max="8" customWidth="1" width="11.25" style="88"/>
    <col min="9" max="9" customWidth="1" width="14.25" style="88"/>
    <col min="10" max="10" customWidth="1" width="24.625" style="88"/>
    <col min="11" max="11" customWidth="1" width="21.875" style="88"/>
    <col min="12" max="12" customWidth="1" width="31.875" style="88"/>
    <col min="13" max="13" customWidth="1" bestFit="1" width="72.625" style="88"/>
    <col min="14" max="16384" customWidth="0" width="9.125" style="87"/>
  </cols>
  <sheetData>
    <row r="1" spans="8:8" ht="27.0" customHeight="1">
      <c r="B1" s="87"/>
      <c r="C1" s="91"/>
      <c r="E1" s="87"/>
      <c r="F1" s="92"/>
      <c r="G1" s="88"/>
    </row>
    <row r="2" spans="8:8" ht="27.0">
      <c r="B2" s="93"/>
      <c r="C2" s="94"/>
      <c r="D2" s="95"/>
      <c r="E2" s="93"/>
      <c r="F2" s="96" t="s">
        <v>0</v>
      </c>
      <c r="G2" s="95"/>
      <c r="H2" s="95"/>
      <c r="I2" s="95"/>
      <c r="J2" s="95"/>
      <c r="K2" s="95"/>
      <c r="L2" s="95"/>
      <c r="M2" s="95"/>
    </row>
    <row r="3" spans="8:8" ht="27.0">
      <c r="B3" s="93"/>
      <c r="C3" s="94"/>
      <c r="D3" s="95"/>
      <c r="E3" s="93"/>
      <c r="F3" s="96" t="s">
        <v>8200</v>
      </c>
      <c r="G3" s="95"/>
      <c r="H3" s="95"/>
      <c r="I3" s="95"/>
      <c r="J3" s="95"/>
      <c r="K3" s="95"/>
      <c r="L3" s="95"/>
      <c r="M3" s="95"/>
    </row>
    <row r="4" spans="8:8" ht="26.25">
      <c r="F4" s="92"/>
      <c r="G4" s="88"/>
      <c r="H4" s="97" t="s">
        <v>12</v>
      </c>
      <c r="I4" s="98"/>
    </row>
    <row r="5" spans="8:8">
      <c r="B5" s="99" t="s">
        <v>563</v>
      </c>
      <c r="C5" s="100" t="s">
        <v>13</v>
      </c>
      <c r="D5" s="101" t="s">
        <v>8094</v>
      </c>
      <c r="E5" s="102" t="s">
        <v>564</v>
      </c>
      <c r="F5" s="102" t="s">
        <v>9</v>
      </c>
      <c r="G5" s="103" t="s">
        <v>11</v>
      </c>
      <c r="H5" s="104" t="s">
        <v>5</v>
      </c>
      <c r="I5" s="104" t="s">
        <v>6</v>
      </c>
      <c r="J5" s="102" t="s">
        <v>14</v>
      </c>
      <c r="K5" s="102" t="s">
        <v>1129</v>
      </c>
      <c r="L5" s="102" t="s">
        <v>15</v>
      </c>
      <c r="M5" s="102" t="s">
        <v>16</v>
      </c>
    </row>
    <row r="6" spans="8:8">
      <c r="B6" s="105" t="s">
        <v>8204</v>
      </c>
      <c r="C6" s="106" t="s">
        <v>8203</v>
      </c>
      <c r="D6" s="56" t="s">
        <v>7554</v>
      </c>
      <c r="E6" s="8" t="s">
        <v>3340</v>
      </c>
      <c r="F6" s="8" t="s">
        <v>3340</v>
      </c>
      <c r="G6" s="107">
        <v>46023.0</v>
      </c>
      <c r="H6" s="108"/>
      <c r="I6" s="108">
        <v>1.0</v>
      </c>
      <c r="J6" s="108" t="s">
        <v>8205</v>
      </c>
      <c r="K6" s="108"/>
      <c r="L6" s="108" t="s">
        <v>8206</v>
      </c>
      <c r="M6" s="108"/>
    </row>
    <row r="7" spans="8:8">
      <c r="B7" s="105" t="s">
        <v>765</v>
      </c>
      <c r="C7" s="106" t="s">
        <v>8203</v>
      </c>
      <c r="D7" s="78" t="s">
        <v>4316</v>
      </c>
      <c r="E7" s="8" t="s">
        <v>983</v>
      </c>
      <c r="F7" s="8" t="s">
        <v>915</v>
      </c>
      <c r="G7" s="107">
        <v>46023.0</v>
      </c>
      <c r="H7" s="108"/>
      <c r="I7" s="108">
        <v>4.0</v>
      </c>
      <c r="J7" s="108" t="s">
        <v>8205</v>
      </c>
      <c r="K7" s="108"/>
      <c r="L7" s="108" t="s">
        <v>8207</v>
      </c>
      <c r="M7" s="108"/>
    </row>
    <row r="8" spans="8:8">
      <c r="B8" s="105" t="s">
        <v>765</v>
      </c>
      <c r="C8" s="106" t="s">
        <v>8203</v>
      </c>
      <c r="D8" s="78" t="s">
        <v>4601</v>
      </c>
      <c r="E8" s="8" t="s">
        <v>593</v>
      </c>
      <c r="F8" s="8" t="s">
        <v>593</v>
      </c>
      <c r="G8" s="107">
        <v>46023.0</v>
      </c>
      <c r="H8" s="108"/>
      <c r="I8" s="108">
        <v>7.0</v>
      </c>
      <c r="J8" s="108" t="s">
        <v>8205</v>
      </c>
      <c r="K8" s="108"/>
      <c r="L8" s="108" t="s">
        <v>3688</v>
      </c>
      <c r="M8" s="108"/>
    </row>
    <row r="9" spans="8:8">
      <c r="B9" s="105" t="s">
        <v>8204</v>
      </c>
      <c r="C9" s="106" t="s">
        <v>8203</v>
      </c>
      <c r="D9" s="56" t="s">
        <v>7706</v>
      </c>
      <c r="E9" s="8" t="s">
        <v>8132</v>
      </c>
      <c r="F9" s="8" t="s">
        <v>8132</v>
      </c>
      <c r="G9" s="107">
        <v>46023.0</v>
      </c>
      <c r="H9" s="108"/>
      <c r="I9" s="108">
        <v>1.0</v>
      </c>
      <c r="J9" s="108" t="s">
        <v>8205</v>
      </c>
      <c r="K9" s="108"/>
      <c r="L9" s="108" t="s">
        <v>8208</v>
      </c>
      <c r="M9" s="108"/>
      <c r="XFD9" s="87" t="s">
        <v>3364</v>
      </c>
    </row>
    <row r="10" spans="8:8">
      <c r="B10" s="105" t="s">
        <v>8204</v>
      </c>
      <c r="C10" s="106" t="s">
        <v>8203</v>
      </c>
      <c r="D10" s="56" t="s">
        <v>7683</v>
      </c>
      <c r="E10" s="8" t="s">
        <v>3903</v>
      </c>
      <c r="F10" s="8" t="s">
        <v>3903</v>
      </c>
      <c r="G10" s="107">
        <v>46023.0</v>
      </c>
      <c r="H10" s="108"/>
      <c r="I10" s="108">
        <v>2.0</v>
      </c>
      <c r="J10" s="108" t="s">
        <v>8205</v>
      </c>
      <c r="K10" s="108"/>
      <c r="L10" s="108" t="s">
        <v>3541</v>
      </c>
      <c r="M10" s="108"/>
      <c r="XFD10" s="87" t="s">
        <v>3364</v>
      </c>
    </row>
    <row r="11" spans="8:8">
      <c r="B11" s="105" t="s">
        <v>765</v>
      </c>
      <c r="C11" s="106" t="s">
        <v>8203</v>
      </c>
      <c r="D11" s="78" t="s">
        <v>4396</v>
      </c>
      <c r="E11" s="8" t="s">
        <v>1089</v>
      </c>
      <c r="F11" s="8" t="s">
        <v>1089</v>
      </c>
      <c r="G11" s="107">
        <v>46023.0</v>
      </c>
      <c r="H11" s="108"/>
      <c r="I11" s="108">
        <v>1.0</v>
      </c>
      <c r="J11" s="108" t="s">
        <v>8205</v>
      </c>
      <c r="K11" s="108"/>
      <c r="L11" s="108" t="s">
        <v>8209</v>
      </c>
      <c r="M11" s="108"/>
    </row>
    <row r="12" spans="8:8">
      <c r="B12" s="105" t="s">
        <v>828</v>
      </c>
      <c r="C12" s="106" t="s">
        <v>8210</v>
      </c>
      <c r="D12" s="60" t="s">
        <v>6924</v>
      </c>
      <c r="E12" s="8" t="s">
        <v>1245</v>
      </c>
      <c r="F12" s="8" t="s">
        <v>1245</v>
      </c>
      <c r="G12" s="107">
        <v>46023.0</v>
      </c>
      <c r="H12" s="108"/>
      <c r="I12" s="108">
        <v>1.0</v>
      </c>
      <c r="J12" s="108" t="s">
        <v>8211</v>
      </c>
      <c r="K12" s="108"/>
      <c r="L12" s="108" t="s">
        <v>8212</v>
      </c>
      <c r="M12" s="108"/>
      <c r="XFD12" s="87" t="s">
        <v>3364</v>
      </c>
    </row>
    <row r="13" spans="8:8">
      <c r="B13" s="105" t="s">
        <v>765</v>
      </c>
      <c r="C13" s="106" t="s">
        <v>8210</v>
      </c>
      <c r="D13" s="78" t="s">
        <v>4923</v>
      </c>
      <c r="E13" s="8" t="s">
        <v>8116</v>
      </c>
      <c r="F13" s="8" t="s">
        <v>8116</v>
      </c>
      <c r="G13" s="107">
        <v>46023.0</v>
      </c>
      <c r="H13" s="108"/>
      <c r="I13" s="108">
        <v>1.0</v>
      </c>
      <c r="J13" s="108" t="s">
        <v>8211</v>
      </c>
      <c r="K13" s="108"/>
      <c r="L13" s="108" t="s">
        <v>3688</v>
      </c>
      <c r="M13" s="108"/>
    </row>
    <row r="14" spans="8:8">
      <c r="B14" s="105" t="s">
        <v>765</v>
      </c>
      <c r="C14" s="106" t="s">
        <v>8210</v>
      </c>
      <c r="D14" s="78" t="s">
        <v>4599</v>
      </c>
      <c r="E14" s="8" t="s">
        <v>1562</v>
      </c>
      <c r="F14" s="8" t="s">
        <v>1562</v>
      </c>
      <c r="G14" s="107">
        <v>46023.0</v>
      </c>
      <c r="H14" s="108"/>
      <c r="I14" s="108">
        <v>3.0</v>
      </c>
      <c r="J14" s="108" t="s">
        <v>8211</v>
      </c>
      <c r="K14" s="108"/>
      <c r="L14" s="108" t="s">
        <v>8212</v>
      </c>
      <c r="M14" s="108"/>
    </row>
    <row r="15" spans="8:8">
      <c r="B15" s="105" t="s">
        <v>828</v>
      </c>
      <c r="C15" s="106" t="s">
        <v>8210</v>
      </c>
      <c r="D15" s="60" t="s">
        <v>7060</v>
      </c>
      <c r="E15" s="8" t="s">
        <v>551</v>
      </c>
      <c r="F15" s="8" t="s">
        <v>551</v>
      </c>
      <c r="G15" s="107">
        <v>46023.0</v>
      </c>
      <c r="H15" s="108"/>
      <c r="I15" s="108">
        <v>1.0</v>
      </c>
      <c r="J15" s="108" t="s">
        <v>8211</v>
      </c>
      <c r="K15" s="108"/>
      <c r="L15" s="108" t="s">
        <v>8212</v>
      </c>
      <c r="M15" s="108"/>
    </row>
    <row r="16" spans="8:8">
      <c r="B16" s="105" t="s">
        <v>765</v>
      </c>
      <c r="C16" s="106" t="s">
        <v>8213</v>
      </c>
      <c r="D16" s="78" t="s">
        <v>3951</v>
      </c>
      <c r="E16" s="8" t="s">
        <v>23</v>
      </c>
      <c r="F16" s="8" t="s">
        <v>3521</v>
      </c>
      <c r="G16" s="107">
        <v>46024.0</v>
      </c>
      <c r="H16" s="108"/>
      <c r="I16" s="108">
        <v>4.0</v>
      </c>
      <c r="J16" s="108" t="s">
        <v>8205</v>
      </c>
      <c r="K16" s="108"/>
      <c r="L16" s="108" t="s">
        <v>8214</v>
      </c>
      <c r="M16" s="108"/>
    </row>
    <row r="17" spans="8:8">
      <c r="B17" s="105" t="s">
        <v>8204</v>
      </c>
      <c r="C17" s="106" t="s">
        <v>8213</v>
      </c>
      <c r="D17" s="56" t="s">
        <v>7571</v>
      </c>
      <c r="E17" s="8" t="s">
        <v>1961</v>
      </c>
      <c r="F17" s="8" t="s">
        <v>1958</v>
      </c>
      <c r="G17" s="107">
        <v>46024.0</v>
      </c>
      <c r="H17" s="108"/>
      <c r="I17" s="108">
        <v>1.0</v>
      </c>
      <c r="J17" s="108" t="s">
        <v>8205</v>
      </c>
      <c r="K17" s="108"/>
      <c r="L17" s="108"/>
      <c r="M17" s="108"/>
    </row>
    <row r="18" spans="8:8">
      <c r="B18" s="105" t="s">
        <v>765</v>
      </c>
      <c r="C18" s="106" t="s">
        <v>8213</v>
      </c>
      <c r="D18" s="78" t="s">
        <v>4544</v>
      </c>
      <c r="E18" s="8" t="s">
        <v>176</v>
      </c>
      <c r="F18" s="8" t="s">
        <v>2768</v>
      </c>
      <c r="G18" s="107">
        <v>46024.0</v>
      </c>
      <c r="H18" s="108"/>
      <c r="I18" s="108">
        <v>2.0</v>
      </c>
      <c r="J18" s="108" t="s">
        <v>8205</v>
      </c>
      <c r="K18" s="108"/>
      <c r="L18" s="108" t="s">
        <v>8208</v>
      </c>
      <c r="M18" s="108"/>
    </row>
    <row r="19" spans="8:8">
      <c r="B19" s="105" t="s">
        <v>765</v>
      </c>
      <c r="C19" s="106" t="s">
        <v>8213</v>
      </c>
      <c r="D19" s="78" t="s">
        <v>4393</v>
      </c>
      <c r="E19" s="8" t="s">
        <v>44</v>
      </c>
      <c r="F19" s="8" t="s">
        <v>588</v>
      </c>
      <c r="G19" s="107">
        <v>46024.0</v>
      </c>
      <c r="H19" s="108"/>
      <c r="I19" s="108">
        <v>1.0</v>
      </c>
      <c r="J19" s="108" t="s">
        <v>8205</v>
      </c>
      <c r="K19" s="108"/>
      <c r="L19" s="108" t="s">
        <v>8215</v>
      </c>
      <c r="M19" s="108"/>
    </row>
    <row r="20" spans="8:8">
      <c r="B20" s="105" t="s">
        <v>765</v>
      </c>
      <c r="C20" s="106" t="s">
        <v>8213</v>
      </c>
      <c r="D20" s="78" t="s">
        <v>4405</v>
      </c>
      <c r="E20" s="8" t="s">
        <v>47</v>
      </c>
      <c r="F20" s="8" t="s">
        <v>1543</v>
      </c>
      <c r="G20" s="107">
        <v>46024.0</v>
      </c>
      <c r="H20" s="108"/>
      <c r="I20" s="108">
        <v>1.0</v>
      </c>
      <c r="J20" s="108" t="s">
        <v>8205</v>
      </c>
      <c r="K20" s="108"/>
      <c r="L20" s="108" t="s">
        <v>8215</v>
      </c>
      <c r="M20" s="108"/>
    </row>
    <row r="21" spans="8:8">
      <c r="B21" s="105" t="s">
        <v>765</v>
      </c>
      <c r="C21" s="106" t="s">
        <v>8213</v>
      </c>
      <c r="D21" s="78" t="s">
        <v>4494</v>
      </c>
      <c r="E21" s="8" t="s">
        <v>1263</v>
      </c>
      <c r="F21" s="8" t="s">
        <v>1263</v>
      </c>
      <c r="G21" s="107">
        <v>46024.0</v>
      </c>
      <c r="H21" s="108"/>
      <c r="I21" s="108">
        <v>1.0</v>
      </c>
      <c r="J21" s="108" t="s">
        <v>8205</v>
      </c>
      <c r="K21" s="108"/>
      <c r="L21" s="108" t="s">
        <v>8215</v>
      </c>
      <c r="M21" s="108"/>
    </row>
    <row r="22" spans="8:8">
      <c r="B22" s="105" t="s">
        <v>2528</v>
      </c>
      <c r="C22" s="106" t="s">
        <v>8216</v>
      </c>
      <c r="D22" s="60" t="s">
        <v>7960</v>
      </c>
      <c r="E22" s="8" t="s">
        <v>3047</v>
      </c>
      <c r="F22" s="8" t="s">
        <v>3047</v>
      </c>
      <c r="G22" s="107">
        <v>46025.0</v>
      </c>
      <c r="H22" s="108"/>
      <c r="I22" s="108">
        <v>1.0</v>
      </c>
      <c r="J22" s="108" t="s">
        <v>8205</v>
      </c>
      <c r="K22" s="108"/>
      <c r="L22" s="108" t="s">
        <v>8209</v>
      </c>
      <c r="M22" s="108"/>
    </row>
    <row r="23" spans="8:8">
      <c r="B23" s="105" t="s">
        <v>765</v>
      </c>
      <c r="C23" s="106" t="s">
        <v>8216</v>
      </c>
      <c r="D23" s="78" t="s">
        <v>3951</v>
      </c>
      <c r="E23" s="8" t="s">
        <v>23</v>
      </c>
      <c r="F23" s="8" t="s">
        <v>3521</v>
      </c>
      <c r="G23" s="107">
        <v>46025.0</v>
      </c>
      <c r="H23" s="108"/>
      <c r="I23" s="108">
        <v>4.0</v>
      </c>
      <c r="J23" s="108" t="s">
        <v>8205</v>
      </c>
      <c r="K23" s="108"/>
      <c r="L23" s="108" t="s">
        <v>8214</v>
      </c>
      <c r="M23" s="108"/>
    </row>
    <row r="24" spans="8:8">
      <c r="B24" s="105" t="s">
        <v>765</v>
      </c>
      <c r="C24" s="106" t="s">
        <v>8216</v>
      </c>
      <c r="D24" s="56" t="s">
        <v>7662</v>
      </c>
      <c r="E24" s="8" t="s">
        <v>1334</v>
      </c>
      <c r="F24" s="8" t="s">
        <v>3760</v>
      </c>
      <c r="G24" s="107">
        <v>46025.0</v>
      </c>
      <c r="H24" s="108"/>
      <c r="I24" s="108">
        <v>2.0</v>
      </c>
      <c r="J24" s="108" t="s">
        <v>8205</v>
      </c>
      <c r="K24" s="108"/>
      <c r="L24" s="108" t="s">
        <v>3688</v>
      </c>
      <c r="M24" s="108"/>
    </row>
    <row r="25" spans="8:8">
      <c r="B25" s="105" t="s">
        <v>765</v>
      </c>
      <c r="C25" s="106" t="s">
        <v>8216</v>
      </c>
      <c r="D25" s="78" t="s">
        <v>4183</v>
      </c>
      <c r="E25" s="8" t="s">
        <v>79</v>
      </c>
      <c r="F25" s="8" t="s">
        <v>815</v>
      </c>
      <c r="G25" s="107">
        <v>46025.0</v>
      </c>
      <c r="H25" s="108"/>
      <c r="I25" s="108">
        <v>1.0</v>
      </c>
      <c r="J25" s="108" t="s">
        <v>8205</v>
      </c>
      <c r="K25" s="108"/>
      <c r="L25" s="108" t="s">
        <v>8217</v>
      </c>
      <c r="M25" s="108"/>
    </row>
    <row r="26" spans="8:8">
      <c r="B26" s="105" t="s">
        <v>765</v>
      </c>
      <c r="C26" s="106" t="s">
        <v>8216</v>
      </c>
      <c r="D26" s="78" t="s">
        <v>4544</v>
      </c>
      <c r="E26" s="8" t="s">
        <v>176</v>
      </c>
      <c r="F26" s="8" t="s">
        <v>2768</v>
      </c>
      <c r="G26" s="107">
        <v>46025.0</v>
      </c>
      <c r="H26" s="108"/>
      <c r="I26" s="108">
        <v>3.0</v>
      </c>
      <c r="J26" s="108" t="s">
        <v>8205</v>
      </c>
      <c r="K26" s="108"/>
      <c r="L26" s="108" t="s">
        <v>8208</v>
      </c>
      <c r="M26" s="108"/>
    </row>
    <row r="27" spans="8:8">
      <c r="B27" s="105" t="s">
        <v>765</v>
      </c>
      <c r="C27" s="106" t="s">
        <v>8218</v>
      </c>
      <c r="D27" s="78" t="s">
        <v>4844</v>
      </c>
      <c r="E27" s="8" t="s">
        <v>1599</v>
      </c>
      <c r="F27" s="8" t="s">
        <v>1599</v>
      </c>
      <c r="G27" s="107">
        <v>46025.0</v>
      </c>
      <c r="H27" s="108"/>
      <c r="I27" s="108">
        <v>10.0</v>
      </c>
      <c r="J27" s="108" t="s">
        <v>8205</v>
      </c>
      <c r="K27" s="108"/>
      <c r="L27" s="108" t="s">
        <v>8209</v>
      </c>
      <c r="M27" s="108"/>
    </row>
    <row r="28" spans="8:8">
      <c r="B28" s="105" t="s">
        <v>765</v>
      </c>
      <c r="C28" s="106" t="s">
        <v>8218</v>
      </c>
      <c r="D28" s="78" t="s">
        <v>4842</v>
      </c>
      <c r="E28" s="8" t="s">
        <v>1611</v>
      </c>
      <c r="F28" s="8" t="s">
        <v>1611</v>
      </c>
      <c r="G28" s="107">
        <v>46025.0</v>
      </c>
      <c r="H28" s="108"/>
      <c r="I28" s="108">
        <v>5.0</v>
      </c>
      <c r="J28" s="108" t="s">
        <v>8205</v>
      </c>
      <c r="K28" s="108"/>
      <c r="L28" s="108" t="s">
        <v>8219</v>
      </c>
      <c r="M28" s="108"/>
    </row>
    <row r="29" spans="8:8">
      <c r="B29" s="105" t="s">
        <v>765</v>
      </c>
      <c r="C29" s="106" t="s">
        <v>8218</v>
      </c>
      <c r="D29" s="78" t="s">
        <v>5199</v>
      </c>
      <c r="E29" s="8" t="s">
        <v>3105</v>
      </c>
      <c r="F29" s="8" t="s">
        <v>3105</v>
      </c>
      <c r="G29" s="107">
        <v>46025.0</v>
      </c>
      <c r="H29" s="108"/>
      <c r="I29" s="108">
        <v>1.0</v>
      </c>
      <c r="J29" s="108" t="s">
        <v>8205</v>
      </c>
      <c r="K29" s="108"/>
      <c r="L29" s="108" t="s">
        <v>8220</v>
      </c>
      <c r="M29" s="108"/>
    </row>
    <row r="30" spans="8:8">
      <c r="B30" s="105" t="s">
        <v>765</v>
      </c>
      <c r="C30" s="106" t="s">
        <v>8218</v>
      </c>
      <c r="D30" s="78" t="s">
        <v>4912</v>
      </c>
      <c r="E30" s="8" t="s">
        <v>2826</v>
      </c>
      <c r="F30" s="8" t="s">
        <v>2826</v>
      </c>
      <c r="G30" s="107">
        <v>46025.0</v>
      </c>
      <c r="H30" s="108"/>
      <c r="I30" s="108">
        <v>37.0</v>
      </c>
      <c r="J30" s="108" t="s">
        <v>8205</v>
      </c>
      <c r="K30" s="108"/>
      <c r="L30" s="108" t="s">
        <v>8221</v>
      </c>
      <c r="M30" s="108"/>
    </row>
    <row r="31" spans="8:8">
      <c r="B31" s="105" t="s">
        <v>8204</v>
      </c>
      <c r="C31" s="106" t="s">
        <v>8222</v>
      </c>
      <c r="D31" s="56" t="s">
        <v>7567</v>
      </c>
      <c r="E31" s="8" t="s">
        <v>1334</v>
      </c>
      <c r="F31" s="8" t="s">
        <v>1960</v>
      </c>
      <c r="G31" s="107">
        <v>46026.0</v>
      </c>
      <c r="H31" s="108"/>
      <c r="I31" s="108">
        <v>2.0</v>
      </c>
      <c r="J31" s="108" t="s">
        <v>8205</v>
      </c>
      <c r="K31" s="108"/>
      <c r="L31" s="108" t="s">
        <v>3688</v>
      </c>
      <c r="M31" s="108"/>
    </row>
    <row r="32" spans="8:8">
      <c r="B32" s="105" t="s">
        <v>8204</v>
      </c>
      <c r="C32" s="106" t="s">
        <v>8222</v>
      </c>
      <c r="D32" s="56" t="s">
        <v>7662</v>
      </c>
      <c r="E32" s="8" t="s">
        <v>1334</v>
      </c>
      <c r="F32" s="8" t="s">
        <v>3760</v>
      </c>
      <c r="G32" s="107">
        <v>46026.0</v>
      </c>
      <c r="H32" s="108"/>
      <c r="I32" s="108">
        <v>4.0</v>
      </c>
      <c r="J32" s="108" t="s">
        <v>8205</v>
      </c>
      <c r="K32" s="108"/>
      <c r="L32" s="108" t="s">
        <v>3688</v>
      </c>
      <c r="M32" s="108"/>
    </row>
    <row r="33" spans="8:8">
      <c r="B33" s="105" t="s">
        <v>2528</v>
      </c>
      <c r="C33" s="106" t="s">
        <v>8222</v>
      </c>
      <c r="D33" s="60" t="s">
        <v>7967</v>
      </c>
      <c r="E33" s="8" t="s">
        <v>3054</v>
      </c>
      <c r="F33" s="8" t="s">
        <v>3054</v>
      </c>
      <c r="G33" s="107">
        <v>46026.0</v>
      </c>
      <c r="H33" s="108"/>
      <c r="I33" s="108">
        <v>1.0</v>
      </c>
      <c r="J33" s="108" t="s">
        <v>8205</v>
      </c>
      <c r="K33" s="108"/>
      <c r="L33" s="108" t="s">
        <v>8223</v>
      </c>
      <c r="M33" s="108"/>
    </row>
    <row r="34" spans="8:8">
      <c r="B34" s="105" t="s">
        <v>2528</v>
      </c>
      <c r="C34" s="106" t="s">
        <v>8222</v>
      </c>
      <c r="D34" s="60" t="s">
        <v>7938</v>
      </c>
      <c r="E34" s="8" t="s">
        <v>1538</v>
      </c>
      <c r="F34" s="8" t="s">
        <v>1538</v>
      </c>
      <c r="G34" s="107">
        <v>46026.0</v>
      </c>
      <c r="H34" s="108"/>
      <c r="I34" s="108">
        <v>2.0</v>
      </c>
      <c r="J34" s="108" t="s">
        <v>8205</v>
      </c>
      <c r="K34" s="108"/>
      <c r="L34" s="108" t="s">
        <v>8224</v>
      </c>
      <c r="M34" s="108"/>
    </row>
    <row r="35" spans="8:8">
      <c r="B35" s="105" t="s">
        <v>765</v>
      </c>
      <c r="C35" s="106" t="s">
        <v>8222</v>
      </c>
      <c r="D35" s="78" t="s">
        <v>4180</v>
      </c>
      <c r="E35" s="8" t="s">
        <v>80</v>
      </c>
      <c r="F35" s="8" t="s">
        <v>1159</v>
      </c>
      <c r="G35" s="107">
        <v>46026.0</v>
      </c>
      <c r="H35" s="108"/>
      <c r="I35" s="108">
        <v>1.0</v>
      </c>
      <c r="J35" s="108" t="s">
        <v>8205</v>
      </c>
      <c r="K35" s="108"/>
      <c r="L35" s="108" t="s">
        <v>8217</v>
      </c>
      <c r="M35" s="108"/>
    </row>
    <row r="36" spans="8:8">
      <c r="B36" s="105" t="s">
        <v>765</v>
      </c>
      <c r="C36" s="106" t="s">
        <v>8222</v>
      </c>
      <c r="D36" s="78" t="s">
        <v>4790</v>
      </c>
      <c r="E36" s="8" t="s">
        <v>69</v>
      </c>
      <c r="F36" s="8" t="s">
        <v>602</v>
      </c>
      <c r="G36" s="107">
        <v>46026.0</v>
      </c>
      <c r="H36" s="108"/>
      <c r="I36" s="108">
        <v>1.0</v>
      </c>
      <c r="J36" s="108" t="s">
        <v>8205</v>
      </c>
      <c r="K36" s="108"/>
      <c r="L36" s="108" t="s">
        <v>8217</v>
      </c>
      <c r="M36" s="108"/>
    </row>
    <row r="37" spans="8:8">
      <c r="B37" s="105" t="s">
        <v>765</v>
      </c>
      <c r="C37" s="106" t="s">
        <v>8225</v>
      </c>
      <c r="D37" s="78" t="s">
        <v>4653</v>
      </c>
      <c r="E37" s="8" t="s">
        <v>982</v>
      </c>
      <c r="F37" s="8" t="s">
        <v>914</v>
      </c>
      <c r="G37" s="107">
        <v>46026.0</v>
      </c>
      <c r="H37" s="108"/>
      <c r="I37" s="108">
        <v>3.0</v>
      </c>
      <c r="J37" s="108" t="s">
        <v>8205</v>
      </c>
      <c r="K37" s="108"/>
      <c r="L37" s="108" t="s">
        <v>8226</v>
      </c>
      <c r="M37" s="108"/>
    </row>
    <row r="38" spans="8:8">
      <c r="B38" s="105" t="s">
        <v>765</v>
      </c>
      <c r="C38" s="106" t="s">
        <v>8225</v>
      </c>
      <c r="D38" s="78" t="s">
        <v>4912</v>
      </c>
      <c r="E38" s="8" t="s">
        <v>2826</v>
      </c>
      <c r="F38" s="8" t="s">
        <v>2826</v>
      </c>
      <c r="G38" s="107">
        <v>46026.0</v>
      </c>
      <c r="H38" s="108"/>
      <c r="I38" s="108">
        <v>4.0</v>
      </c>
      <c r="J38" s="108" t="s">
        <v>8205</v>
      </c>
      <c r="K38" s="108"/>
      <c r="L38" s="108" t="s">
        <v>2691</v>
      </c>
      <c r="M38" s="108"/>
    </row>
    <row r="39" spans="8:8">
      <c r="B39" s="105" t="s">
        <v>2528</v>
      </c>
      <c r="C39" s="106" t="s">
        <v>8225</v>
      </c>
      <c r="D39" s="60" t="s">
        <v>7861</v>
      </c>
      <c r="E39" s="8" t="s">
        <v>1042</v>
      </c>
      <c r="F39" s="8" t="s">
        <v>1042</v>
      </c>
      <c r="G39" s="107">
        <v>46026.0</v>
      </c>
      <c r="H39" s="108"/>
      <c r="I39" s="108">
        <v>8.0</v>
      </c>
      <c r="J39" s="108" t="s">
        <v>8205</v>
      </c>
      <c r="K39" s="108"/>
      <c r="L39" s="108" t="s">
        <v>8227</v>
      </c>
      <c r="M39" s="108"/>
    </row>
    <row r="40" spans="8:8">
      <c r="B40" s="105" t="s">
        <v>765</v>
      </c>
      <c r="C40" s="106" t="s">
        <v>8228</v>
      </c>
      <c r="D40" s="78" t="s">
        <v>4648</v>
      </c>
      <c r="E40" s="8" t="s">
        <v>412</v>
      </c>
      <c r="F40" s="8" t="s">
        <v>3233</v>
      </c>
      <c r="G40" s="107">
        <v>46026.0</v>
      </c>
      <c r="H40" s="108"/>
      <c r="I40" s="108">
        <v>1.0</v>
      </c>
      <c r="J40" s="108" t="s">
        <v>8211</v>
      </c>
      <c r="K40" s="108"/>
      <c r="L40" s="108" t="s">
        <v>8229</v>
      </c>
      <c r="M40" s="108"/>
    </row>
    <row r="41" spans="8:8">
      <c r="B41" s="105" t="s">
        <v>765</v>
      </c>
      <c r="C41" s="106" t="s">
        <v>8228</v>
      </c>
      <c r="D41" s="78" t="s">
        <v>4923</v>
      </c>
      <c r="E41" s="8" t="s">
        <v>8116</v>
      </c>
      <c r="F41" s="8" t="s">
        <v>8116</v>
      </c>
      <c r="G41" s="107">
        <v>46026.0</v>
      </c>
      <c r="H41" s="108"/>
      <c r="I41" s="108">
        <v>1.0</v>
      </c>
      <c r="J41" s="108" t="s">
        <v>8211</v>
      </c>
      <c r="K41" s="108"/>
      <c r="L41" s="108" t="s">
        <v>8230</v>
      </c>
      <c r="M41" s="108"/>
    </row>
    <row r="42" spans="8:8">
      <c r="B42" s="105" t="s">
        <v>765</v>
      </c>
      <c r="C42" s="106" t="s">
        <v>8228</v>
      </c>
      <c r="D42" s="78" t="s">
        <v>4729</v>
      </c>
      <c r="E42" s="8" t="s">
        <v>796</v>
      </c>
      <c r="F42" s="8" t="s">
        <v>725</v>
      </c>
      <c r="G42" s="107">
        <v>46026.0</v>
      </c>
      <c r="H42" s="108"/>
      <c r="I42" s="108">
        <v>1.0</v>
      </c>
      <c r="J42" s="108" t="s">
        <v>8211</v>
      </c>
      <c r="K42" s="108"/>
      <c r="L42" s="108" t="s">
        <v>8231</v>
      </c>
      <c r="M42" s="108"/>
    </row>
    <row r="43" spans="8:8">
      <c r="B43" s="105" t="s">
        <v>765</v>
      </c>
      <c r="C43" s="106" t="s">
        <v>8228</v>
      </c>
      <c r="D43" s="78" t="s">
        <v>4740</v>
      </c>
      <c r="E43" s="8" t="s">
        <v>797</v>
      </c>
      <c r="F43" s="8" t="s">
        <v>730</v>
      </c>
      <c r="G43" s="107">
        <v>46026.0</v>
      </c>
      <c r="H43" s="108"/>
      <c r="I43" s="108">
        <v>1.0</v>
      </c>
      <c r="J43" s="108" t="s">
        <v>8211</v>
      </c>
      <c r="K43" s="108"/>
      <c r="L43" s="108" t="s">
        <v>8231</v>
      </c>
      <c r="M43" s="108"/>
    </row>
    <row r="44" spans="8:8">
      <c r="B44" s="105" t="s">
        <v>765</v>
      </c>
      <c r="C44" s="106" t="s">
        <v>8228</v>
      </c>
      <c r="D44" s="78" t="s">
        <v>4743</v>
      </c>
      <c r="E44" s="8" t="s">
        <v>797</v>
      </c>
      <c r="F44" s="8" t="s">
        <v>729</v>
      </c>
      <c r="G44" s="107">
        <v>46026.0</v>
      </c>
      <c r="H44" s="108"/>
      <c r="I44" s="108">
        <v>1.0</v>
      </c>
      <c r="J44" s="108" t="s">
        <v>8211</v>
      </c>
      <c r="K44" s="108"/>
      <c r="L44" s="108" t="s">
        <v>8231</v>
      </c>
      <c r="M44" s="108"/>
    </row>
    <row r="45" spans="8:8">
      <c r="B45" s="105" t="s">
        <v>765</v>
      </c>
      <c r="C45" s="106" t="s">
        <v>8232</v>
      </c>
      <c r="D45" s="78" t="s">
        <v>4601</v>
      </c>
      <c r="E45" s="8" t="s">
        <v>593</v>
      </c>
      <c r="F45" s="8" t="s">
        <v>593</v>
      </c>
      <c r="G45" s="107">
        <v>46027.0</v>
      </c>
      <c r="H45" s="108"/>
      <c r="I45" s="108">
        <v>5.0</v>
      </c>
      <c r="J45" s="108" t="s">
        <v>8205</v>
      </c>
      <c r="K45" s="108"/>
      <c r="L45" s="108" t="s">
        <v>3688</v>
      </c>
      <c r="M45" s="108"/>
    </row>
    <row r="46" spans="8:8">
      <c r="B46" s="105" t="s">
        <v>765</v>
      </c>
      <c r="C46" s="106" t="s">
        <v>8232</v>
      </c>
      <c r="D46" s="78" t="s">
        <v>4844</v>
      </c>
      <c r="E46" s="8" t="s">
        <v>1599</v>
      </c>
      <c r="F46" s="8" t="s">
        <v>1599</v>
      </c>
      <c r="G46" s="107">
        <v>46027.0</v>
      </c>
      <c r="H46" s="108"/>
      <c r="I46" s="108">
        <v>5.0</v>
      </c>
      <c r="J46" s="108" t="s">
        <v>8205</v>
      </c>
      <c r="K46" s="108"/>
      <c r="L46" s="108" t="s">
        <v>8209</v>
      </c>
      <c r="M46" s="108"/>
    </row>
    <row r="47" spans="8:8">
      <c r="B47" s="105" t="s">
        <v>765</v>
      </c>
      <c r="C47" s="106" t="s">
        <v>8232</v>
      </c>
      <c r="D47" s="78" t="s">
        <v>4544</v>
      </c>
      <c r="E47" s="8" t="s">
        <v>176</v>
      </c>
      <c r="F47" s="8" t="s">
        <v>2768</v>
      </c>
      <c r="G47" s="107">
        <v>46027.0</v>
      </c>
      <c r="H47" s="108"/>
      <c r="I47" s="108">
        <v>1.0</v>
      </c>
      <c r="J47" s="108" t="s">
        <v>8205</v>
      </c>
      <c r="K47" s="108"/>
      <c r="L47" s="108" t="s">
        <v>8233</v>
      </c>
      <c r="M47" s="108"/>
    </row>
    <row r="48" spans="8:8">
      <c r="B48" s="105" t="s">
        <v>765</v>
      </c>
      <c r="C48" s="106" t="s">
        <v>8232</v>
      </c>
      <c r="D48" s="78" t="s">
        <v>4475</v>
      </c>
      <c r="E48" s="8" t="s">
        <v>151</v>
      </c>
      <c r="F48" s="8" t="s">
        <v>566</v>
      </c>
      <c r="G48" s="107">
        <v>46027.0</v>
      </c>
      <c r="H48" s="108"/>
      <c r="I48" s="108">
        <v>1.0</v>
      </c>
      <c r="J48" s="108" t="s">
        <v>8205</v>
      </c>
      <c r="K48" s="108"/>
      <c r="L48" s="108" t="s">
        <v>8233</v>
      </c>
      <c r="M48" s="108"/>
    </row>
    <row r="49" spans="8:8">
      <c r="B49" s="105" t="s">
        <v>765</v>
      </c>
      <c r="C49" s="106" t="s">
        <v>8232</v>
      </c>
      <c r="D49" s="78" t="s">
        <v>4518</v>
      </c>
      <c r="E49" s="8" t="s">
        <v>167</v>
      </c>
      <c r="F49" s="8" t="s">
        <v>1007</v>
      </c>
      <c r="G49" s="107">
        <v>46027.0</v>
      </c>
      <c r="H49" s="108"/>
      <c r="I49" s="108">
        <v>1.0</v>
      </c>
      <c r="J49" s="108" t="s">
        <v>8205</v>
      </c>
      <c r="K49" s="108"/>
      <c r="L49" s="108" t="s">
        <v>8233</v>
      </c>
      <c r="M49" s="108"/>
    </row>
    <row r="50" spans="8:8">
      <c r="B50" s="105" t="s">
        <v>765</v>
      </c>
      <c r="C50" s="106" t="s">
        <v>8232</v>
      </c>
      <c r="D50" s="78" t="s">
        <v>4412</v>
      </c>
      <c r="E50" s="8" t="s">
        <v>1037</v>
      </c>
      <c r="F50" s="8" t="s">
        <v>1037</v>
      </c>
      <c r="G50" s="107">
        <v>46027.0</v>
      </c>
      <c r="H50" s="108"/>
      <c r="I50" s="108">
        <v>2.0</v>
      </c>
      <c r="J50" s="108" t="s">
        <v>8205</v>
      </c>
      <c r="K50" s="108"/>
      <c r="L50" s="108" t="s">
        <v>8233</v>
      </c>
      <c r="M50" s="108"/>
    </row>
    <row r="51" spans="8:8">
      <c r="B51" s="105" t="s">
        <v>765</v>
      </c>
      <c r="C51" s="106" t="s">
        <v>8234</v>
      </c>
      <c r="D51" s="78" t="s">
        <v>4183</v>
      </c>
      <c r="E51" s="8" t="s">
        <v>79</v>
      </c>
      <c r="F51" s="8" t="s">
        <v>815</v>
      </c>
      <c r="G51" s="107">
        <v>46027.0</v>
      </c>
      <c r="H51" s="108"/>
      <c r="I51" s="108">
        <v>1.0</v>
      </c>
      <c r="J51" s="108" t="s">
        <v>8205</v>
      </c>
      <c r="K51" s="108"/>
      <c r="L51" s="108" t="s">
        <v>8217</v>
      </c>
      <c r="M51" s="108"/>
    </row>
    <row r="52" spans="8:8">
      <c r="B52" s="105" t="s">
        <v>765</v>
      </c>
      <c r="C52" s="106" t="s">
        <v>8234</v>
      </c>
      <c r="D52" s="78" t="s">
        <v>4931</v>
      </c>
      <c r="E52" s="8" t="s">
        <v>1322</v>
      </c>
      <c r="F52" s="8" t="s">
        <v>1322</v>
      </c>
      <c r="G52" s="107">
        <v>46027.0</v>
      </c>
      <c r="H52" s="108"/>
      <c r="I52" s="108">
        <v>1.0</v>
      </c>
      <c r="J52" s="108" t="s">
        <v>8205</v>
      </c>
      <c r="K52" s="108"/>
      <c r="L52" s="108" t="s">
        <v>8217</v>
      </c>
      <c r="M52" s="108"/>
    </row>
    <row r="53" spans="8:8">
      <c r="B53" s="105" t="s">
        <v>8204</v>
      </c>
      <c r="C53" s="106" t="s">
        <v>8234</v>
      </c>
      <c r="D53" s="56" t="s">
        <v>7538</v>
      </c>
      <c r="E53" s="8" t="s">
        <v>356</v>
      </c>
      <c r="F53" s="8" t="s">
        <v>2582</v>
      </c>
      <c r="G53" s="107">
        <v>46027.0</v>
      </c>
      <c r="H53" s="108"/>
      <c r="I53" s="108">
        <v>1.0</v>
      </c>
      <c r="J53" s="108" t="s">
        <v>8205</v>
      </c>
      <c r="K53" s="108"/>
      <c r="L53" s="108" t="s">
        <v>8235</v>
      </c>
      <c r="M53" s="108"/>
    </row>
    <row r="54" spans="8:8">
      <c r="B54" s="105" t="s">
        <v>8204</v>
      </c>
      <c r="C54" s="106" t="s">
        <v>8234</v>
      </c>
      <c r="D54" s="56" t="s">
        <v>7553</v>
      </c>
      <c r="E54" s="8" t="s">
        <v>329</v>
      </c>
      <c r="F54" s="8" t="s">
        <v>594</v>
      </c>
      <c r="G54" s="107">
        <v>46027.0</v>
      </c>
      <c r="H54" s="108"/>
      <c r="I54" s="108">
        <v>1.0</v>
      </c>
      <c r="J54" s="108" t="s">
        <v>8205</v>
      </c>
      <c r="K54" s="108"/>
      <c r="L54" s="108" t="s">
        <v>8235</v>
      </c>
      <c r="M54" s="108"/>
    </row>
    <row r="55" spans="8:8">
      <c r="B55" s="105" t="s">
        <v>765</v>
      </c>
      <c r="C55" s="106" t="s">
        <v>8234</v>
      </c>
      <c r="D55" s="78" t="s">
        <v>4181</v>
      </c>
      <c r="E55" s="8" t="s">
        <v>109</v>
      </c>
      <c r="F55" s="8" t="s">
        <v>109</v>
      </c>
      <c r="G55" s="107">
        <v>46027.0</v>
      </c>
      <c r="H55" s="108"/>
      <c r="I55" s="108">
        <v>1.0</v>
      </c>
      <c r="J55" s="108" t="s">
        <v>8205</v>
      </c>
      <c r="K55" s="108"/>
      <c r="L55" s="108" t="s">
        <v>2691</v>
      </c>
      <c r="M55" s="108"/>
    </row>
    <row r="56" spans="8:8">
      <c r="B56" s="105" t="s">
        <v>765</v>
      </c>
      <c r="C56" s="106" t="s">
        <v>8236</v>
      </c>
      <c r="D56" s="78" t="s">
        <v>4666</v>
      </c>
      <c r="E56" s="8" t="s">
        <v>3694</v>
      </c>
      <c r="F56" s="8" t="s">
        <v>3694</v>
      </c>
      <c r="G56" s="107">
        <v>46027.0</v>
      </c>
      <c r="H56" s="108"/>
      <c r="I56" s="108">
        <v>2.0</v>
      </c>
      <c r="J56" s="108" t="s">
        <v>8211</v>
      </c>
      <c r="K56" s="108"/>
      <c r="L56" s="108" t="s">
        <v>8237</v>
      </c>
      <c r="M56" s="108"/>
    </row>
    <row r="57" spans="8:8">
      <c r="B57" s="105" t="s">
        <v>765</v>
      </c>
      <c r="C57" s="106" t="s">
        <v>8236</v>
      </c>
      <c r="D57" s="78" t="s">
        <v>4842</v>
      </c>
      <c r="E57" s="8" t="s">
        <v>1611</v>
      </c>
      <c r="F57" s="8" t="s">
        <v>1611</v>
      </c>
      <c r="G57" s="107">
        <v>46027.0</v>
      </c>
      <c r="H57" s="108"/>
      <c r="I57" s="108">
        <v>2.0</v>
      </c>
      <c r="J57" s="108" t="s">
        <v>8211</v>
      </c>
      <c r="K57" s="108"/>
      <c r="L57" s="108" t="s">
        <v>8237</v>
      </c>
      <c r="M57" s="108"/>
    </row>
    <row r="58" spans="8:8">
      <c r="B58" s="105" t="s">
        <v>2532</v>
      </c>
      <c r="C58" s="106" t="s">
        <v>8238</v>
      </c>
      <c r="D58" s="60" t="s">
        <v>7990</v>
      </c>
      <c r="E58" s="8" t="s">
        <v>3574</v>
      </c>
      <c r="F58" s="8" t="s">
        <v>3574</v>
      </c>
      <c r="G58" s="107">
        <v>46028.0</v>
      </c>
      <c r="H58" s="108"/>
      <c r="I58" s="108">
        <v>2.0</v>
      </c>
      <c r="J58" s="108" t="s">
        <v>8205</v>
      </c>
      <c r="K58" s="108"/>
      <c r="L58" s="108" t="s">
        <v>8239</v>
      </c>
      <c r="M58" s="108"/>
    </row>
    <row r="59" spans="8:8">
      <c r="B59" s="105" t="s">
        <v>765</v>
      </c>
      <c r="C59" s="106" t="s">
        <v>8238</v>
      </c>
      <c r="D59" s="78" t="s">
        <v>4931</v>
      </c>
      <c r="E59" s="8" t="s">
        <v>1322</v>
      </c>
      <c r="F59" s="8" t="s">
        <v>1322</v>
      </c>
      <c r="G59" s="107">
        <v>46028.0</v>
      </c>
      <c r="H59" s="108"/>
      <c r="I59" s="108">
        <v>2.0</v>
      </c>
      <c r="J59" s="108" t="s">
        <v>8205</v>
      </c>
      <c r="K59" s="108"/>
      <c r="L59" s="108" t="s">
        <v>8217</v>
      </c>
      <c r="M59" s="108"/>
    </row>
    <row r="60" spans="8:8">
      <c r="B60" s="105" t="s">
        <v>765</v>
      </c>
      <c r="C60" s="106" t="s">
        <v>8238</v>
      </c>
      <c r="D60" s="78" t="s">
        <v>4844</v>
      </c>
      <c r="E60" s="8" t="s">
        <v>1599</v>
      </c>
      <c r="F60" s="8" t="s">
        <v>1599</v>
      </c>
      <c r="G60" s="107">
        <v>46028.0</v>
      </c>
      <c r="H60" s="108"/>
      <c r="I60" s="108">
        <v>11.0</v>
      </c>
      <c r="J60" s="108" t="s">
        <v>8205</v>
      </c>
      <c r="K60" s="108"/>
      <c r="L60" s="108" t="s">
        <v>8240</v>
      </c>
      <c r="M60" s="108"/>
    </row>
    <row r="61" spans="8:8">
      <c r="B61" s="105" t="s">
        <v>765</v>
      </c>
      <c r="C61" s="106" t="s">
        <v>8238</v>
      </c>
      <c r="D61" s="78" t="s">
        <v>4846</v>
      </c>
      <c r="E61" s="8" t="s">
        <v>864</v>
      </c>
      <c r="F61" s="8" t="s">
        <v>864</v>
      </c>
      <c r="G61" s="107">
        <v>46028.0</v>
      </c>
      <c r="H61" s="108"/>
      <c r="I61" s="108">
        <v>4.0</v>
      </c>
      <c r="J61" s="108" t="s">
        <v>8205</v>
      </c>
      <c r="K61" s="108"/>
      <c r="L61" s="108" t="s">
        <v>8241</v>
      </c>
      <c r="M61" s="108"/>
    </row>
    <row r="62" spans="8:8">
      <c r="B62" s="105" t="s">
        <v>765</v>
      </c>
      <c r="C62" s="106" t="s">
        <v>8238</v>
      </c>
      <c r="D62" s="78" t="s">
        <v>4912</v>
      </c>
      <c r="E62" s="8" t="s">
        <v>2826</v>
      </c>
      <c r="F62" s="8" t="s">
        <v>2826</v>
      </c>
      <c r="G62" s="107">
        <v>46028.0</v>
      </c>
      <c r="H62" s="108"/>
      <c r="I62" s="108">
        <v>4.0</v>
      </c>
      <c r="J62" s="108" t="s">
        <v>8205</v>
      </c>
      <c r="K62" s="108"/>
      <c r="L62" s="108" t="s">
        <v>8242</v>
      </c>
      <c r="M62" s="108"/>
    </row>
    <row r="63" spans="8:8">
      <c r="B63" s="105" t="s">
        <v>2532</v>
      </c>
      <c r="C63" s="106" t="s">
        <v>8243</v>
      </c>
      <c r="D63" s="60" t="s">
        <v>7948</v>
      </c>
      <c r="E63" s="8" t="s">
        <v>1070</v>
      </c>
      <c r="F63" s="8" t="s">
        <v>1070</v>
      </c>
      <c r="G63" s="107">
        <v>46028.0</v>
      </c>
      <c r="H63" s="108"/>
      <c r="I63" s="108">
        <v>6.0</v>
      </c>
      <c r="J63" s="108" t="s">
        <v>8244</v>
      </c>
      <c r="K63" s="108"/>
      <c r="L63" s="108" t="s">
        <v>1016</v>
      </c>
      <c r="M63" s="108"/>
    </row>
    <row r="64" spans="8:8">
      <c r="B64" s="105" t="s">
        <v>765</v>
      </c>
      <c r="C64" s="106" t="s">
        <v>8243</v>
      </c>
      <c r="D64" s="78" t="s">
        <v>5387</v>
      </c>
      <c r="E64" s="8" t="s">
        <v>3475</v>
      </c>
      <c r="F64" s="8" t="s">
        <v>3475</v>
      </c>
      <c r="G64" s="107">
        <v>46028.0</v>
      </c>
      <c r="H64" s="108"/>
      <c r="I64" s="108">
        <v>100.0</v>
      </c>
      <c r="J64" s="108" t="s">
        <v>8244</v>
      </c>
      <c r="K64" s="108"/>
      <c r="L64" s="108" t="s">
        <v>568</v>
      </c>
      <c r="M64" s="108"/>
    </row>
    <row r="65" spans="8:8">
      <c r="B65" s="105" t="s">
        <v>765</v>
      </c>
      <c r="C65" s="106" t="s">
        <v>8243</v>
      </c>
      <c r="D65" s="78" t="s">
        <v>4830</v>
      </c>
      <c r="E65" s="8" t="s">
        <v>3597</v>
      </c>
      <c r="F65" s="8" t="s">
        <v>3597</v>
      </c>
      <c r="G65" s="107">
        <v>46028.0</v>
      </c>
      <c r="H65" s="108"/>
      <c r="I65" s="108">
        <v>2.0</v>
      </c>
      <c r="J65" s="108" t="s">
        <v>8244</v>
      </c>
      <c r="K65" s="108"/>
      <c r="L65" s="108" t="s">
        <v>8245</v>
      </c>
      <c r="M65" s="108"/>
    </row>
    <row r="66" spans="8:8">
      <c r="B66" s="105" t="s">
        <v>765</v>
      </c>
      <c r="C66" s="106" t="s">
        <v>8243</v>
      </c>
      <c r="D66" s="78" t="s">
        <v>4178</v>
      </c>
      <c r="E66" s="8" t="s">
        <v>1502</v>
      </c>
      <c r="F66" s="8" t="s">
        <v>1502</v>
      </c>
      <c r="G66" s="107">
        <v>46028.0</v>
      </c>
      <c r="H66" s="108"/>
      <c r="I66" s="108">
        <v>1.0</v>
      </c>
      <c r="J66" s="108" t="s">
        <v>8244</v>
      </c>
      <c r="K66" s="108"/>
      <c r="L66" s="108" t="s">
        <v>568</v>
      </c>
      <c r="M66" s="108"/>
    </row>
    <row r="67" spans="8:8">
      <c r="B67" s="105" t="s">
        <v>767</v>
      </c>
      <c r="C67" s="106" t="s">
        <v>8246</v>
      </c>
      <c r="D67" s="60" t="s">
        <v>7950</v>
      </c>
      <c r="E67" s="8" t="s">
        <v>2729</v>
      </c>
      <c r="F67" s="8" t="s">
        <v>2729</v>
      </c>
      <c r="G67" s="107">
        <v>46028.0</v>
      </c>
      <c r="H67" s="108"/>
      <c r="I67" s="108">
        <v>2.0</v>
      </c>
      <c r="J67" s="108" t="s">
        <v>8247</v>
      </c>
      <c r="K67" s="108"/>
      <c r="L67" s="108" t="s">
        <v>8248</v>
      </c>
      <c r="M67" s="108"/>
    </row>
    <row r="68" spans="8:8">
      <c r="B68" s="105" t="s">
        <v>765</v>
      </c>
      <c r="C68" s="106" t="s">
        <v>8246</v>
      </c>
      <c r="D68" s="78" t="s">
        <v>4200</v>
      </c>
      <c r="E68" s="8" t="s">
        <v>1485</v>
      </c>
      <c r="F68" s="8" t="s">
        <v>1485</v>
      </c>
      <c r="G68" s="107">
        <v>46028.0</v>
      </c>
      <c r="H68" s="108"/>
      <c r="I68" s="108">
        <v>1.0</v>
      </c>
      <c r="J68" s="108" t="s">
        <v>8247</v>
      </c>
      <c r="K68" s="108"/>
      <c r="L68" s="108" t="s">
        <v>8248</v>
      </c>
      <c r="M68" s="108"/>
    </row>
    <row r="69" spans="8:8">
      <c r="B69" s="105" t="s">
        <v>765</v>
      </c>
      <c r="C69" s="106" t="s">
        <v>8246</v>
      </c>
      <c r="D69" s="78" t="s">
        <v>4844</v>
      </c>
      <c r="E69" s="8" t="s">
        <v>1599</v>
      </c>
      <c r="F69" s="8" t="s">
        <v>1599</v>
      </c>
      <c r="G69" s="107">
        <v>46028.0</v>
      </c>
      <c r="H69" s="108"/>
      <c r="I69" s="108">
        <v>4.0</v>
      </c>
      <c r="J69" s="108" t="s">
        <v>8247</v>
      </c>
      <c r="K69" s="108"/>
      <c r="L69" s="108" t="s">
        <v>8248</v>
      </c>
      <c r="M69" s="108"/>
    </row>
    <row r="70" spans="8:8">
      <c r="B70" s="105" t="s">
        <v>765</v>
      </c>
      <c r="C70" s="106" t="s">
        <v>8249</v>
      </c>
      <c r="D70" s="78" t="s">
        <v>4821</v>
      </c>
      <c r="E70" s="8" t="s">
        <v>1248</v>
      </c>
      <c r="F70" s="8" t="s">
        <v>1248</v>
      </c>
      <c r="G70" s="107">
        <v>46028.0</v>
      </c>
      <c r="H70" s="108"/>
      <c r="I70" s="108">
        <v>6.0</v>
      </c>
      <c r="J70" s="108" t="s">
        <v>8250</v>
      </c>
      <c r="K70" s="108"/>
      <c r="L70" s="108" t="s">
        <v>8251</v>
      </c>
      <c r="M70" s="108"/>
    </row>
    <row r="71" spans="8:8">
      <c r="B71" s="105" t="s">
        <v>765</v>
      </c>
      <c r="C71" s="106" t="s">
        <v>8252</v>
      </c>
      <c r="D71" s="78" t="s">
        <v>3938</v>
      </c>
      <c r="E71" s="8" t="s">
        <v>23</v>
      </c>
      <c r="F71" s="8" t="s">
        <v>1944</v>
      </c>
      <c r="G71" s="107">
        <v>46029.0</v>
      </c>
      <c r="H71" s="108"/>
      <c r="I71" s="108">
        <v>2.0</v>
      </c>
      <c r="J71" s="108" t="s">
        <v>8253</v>
      </c>
      <c r="K71" s="108"/>
      <c r="L71" s="108" t="s">
        <v>8241</v>
      </c>
      <c r="M71" s="108"/>
    </row>
    <row r="72" spans="8:8">
      <c r="B72" s="105" t="s">
        <v>765</v>
      </c>
      <c r="C72" s="106" t="s">
        <v>8252</v>
      </c>
      <c r="D72" s="78" t="s">
        <v>4306</v>
      </c>
      <c r="E72" s="8" t="s">
        <v>601</v>
      </c>
      <c r="F72" s="8" t="s">
        <v>601</v>
      </c>
      <c r="G72" s="107">
        <v>46029.0</v>
      </c>
      <c r="H72" s="108"/>
      <c r="I72" s="108">
        <v>1.0</v>
      </c>
      <c r="J72" s="108" t="s">
        <v>8253</v>
      </c>
      <c r="K72" s="108"/>
      <c r="L72" s="108" t="s">
        <v>8217</v>
      </c>
      <c r="M72" s="108"/>
    </row>
    <row r="73" spans="8:8">
      <c r="B73" s="105" t="s">
        <v>765</v>
      </c>
      <c r="C73" s="106" t="s">
        <v>8252</v>
      </c>
      <c r="D73" s="78" t="s">
        <v>4038</v>
      </c>
      <c r="E73" s="8" t="s">
        <v>1230</v>
      </c>
      <c r="F73" s="8" t="s">
        <v>2650</v>
      </c>
      <c r="G73" s="107">
        <v>46029.0</v>
      </c>
      <c r="H73" s="108"/>
      <c r="I73" s="108">
        <v>1.0</v>
      </c>
      <c r="J73" s="108" t="s">
        <v>8253</v>
      </c>
      <c r="K73" s="108"/>
      <c r="L73" s="108" t="s">
        <v>8226</v>
      </c>
      <c r="M73" s="108"/>
    </row>
    <row r="74" spans="8:8">
      <c r="B74" s="105" t="s">
        <v>765</v>
      </c>
      <c r="C74" s="106" t="s">
        <v>8252</v>
      </c>
      <c r="D74" s="78" t="s">
        <v>5497</v>
      </c>
      <c r="E74" s="8" t="s">
        <v>3776</v>
      </c>
      <c r="F74" s="8" t="s">
        <v>3776</v>
      </c>
      <c r="G74" s="107">
        <v>46029.0</v>
      </c>
      <c r="H74" s="108"/>
      <c r="I74" s="108">
        <v>1.0</v>
      </c>
      <c r="J74" s="108" t="s">
        <v>8253</v>
      </c>
      <c r="K74" s="108"/>
      <c r="L74" s="108" t="s">
        <v>3541</v>
      </c>
      <c r="M74" s="108"/>
    </row>
    <row r="75" spans="8:8">
      <c r="B75" s="105" t="s">
        <v>765</v>
      </c>
      <c r="C75" s="106" t="s">
        <v>8252</v>
      </c>
      <c r="D75" s="78" t="s">
        <v>4181</v>
      </c>
      <c r="E75" s="8" t="s">
        <v>109</v>
      </c>
      <c r="F75" s="8" t="s">
        <v>109</v>
      </c>
      <c r="G75" s="107">
        <v>46029.0</v>
      </c>
      <c r="H75" s="108"/>
      <c r="I75" s="108">
        <v>1.0</v>
      </c>
      <c r="J75" s="108" t="s">
        <v>8253</v>
      </c>
      <c r="K75" s="108"/>
      <c r="L75" s="108" t="s">
        <v>3541</v>
      </c>
      <c r="M75" s="108"/>
    </row>
    <row r="76" spans="8:8">
      <c r="B76" s="105" t="s">
        <v>765</v>
      </c>
      <c r="C76" s="106" t="s">
        <v>8252</v>
      </c>
      <c r="D76" s="78" t="s">
        <v>4412</v>
      </c>
      <c r="E76" s="8" t="s">
        <v>1037</v>
      </c>
      <c r="F76" s="8" t="s">
        <v>1037</v>
      </c>
      <c r="G76" s="107">
        <v>46029.0</v>
      </c>
      <c r="H76" s="108"/>
      <c r="I76" s="108">
        <v>2.0</v>
      </c>
      <c r="J76" s="108" t="s">
        <v>8253</v>
      </c>
      <c r="K76" s="108"/>
      <c r="L76" s="108" t="s">
        <v>8208</v>
      </c>
      <c r="M76" s="108"/>
    </row>
    <row r="77" spans="8:8">
      <c r="B77" s="105" t="s">
        <v>765</v>
      </c>
      <c r="C77" s="106" t="s">
        <v>8254</v>
      </c>
      <c r="D77" s="78" t="s">
        <v>4515</v>
      </c>
      <c r="E77" s="8" t="s">
        <v>167</v>
      </c>
      <c r="F77" s="8" t="s">
        <v>1005</v>
      </c>
      <c r="G77" s="107">
        <v>46029.0</v>
      </c>
      <c r="H77" s="108"/>
      <c r="I77" s="108">
        <v>4.0</v>
      </c>
      <c r="J77" s="108" t="s">
        <v>8253</v>
      </c>
      <c r="K77" s="108"/>
      <c r="L77" s="108" t="s">
        <v>8255</v>
      </c>
      <c r="M77" s="108"/>
    </row>
    <row r="78" spans="8:8">
      <c r="B78" s="105" t="s">
        <v>765</v>
      </c>
      <c r="C78" s="106" t="s">
        <v>8254</v>
      </c>
      <c r="D78" s="78" t="s">
        <v>4523</v>
      </c>
      <c r="E78" s="8" t="s">
        <v>169</v>
      </c>
      <c r="F78" s="8" t="s">
        <v>616</v>
      </c>
      <c r="G78" s="107">
        <v>46029.0</v>
      </c>
      <c r="H78" s="108"/>
      <c r="I78" s="108">
        <v>2.0</v>
      </c>
      <c r="J78" s="108" t="s">
        <v>8253</v>
      </c>
      <c r="K78" s="108"/>
      <c r="L78" s="108" t="s">
        <v>8255</v>
      </c>
      <c r="M78" s="108"/>
    </row>
    <row r="79" spans="8:8">
      <c r="B79" s="105" t="s">
        <v>765</v>
      </c>
      <c r="C79" s="106" t="s">
        <v>8254</v>
      </c>
      <c r="D79" s="78" t="s">
        <v>4518</v>
      </c>
      <c r="E79" s="8" t="s">
        <v>167</v>
      </c>
      <c r="F79" s="8" t="s">
        <v>1007</v>
      </c>
      <c r="G79" s="107">
        <v>46029.0</v>
      </c>
      <c r="H79" s="108"/>
      <c r="I79" s="108">
        <v>6.0</v>
      </c>
      <c r="J79" s="108" t="s">
        <v>8253</v>
      </c>
      <c r="K79" s="108"/>
      <c r="L79" s="108" t="s">
        <v>8255</v>
      </c>
      <c r="M79" s="108"/>
    </row>
    <row r="80" spans="8:8">
      <c r="B80" s="105" t="s">
        <v>765</v>
      </c>
      <c r="C80" s="106" t="s">
        <v>8254</v>
      </c>
      <c r="D80" s="78" t="s">
        <v>4534</v>
      </c>
      <c r="E80" s="8" t="s">
        <v>173</v>
      </c>
      <c r="F80" s="8" t="s">
        <v>637</v>
      </c>
      <c r="G80" s="107">
        <v>46029.0</v>
      </c>
      <c r="H80" s="108"/>
      <c r="I80" s="108">
        <v>3.0</v>
      </c>
      <c r="J80" s="108" t="s">
        <v>8253</v>
      </c>
      <c r="K80" s="108"/>
      <c r="L80" s="108" t="s">
        <v>8255</v>
      </c>
      <c r="M80" s="108"/>
    </row>
    <row r="81" spans="8:8">
      <c r="B81" s="105" t="s">
        <v>765</v>
      </c>
      <c r="C81" s="106" t="s">
        <v>8254</v>
      </c>
      <c r="D81" s="78" t="s">
        <v>4471</v>
      </c>
      <c r="E81" s="8" t="s">
        <v>8095</v>
      </c>
      <c r="F81" s="8" t="s">
        <v>8095</v>
      </c>
      <c r="G81" s="107">
        <v>46029.0</v>
      </c>
      <c r="H81" s="108"/>
      <c r="I81" s="108">
        <v>3.0</v>
      </c>
      <c r="J81" s="108" t="s">
        <v>8253</v>
      </c>
      <c r="K81" s="108"/>
      <c r="L81" s="108" t="s">
        <v>8255</v>
      </c>
      <c r="M81" s="108"/>
    </row>
    <row r="82" spans="8:8">
      <c r="B82" s="105" t="s">
        <v>765</v>
      </c>
      <c r="C82" s="106" t="s">
        <v>8254</v>
      </c>
      <c r="D82" s="78" t="s">
        <v>4456</v>
      </c>
      <c r="E82" s="8" t="s">
        <v>3504</v>
      </c>
      <c r="F82" s="8" t="s">
        <v>3504</v>
      </c>
      <c r="G82" s="107">
        <v>46029.0</v>
      </c>
      <c r="H82" s="108"/>
      <c r="I82" s="108">
        <v>3.0</v>
      </c>
      <c r="J82" s="108" t="s">
        <v>8253</v>
      </c>
      <c r="K82" s="108"/>
      <c r="L82" s="108" t="s">
        <v>8255</v>
      </c>
      <c r="M82" s="108"/>
    </row>
    <row r="83" spans="8:8">
      <c r="B83" s="105" t="s">
        <v>828</v>
      </c>
      <c r="C83" s="106" t="s">
        <v>8256</v>
      </c>
      <c r="D83" s="60" t="s">
        <v>7004</v>
      </c>
      <c r="E83" s="8" t="s">
        <v>1619</v>
      </c>
      <c r="F83" s="8" t="s">
        <v>1619</v>
      </c>
      <c r="G83" s="107">
        <v>46029.0</v>
      </c>
      <c r="H83" s="108"/>
      <c r="I83" s="108">
        <v>1.0</v>
      </c>
      <c r="J83" s="108" t="s">
        <v>8211</v>
      </c>
      <c r="K83" s="108"/>
      <c r="L83" s="108" t="s">
        <v>8237</v>
      </c>
      <c r="M83" s="108"/>
    </row>
    <row r="84" spans="8:8">
      <c r="B84" s="105" t="s">
        <v>828</v>
      </c>
      <c r="C84" s="106" t="s">
        <v>8256</v>
      </c>
      <c r="D84" s="60" t="s">
        <v>7050</v>
      </c>
      <c r="E84" s="8" t="s">
        <v>441</v>
      </c>
      <c r="F84" s="8" t="s">
        <v>441</v>
      </c>
      <c r="G84" s="107">
        <v>46029.0</v>
      </c>
      <c r="H84" s="108"/>
      <c r="I84" s="108">
        <v>1.0</v>
      </c>
      <c r="J84" s="108" t="s">
        <v>8211</v>
      </c>
      <c r="K84" s="108"/>
      <c r="L84" s="108" t="s">
        <v>8237</v>
      </c>
      <c r="M84" s="108"/>
    </row>
    <row r="85" spans="8:8">
      <c r="B85" s="105" t="s">
        <v>828</v>
      </c>
      <c r="C85" s="106" t="s">
        <v>8256</v>
      </c>
      <c r="D85" s="60" t="s">
        <v>7021</v>
      </c>
      <c r="E85" s="8" t="s">
        <v>429</v>
      </c>
      <c r="F85" s="8" t="s">
        <v>429</v>
      </c>
      <c r="G85" s="107">
        <v>46029.0</v>
      </c>
      <c r="H85" s="108"/>
      <c r="I85" s="108">
        <v>1.0</v>
      </c>
      <c r="J85" s="108" t="s">
        <v>8211</v>
      </c>
      <c r="K85" s="108"/>
      <c r="L85" s="108" t="s">
        <v>1016</v>
      </c>
      <c r="M85" s="108"/>
    </row>
    <row r="86" spans="8:8">
      <c r="B86" s="105" t="s">
        <v>814</v>
      </c>
      <c r="C86" s="106" t="s">
        <v>8257</v>
      </c>
      <c r="D86" s="60" t="s">
        <v>8049</v>
      </c>
      <c r="E86" s="8" t="s">
        <v>3872</v>
      </c>
      <c r="F86" s="8" t="s">
        <v>3872</v>
      </c>
      <c r="G86" s="107">
        <v>46029.0</v>
      </c>
      <c r="H86" s="108"/>
      <c r="I86" s="108">
        <v>3.0</v>
      </c>
      <c r="J86" s="108" t="s">
        <v>8258</v>
      </c>
      <c r="K86" s="108"/>
      <c r="L86" s="108" t="s">
        <v>8259</v>
      </c>
      <c r="M86" s="108"/>
    </row>
    <row r="87" spans="8:8">
      <c r="B87" s="105" t="s">
        <v>765</v>
      </c>
      <c r="C87" s="106" t="s">
        <v>8260</v>
      </c>
      <c r="D87" s="78" t="s">
        <v>4601</v>
      </c>
      <c r="E87" s="8" t="s">
        <v>308</v>
      </c>
      <c r="F87" s="8" t="s">
        <v>593</v>
      </c>
      <c r="G87" s="107">
        <v>46030.0</v>
      </c>
      <c r="H87" s="108"/>
      <c r="I87" s="108">
        <v>11.0</v>
      </c>
      <c r="J87" s="108" t="s">
        <v>8253</v>
      </c>
      <c r="K87" s="108"/>
      <c r="L87" s="108" t="s">
        <v>3688</v>
      </c>
      <c r="M87" s="108"/>
    </row>
    <row r="88" spans="8:8">
      <c r="B88" s="105" t="s">
        <v>765</v>
      </c>
      <c r="C88" s="106" t="s">
        <v>8260</v>
      </c>
      <c r="D88" s="56" t="s">
        <v>7662</v>
      </c>
      <c r="E88" s="8" t="s">
        <v>1334</v>
      </c>
      <c r="F88" s="8" t="s">
        <v>3760</v>
      </c>
      <c r="G88" s="107">
        <v>46030.0</v>
      </c>
      <c r="H88" s="108"/>
      <c r="I88" s="108">
        <v>1.0</v>
      </c>
      <c r="J88" s="108" t="s">
        <v>8253</v>
      </c>
      <c r="K88" s="108"/>
      <c r="L88" s="108" t="s">
        <v>3688</v>
      </c>
      <c r="M88" s="108"/>
    </row>
    <row r="89" spans="8:8">
      <c r="B89" s="105" t="s">
        <v>765</v>
      </c>
      <c r="C89" s="106" t="s">
        <v>8260</v>
      </c>
      <c r="D89" s="78" t="s">
        <v>4180</v>
      </c>
      <c r="E89" s="8" t="s">
        <v>80</v>
      </c>
      <c r="F89" s="8" t="s">
        <v>1159</v>
      </c>
      <c r="G89" s="107">
        <v>46030.0</v>
      </c>
      <c r="H89" s="108"/>
      <c r="I89" s="108">
        <v>1.0</v>
      </c>
      <c r="J89" s="108" t="s">
        <v>8253</v>
      </c>
      <c r="K89" s="108"/>
      <c r="L89" s="108" t="s">
        <v>8217</v>
      </c>
      <c r="M89" s="108"/>
    </row>
    <row r="90" spans="8:8">
      <c r="B90" s="105" t="s">
        <v>765</v>
      </c>
      <c r="C90" s="106" t="s">
        <v>8260</v>
      </c>
      <c r="D90" s="78" t="s">
        <v>4183</v>
      </c>
      <c r="E90" s="8" t="s">
        <v>79</v>
      </c>
      <c r="F90" s="8" t="s">
        <v>815</v>
      </c>
      <c r="G90" s="107">
        <v>46030.0</v>
      </c>
      <c r="H90" s="108"/>
      <c r="I90" s="108">
        <v>1.0</v>
      </c>
      <c r="J90" s="108" t="s">
        <v>8253</v>
      </c>
      <c r="K90" s="108"/>
      <c r="L90" s="108" t="s">
        <v>8217</v>
      </c>
      <c r="M90" s="108"/>
    </row>
    <row r="91" spans="8:8">
      <c r="B91" s="105" t="s">
        <v>765</v>
      </c>
      <c r="C91" s="106" t="s">
        <v>8260</v>
      </c>
      <c r="D91" s="78" t="s">
        <v>4455</v>
      </c>
      <c r="E91" s="8" t="s">
        <v>631</v>
      </c>
      <c r="F91" s="8" t="s">
        <v>631</v>
      </c>
      <c r="G91" s="107">
        <v>46030.0</v>
      </c>
      <c r="H91" s="108"/>
      <c r="I91" s="108">
        <v>2.0</v>
      </c>
      <c r="J91" s="108" t="s">
        <v>8253</v>
      </c>
      <c r="K91" s="108"/>
      <c r="L91" s="108" t="s">
        <v>8208</v>
      </c>
      <c r="M91" s="108"/>
    </row>
    <row r="92" spans="8:8">
      <c r="B92" s="105" t="s">
        <v>765</v>
      </c>
      <c r="C92" s="106" t="s">
        <v>8260</v>
      </c>
      <c r="D92" s="78" t="s">
        <v>4500</v>
      </c>
      <c r="E92" s="8" t="s">
        <v>611</v>
      </c>
      <c r="F92" s="8" t="s">
        <v>611</v>
      </c>
      <c r="G92" s="107">
        <v>46030.0</v>
      </c>
      <c r="H92" s="108"/>
      <c r="I92" s="108">
        <v>1.0</v>
      </c>
      <c r="J92" s="108" t="s">
        <v>8253</v>
      </c>
      <c r="K92" s="108"/>
      <c r="L92" s="108" t="s">
        <v>8255</v>
      </c>
      <c r="M92" s="108"/>
    </row>
    <row r="93" spans="8:8">
      <c r="B93" s="105" t="s">
        <v>765</v>
      </c>
      <c r="C93" s="106" t="s">
        <v>8261</v>
      </c>
      <c r="D93" s="78" t="s">
        <v>5221</v>
      </c>
      <c r="E93" s="8" t="s">
        <v>3128</v>
      </c>
      <c r="F93" s="8" t="s">
        <v>3128</v>
      </c>
      <c r="G93" s="107">
        <v>46030.0</v>
      </c>
      <c r="H93" s="108"/>
      <c r="I93" s="108">
        <v>6.0</v>
      </c>
      <c r="J93" s="108" t="s">
        <v>8244</v>
      </c>
      <c r="K93" s="108"/>
      <c r="L93" s="108" t="s">
        <v>568</v>
      </c>
      <c r="M93" s="108"/>
    </row>
    <row r="94" spans="8:8">
      <c r="B94" s="105" t="s">
        <v>765</v>
      </c>
      <c r="C94" s="106" t="s">
        <v>8261</v>
      </c>
      <c r="D94" s="78" t="s">
        <v>5220</v>
      </c>
      <c r="E94" s="8" t="s">
        <v>3127</v>
      </c>
      <c r="F94" s="8" t="s">
        <v>3127</v>
      </c>
      <c r="G94" s="107">
        <v>46030.0</v>
      </c>
      <c r="H94" s="108"/>
      <c r="I94" s="108">
        <v>1.0</v>
      </c>
      <c r="J94" s="108" t="s">
        <v>8244</v>
      </c>
      <c r="K94" s="108"/>
      <c r="L94" s="108" t="s">
        <v>568</v>
      </c>
      <c r="M94" s="108"/>
    </row>
    <row r="95" spans="8:8">
      <c r="B95" s="105" t="s">
        <v>765</v>
      </c>
      <c r="C95" s="106" t="s">
        <v>8261</v>
      </c>
      <c r="D95" s="78" t="s">
        <v>4265</v>
      </c>
      <c r="E95" s="8" t="s">
        <v>2701</v>
      </c>
      <c r="F95" s="8" t="s">
        <v>2701</v>
      </c>
      <c r="G95" s="107">
        <v>46030.0</v>
      </c>
      <c r="H95" s="108"/>
      <c r="I95" s="108">
        <v>3.0</v>
      </c>
      <c r="J95" s="108" t="s">
        <v>8244</v>
      </c>
      <c r="K95" s="108"/>
      <c r="L95" s="108" t="s">
        <v>568</v>
      </c>
      <c r="M95" s="108"/>
    </row>
    <row r="96" spans="8:8">
      <c r="B96" s="105" t="s">
        <v>765</v>
      </c>
      <c r="C96" s="106" t="s">
        <v>8261</v>
      </c>
      <c r="D96" s="78" t="s">
        <v>5117</v>
      </c>
      <c r="E96" s="8" t="s">
        <v>1140</v>
      </c>
      <c r="F96" s="8" t="s">
        <v>1140</v>
      </c>
      <c r="G96" s="107">
        <v>46030.0</v>
      </c>
      <c r="H96" s="108"/>
      <c r="I96" s="108">
        <v>1.0</v>
      </c>
      <c r="J96" s="108" t="s">
        <v>8244</v>
      </c>
      <c r="K96" s="108"/>
      <c r="L96" s="108" t="s">
        <v>568</v>
      </c>
      <c r="M96" s="108"/>
    </row>
    <row r="97" spans="8:8">
      <c r="B97" s="105" t="s">
        <v>765</v>
      </c>
      <c r="C97" s="106" t="s">
        <v>8262</v>
      </c>
      <c r="D97" s="78" t="s">
        <v>4743</v>
      </c>
      <c r="E97" s="8" t="s">
        <v>797</v>
      </c>
      <c r="F97" s="8" t="s">
        <v>729</v>
      </c>
      <c r="G97" s="107">
        <v>46030.0</v>
      </c>
      <c r="H97" s="108"/>
      <c r="I97" s="108">
        <v>1.0</v>
      </c>
      <c r="J97" s="108" t="s">
        <v>8211</v>
      </c>
      <c r="K97" s="108"/>
      <c r="L97" s="108" t="s">
        <v>8263</v>
      </c>
      <c r="M97" s="108"/>
    </row>
    <row r="98" spans="8:8">
      <c r="B98" s="105" t="s">
        <v>765</v>
      </c>
      <c r="C98" s="106" t="s">
        <v>8262</v>
      </c>
      <c r="D98" s="78" t="s">
        <v>4740</v>
      </c>
      <c r="E98" s="8" t="s">
        <v>797</v>
      </c>
      <c r="F98" s="8" t="s">
        <v>730</v>
      </c>
      <c r="G98" s="107">
        <v>46030.0</v>
      </c>
      <c r="H98" s="108"/>
      <c r="I98" s="108">
        <v>1.0</v>
      </c>
      <c r="J98" s="108" t="s">
        <v>8211</v>
      </c>
      <c r="K98" s="108"/>
      <c r="L98" s="108" t="s">
        <v>8263</v>
      </c>
      <c r="M98" s="108"/>
    </row>
    <row r="99" spans="8:8">
      <c r="B99" s="105" t="s">
        <v>765</v>
      </c>
      <c r="C99" s="106" t="s">
        <v>8264</v>
      </c>
      <c r="D99" s="78" t="s">
        <v>3973</v>
      </c>
      <c r="E99" s="8" t="s">
        <v>23</v>
      </c>
      <c r="F99" s="8">
        <v>6314.0</v>
      </c>
      <c r="G99" s="107">
        <v>46031.0</v>
      </c>
      <c r="H99" s="108"/>
      <c r="I99" s="108">
        <v>2.0</v>
      </c>
      <c r="J99" s="108" t="s">
        <v>8265</v>
      </c>
      <c r="K99" s="108"/>
      <c r="L99" s="108" t="s">
        <v>8266</v>
      </c>
      <c r="M99" s="108"/>
    </row>
    <row r="100" spans="8:8">
      <c r="B100" s="105" t="s">
        <v>765</v>
      </c>
      <c r="C100" s="106" t="s">
        <v>8264</v>
      </c>
      <c r="D100" s="78" t="s">
        <v>4923</v>
      </c>
      <c r="E100" s="8" t="s">
        <v>8116</v>
      </c>
      <c r="F100" s="8" t="s">
        <v>8116</v>
      </c>
      <c r="G100" s="107">
        <v>46031.0</v>
      </c>
      <c r="H100" s="108"/>
      <c r="I100" s="108">
        <v>1.0</v>
      </c>
      <c r="J100" s="108" t="s">
        <v>8265</v>
      </c>
      <c r="K100" s="108"/>
      <c r="L100" s="108" t="s">
        <v>8230</v>
      </c>
      <c r="M100" s="108"/>
    </row>
    <row r="101" spans="8:8">
      <c r="B101" s="105" t="s">
        <v>765</v>
      </c>
      <c r="C101" s="106" t="s">
        <v>8264</v>
      </c>
      <c r="D101" s="78" t="s">
        <v>4842</v>
      </c>
      <c r="E101" s="8" t="s">
        <v>1611</v>
      </c>
      <c r="F101" s="8" t="s">
        <v>1611</v>
      </c>
      <c r="G101" s="107">
        <v>46031.0</v>
      </c>
      <c r="H101" s="108"/>
      <c r="I101" s="108">
        <v>2.0</v>
      </c>
      <c r="J101" s="108" t="s">
        <v>8265</v>
      </c>
      <c r="K101" s="108"/>
      <c r="L101" s="108" t="s">
        <v>8230</v>
      </c>
      <c r="M101" s="108"/>
    </row>
    <row r="102" spans="8:8">
      <c r="B102" s="105" t="s">
        <v>828</v>
      </c>
      <c r="C102" s="106" t="s">
        <v>8264</v>
      </c>
      <c r="D102" s="60" t="s">
        <v>7293</v>
      </c>
      <c r="E102" s="8" t="s">
        <v>1563</v>
      </c>
      <c r="F102" s="8" t="s">
        <v>1563</v>
      </c>
      <c r="G102" s="107">
        <v>46031.0</v>
      </c>
      <c r="H102" s="108"/>
      <c r="I102" s="108">
        <v>1.0</v>
      </c>
      <c r="J102" s="108" t="s">
        <v>8265</v>
      </c>
      <c r="K102" s="108"/>
      <c r="L102" s="108" t="s">
        <v>8267</v>
      </c>
      <c r="M102" s="108"/>
    </row>
    <row r="103" spans="8:8">
      <c r="B103" s="105" t="s">
        <v>8204</v>
      </c>
      <c r="C103" s="106" t="s">
        <v>8268</v>
      </c>
      <c r="D103" s="56" t="s">
        <v>7722</v>
      </c>
      <c r="E103" s="8" t="s">
        <v>3287</v>
      </c>
      <c r="F103" s="8" t="s">
        <v>3287</v>
      </c>
      <c r="G103" s="107">
        <v>46031.0</v>
      </c>
      <c r="H103" s="108"/>
      <c r="I103" s="108">
        <v>2.0</v>
      </c>
      <c r="J103" s="108" t="s">
        <v>8253</v>
      </c>
      <c r="K103" s="108"/>
      <c r="L103" s="108" t="s">
        <v>8255</v>
      </c>
      <c r="M103" s="108"/>
    </row>
    <row r="104" spans="8:8">
      <c r="B104" s="105" t="s">
        <v>765</v>
      </c>
      <c r="C104" s="106" t="s">
        <v>8268</v>
      </c>
      <c r="D104" s="78" t="s">
        <v>5542</v>
      </c>
      <c r="E104" s="8" t="s">
        <v>3893</v>
      </c>
      <c r="F104" s="8" t="s">
        <v>3893</v>
      </c>
      <c r="G104" s="107">
        <v>46031.0</v>
      </c>
      <c r="H104" s="108"/>
      <c r="I104" s="108">
        <v>1.0</v>
      </c>
      <c r="J104" s="108" t="s">
        <v>8253</v>
      </c>
      <c r="K104" s="108"/>
      <c r="L104" s="108" t="s">
        <v>8269</v>
      </c>
      <c r="M104" s="108"/>
    </row>
    <row r="105" spans="8:8">
      <c r="B105" s="105" t="s">
        <v>765</v>
      </c>
      <c r="C105" s="106" t="s">
        <v>8268</v>
      </c>
      <c r="D105" s="78" t="s">
        <v>4842</v>
      </c>
      <c r="E105" s="8" t="s">
        <v>1611</v>
      </c>
      <c r="F105" s="8" t="s">
        <v>1611</v>
      </c>
      <c r="G105" s="107">
        <v>46031.0</v>
      </c>
      <c r="H105" s="108"/>
      <c r="I105" s="108">
        <v>12.0</v>
      </c>
      <c r="J105" s="108" t="s">
        <v>8253</v>
      </c>
      <c r="K105" s="108"/>
      <c r="L105" s="108" t="s">
        <v>1016</v>
      </c>
      <c r="M105" s="108"/>
    </row>
    <row r="106" spans="8:8">
      <c r="B106" s="105" t="s">
        <v>765</v>
      </c>
      <c r="C106" s="106" t="s">
        <v>8268</v>
      </c>
      <c r="D106" s="78" t="s">
        <v>4912</v>
      </c>
      <c r="E106" s="8" t="s">
        <v>2826</v>
      </c>
      <c r="F106" s="8" t="s">
        <v>2826</v>
      </c>
      <c r="G106" s="107">
        <v>46031.0</v>
      </c>
      <c r="H106" s="108"/>
      <c r="I106" s="108">
        <v>8.0</v>
      </c>
      <c r="J106" s="108" t="s">
        <v>8253</v>
      </c>
      <c r="K106" s="108"/>
      <c r="L106" s="108" t="s">
        <v>8270</v>
      </c>
      <c r="M106" s="108"/>
    </row>
    <row r="107" spans="8:8">
      <c r="B107" s="105" t="s">
        <v>765</v>
      </c>
      <c r="C107" s="106" t="s">
        <v>8268</v>
      </c>
      <c r="D107" s="78" t="s">
        <v>4844</v>
      </c>
      <c r="E107" s="8" t="s">
        <v>1599</v>
      </c>
      <c r="F107" s="8" t="s">
        <v>1599</v>
      </c>
      <c r="G107" s="107">
        <v>46031.0</v>
      </c>
      <c r="H107" s="108"/>
      <c r="I107" s="108">
        <v>4.0</v>
      </c>
      <c r="J107" s="108" t="s">
        <v>8253</v>
      </c>
      <c r="K107" s="108"/>
      <c r="L107" s="108" t="s">
        <v>8271</v>
      </c>
      <c r="M107" s="108"/>
    </row>
    <row r="108" spans="8:8">
      <c r="B108" s="105" t="s">
        <v>765</v>
      </c>
      <c r="C108" s="106" t="s">
        <v>8268</v>
      </c>
      <c r="D108" s="78" t="s">
        <v>5199</v>
      </c>
      <c r="E108" s="8" t="s">
        <v>3105</v>
      </c>
      <c r="F108" s="8" t="s">
        <v>3105</v>
      </c>
      <c r="G108" s="107">
        <v>46031.0</v>
      </c>
      <c r="H108" s="108"/>
      <c r="I108" s="108">
        <v>1.0</v>
      </c>
      <c r="J108" s="108" t="s">
        <v>8253</v>
      </c>
      <c r="K108" s="108"/>
      <c r="L108" s="108" t="s">
        <v>8272</v>
      </c>
      <c r="M108" s="108"/>
    </row>
    <row r="109" spans="8:8">
      <c r="B109" s="105" t="s">
        <v>765</v>
      </c>
      <c r="C109" s="106" t="s">
        <v>8273</v>
      </c>
      <c r="D109" s="78" t="s">
        <v>4074</v>
      </c>
      <c r="E109" s="8" t="s">
        <v>23</v>
      </c>
      <c r="F109" s="8" t="s">
        <v>3452</v>
      </c>
      <c r="G109" s="107">
        <v>46031.0</v>
      </c>
      <c r="H109" s="108"/>
      <c r="I109" s="108">
        <v>2.0</v>
      </c>
      <c r="J109" s="108" t="s">
        <v>8253</v>
      </c>
      <c r="K109" s="108"/>
      <c r="L109" s="108" t="s">
        <v>8274</v>
      </c>
      <c r="M109" s="108"/>
    </row>
    <row r="110" spans="8:8">
      <c r="B110" s="105" t="s">
        <v>765</v>
      </c>
      <c r="C110" s="106" t="s">
        <v>8273</v>
      </c>
      <c r="D110" s="78" t="s">
        <v>4012</v>
      </c>
      <c r="E110" s="8" t="s">
        <v>1055</v>
      </c>
      <c r="F110" s="8" t="s">
        <v>1056</v>
      </c>
      <c r="G110" s="107">
        <v>46031.0</v>
      </c>
      <c r="H110" s="108"/>
      <c r="I110" s="108">
        <v>2.0</v>
      </c>
      <c r="J110" s="108" t="s">
        <v>8253</v>
      </c>
      <c r="K110" s="108"/>
      <c r="L110" s="108" t="s">
        <v>8274</v>
      </c>
      <c r="M110" s="108"/>
    </row>
    <row r="111" spans="8:8">
      <c r="B111" s="105" t="s">
        <v>8204</v>
      </c>
      <c r="C111" s="106" t="s">
        <v>8273</v>
      </c>
      <c r="D111" s="56" t="s">
        <v>7539</v>
      </c>
      <c r="E111" s="8" t="s">
        <v>1298</v>
      </c>
      <c r="F111" s="8" t="s">
        <v>1206</v>
      </c>
      <c r="G111" s="107">
        <v>46031.0</v>
      </c>
      <c r="H111" s="108"/>
      <c r="I111" s="108">
        <v>1.0</v>
      </c>
      <c r="J111" s="108" t="s">
        <v>8253</v>
      </c>
      <c r="K111" s="108"/>
      <c r="L111" s="108" t="s">
        <v>8271</v>
      </c>
      <c r="M111" s="108"/>
    </row>
    <row r="112" spans="8:8">
      <c r="B112" s="105" t="s">
        <v>765</v>
      </c>
      <c r="C112" s="106" t="s">
        <v>8275</v>
      </c>
      <c r="D112" s="78" t="s">
        <v>4003</v>
      </c>
      <c r="E112" s="8" t="s">
        <v>252</v>
      </c>
      <c r="F112" s="8" t="s">
        <v>256</v>
      </c>
      <c r="G112" s="107">
        <v>46032.0</v>
      </c>
      <c r="H112" s="108"/>
      <c r="I112" s="108">
        <v>2.0</v>
      </c>
      <c r="J112" s="108" t="s">
        <v>8253</v>
      </c>
      <c r="K112" s="108"/>
      <c r="L112" s="108" t="s">
        <v>2691</v>
      </c>
      <c r="M112" s="108"/>
    </row>
    <row r="113" spans="8:8">
      <c r="B113" s="105" t="s">
        <v>765</v>
      </c>
      <c r="C113" s="106" t="s">
        <v>8275</v>
      </c>
      <c r="D113" s="78" t="s">
        <v>3954</v>
      </c>
      <c r="E113" s="8" t="s">
        <v>23</v>
      </c>
      <c r="F113" s="8">
        <v>6307.0</v>
      </c>
      <c r="G113" s="107">
        <v>46032.0</v>
      </c>
      <c r="H113" s="108"/>
      <c r="I113" s="108">
        <v>2.0</v>
      </c>
      <c r="J113" s="108" t="s">
        <v>8253</v>
      </c>
      <c r="K113" s="108"/>
      <c r="L113" s="108" t="s">
        <v>2691</v>
      </c>
      <c r="M113" s="108"/>
    </row>
    <row r="114" spans="8:8">
      <c r="B114" s="105" t="s">
        <v>765</v>
      </c>
      <c r="C114" s="106" t="s">
        <v>8275</v>
      </c>
      <c r="D114" s="78" t="s">
        <v>4005</v>
      </c>
      <c r="E114" s="8" t="s">
        <v>252</v>
      </c>
      <c r="F114" s="8" t="s">
        <v>1617</v>
      </c>
      <c r="G114" s="107">
        <v>46032.0</v>
      </c>
      <c r="H114" s="108"/>
      <c r="I114" s="108">
        <v>2.0</v>
      </c>
      <c r="J114" s="108" t="s">
        <v>8253</v>
      </c>
      <c r="K114" s="108"/>
      <c r="L114" s="108" t="s">
        <v>2691</v>
      </c>
      <c r="M114" s="108"/>
    </row>
    <row r="115" spans="8:8">
      <c r="B115" s="105" t="s">
        <v>765</v>
      </c>
      <c r="C115" s="106" t="s">
        <v>8275</v>
      </c>
      <c r="D115" s="78" t="s">
        <v>4170</v>
      </c>
      <c r="E115" s="8" t="s">
        <v>1211</v>
      </c>
      <c r="F115" s="8" t="s">
        <v>1211</v>
      </c>
      <c r="G115" s="107">
        <v>46032.0</v>
      </c>
      <c r="H115" s="108"/>
      <c r="I115" s="108">
        <v>1.0</v>
      </c>
      <c r="J115" s="108" t="s">
        <v>8253</v>
      </c>
      <c r="K115" s="108"/>
      <c r="L115" s="108" t="s">
        <v>2691</v>
      </c>
      <c r="M115" s="108"/>
    </row>
    <row r="116" spans="8:8">
      <c r="B116" s="105" t="s">
        <v>765</v>
      </c>
      <c r="C116" s="106" t="s">
        <v>8275</v>
      </c>
      <c r="D116" s="78" t="s">
        <v>4436</v>
      </c>
      <c r="E116" s="8" t="s">
        <v>590</v>
      </c>
      <c r="F116" s="8" t="s">
        <v>590</v>
      </c>
      <c r="G116" s="107">
        <v>46032.0</v>
      </c>
      <c r="H116" s="108"/>
      <c r="I116" s="108">
        <v>1.0</v>
      </c>
      <c r="J116" s="108" t="s">
        <v>8253</v>
      </c>
      <c r="K116" s="108"/>
      <c r="L116" s="108" t="s">
        <v>8276</v>
      </c>
      <c r="M116" s="108"/>
    </row>
    <row r="117" spans="8:8">
      <c r="B117" s="105" t="s">
        <v>765</v>
      </c>
      <c r="C117" s="106" t="s">
        <v>8275</v>
      </c>
      <c r="D117" s="78" t="s">
        <v>4601</v>
      </c>
      <c r="E117" s="8" t="s">
        <v>593</v>
      </c>
      <c r="F117" s="8" t="s">
        <v>593</v>
      </c>
      <c r="G117" s="107">
        <v>46032.0</v>
      </c>
      <c r="H117" s="108"/>
      <c r="I117" s="108">
        <v>1.0</v>
      </c>
      <c r="J117" s="108" t="s">
        <v>8253</v>
      </c>
      <c r="K117" s="108"/>
      <c r="L117" s="108" t="s">
        <v>3688</v>
      </c>
      <c r="M117" s="108"/>
    </row>
    <row r="118" spans="8:8">
      <c r="B118" s="105" t="s">
        <v>814</v>
      </c>
      <c r="C118" s="106" t="s">
        <v>8277</v>
      </c>
      <c r="D118" s="60" t="s">
        <v>7877</v>
      </c>
      <c r="E118" s="8" t="s">
        <v>2875</v>
      </c>
      <c r="F118" s="8" t="s">
        <v>2875</v>
      </c>
      <c r="G118" s="107">
        <v>46032.0</v>
      </c>
      <c r="H118" s="108"/>
      <c r="I118" s="108">
        <v>1.0</v>
      </c>
      <c r="J118" s="108" t="s">
        <v>8253</v>
      </c>
      <c r="K118" s="108"/>
      <c r="L118" s="108" t="s">
        <v>8209</v>
      </c>
      <c r="M118" s="108"/>
    </row>
    <row r="119" spans="8:8">
      <c r="B119" s="105" t="s">
        <v>814</v>
      </c>
      <c r="C119" s="106" t="s">
        <v>8277</v>
      </c>
      <c r="D119" s="60" t="s">
        <v>7999</v>
      </c>
      <c r="E119" s="8" t="s">
        <v>3587</v>
      </c>
      <c r="F119" s="8" t="s">
        <v>3587</v>
      </c>
      <c r="G119" s="107">
        <v>46032.0</v>
      </c>
      <c r="H119" s="108"/>
      <c r="I119" s="108">
        <v>1.0</v>
      </c>
      <c r="J119" s="108" t="s">
        <v>8253</v>
      </c>
      <c r="K119" s="108"/>
      <c r="L119" s="108" t="s">
        <v>8239</v>
      </c>
      <c r="M119" s="108"/>
    </row>
    <row r="120" spans="8:8">
      <c r="B120" s="105" t="s">
        <v>765</v>
      </c>
      <c r="C120" s="106" t="s">
        <v>8277</v>
      </c>
      <c r="D120" s="78" t="s">
        <v>4393</v>
      </c>
      <c r="E120" s="8" t="s">
        <v>588</v>
      </c>
      <c r="F120" s="8" t="s">
        <v>588</v>
      </c>
      <c r="G120" s="107">
        <v>46032.0</v>
      </c>
      <c r="H120" s="108"/>
      <c r="I120" s="108">
        <v>2.0</v>
      </c>
      <c r="J120" s="108" t="s">
        <v>8253</v>
      </c>
      <c r="K120" s="108"/>
      <c r="L120" s="108" t="s">
        <v>8239</v>
      </c>
      <c r="M120" s="108"/>
    </row>
    <row r="121" spans="8:8">
      <c r="B121" s="105" t="s">
        <v>765</v>
      </c>
      <c r="C121" s="106" t="s">
        <v>8277</v>
      </c>
      <c r="D121" s="78" t="s">
        <v>4405</v>
      </c>
      <c r="E121" s="8" t="s">
        <v>47</v>
      </c>
      <c r="F121" s="8" t="s">
        <v>1543</v>
      </c>
      <c r="G121" s="107">
        <v>46032.0</v>
      </c>
      <c r="H121" s="108"/>
      <c r="I121" s="108">
        <v>2.0</v>
      </c>
      <c r="J121" s="108" t="s">
        <v>8253</v>
      </c>
      <c r="K121" s="108"/>
      <c r="L121" s="108" t="s">
        <v>8239</v>
      </c>
      <c r="M121" s="108"/>
    </row>
    <row r="122" spans="8:8">
      <c r="B122" s="105" t="s">
        <v>765</v>
      </c>
      <c r="C122" s="106" t="s">
        <v>8277</v>
      </c>
      <c r="D122" s="78" t="s">
        <v>4374</v>
      </c>
      <c r="E122" s="8" t="s">
        <v>587</v>
      </c>
      <c r="F122" s="8" t="s">
        <v>587</v>
      </c>
      <c r="G122" s="107">
        <v>46032.0</v>
      </c>
      <c r="H122" s="108"/>
      <c r="I122" s="108">
        <v>1.0</v>
      </c>
      <c r="J122" s="108" t="s">
        <v>8253</v>
      </c>
      <c r="K122" s="108"/>
      <c r="L122" s="108" t="s">
        <v>8239</v>
      </c>
      <c r="M122" s="108"/>
    </row>
    <row r="123" spans="8:8">
      <c r="B123" s="105" t="s">
        <v>765</v>
      </c>
      <c r="C123" s="106" t="s">
        <v>8277</v>
      </c>
      <c r="D123" s="78" t="s">
        <v>4183</v>
      </c>
      <c r="E123" s="8" t="s">
        <v>79</v>
      </c>
      <c r="F123" s="8" t="s">
        <v>815</v>
      </c>
      <c r="G123" s="107">
        <v>46032.0</v>
      </c>
      <c r="H123" s="108"/>
      <c r="I123" s="108">
        <v>1.0</v>
      </c>
      <c r="J123" s="108" t="s">
        <v>8253</v>
      </c>
      <c r="K123" s="108"/>
      <c r="L123" s="108" t="s">
        <v>8217</v>
      </c>
      <c r="M123" s="108"/>
    </row>
    <row r="124" spans="8:8">
      <c r="B124" s="105" t="s">
        <v>765</v>
      </c>
      <c r="C124" s="106" t="s">
        <v>8278</v>
      </c>
      <c r="D124" s="78" t="s">
        <v>4153</v>
      </c>
      <c r="E124" s="8" t="s">
        <v>2526</v>
      </c>
      <c r="F124" s="8" t="s">
        <v>2526</v>
      </c>
      <c r="G124" s="107">
        <v>46032.0</v>
      </c>
      <c r="H124" s="108"/>
      <c r="I124" s="108">
        <v>1.0</v>
      </c>
      <c r="J124" s="108" t="s">
        <v>8253</v>
      </c>
      <c r="K124" s="108"/>
      <c r="L124" s="108" t="s">
        <v>8241</v>
      </c>
      <c r="M124" s="108"/>
    </row>
    <row r="125" spans="8:8">
      <c r="B125" s="105" t="s">
        <v>765</v>
      </c>
      <c r="C125" s="106" t="s">
        <v>8278</v>
      </c>
      <c r="D125" s="78" t="s">
        <v>4623</v>
      </c>
      <c r="E125" s="8" t="s">
        <v>252</v>
      </c>
      <c r="F125" s="8" t="s">
        <v>1233</v>
      </c>
      <c r="G125" s="107">
        <v>46032.0</v>
      </c>
      <c r="H125" s="108"/>
      <c r="I125" s="108">
        <v>1.0</v>
      </c>
      <c r="J125" s="108" t="s">
        <v>8253</v>
      </c>
      <c r="K125" s="108"/>
      <c r="L125" s="108" t="s">
        <v>8241</v>
      </c>
      <c r="M125" s="108"/>
    </row>
    <row r="126" spans="8:8">
      <c r="B126" s="105" t="s">
        <v>765</v>
      </c>
      <c r="C126" s="106" t="s">
        <v>8278</v>
      </c>
      <c r="D126" s="78" t="s">
        <v>4624</v>
      </c>
      <c r="E126" s="8" t="s">
        <v>252</v>
      </c>
      <c r="F126" s="8" t="s">
        <v>315</v>
      </c>
      <c r="G126" s="107">
        <v>46032.0</v>
      </c>
      <c r="H126" s="108"/>
      <c r="I126" s="108">
        <v>1.0</v>
      </c>
      <c r="J126" s="108" t="s">
        <v>8253</v>
      </c>
      <c r="K126" s="108"/>
      <c r="L126" s="108" t="s">
        <v>8241</v>
      </c>
      <c r="M126" s="108"/>
    </row>
    <row r="127" spans="8:8">
      <c r="B127" s="105" t="s">
        <v>8204</v>
      </c>
      <c r="C127" s="106" t="s">
        <v>8278</v>
      </c>
      <c r="D127" s="56" t="s">
        <v>7539</v>
      </c>
      <c r="E127" s="8" t="s">
        <v>1298</v>
      </c>
      <c r="F127" s="8" t="s">
        <v>1206</v>
      </c>
      <c r="G127" s="107">
        <v>46032.0</v>
      </c>
      <c r="H127" s="108"/>
      <c r="I127" s="108">
        <v>1.0</v>
      </c>
      <c r="J127" s="108" t="s">
        <v>8253</v>
      </c>
      <c r="K127" s="108"/>
      <c r="L127" s="108" t="s">
        <v>8271</v>
      </c>
      <c r="M127" s="108"/>
    </row>
    <row r="128" spans="8:8">
      <c r="B128" s="105" t="s">
        <v>765</v>
      </c>
      <c r="C128" s="106" t="s">
        <v>8278</v>
      </c>
      <c r="D128" s="78" t="s">
        <v>4844</v>
      </c>
      <c r="E128" s="8" t="s">
        <v>1599</v>
      </c>
      <c r="F128" s="8" t="s">
        <v>1599</v>
      </c>
      <c r="G128" s="107">
        <v>46032.0</v>
      </c>
      <c r="H128" s="108"/>
      <c r="I128" s="108">
        <v>6.0</v>
      </c>
      <c r="J128" s="108" t="s">
        <v>8253</v>
      </c>
      <c r="K128" s="108"/>
      <c r="L128" s="108" t="s">
        <v>8279</v>
      </c>
      <c r="M128" s="108"/>
    </row>
    <row r="129" spans="8:8">
      <c r="B129" s="105" t="s">
        <v>765</v>
      </c>
      <c r="C129" s="106" t="s">
        <v>8278</v>
      </c>
      <c r="D129" s="78" t="s">
        <v>5199</v>
      </c>
      <c r="E129" s="8" t="s">
        <v>3105</v>
      </c>
      <c r="F129" s="8" t="s">
        <v>3105</v>
      </c>
      <c r="G129" s="107">
        <v>46032.0</v>
      </c>
      <c r="H129" s="108"/>
      <c r="I129" s="108">
        <v>7.0</v>
      </c>
      <c r="J129" s="108" t="s">
        <v>8253</v>
      </c>
      <c r="K129" s="108"/>
      <c r="L129" s="108" t="s">
        <v>8274</v>
      </c>
      <c r="M129" s="108"/>
    </row>
    <row r="130" spans="8:8">
      <c r="B130" s="105" t="s">
        <v>765</v>
      </c>
      <c r="C130" s="106" t="s">
        <v>8280</v>
      </c>
      <c r="D130" s="78" t="s">
        <v>4580</v>
      </c>
      <c r="E130" s="8" t="s">
        <v>297</v>
      </c>
      <c r="F130" s="8" t="s">
        <v>297</v>
      </c>
      <c r="G130" s="107">
        <v>46032.0</v>
      </c>
      <c r="H130" s="108"/>
      <c r="I130" s="108">
        <v>3.0</v>
      </c>
      <c r="J130" s="108" t="s">
        <v>8244</v>
      </c>
      <c r="K130" s="108"/>
      <c r="L130" s="108" t="s">
        <v>568</v>
      </c>
      <c r="M130" s="108"/>
    </row>
    <row r="131" spans="8:8">
      <c r="B131" s="105" t="s">
        <v>765</v>
      </c>
      <c r="C131" s="106" t="s">
        <v>8280</v>
      </c>
      <c r="D131" s="78" t="s">
        <v>5470</v>
      </c>
      <c r="E131" s="8" t="s">
        <v>3705</v>
      </c>
      <c r="F131" s="8" t="s">
        <v>3705</v>
      </c>
      <c r="G131" s="107">
        <v>46032.0</v>
      </c>
      <c r="H131" s="108"/>
      <c r="I131" s="108">
        <v>12.0</v>
      </c>
      <c r="J131" s="108" t="s">
        <v>8244</v>
      </c>
      <c r="K131" s="108"/>
      <c r="L131" s="108" t="s">
        <v>568</v>
      </c>
      <c r="M131" s="108"/>
    </row>
    <row r="132" spans="8:8">
      <c r="B132" s="105" t="s">
        <v>765</v>
      </c>
      <c r="C132" s="106" t="s">
        <v>8282</v>
      </c>
      <c r="D132" s="78" t="s">
        <v>5230</v>
      </c>
      <c r="E132" s="8" t="s">
        <v>3147</v>
      </c>
      <c r="F132" s="8" t="s">
        <v>3147</v>
      </c>
      <c r="G132" s="107">
        <v>46033.0</v>
      </c>
      <c r="H132" s="108"/>
      <c r="I132" s="108">
        <v>1.0</v>
      </c>
      <c r="J132" s="108" t="s">
        <v>8253</v>
      </c>
      <c r="K132" s="108"/>
      <c r="L132" s="108" t="s">
        <v>8217</v>
      </c>
      <c r="M132" s="108"/>
    </row>
    <row r="133" spans="8:8">
      <c r="B133" s="105" t="s">
        <v>765</v>
      </c>
      <c r="C133" s="106" t="s">
        <v>8282</v>
      </c>
      <c r="D133" s="78" t="s">
        <v>4931</v>
      </c>
      <c r="E133" s="8" t="s">
        <v>69</v>
      </c>
      <c r="F133" s="8" t="s">
        <v>1322</v>
      </c>
      <c r="G133" s="107">
        <v>46033.0</v>
      </c>
      <c r="H133" s="108"/>
      <c r="I133" s="108">
        <v>1.0</v>
      </c>
      <c r="J133" s="108" t="s">
        <v>8253</v>
      </c>
      <c r="K133" s="108"/>
      <c r="L133" s="108" t="s">
        <v>8217</v>
      </c>
      <c r="M133" s="108"/>
    </row>
    <row r="134" spans="8:8">
      <c r="B134" s="105" t="s">
        <v>765</v>
      </c>
      <c r="C134" s="106" t="s">
        <v>8282</v>
      </c>
      <c r="D134" s="78" t="s">
        <v>4790</v>
      </c>
      <c r="E134" s="8" t="s">
        <v>69</v>
      </c>
      <c r="F134" s="8" t="s">
        <v>602</v>
      </c>
      <c r="G134" s="107">
        <v>46033.0</v>
      </c>
      <c r="H134" s="108"/>
      <c r="I134" s="108">
        <v>2.0</v>
      </c>
      <c r="J134" s="108" t="s">
        <v>8253</v>
      </c>
      <c r="K134" s="108"/>
      <c r="L134" s="108" t="s">
        <v>8217</v>
      </c>
      <c r="M134" s="108"/>
    </row>
    <row r="135" spans="8:8">
      <c r="B135" s="105" t="s">
        <v>765</v>
      </c>
      <c r="C135" s="106" t="s">
        <v>8282</v>
      </c>
      <c r="D135" s="78" t="s">
        <v>4601</v>
      </c>
      <c r="E135" s="8" t="s">
        <v>593</v>
      </c>
      <c r="F135" s="8" t="s">
        <v>593</v>
      </c>
      <c r="G135" s="107">
        <v>46033.0</v>
      </c>
      <c r="H135" s="108"/>
      <c r="I135" s="108">
        <v>3.0</v>
      </c>
      <c r="J135" s="108" t="s">
        <v>8253</v>
      </c>
      <c r="K135" s="108"/>
      <c r="L135" s="108" t="s">
        <v>3688</v>
      </c>
      <c r="M135" s="108"/>
    </row>
    <row r="136" spans="8:8">
      <c r="B136" s="105" t="s">
        <v>765</v>
      </c>
      <c r="C136" s="106" t="s">
        <v>8282</v>
      </c>
      <c r="D136" s="78" t="s">
        <v>4181</v>
      </c>
      <c r="E136" s="8" t="s">
        <v>109</v>
      </c>
      <c r="F136" s="8" t="s">
        <v>109</v>
      </c>
      <c r="G136" s="107">
        <v>46033.0</v>
      </c>
      <c r="H136" s="108"/>
      <c r="I136" s="108">
        <v>2.0</v>
      </c>
      <c r="J136" s="108" t="s">
        <v>8253</v>
      </c>
      <c r="K136" s="108"/>
      <c r="L136" s="108" t="s">
        <v>8274</v>
      </c>
      <c r="M136" s="108"/>
    </row>
    <row r="137" spans="8:8">
      <c r="B137" s="105" t="s">
        <v>765</v>
      </c>
      <c r="C137" s="106" t="s">
        <v>8282</v>
      </c>
      <c r="D137" s="78" t="s">
        <v>4844</v>
      </c>
      <c r="E137" s="8" t="s">
        <v>1599</v>
      </c>
      <c r="F137" s="8" t="s">
        <v>1599</v>
      </c>
      <c r="G137" s="107">
        <v>46033.0</v>
      </c>
      <c r="H137" s="108"/>
      <c r="I137" s="108">
        <v>20.0</v>
      </c>
      <c r="J137" s="108" t="s">
        <v>8253</v>
      </c>
      <c r="K137" s="108"/>
      <c r="L137" s="108" t="s">
        <v>568</v>
      </c>
      <c r="M137" s="108"/>
    </row>
    <row r="138" spans="8:8">
      <c r="B138" s="105" t="s">
        <v>765</v>
      </c>
      <c r="C138" s="106" t="s">
        <v>8283</v>
      </c>
      <c r="D138" s="78" t="s">
        <v>4423</v>
      </c>
      <c r="E138" s="8" t="s">
        <v>1220</v>
      </c>
      <c r="F138" s="8" t="s">
        <v>1220</v>
      </c>
      <c r="G138" s="107">
        <v>46033.0</v>
      </c>
      <c r="H138" s="108"/>
      <c r="I138" s="108">
        <v>2.0</v>
      </c>
      <c r="J138" s="108" t="s">
        <v>8253</v>
      </c>
      <c r="K138" s="108"/>
      <c r="L138" s="108" t="s">
        <v>8209</v>
      </c>
      <c r="M138" s="108"/>
    </row>
    <row r="139" spans="8:8">
      <c r="B139" s="105" t="s">
        <v>765</v>
      </c>
      <c r="C139" s="106" t="s">
        <v>8283</v>
      </c>
      <c r="D139" s="78" t="s">
        <v>5543</v>
      </c>
      <c r="E139" s="8" t="s">
        <v>3894</v>
      </c>
      <c r="F139" s="8" t="s">
        <v>3894</v>
      </c>
      <c r="G139" s="107">
        <v>46033.0</v>
      </c>
      <c r="H139" s="108"/>
      <c r="I139" s="108">
        <v>1.0</v>
      </c>
      <c r="J139" s="108" t="s">
        <v>8253</v>
      </c>
      <c r="K139" s="108"/>
      <c r="L139" s="108" t="s">
        <v>8284</v>
      </c>
      <c r="M139" s="108"/>
    </row>
    <row r="140" spans="8:8">
      <c r="B140" s="105" t="s">
        <v>765</v>
      </c>
      <c r="C140" s="106" t="s">
        <v>8283</v>
      </c>
      <c r="D140" s="78" t="s">
        <v>4463</v>
      </c>
      <c r="E140" s="8" t="s">
        <v>1002</v>
      </c>
      <c r="F140" s="8" t="s">
        <v>1002</v>
      </c>
      <c r="G140" s="107">
        <v>46033.0</v>
      </c>
      <c r="H140" s="108"/>
      <c r="I140" s="108">
        <v>1.0</v>
      </c>
      <c r="J140" s="108" t="s">
        <v>8253</v>
      </c>
      <c r="K140" s="108"/>
      <c r="L140" s="108" t="s">
        <v>8233</v>
      </c>
      <c r="M140" s="108"/>
    </row>
    <row r="141" spans="8:8">
      <c r="B141" s="105" t="s">
        <v>765</v>
      </c>
      <c r="C141" s="106" t="s">
        <v>8283</v>
      </c>
      <c r="D141" s="78" t="s">
        <v>4623</v>
      </c>
      <c r="E141" s="8" t="s">
        <v>252</v>
      </c>
      <c r="F141" s="8" t="s">
        <v>1233</v>
      </c>
      <c r="G141" s="107">
        <v>46033.0</v>
      </c>
      <c r="H141" s="108"/>
      <c r="I141" s="108">
        <v>1.0</v>
      </c>
      <c r="J141" s="108" t="s">
        <v>8253</v>
      </c>
      <c r="K141" s="108"/>
      <c r="L141" s="108" t="s">
        <v>8241</v>
      </c>
      <c r="M141" s="108"/>
    </row>
    <row r="142" spans="8:8">
      <c r="B142" s="105" t="s">
        <v>765</v>
      </c>
      <c r="C142" s="106" t="s">
        <v>8290</v>
      </c>
      <c r="D142" s="78" t="s">
        <v>4786</v>
      </c>
      <c r="E142" s="8" t="s">
        <v>1224</v>
      </c>
      <c r="F142" s="8" t="s">
        <v>1224</v>
      </c>
      <c r="G142" s="107">
        <v>46034.0</v>
      </c>
      <c r="H142" s="108">
        <v>3400.0</v>
      </c>
      <c r="I142" s="108"/>
      <c r="J142" s="108" t="s">
        <v>8291</v>
      </c>
      <c r="K142" s="108"/>
      <c r="L142" s="108" t="s">
        <v>8292</v>
      </c>
      <c r="M142" s="108" t="s">
        <v>8293</v>
      </c>
    </row>
    <row r="143" spans="8:8">
      <c r="B143" s="105" t="s">
        <v>765</v>
      </c>
      <c r="C143" s="106" t="s">
        <v>8285</v>
      </c>
      <c r="D143" s="78" t="s">
        <v>4601</v>
      </c>
      <c r="E143" s="8" t="s">
        <v>593</v>
      </c>
      <c r="F143" s="8" t="s">
        <v>593</v>
      </c>
      <c r="G143" s="107">
        <v>46034.0</v>
      </c>
      <c r="H143" s="108"/>
      <c r="I143" s="108">
        <v>10.0</v>
      </c>
      <c r="J143" s="108" t="s">
        <v>8253</v>
      </c>
      <c r="K143" s="108"/>
      <c r="L143" s="108" t="s">
        <v>3688</v>
      </c>
      <c r="M143" s="108"/>
    </row>
    <row r="144" spans="8:8">
      <c r="B144" s="105" t="s">
        <v>765</v>
      </c>
      <c r="C144" s="106" t="s">
        <v>8285</v>
      </c>
      <c r="D144" s="78" t="s">
        <v>4475</v>
      </c>
      <c r="E144" s="8" t="s">
        <v>151</v>
      </c>
      <c r="F144" s="8" t="s">
        <v>566</v>
      </c>
      <c r="G144" s="107">
        <v>46034.0</v>
      </c>
      <c r="H144" s="108"/>
      <c r="I144" s="108">
        <v>1.0</v>
      </c>
      <c r="J144" s="108" t="s">
        <v>8253</v>
      </c>
      <c r="K144" s="108"/>
      <c r="L144" s="108" t="s">
        <v>8233</v>
      </c>
      <c r="M144" s="108"/>
    </row>
    <row r="145" spans="8:8">
      <c r="B145" s="105" t="s">
        <v>765</v>
      </c>
      <c r="C145" s="106" t="s">
        <v>8285</v>
      </c>
      <c r="D145" s="78" t="s">
        <v>4492</v>
      </c>
      <c r="E145" s="8" t="s">
        <v>643</v>
      </c>
      <c r="F145" s="8" t="s">
        <v>643</v>
      </c>
      <c r="G145" s="107">
        <v>46034.0</v>
      </c>
      <c r="H145" s="108"/>
      <c r="I145" s="108">
        <v>1.0</v>
      </c>
      <c r="J145" s="108" t="s">
        <v>8253</v>
      </c>
      <c r="K145" s="108"/>
      <c r="L145" s="108" t="s">
        <v>8233</v>
      </c>
      <c r="M145" s="108"/>
    </row>
    <row r="146" spans="8:8">
      <c r="B146" s="105" t="s">
        <v>765</v>
      </c>
      <c r="C146" s="106" t="s">
        <v>8285</v>
      </c>
      <c r="D146" s="78" t="s">
        <v>4846</v>
      </c>
      <c r="E146" s="8" t="s">
        <v>864</v>
      </c>
      <c r="F146" s="8" t="s">
        <v>864</v>
      </c>
      <c r="G146" s="107">
        <v>46034.0</v>
      </c>
      <c r="H146" s="108"/>
      <c r="I146" s="108">
        <v>2.0</v>
      </c>
      <c r="J146" s="108" t="s">
        <v>8253</v>
      </c>
      <c r="K146" s="108"/>
      <c r="L146" s="108" t="s">
        <v>568</v>
      </c>
      <c r="M146" s="108"/>
    </row>
    <row r="147" spans="8:8">
      <c r="B147" s="105" t="s">
        <v>765</v>
      </c>
      <c r="C147" s="106" t="s">
        <v>8285</v>
      </c>
      <c r="D147" s="78" t="s">
        <v>4844</v>
      </c>
      <c r="E147" s="8" t="s">
        <v>1599</v>
      </c>
      <c r="F147" s="8" t="s">
        <v>1599</v>
      </c>
      <c r="G147" s="107">
        <v>46034.0</v>
      </c>
      <c r="H147" s="108"/>
      <c r="I147" s="108">
        <v>1.0</v>
      </c>
      <c r="J147" s="108" t="s">
        <v>8253</v>
      </c>
      <c r="K147" s="108"/>
      <c r="L147" s="108" t="s">
        <v>568</v>
      </c>
      <c r="M147" s="108"/>
    </row>
    <row r="148" spans="8:8">
      <c r="B148" s="105" t="s">
        <v>765</v>
      </c>
      <c r="C148" s="106" t="s">
        <v>8287</v>
      </c>
      <c r="D148" s="78" t="s">
        <v>4601</v>
      </c>
      <c r="E148" s="8" t="s">
        <v>593</v>
      </c>
      <c r="F148" s="8" t="s">
        <v>593</v>
      </c>
      <c r="G148" s="107">
        <v>46035.0</v>
      </c>
      <c r="H148" s="108"/>
      <c r="I148" s="108">
        <v>89.0</v>
      </c>
      <c r="J148" s="108" t="s">
        <v>8253</v>
      </c>
      <c r="K148" s="108"/>
      <c r="L148" s="108" t="s">
        <v>8288</v>
      </c>
      <c r="M148" s="108"/>
    </row>
    <row r="149" spans="8:8">
      <c r="B149" s="105" t="s">
        <v>765</v>
      </c>
      <c r="C149" s="106" t="s">
        <v>8287</v>
      </c>
      <c r="D149" s="78" t="s">
        <v>4181</v>
      </c>
      <c r="E149" s="8" t="s">
        <v>109</v>
      </c>
      <c r="F149" s="8" t="s">
        <v>109</v>
      </c>
      <c r="G149" s="107">
        <v>46035.0</v>
      </c>
      <c r="H149" s="108"/>
      <c r="I149" s="108">
        <v>1.0</v>
      </c>
      <c r="J149" s="108" t="s">
        <v>8253</v>
      </c>
      <c r="K149" s="108"/>
      <c r="L149" s="108" t="s">
        <v>8269</v>
      </c>
      <c r="M149" s="108"/>
    </row>
    <row r="150" spans="8:8">
      <c r="B150" s="105" t="s">
        <v>765</v>
      </c>
      <c r="C150" s="106" t="s">
        <v>8287</v>
      </c>
      <c r="D150" s="78" t="s">
        <v>4912</v>
      </c>
      <c r="E150" s="8" t="s">
        <v>2826</v>
      </c>
      <c r="F150" s="8" t="s">
        <v>2826</v>
      </c>
      <c r="G150" s="107">
        <v>46035.0</v>
      </c>
      <c r="H150" s="108"/>
      <c r="I150" s="108">
        <v>5.0</v>
      </c>
      <c r="J150" s="108" t="s">
        <v>8253</v>
      </c>
      <c r="K150" s="108"/>
      <c r="L150" s="108" t="s">
        <v>8269</v>
      </c>
      <c r="M150" s="108"/>
    </row>
    <row r="151" spans="8:8">
      <c r="B151" s="105" t="s">
        <v>765</v>
      </c>
      <c r="C151" s="106" t="s">
        <v>8287</v>
      </c>
      <c r="D151" s="78" t="s">
        <v>4412</v>
      </c>
      <c r="E151" s="8" t="s">
        <v>1037</v>
      </c>
      <c r="F151" s="8" t="s">
        <v>1037</v>
      </c>
      <c r="G151" s="107">
        <v>46035.0</v>
      </c>
      <c r="H151" s="108"/>
      <c r="I151" s="108">
        <v>1.0</v>
      </c>
      <c r="J151" s="108" t="s">
        <v>8253</v>
      </c>
      <c r="K151" s="108"/>
      <c r="L151" s="108" t="s">
        <v>8289</v>
      </c>
      <c r="M151" s="108"/>
    </row>
    <row r="152" spans="8:8">
      <c r="B152" s="105" t="s">
        <v>765</v>
      </c>
      <c r="C152" s="106" t="s">
        <v>8287</v>
      </c>
      <c r="D152" s="78" t="s">
        <v>4457</v>
      </c>
      <c r="E152" s="8" t="s">
        <v>652</v>
      </c>
      <c r="F152" s="8" t="s">
        <v>652</v>
      </c>
      <c r="G152" s="107">
        <v>46035.0</v>
      </c>
      <c r="H152" s="108"/>
      <c r="I152" s="108">
        <v>1.0</v>
      </c>
      <c r="J152" s="108" t="s">
        <v>8253</v>
      </c>
      <c r="K152" s="108"/>
      <c r="L152" s="108" t="s">
        <v>1013</v>
      </c>
      <c r="M152" s="108"/>
    </row>
    <row r="153" spans="8:8">
      <c r="B153" s="108" t="s">
        <v>8286</v>
      </c>
      <c r="C153" s="106" t="s">
        <v>8294</v>
      </c>
      <c r="D153" s="60" t="s">
        <v>7921</v>
      </c>
      <c r="E153" s="8" t="s">
        <v>2722</v>
      </c>
      <c r="F153" s="8" t="s">
        <v>2722</v>
      </c>
      <c r="G153" s="107">
        <v>46035.0</v>
      </c>
      <c r="H153" s="108"/>
      <c r="I153" s="108">
        <v>4.0</v>
      </c>
      <c r="J153" s="108" t="s">
        <v>8253</v>
      </c>
      <c r="K153" s="108"/>
      <c r="L153" s="108" t="s">
        <v>8209</v>
      </c>
      <c r="M153" s="108"/>
    </row>
    <row r="154" spans="8:8">
      <c r="B154" s="108" t="s">
        <v>8286</v>
      </c>
      <c r="C154" s="106" t="s">
        <v>8294</v>
      </c>
      <c r="D154" s="60" t="s">
        <v>8052</v>
      </c>
      <c r="E154" s="8" t="s">
        <v>1581</v>
      </c>
      <c r="F154" s="8" t="s">
        <v>1581</v>
      </c>
      <c r="G154" s="107">
        <v>46035.0</v>
      </c>
      <c r="H154" s="108"/>
      <c r="I154" s="108">
        <v>1.0</v>
      </c>
      <c r="J154" s="108" t="s">
        <v>8253</v>
      </c>
      <c r="K154" s="108"/>
      <c r="L154" s="108" t="s">
        <v>8209</v>
      </c>
      <c r="M154" s="108"/>
    </row>
    <row r="155" spans="8:8">
      <c r="B155" s="108" t="s">
        <v>8286</v>
      </c>
      <c r="C155" s="106" t="s">
        <v>8294</v>
      </c>
      <c r="D155" s="60" t="s">
        <v>7877</v>
      </c>
      <c r="E155" s="8" t="s">
        <v>2875</v>
      </c>
      <c r="F155" s="8" t="s">
        <v>2875</v>
      </c>
      <c r="G155" s="107">
        <v>46035.0</v>
      </c>
      <c r="H155" s="108"/>
      <c r="I155" s="108">
        <v>1.0</v>
      </c>
      <c r="J155" s="108" t="s">
        <v>8253</v>
      </c>
      <c r="K155" s="108"/>
      <c r="L155" s="108" t="s">
        <v>8209</v>
      </c>
      <c r="M155" s="108"/>
    </row>
    <row r="156" spans="8:8">
      <c r="B156" s="108" t="s">
        <v>8286</v>
      </c>
      <c r="C156" s="106" t="s">
        <v>8294</v>
      </c>
      <c r="D156" s="60" t="s">
        <v>7893</v>
      </c>
      <c r="E156" s="8" t="s">
        <v>3646</v>
      </c>
      <c r="F156" s="8" t="s">
        <v>3646</v>
      </c>
      <c r="G156" s="107">
        <v>46035.0</v>
      </c>
      <c r="H156" s="108"/>
      <c r="I156" s="108">
        <v>2.0</v>
      </c>
      <c r="J156" s="108" t="s">
        <v>8253</v>
      </c>
      <c r="K156" s="108"/>
      <c r="L156" s="108" t="s">
        <v>8209</v>
      </c>
      <c r="M156" s="108"/>
    </row>
    <row r="157" spans="8:8">
      <c r="B157" s="105" t="s">
        <v>765</v>
      </c>
      <c r="C157" s="106" t="s">
        <v>8294</v>
      </c>
      <c r="D157" s="78" t="s">
        <v>4844</v>
      </c>
      <c r="E157" s="8" t="s">
        <v>1599</v>
      </c>
      <c r="F157" s="8" t="s">
        <v>1599</v>
      </c>
      <c r="G157" s="107">
        <v>46035.0</v>
      </c>
      <c r="H157" s="108"/>
      <c r="I157" s="108">
        <v>4.0</v>
      </c>
      <c r="J157" s="108" t="s">
        <v>8253</v>
      </c>
      <c r="K157" s="108"/>
      <c r="L157" s="108" t="s">
        <v>8271</v>
      </c>
      <c r="M157" s="108"/>
    </row>
    <row r="158" spans="8:8">
      <c r="B158" s="108" t="s">
        <v>8204</v>
      </c>
      <c r="C158" s="106" t="s">
        <v>8294</v>
      </c>
      <c r="D158" s="56" t="s">
        <v>7539</v>
      </c>
      <c r="E158" s="8" t="s">
        <v>1298</v>
      </c>
      <c r="F158" s="8" t="s">
        <v>1206</v>
      </c>
      <c r="G158" s="107">
        <v>46035.0</v>
      </c>
      <c r="H158" s="108"/>
      <c r="I158" s="108">
        <v>1.0</v>
      </c>
      <c r="J158" s="108" t="s">
        <v>8253</v>
      </c>
      <c r="K158" s="108"/>
      <c r="L158" s="108" t="s">
        <v>8271</v>
      </c>
      <c r="M158" s="108"/>
    </row>
    <row r="159" spans="8:8">
      <c r="B159" s="105" t="s">
        <v>765</v>
      </c>
      <c r="C159" s="106" t="s">
        <v>8295</v>
      </c>
      <c r="D159" s="78" t="s">
        <v>4786</v>
      </c>
      <c r="E159" s="8" t="s">
        <v>1224</v>
      </c>
      <c r="F159" s="8" t="s">
        <v>1224</v>
      </c>
      <c r="G159" s="107">
        <v>46036.0</v>
      </c>
      <c r="H159" s="108"/>
      <c r="I159" s="108">
        <v>1400.0</v>
      </c>
      <c r="J159" s="108" t="s">
        <v>8296</v>
      </c>
      <c r="K159" s="108"/>
      <c r="L159" s="108" t="s">
        <v>8297</v>
      </c>
      <c r="M159" s="108"/>
    </row>
    <row r="160" spans="8:8">
      <c r="B160" s="105" t="s">
        <v>765</v>
      </c>
      <c r="C160" s="106" t="s">
        <v>8299</v>
      </c>
      <c r="D160" s="78" t="s">
        <v>4601</v>
      </c>
      <c r="E160" s="8" t="s">
        <v>593</v>
      </c>
      <c r="F160" s="8" t="s">
        <v>593</v>
      </c>
      <c r="G160" s="107">
        <v>46036.0</v>
      </c>
      <c r="H160" s="108"/>
      <c r="I160" s="108">
        <v>4.0</v>
      </c>
      <c r="J160" s="108" t="s">
        <v>8253</v>
      </c>
      <c r="K160" s="108"/>
      <c r="L160" s="108" t="s">
        <v>3688</v>
      </c>
      <c r="M160" s="108"/>
    </row>
    <row r="161" spans="8:8">
      <c r="B161" s="105" t="s">
        <v>765</v>
      </c>
      <c r="C161" s="106" t="s">
        <v>8299</v>
      </c>
      <c r="D161" s="78" t="s">
        <v>4842</v>
      </c>
      <c r="E161" s="8" t="s">
        <v>1611</v>
      </c>
      <c r="F161" s="8" t="s">
        <v>1611</v>
      </c>
      <c r="G161" s="107">
        <v>46036.0</v>
      </c>
      <c r="H161" s="108"/>
      <c r="I161" s="108">
        <v>2.0</v>
      </c>
      <c r="J161" s="108" t="s">
        <v>8253</v>
      </c>
      <c r="K161" s="108"/>
      <c r="L161" s="108" t="s">
        <v>8223</v>
      </c>
      <c r="M161" s="108"/>
    </row>
    <row r="162" spans="8:8">
      <c r="B162" s="105" t="s">
        <v>765</v>
      </c>
      <c r="C162" s="106" t="s">
        <v>8299</v>
      </c>
      <c r="D162" s="78" t="s">
        <v>4931</v>
      </c>
      <c r="E162" s="8" t="s">
        <v>69</v>
      </c>
      <c r="F162" s="8" t="s">
        <v>1322</v>
      </c>
      <c r="G162" s="107">
        <v>46036.0</v>
      </c>
      <c r="H162" s="108"/>
      <c r="I162" s="108">
        <v>1.0</v>
      </c>
      <c r="J162" s="108" t="s">
        <v>8253</v>
      </c>
      <c r="K162" s="108"/>
      <c r="L162" s="108" t="s">
        <v>8223</v>
      </c>
      <c r="M162" s="108"/>
    </row>
    <row r="163" spans="8:8">
      <c r="B163" s="105" t="s">
        <v>765</v>
      </c>
      <c r="C163" s="106" t="s">
        <v>8299</v>
      </c>
      <c r="D163" s="78" t="s">
        <v>4912</v>
      </c>
      <c r="E163" s="8" t="s">
        <v>2826</v>
      </c>
      <c r="F163" s="8" t="s">
        <v>2826</v>
      </c>
      <c r="G163" s="107">
        <v>46036.0</v>
      </c>
      <c r="H163" s="108"/>
      <c r="I163" s="108">
        <v>2.0</v>
      </c>
      <c r="J163" s="108" t="s">
        <v>8253</v>
      </c>
      <c r="K163" s="108"/>
      <c r="L163" s="108" t="s">
        <v>8223</v>
      </c>
      <c r="M163" s="108"/>
    </row>
    <row r="164" spans="8:8">
      <c r="B164" s="105" t="s">
        <v>765</v>
      </c>
      <c r="C164" s="106" t="s">
        <v>8298</v>
      </c>
      <c r="D164" s="78" t="s">
        <v>5470</v>
      </c>
      <c r="E164" s="8" t="s">
        <v>3705</v>
      </c>
      <c r="F164" s="8" t="s">
        <v>3705</v>
      </c>
      <c r="G164" s="107">
        <v>46036.0</v>
      </c>
      <c r="H164" s="108"/>
      <c r="I164" s="108">
        <v>2.0</v>
      </c>
      <c r="J164" s="108" t="s">
        <v>8244</v>
      </c>
      <c r="K164" s="108"/>
      <c r="L164" s="108" t="s">
        <v>568</v>
      </c>
      <c r="M164" s="108"/>
    </row>
    <row r="165" spans="8:8">
      <c r="B165" s="105" t="s">
        <v>765</v>
      </c>
      <c r="C165" s="106" t="s">
        <v>8298</v>
      </c>
      <c r="D165" s="78" t="s">
        <v>5455</v>
      </c>
      <c r="E165" s="8" t="s">
        <v>8281</v>
      </c>
      <c r="F165" s="8" t="s">
        <v>8281</v>
      </c>
      <c r="G165" s="107">
        <v>46036.0</v>
      </c>
      <c r="H165" s="108"/>
      <c r="I165" s="108">
        <v>8.0</v>
      </c>
      <c r="J165" s="108" t="s">
        <v>8244</v>
      </c>
      <c r="K165" s="108"/>
      <c r="L165" s="108" t="s">
        <v>568</v>
      </c>
      <c r="M165" s="108"/>
    </row>
    <row r="166" spans="8:8">
      <c r="B166" s="105" t="s">
        <v>765</v>
      </c>
      <c r="C166" s="106" t="s">
        <v>8298</v>
      </c>
      <c r="D166" s="78" t="s">
        <v>5471</v>
      </c>
      <c r="E166" s="8" t="s">
        <v>3706</v>
      </c>
      <c r="F166" s="8" t="s">
        <v>3706</v>
      </c>
      <c r="G166" s="107">
        <v>46036.0</v>
      </c>
      <c r="H166" s="108"/>
      <c r="I166" s="108">
        <v>4.0</v>
      </c>
      <c r="J166" s="108" t="s">
        <v>8244</v>
      </c>
      <c r="K166" s="108"/>
      <c r="L166" s="108" t="s">
        <v>568</v>
      </c>
      <c r="M166" s="108"/>
    </row>
    <row r="167" spans="8:8">
      <c r="B167" s="105" t="s">
        <v>2528</v>
      </c>
      <c r="C167" s="106" t="s">
        <v>8298</v>
      </c>
      <c r="D167" s="60" t="s">
        <v>7948</v>
      </c>
      <c r="E167" s="8" t="s">
        <v>1070</v>
      </c>
      <c r="F167" s="8" t="s">
        <v>1070</v>
      </c>
      <c r="G167" s="107">
        <v>46036.0</v>
      </c>
      <c r="H167" s="108"/>
      <c r="I167" s="108">
        <v>6.0</v>
      </c>
      <c r="J167" s="108" t="s">
        <v>8244</v>
      </c>
      <c r="K167" s="108"/>
      <c r="L167" s="108" t="s">
        <v>1016</v>
      </c>
      <c r="M167" s="108"/>
    </row>
    <row r="168" spans="8:8">
      <c r="B168" s="105" t="s">
        <v>8204</v>
      </c>
      <c r="C168" s="106" t="s">
        <v>8298</v>
      </c>
      <c r="D168" s="56" t="s">
        <v>7680</v>
      </c>
      <c r="E168" s="8" t="s">
        <v>1495</v>
      </c>
      <c r="F168" s="8" t="s">
        <v>1495</v>
      </c>
      <c r="G168" s="107">
        <v>46036.0</v>
      </c>
      <c r="H168" s="108"/>
      <c r="I168" s="108">
        <v>2.0</v>
      </c>
      <c r="J168" s="108" t="s">
        <v>8244</v>
      </c>
      <c r="K168" s="108"/>
      <c r="L168" s="108" t="s">
        <v>8300</v>
      </c>
      <c r="M168" s="108"/>
    </row>
    <row r="169" spans="8:8">
      <c r="B169" s="105" t="s">
        <v>765</v>
      </c>
      <c r="C169" s="106" t="s">
        <v>8301</v>
      </c>
      <c r="D169" s="78" t="s">
        <v>4601</v>
      </c>
      <c r="E169" s="8" t="s">
        <v>593</v>
      </c>
      <c r="F169" s="8" t="s">
        <v>593</v>
      </c>
      <c r="G169" s="107">
        <v>46037.0</v>
      </c>
      <c r="H169" s="108"/>
      <c r="I169" s="108">
        <v>24.0</v>
      </c>
      <c r="J169" s="108" t="s">
        <v>8253</v>
      </c>
      <c r="K169" s="108"/>
      <c r="L169" s="108" t="s">
        <v>3688</v>
      </c>
      <c r="M169" s="108"/>
    </row>
    <row r="170" spans="8:8">
      <c r="B170" s="105" t="s">
        <v>765</v>
      </c>
      <c r="C170" s="106" t="s">
        <v>8301</v>
      </c>
      <c r="D170" s="78" t="s">
        <v>4846</v>
      </c>
      <c r="E170" s="8" t="s">
        <v>864</v>
      </c>
      <c r="F170" s="8" t="s">
        <v>864</v>
      </c>
      <c r="G170" s="107">
        <v>46037.0</v>
      </c>
      <c r="H170" s="108"/>
      <c r="I170" s="108">
        <v>6.0</v>
      </c>
      <c r="J170" s="108" t="s">
        <v>8253</v>
      </c>
      <c r="K170" s="108"/>
      <c r="L170" s="108" t="s">
        <v>8302</v>
      </c>
      <c r="M170" s="108"/>
    </row>
    <row r="171" spans="8:8">
      <c r="B171" s="105" t="s">
        <v>765</v>
      </c>
      <c r="C171" s="106" t="s">
        <v>8301</v>
      </c>
      <c r="D171" s="78" t="s">
        <v>4475</v>
      </c>
      <c r="E171" s="8" t="s">
        <v>566</v>
      </c>
      <c r="F171" s="8" t="s">
        <v>566</v>
      </c>
      <c r="G171" s="107">
        <v>46037.0</v>
      </c>
      <c r="H171" s="108"/>
      <c r="I171" s="108">
        <v>1.0</v>
      </c>
      <c r="J171" s="108" t="s">
        <v>8253</v>
      </c>
      <c r="K171" s="108"/>
      <c r="L171" s="108" t="s">
        <v>8233</v>
      </c>
      <c r="M171" s="108"/>
    </row>
    <row r="172" spans="8:8">
      <c r="B172" s="105" t="s">
        <v>8204</v>
      </c>
      <c r="C172" s="106" t="s">
        <v>8301</v>
      </c>
      <c r="D172" s="56" t="s">
        <v>7662</v>
      </c>
      <c r="E172" s="8" t="s">
        <v>1334</v>
      </c>
      <c r="F172" s="8" t="s">
        <v>3760</v>
      </c>
      <c r="G172" s="107">
        <v>46037.0</v>
      </c>
      <c r="H172" s="108"/>
      <c r="I172" s="108">
        <v>2.0</v>
      </c>
      <c r="J172" s="108" t="s">
        <v>8253</v>
      </c>
      <c r="K172" s="108"/>
      <c r="L172" s="108" t="s">
        <v>3688</v>
      </c>
      <c r="M172" s="108"/>
    </row>
    <row r="173" spans="8:8">
      <c r="B173" s="105" t="s">
        <v>765</v>
      </c>
      <c r="C173" s="106" t="s">
        <v>8301</v>
      </c>
      <c r="D173" s="78" t="s">
        <v>5360</v>
      </c>
      <c r="E173" s="8" t="s">
        <v>3444</v>
      </c>
      <c r="F173" s="8" t="s">
        <v>3444</v>
      </c>
      <c r="G173" s="107">
        <v>46037.0</v>
      </c>
      <c r="H173" s="108"/>
      <c r="I173" s="108">
        <v>1.0</v>
      </c>
      <c r="J173" s="108" t="s">
        <v>8253</v>
      </c>
      <c r="K173" s="108"/>
      <c r="L173" s="108" t="s">
        <v>1016</v>
      </c>
      <c r="M173" s="108"/>
    </row>
    <row r="174" spans="8:8">
      <c r="B174" s="105" t="s">
        <v>765</v>
      </c>
      <c r="C174" s="106" t="s">
        <v>8301</v>
      </c>
      <c r="D174" s="78" t="s">
        <v>4372</v>
      </c>
      <c r="E174" s="8" t="s">
        <v>1036</v>
      </c>
      <c r="F174" s="8" t="s">
        <v>1036</v>
      </c>
      <c r="G174" s="107">
        <v>46037.0</v>
      </c>
      <c r="H174" s="108"/>
      <c r="I174" s="108">
        <v>2.0</v>
      </c>
      <c r="J174" s="108" t="s">
        <v>8253</v>
      </c>
      <c r="K174" s="108"/>
      <c r="L174" s="108" t="s">
        <v>8209</v>
      </c>
      <c r="M174" s="108"/>
    </row>
    <row r="175" spans="8:8">
      <c r="B175" s="105" t="s">
        <v>2528</v>
      </c>
      <c r="C175" s="106" t="s">
        <v>8303</v>
      </c>
      <c r="D175" s="60" t="s">
        <v>7830</v>
      </c>
      <c r="E175" s="8" t="s">
        <v>896</v>
      </c>
      <c r="F175" s="8" t="s">
        <v>896</v>
      </c>
      <c r="G175" s="107">
        <v>46037.0</v>
      </c>
      <c r="H175" s="108"/>
      <c r="I175" s="108">
        <v>1.0</v>
      </c>
      <c r="J175" s="108" t="s">
        <v>8253</v>
      </c>
      <c r="K175" s="108"/>
      <c r="L175" s="108" t="s">
        <v>8209</v>
      </c>
      <c r="M175" s="108"/>
    </row>
    <row r="176" spans="8:8">
      <c r="B176" s="105" t="s">
        <v>765</v>
      </c>
      <c r="C176" s="106" t="s">
        <v>8303</v>
      </c>
      <c r="D176" s="78" t="s">
        <v>4842</v>
      </c>
      <c r="E176" s="8" t="s">
        <v>1611</v>
      </c>
      <c r="F176" s="8" t="s">
        <v>1611</v>
      </c>
      <c r="G176" s="107">
        <v>46037.0</v>
      </c>
      <c r="H176" s="108"/>
      <c r="I176" s="108">
        <v>4.0</v>
      </c>
      <c r="J176" s="108" t="s">
        <v>8253</v>
      </c>
      <c r="K176" s="108"/>
      <c r="L176" s="108" t="s">
        <v>1016</v>
      </c>
      <c r="M176" s="108"/>
    </row>
    <row r="177" spans="8:8">
      <c r="B177" s="105" t="s">
        <v>765</v>
      </c>
      <c r="C177" s="106" t="s">
        <v>8303</v>
      </c>
      <c r="D177" s="78" t="s">
        <v>4912</v>
      </c>
      <c r="E177" s="8" t="s">
        <v>2826</v>
      </c>
      <c r="F177" s="8" t="s">
        <v>2826</v>
      </c>
      <c r="G177" s="107">
        <v>46037.0</v>
      </c>
      <c r="H177" s="108"/>
      <c r="I177" s="108">
        <v>4.0</v>
      </c>
      <c r="J177" s="108" t="s">
        <v>8253</v>
      </c>
      <c r="K177" s="108"/>
      <c r="L177" s="108" t="s">
        <v>1016</v>
      </c>
      <c r="M177" s="108"/>
    </row>
    <row r="178" spans="8:8">
      <c r="B178" s="105" t="s">
        <v>765</v>
      </c>
      <c r="C178" s="106" t="s">
        <v>8303</v>
      </c>
      <c r="D178" s="78" t="s">
        <v>4005</v>
      </c>
      <c r="E178" s="8" t="s">
        <v>252</v>
      </c>
      <c r="F178" s="8" t="s">
        <v>1617</v>
      </c>
      <c r="G178" s="107">
        <v>46037.0</v>
      </c>
      <c r="H178" s="108"/>
      <c r="I178" s="108">
        <v>1.0</v>
      </c>
      <c r="J178" s="108" t="s">
        <v>8253</v>
      </c>
      <c r="K178" s="108"/>
      <c r="L178" s="108" t="s">
        <v>8219</v>
      </c>
      <c r="M178" s="108"/>
    </row>
    <row r="179" spans="8:8">
      <c r="B179" s="105" t="s">
        <v>828</v>
      </c>
      <c r="C179" s="106" t="s">
        <v>8304</v>
      </c>
      <c r="D179" s="60" t="s">
        <v>6903</v>
      </c>
      <c r="E179" s="8" t="s">
        <v>524</v>
      </c>
      <c r="F179" s="8" t="s">
        <v>524</v>
      </c>
      <c r="G179" s="107">
        <v>46037.0</v>
      </c>
      <c r="H179" s="108"/>
      <c r="I179" s="108">
        <v>30.0</v>
      </c>
      <c r="J179" s="108" t="s">
        <v>8305</v>
      </c>
      <c r="K179" s="108"/>
      <c r="L179" s="108" t="s">
        <v>8306</v>
      </c>
      <c r="M179" s="108"/>
    </row>
    <row r="180" spans="8:8">
      <c r="B180" s="105" t="s">
        <v>765</v>
      </c>
      <c r="C180" s="106" t="s">
        <v>8304</v>
      </c>
      <c r="D180" s="78" t="s">
        <v>4609</v>
      </c>
      <c r="E180" s="8" t="s">
        <v>859</v>
      </c>
      <c r="F180" s="8" t="s">
        <v>859</v>
      </c>
      <c r="G180" s="107">
        <v>46037.0</v>
      </c>
      <c r="H180" s="108"/>
      <c r="I180" s="108">
        <v>2.0</v>
      </c>
      <c r="J180" s="108" t="s">
        <v>8305</v>
      </c>
      <c r="K180" s="108"/>
      <c r="L180" s="108" t="s">
        <v>8316</v>
      </c>
      <c r="M180" s="108"/>
    </row>
    <row r="181" spans="8:8">
      <c r="B181" s="105" t="s">
        <v>765</v>
      </c>
      <c r="C181" s="106" t="s">
        <v>8307</v>
      </c>
      <c r="D181" s="78" t="s">
        <v>5308</v>
      </c>
      <c r="E181" s="8" t="s">
        <v>3356</v>
      </c>
      <c r="F181" s="8" t="s">
        <v>3356</v>
      </c>
      <c r="G181" s="107">
        <v>46037.0</v>
      </c>
      <c r="H181" s="108"/>
      <c r="I181" s="108">
        <v>2.0</v>
      </c>
      <c r="J181" s="108" t="s">
        <v>8258</v>
      </c>
      <c r="K181" s="108"/>
      <c r="L181" s="108" t="s">
        <v>8308</v>
      </c>
      <c r="M181" s="108"/>
    </row>
    <row r="182" spans="8:8">
      <c r="B182" s="105" t="s">
        <v>765</v>
      </c>
      <c r="C182" s="106" t="s">
        <v>8307</v>
      </c>
      <c r="D182" s="60" t="s">
        <v>7952</v>
      </c>
      <c r="E182" s="8" t="s">
        <v>2590</v>
      </c>
      <c r="F182" s="8" t="s">
        <v>2590</v>
      </c>
      <c r="G182" s="107">
        <v>46037.0</v>
      </c>
      <c r="H182" s="108"/>
      <c r="I182" s="108">
        <v>1.0</v>
      </c>
      <c r="J182" s="108" t="s">
        <v>8258</v>
      </c>
      <c r="K182" s="108"/>
      <c r="L182" s="108" t="s">
        <v>8308</v>
      </c>
      <c r="M182" s="108"/>
    </row>
    <row r="183" spans="8:8">
      <c r="B183" s="105" t="s">
        <v>765</v>
      </c>
      <c r="C183" s="106" t="s">
        <v>8309</v>
      </c>
      <c r="D183" s="78" t="s">
        <v>4931</v>
      </c>
      <c r="E183" s="8" t="s">
        <v>69</v>
      </c>
      <c r="F183" s="8" t="s">
        <v>1322</v>
      </c>
      <c r="G183" s="107">
        <v>46038.0</v>
      </c>
      <c r="H183" s="108"/>
      <c r="I183" s="108">
        <v>1.0</v>
      </c>
      <c r="J183" s="108" t="s">
        <v>8253</v>
      </c>
      <c r="K183" s="108"/>
      <c r="L183" s="108" t="s">
        <v>8217</v>
      </c>
      <c r="M183" s="108"/>
    </row>
    <row r="184" spans="8:8">
      <c r="B184" s="105" t="s">
        <v>765</v>
      </c>
      <c r="C184" s="106" t="s">
        <v>8309</v>
      </c>
      <c r="D184" s="78" t="s">
        <v>4181</v>
      </c>
      <c r="E184" s="8" t="s">
        <v>109</v>
      </c>
      <c r="F184" s="8" t="s">
        <v>109</v>
      </c>
      <c r="G184" s="107">
        <v>46038.0</v>
      </c>
      <c r="H184" s="108"/>
      <c r="I184" s="108">
        <v>1.0</v>
      </c>
      <c r="J184" s="108" t="s">
        <v>8253</v>
      </c>
      <c r="K184" s="108"/>
      <c r="L184" s="108" t="s">
        <v>8310</v>
      </c>
      <c r="M184" s="108"/>
    </row>
    <row r="185" spans="8:8">
      <c r="B185" s="105" t="s">
        <v>765</v>
      </c>
      <c r="C185" s="106" t="s">
        <v>8309</v>
      </c>
      <c r="D185" s="78" t="s">
        <v>4379</v>
      </c>
      <c r="E185" s="8" t="s">
        <v>1524</v>
      </c>
      <c r="F185" s="8" t="s">
        <v>1524</v>
      </c>
      <c r="G185" s="107">
        <v>46038.0</v>
      </c>
      <c r="H185" s="108"/>
      <c r="I185" s="108">
        <v>1.0</v>
      </c>
      <c r="J185" s="108" t="s">
        <v>8253</v>
      </c>
      <c r="K185" s="108"/>
      <c r="L185" s="108" t="s">
        <v>8311</v>
      </c>
      <c r="M185" s="108"/>
    </row>
    <row r="186" spans="8:8">
      <c r="B186" s="105" t="s">
        <v>765</v>
      </c>
      <c r="C186" s="106" t="s">
        <v>8309</v>
      </c>
      <c r="D186" s="78" t="s">
        <v>4846</v>
      </c>
      <c r="E186" s="8" t="s">
        <v>864</v>
      </c>
      <c r="F186" s="8" t="s">
        <v>864</v>
      </c>
      <c r="G186" s="107">
        <v>46038.0</v>
      </c>
      <c r="H186" s="108"/>
      <c r="I186" s="108">
        <v>2.0</v>
      </c>
      <c r="J186" s="108" t="s">
        <v>8253</v>
      </c>
      <c r="K186" s="108"/>
      <c r="L186" s="108" t="s">
        <v>8209</v>
      </c>
      <c r="M186" s="108"/>
    </row>
    <row r="187" spans="8:8">
      <c r="B187" s="105" t="s">
        <v>765</v>
      </c>
      <c r="C187" s="106" t="s">
        <v>8309</v>
      </c>
      <c r="D187" s="78" t="s">
        <v>4334</v>
      </c>
      <c r="E187" s="8" t="s">
        <v>2013</v>
      </c>
      <c r="F187" s="8" t="s">
        <v>2013</v>
      </c>
      <c r="G187" s="107">
        <v>46038.0</v>
      </c>
      <c r="H187" s="108"/>
      <c r="I187" s="108">
        <v>1.0</v>
      </c>
      <c r="J187" s="108" t="s">
        <v>8253</v>
      </c>
      <c r="K187" s="108"/>
      <c r="L187" s="108" t="s">
        <v>8209</v>
      </c>
      <c r="M187" s="108"/>
    </row>
    <row r="188" spans="8:8">
      <c r="B188" s="105" t="s">
        <v>765</v>
      </c>
      <c r="C188" s="106" t="s">
        <v>8309</v>
      </c>
      <c r="D188" s="78" t="s">
        <v>4854</v>
      </c>
      <c r="E188" s="8" t="s">
        <v>848</v>
      </c>
      <c r="F188" s="8" t="s">
        <v>848</v>
      </c>
      <c r="G188" s="107">
        <v>46038.0</v>
      </c>
      <c r="H188" s="108"/>
      <c r="I188" s="108">
        <v>8.0</v>
      </c>
      <c r="J188" s="108" t="s">
        <v>8253</v>
      </c>
      <c r="K188" s="108"/>
      <c r="L188" s="108" t="s">
        <v>8274</v>
      </c>
      <c r="M188" s="108"/>
    </row>
    <row r="189" spans="8:8">
      <c r="B189" s="105" t="s">
        <v>765</v>
      </c>
      <c r="C189" s="78">
        <v>25540.0</v>
      </c>
      <c r="D189" s="78" t="s">
        <v>4786</v>
      </c>
      <c r="E189" s="8" t="s">
        <v>1224</v>
      </c>
      <c r="F189" s="8" t="s">
        <v>1224</v>
      </c>
      <c r="G189" s="107">
        <v>46038.0</v>
      </c>
      <c r="H189" s="108"/>
      <c r="I189" s="108">
        <v>2000.0</v>
      </c>
      <c r="J189" s="108" t="s">
        <v>8247</v>
      </c>
      <c r="K189" s="108"/>
      <c r="L189" s="108" t="s">
        <v>8312</v>
      </c>
      <c r="M189" s="108"/>
    </row>
    <row r="190" spans="8:8">
      <c r="B190" s="105" t="s">
        <v>765</v>
      </c>
      <c r="C190" s="78">
        <v>25541.0</v>
      </c>
      <c r="D190" s="78" t="s">
        <v>4275</v>
      </c>
      <c r="E190" s="8" t="s">
        <v>885</v>
      </c>
      <c r="F190" s="8" t="s">
        <v>885</v>
      </c>
      <c r="G190" s="107">
        <v>46038.0</v>
      </c>
      <c r="H190" s="108"/>
      <c r="I190" s="108">
        <v>40.0</v>
      </c>
      <c r="J190" s="108" t="s">
        <v>8313</v>
      </c>
      <c r="K190" s="108"/>
      <c r="L190" s="108" t="s">
        <v>8314</v>
      </c>
      <c r="M190" s="108"/>
    </row>
    <row r="191" spans="8:8">
      <c r="B191" s="105" t="s">
        <v>8204</v>
      </c>
      <c r="C191" s="78">
        <v>25541.0</v>
      </c>
      <c r="D191" s="56" t="s">
        <v>7708</v>
      </c>
      <c r="E191" s="8" t="s">
        <v>3357</v>
      </c>
      <c r="F191" s="8" t="s">
        <v>3357</v>
      </c>
      <c r="G191" s="107">
        <v>46038.0</v>
      </c>
      <c r="H191" s="108"/>
      <c r="I191" s="108">
        <v>1.0</v>
      </c>
      <c r="J191" s="108" t="s">
        <v>8313</v>
      </c>
      <c r="K191" s="108"/>
      <c r="L191" s="108" t="s">
        <v>8314</v>
      </c>
      <c r="M191" s="108"/>
    </row>
    <row r="192" spans="8:8">
      <c r="B192" s="105" t="s">
        <v>765</v>
      </c>
      <c r="C192" s="78">
        <v>25541.0</v>
      </c>
      <c r="D192" s="78" t="s">
        <v>4806</v>
      </c>
      <c r="E192" s="8" t="s">
        <v>2507</v>
      </c>
      <c r="F192" s="8" t="s">
        <v>2507</v>
      </c>
      <c r="G192" s="107">
        <v>46038.0</v>
      </c>
      <c r="H192" s="108"/>
      <c r="I192" s="108">
        <v>1.0</v>
      </c>
      <c r="J192" s="108" t="s">
        <v>8313</v>
      </c>
      <c r="K192" s="108"/>
      <c r="L192" s="108" t="s">
        <v>8314</v>
      </c>
      <c r="M192" s="108"/>
    </row>
    <row r="193" spans="8:8">
      <c r="B193" s="105" t="s">
        <v>765</v>
      </c>
      <c r="C193" s="78">
        <v>25541.0</v>
      </c>
      <c r="D193" s="78" t="s">
        <v>5329</v>
      </c>
      <c r="E193" s="8" t="s">
        <v>3576</v>
      </c>
      <c r="F193" s="8" t="s">
        <v>3576</v>
      </c>
      <c r="G193" s="107">
        <v>46038.0</v>
      </c>
      <c r="H193" s="108"/>
      <c r="I193" s="108">
        <v>5.0</v>
      </c>
      <c r="J193" s="108" t="s">
        <v>8313</v>
      </c>
      <c r="K193" s="108"/>
      <c r="L193" s="108" t="s">
        <v>8314</v>
      </c>
      <c r="M193" s="108"/>
    </row>
    <row r="194" spans="8:8">
      <c r="B194" s="105" t="s">
        <v>765</v>
      </c>
      <c r="C194" s="78">
        <v>25541.0</v>
      </c>
      <c r="D194" s="78" t="s">
        <v>4288</v>
      </c>
      <c r="E194" s="8" t="s">
        <v>886</v>
      </c>
      <c r="F194" s="8" t="s">
        <v>886</v>
      </c>
      <c r="G194" s="107">
        <v>46038.0</v>
      </c>
      <c r="H194" s="108"/>
      <c r="I194" s="108">
        <v>10.0</v>
      </c>
      <c r="J194" s="108" t="s">
        <v>8313</v>
      </c>
      <c r="K194" s="108"/>
      <c r="L194" s="108" t="s">
        <v>8314</v>
      </c>
      <c r="M194" s="108"/>
    </row>
    <row r="195" spans="8:8">
      <c r="B195" s="105" t="s">
        <v>765</v>
      </c>
      <c r="C195" s="78">
        <v>25542.0</v>
      </c>
      <c r="D195" s="78" t="s">
        <v>4578</v>
      </c>
      <c r="E195" s="8" t="s">
        <v>8176</v>
      </c>
      <c r="F195" s="8" t="s">
        <v>8176</v>
      </c>
      <c r="G195" s="107">
        <v>46038.0</v>
      </c>
      <c r="H195" s="108"/>
      <c r="I195" s="108">
        <v>1.0</v>
      </c>
      <c r="J195" s="108" t="s">
        <v>8305</v>
      </c>
      <c r="K195" s="108"/>
      <c r="L195" s="108" t="s">
        <v>8315</v>
      </c>
      <c r="M195" s="108"/>
    </row>
    <row r="196" spans="8:8">
      <c r="B196" s="105" t="s">
        <v>765</v>
      </c>
      <c r="C196" s="109">
        <v>1268.0</v>
      </c>
      <c r="D196" s="78" t="s">
        <v>4249</v>
      </c>
      <c r="E196" s="8" t="s">
        <v>899</v>
      </c>
      <c r="F196" s="8" t="s">
        <v>899</v>
      </c>
      <c r="G196" s="107">
        <v>46039.0</v>
      </c>
      <c r="H196" s="108">
        <v>5.0</v>
      </c>
      <c r="I196" s="108"/>
      <c r="J196" s="108" t="s">
        <v>8291</v>
      </c>
      <c r="K196" s="108"/>
      <c r="L196" s="108" t="s">
        <v>8329</v>
      </c>
      <c r="M196" s="108" t="s">
        <v>8330</v>
      </c>
    </row>
    <row r="197" spans="8:8">
      <c r="B197" s="105" t="s">
        <v>8204</v>
      </c>
      <c r="C197" s="106" t="s">
        <v>8317</v>
      </c>
      <c r="D197" s="56" t="s">
        <v>7662</v>
      </c>
      <c r="E197" s="8" t="s">
        <v>1334</v>
      </c>
      <c r="F197" s="8" t="s">
        <v>3760</v>
      </c>
      <c r="G197" s="107">
        <v>46039.0</v>
      </c>
      <c r="H197" s="108"/>
      <c r="I197" s="108">
        <v>7.0</v>
      </c>
      <c r="J197" s="108" t="s">
        <v>8253</v>
      </c>
      <c r="K197" s="108"/>
      <c r="L197" s="108" t="s">
        <v>3688</v>
      </c>
      <c r="M197" s="108"/>
    </row>
    <row r="198" spans="8:8">
      <c r="B198" s="105" t="s">
        <v>765</v>
      </c>
      <c r="C198" s="106" t="s">
        <v>8317</v>
      </c>
      <c r="D198" s="78" t="s">
        <v>4844</v>
      </c>
      <c r="E198" s="8" t="s">
        <v>1599</v>
      </c>
      <c r="F198" s="8" t="s">
        <v>1599</v>
      </c>
      <c r="G198" s="107">
        <v>46039.0</v>
      </c>
      <c r="H198" s="108"/>
      <c r="I198" s="108">
        <v>10.0</v>
      </c>
      <c r="J198" s="108" t="s">
        <v>8253</v>
      </c>
      <c r="K198" s="108"/>
      <c r="L198" s="108" t="s">
        <v>8318</v>
      </c>
      <c r="M198" s="108"/>
    </row>
    <row r="199" spans="8:8">
      <c r="B199" s="105" t="s">
        <v>765</v>
      </c>
      <c r="C199" s="106" t="s">
        <v>8317</v>
      </c>
      <c r="D199" s="78" t="s">
        <v>4249</v>
      </c>
      <c r="E199" s="8" t="s">
        <v>899</v>
      </c>
      <c r="F199" s="8" t="s">
        <v>899</v>
      </c>
      <c r="G199" s="107">
        <v>46039.0</v>
      </c>
      <c r="H199" s="108"/>
      <c r="I199" s="108">
        <v>5.0</v>
      </c>
      <c r="J199" s="108" t="s">
        <v>8253</v>
      </c>
      <c r="K199" s="108"/>
      <c r="L199" s="108" t="s">
        <v>8217</v>
      </c>
      <c r="M199" s="108"/>
    </row>
    <row r="200" spans="8:8">
      <c r="B200" s="105" t="s">
        <v>765</v>
      </c>
      <c r="C200" s="106" t="s">
        <v>8317</v>
      </c>
      <c r="D200" s="78" t="s">
        <v>4790</v>
      </c>
      <c r="E200" s="8" t="s">
        <v>69</v>
      </c>
      <c r="F200" s="8" t="s">
        <v>602</v>
      </c>
      <c r="G200" s="107">
        <v>46039.0</v>
      </c>
      <c r="H200" s="108"/>
      <c r="I200" s="108">
        <v>2.0</v>
      </c>
      <c r="J200" s="108" t="s">
        <v>8253</v>
      </c>
      <c r="K200" s="108"/>
      <c r="L200" s="108" t="s">
        <v>8217</v>
      </c>
      <c r="M200" s="108"/>
    </row>
    <row r="201" spans="8:8">
      <c r="B201" s="105" t="s">
        <v>765</v>
      </c>
      <c r="C201" s="106" t="s">
        <v>8317</v>
      </c>
      <c r="D201" s="78" t="s">
        <v>4798</v>
      </c>
      <c r="E201" s="8" t="s">
        <v>1863</v>
      </c>
      <c r="F201" s="8" t="s">
        <v>1866</v>
      </c>
      <c r="G201" s="107">
        <v>46039.0</v>
      </c>
      <c r="H201" s="108"/>
      <c r="I201" s="108">
        <v>8.0</v>
      </c>
      <c r="J201" s="108" t="s">
        <v>8253</v>
      </c>
      <c r="K201" s="108"/>
      <c r="L201" s="108" t="s">
        <v>8223</v>
      </c>
      <c r="M201" s="108"/>
    </row>
    <row r="202" spans="8:8">
      <c r="B202" s="105" t="s">
        <v>765</v>
      </c>
      <c r="C202" s="106" t="s">
        <v>8317</v>
      </c>
      <c r="D202" s="78" t="s">
        <v>4554</v>
      </c>
      <c r="E202" s="8" t="s">
        <v>347</v>
      </c>
      <c r="F202" s="8" t="s">
        <v>347</v>
      </c>
      <c r="G202" s="107">
        <v>46039.0</v>
      </c>
      <c r="H202" s="108"/>
      <c r="I202" s="108">
        <v>2.0</v>
      </c>
      <c r="J202" s="108" t="s">
        <v>8253</v>
      </c>
      <c r="K202" s="108"/>
      <c r="L202" s="108" t="s">
        <v>8319</v>
      </c>
      <c r="M202" s="108"/>
    </row>
    <row r="203" spans="8:8">
      <c r="B203" s="105" t="s">
        <v>765</v>
      </c>
      <c r="C203" s="106" t="s">
        <v>8320</v>
      </c>
      <c r="D203" s="78" t="s">
        <v>4743</v>
      </c>
      <c r="E203" s="8" t="s">
        <v>797</v>
      </c>
      <c r="F203" s="8" t="s">
        <v>729</v>
      </c>
      <c r="G203" s="107">
        <v>46039.0</v>
      </c>
      <c r="H203" s="108"/>
      <c r="I203" s="108">
        <v>2.0</v>
      </c>
      <c r="J203" s="108" t="s">
        <v>8321</v>
      </c>
      <c r="K203" s="108"/>
      <c r="L203" s="108" t="s">
        <v>8322</v>
      </c>
      <c r="M203" s="108"/>
    </row>
    <row r="204" spans="8:8">
      <c r="B204" s="105" t="s">
        <v>765</v>
      </c>
      <c r="C204" s="106" t="s">
        <v>8320</v>
      </c>
      <c r="D204" s="78" t="s">
        <v>4740</v>
      </c>
      <c r="E204" s="8" t="s">
        <v>797</v>
      </c>
      <c r="F204" s="8" t="s">
        <v>730</v>
      </c>
      <c r="G204" s="107">
        <v>46039.0</v>
      </c>
      <c r="H204" s="108"/>
      <c r="I204" s="108">
        <v>2.0</v>
      </c>
      <c r="J204" s="108" t="s">
        <v>8321</v>
      </c>
      <c r="K204" s="108"/>
      <c r="L204" s="108" t="s">
        <v>8322</v>
      </c>
      <c r="M204" s="108"/>
    </row>
    <row r="205" spans="8:8">
      <c r="B205" s="105" t="s">
        <v>765</v>
      </c>
      <c r="C205" s="106" t="s">
        <v>8320</v>
      </c>
      <c r="D205" s="78" t="s">
        <v>4729</v>
      </c>
      <c r="E205" s="8" t="s">
        <v>796</v>
      </c>
      <c r="F205" s="8" t="s">
        <v>725</v>
      </c>
      <c r="G205" s="107">
        <v>46039.0</v>
      </c>
      <c r="H205" s="108"/>
      <c r="I205" s="108">
        <v>2.0</v>
      </c>
      <c r="J205" s="108" t="s">
        <v>8321</v>
      </c>
      <c r="K205" s="108"/>
      <c r="L205" s="108" t="s">
        <v>8322</v>
      </c>
      <c r="M205" s="108"/>
    </row>
    <row r="206" spans="8:8">
      <c r="B206" s="105" t="s">
        <v>765</v>
      </c>
      <c r="C206" s="106" t="s">
        <v>8320</v>
      </c>
      <c r="D206" s="78" t="s">
        <v>4754</v>
      </c>
      <c r="E206" s="8" t="s">
        <v>800</v>
      </c>
      <c r="F206" s="8" t="s">
        <v>738</v>
      </c>
      <c r="G206" s="107">
        <v>46039.0</v>
      </c>
      <c r="H206" s="108"/>
      <c r="I206" s="108">
        <v>1.0</v>
      </c>
      <c r="J206" s="108" t="s">
        <v>8321</v>
      </c>
      <c r="K206" s="108"/>
      <c r="L206" s="108" t="s">
        <v>8323</v>
      </c>
      <c r="M206" s="108"/>
    </row>
    <row r="207" spans="8:8">
      <c r="B207" s="108" t="s">
        <v>828</v>
      </c>
      <c r="C207" s="106" t="s">
        <v>8320</v>
      </c>
      <c r="D207" s="60" t="s">
        <v>6994</v>
      </c>
      <c r="E207" s="8" t="s">
        <v>2858</v>
      </c>
      <c r="F207" s="8" t="s">
        <v>2858</v>
      </c>
      <c r="G207" s="107">
        <v>46039.0</v>
      </c>
      <c r="H207" s="108"/>
      <c r="I207" s="108">
        <v>1.0</v>
      </c>
      <c r="J207" s="108" t="s">
        <v>8321</v>
      </c>
      <c r="K207" s="108"/>
      <c r="L207" s="108" t="s">
        <v>8231</v>
      </c>
      <c r="M207" s="108"/>
    </row>
    <row r="208" spans="8:8">
      <c r="B208" s="108" t="s">
        <v>828</v>
      </c>
      <c r="C208" s="106" t="s">
        <v>8320</v>
      </c>
      <c r="D208" s="60" t="s">
        <v>7345</v>
      </c>
      <c r="E208" s="8" t="s">
        <v>3886</v>
      </c>
      <c r="F208" s="8" t="s">
        <v>3886</v>
      </c>
      <c r="G208" s="107">
        <v>46039.0</v>
      </c>
      <c r="H208" s="108"/>
      <c r="I208" s="108">
        <v>3.0</v>
      </c>
      <c r="J208" s="108" t="s">
        <v>8321</v>
      </c>
      <c r="K208" s="108"/>
      <c r="L208" s="108" t="s">
        <v>8231</v>
      </c>
      <c r="M208" s="108"/>
    </row>
    <row r="209" spans="8:8">
      <c r="B209" s="105" t="s">
        <v>8286</v>
      </c>
      <c r="C209" s="106" t="s">
        <v>8324</v>
      </c>
      <c r="D209" s="60" t="s">
        <v>7861</v>
      </c>
      <c r="E209" s="8" t="s">
        <v>1042</v>
      </c>
      <c r="F209" s="8" t="s">
        <v>1042</v>
      </c>
      <c r="G209" s="107">
        <v>46039.0</v>
      </c>
      <c r="H209" s="108"/>
      <c r="I209" s="108">
        <v>1.0</v>
      </c>
      <c r="J209" s="108" t="s">
        <v>8291</v>
      </c>
      <c r="K209" s="108"/>
      <c r="L209" s="108" t="s">
        <v>8325</v>
      </c>
      <c r="M209" s="108"/>
    </row>
    <row r="210" spans="8:8">
      <c r="B210" s="105" t="s">
        <v>8286</v>
      </c>
      <c r="C210" s="106" t="s">
        <v>8324</v>
      </c>
      <c r="D210" s="60" t="s">
        <v>7928</v>
      </c>
      <c r="E210" s="8" t="s">
        <v>3702</v>
      </c>
      <c r="F210" s="8" t="s">
        <v>3702</v>
      </c>
      <c r="G210" s="107">
        <v>46039.0</v>
      </c>
      <c r="H210" s="108"/>
      <c r="I210" s="108">
        <v>4.0</v>
      </c>
      <c r="J210" s="108" t="s">
        <v>8291</v>
      </c>
      <c r="K210" s="108"/>
      <c r="L210" s="108" t="s">
        <v>8326</v>
      </c>
      <c r="M210" s="108"/>
    </row>
    <row r="211" spans="8:8">
      <c r="B211" s="105" t="s">
        <v>765</v>
      </c>
      <c r="C211" s="106" t="s">
        <v>8324</v>
      </c>
      <c r="D211" s="78" t="s">
        <v>5522</v>
      </c>
      <c r="E211" s="8" t="s">
        <v>3841</v>
      </c>
      <c r="F211" s="8" t="s">
        <v>3841</v>
      </c>
      <c r="G211" s="107">
        <v>46039.0</v>
      </c>
      <c r="H211" s="108"/>
      <c r="I211" s="108">
        <v>1.0</v>
      </c>
      <c r="J211" s="108" t="s">
        <v>8291</v>
      </c>
      <c r="K211" s="108"/>
      <c r="L211" s="108" t="s">
        <v>8327</v>
      </c>
      <c r="M211" s="108"/>
    </row>
    <row r="212" spans="8:8">
      <c r="B212" s="105" t="s">
        <v>765</v>
      </c>
      <c r="C212" s="106" t="s">
        <v>8328</v>
      </c>
      <c r="D212" s="78" t="s">
        <v>4595</v>
      </c>
      <c r="E212" s="8" t="s">
        <v>8186</v>
      </c>
      <c r="F212" s="8" t="s">
        <v>8186</v>
      </c>
      <c r="G212" s="107">
        <v>46039.0</v>
      </c>
      <c r="H212" s="108"/>
      <c r="I212" s="108">
        <v>1.0</v>
      </c>
      <c r="J212" s="108" t="s">
        <v>8305</v>
      </c>
      <c r="K212" s="108"/>
      <c r="L212" s="108" t="s">
        <v>8315</v>
      </c>
      <c r="M212" s="108"/>
    </row>
    <row r="213" spans="8:8">
      <c r="B213" s="105" t="s">
        <v>765</v>
      </c>
      <c r="C213" s="106" t="s">
        <v>8331</v>
      </c>
      <c r="D213" s="78" t="s">
        <v>4601</v>
      </c>
      <c r="E213" s="8" t="s">
        <v>593</v>
      </c>
      <c r="F213" s="8" t="s">
        <v>593</v>
      </c>
      <c r="G213" s="107">
        <v>46040.0</v>
      </c>
      <c r="H213" s="108"/>
      <c r="I213" s="108">
        <v>2.0</v>
      </c>
      <c r="J213" s="108" t="s">
        <v>8253</v>
      </c>
      <c r="K213" s="108"/>
      <c r="L213" s="108" t="s">
        <v>3688</v>
      </c>
      <c r="M213" s="108"/>
    </row>
    <row r="214" spans="8:8">
      <c r="B214" s="105" t="s">
        <v>765</v>
      </c>
      <c r="C214" s="106" t="s">
        <v>8331</v>
      </c>
      <c r="D214" s="78" t="s">
        <v>4931</v>
      </c>
      <c r="E214" s="8" t="s">
        <v>69</v>
      </c>
      <c r="F214" s="8" t="s">
        <v>1322</v>
      </c>
      <c r="G214" s="107">
        <v>46040.0</v>
      </c>
      <c r="H214" s="108"/>
      <c r="I214" s="108">
        <v>2.0</v>
      </c>
      <c r="J214" s="108" t="s">
        <v>8253</v>
      </c>
      <c r="K214" s="108"/>
      <c r="L214" s="108" t="s">
        <v>8217</v>
      </c>
      <c r="M214" s="108"/>
    </row>
    <row r="215" spans="8:8">
      <c r="B215" s="105" t="s">
        <v>765</v>
      </c>
      <c r="C215" s="106" t="s">
        <v>8331</v>
      </c>
      <c r="D215" s="78" t="s">
        <v>4306</v>
      </c>
      <c r="E215" s="8" t="s">
        <v>601</v>
      </c>
      <c r="F215" s="8" t="s">
        <v>601</v>
      </c>
      <c r="G215" s="107">
        <v>46040.0</v>
      </c>
      <c r="H215" s="108"/>
      <c r="I215" s="108">
        <v>1.0</v>
      </c>
      <c r="J215" s="108" t="s">
        <v>8253</v>
      </c>
      <c r="K215" s="108"/>
      <c r="L215" s="108" t="s">
        <v>8217</v>
      </c>
      <c r="M215" s="108"/>
    </row>
    <row r="216" spans="8:8">
      <c r="B216" s="105" t="s">
        <v>8204</v>
      </c>
      <c r="C216" s="106" t="s">
        <v>8331</v>
      </c>
      <c r="D216" s="56" t="s">
        <v>7667</v>
      </c>
      <c r="E216" s="8" t="s">
        <v>1334</v>
      </c>
      <c r="F216" s="8" t="s">
        <v>2853</v>
      </c>
      <c r="G216" s="107">
        <v>46040.0</v>
      </c>
      <c r="H216" s="108"/>
      <c r="I216" s="108">
        <v>1.0</v>
      </c>
      <c r="J216" s="108" t="s">
        <v>8253</v>
      </c>
      <c r="K216" s="108"/>
      <c r="L216" s="108" t="s">
        <v>8332</v>
      </c>
      <c r="M216" s="108"/>
    </row>
    <row r="217" spans="8:8">
      <c r="B217" s="105" t="s">
        <v>765</v>
      </c>
      <c r="C217" s="106" t="s">
        <v>8331</v>
      </c>
      <c r="D217" s="78" t="s">
        <v>4912</v>
      </c>
      <c r="E217" s="8" t="s">
        <v>2826</v>
      </c>
      <c r="F217" s="8" t="s">
        <v>2826</v>
      </c>
      <c r="G217" s="107">
        <v>46040.0</v>
      </c>
      <c r="H217" s="108"/>
      <c r="I217" s="108">
        <v>1.0</v>
      </c>
      <c r="J217" s="108" t="s">
        <v>8253</v>
      </c>
      <c r="K217" s="108"/>
      <c r="L217" s="108" t="s">
        <v>8223</v>
      </c>
      <c r="M217" s="108"/>
    </row>
    <row r="218" spans="8:8">
      <c r="B218" s="105" t="s">
        <v>765</v>
      </c>
      <c r="C218" s="106" t="s">
        <v>8331</v>
      </c>
      <c r="D218" s="78" t="s">
        <v>5199</v>
      </c>
      <c r="E218" s="8" t="s">
        <v>3105</v>
      </c>
      <c r="F218" s="8" t="s">
        <v>3105</v>
      </c>
      <c r="G218" s="107">
        <v>46040.0</v>
      </c>
      <c r="H218" s="108"/>
      <c r="I218" s="108">
        <v>1.0</v>
      </c>
      <c r="J218" s="108" t="s">
        <v>8253</v>
      </c>
      <c r="K218" s="108"/>
      <c r="L218" s="108" t="s">
        <v>8223</v>
      </c>
      <c r="M218" s="108"/>
    </row>
    <row r="219" spans="8:8">
      <c r="B219" s="105" t="s">
        <v>765</v>
      </c>
      <c r="C219" s="106" t="s">
        <v>8333</v>
      </c>
      <c r="D219" s="78" t="s">
        <v>4844</v>
      </c>
      <c r="E219" s="8" t="s">
        <v>1599</v>
      </c>
      <c r="F219" s="8" t="s">
        <v>1599</v>
      </c>
      <c r="G219" s="107">
        <v>46040.0</v>
      </c>
      <c r="H219" s="108"/>
      <c r="I219" s="108">
        <v>20.0</v>
      </c>
      <c r="J219" s="108" t="s">
        <v>8253</v>
      </c>
      <c r="K219" s="108"/>
      <c r="L219" s="108" t="s">
        <v>8334</v>
      </c>
      <c r="M219" s="108"/>
    </row>
    <row r="220" spans="8:8">
      <c r="B220" s="105" t="s">
        <v>8204</v>
      </c>
      <c r="C220" s="106" t="s">
        <v>8333</v>
      </c>
      <c r="D220" s="56" t="s">
        <v>7551</v>
      </c>
      <c r="E220" s="8" t="s">
        <v>2580</v>
      </c>
      <c r="F220" s="8" t="s">
        <v>648</v>
      </c>
      <c r="G220" s="107">
        <v>46040.0</v>
      </c>
      <c r="H220" s="108"/>
      <c r="I220" s="108">
        <v>2.0</v>
      </c>
      <c r="J220" s="108" t="s">
        <v>8253</v>
      </c>
      <c r="K220" s="108"/>
      <c r="L220" s="108" t="s">
        <v>8334</v>
      </c>
      <c r="M220" s="108"/>
    </row>
    <row r="221" spans="8:8">
      <c r="B221" s="105" t="s">
        <v>8204</v>
      </c>
      <c r="C221" s="106" t="s">
        <v>8333</v>
      </c>
      <c r="D221" s="56" t="s">
        <v>7554</v>
      </c>
      <c r="E221" s="8" t="s">
        <v>3340</v>
      </c>
      <c r="F221" s="8" t="s">
        <v>3340</v>
      </c>
      <c r="G221" s="107">
        <v>46040.0</v>
      </c>
      <c r="H221" s="108"/>
      <c r="I221" s="108">
        <v>1.0</v>
      </c>
      <c r="J221" s="108" t="s">
        <v>8253</v>
      </c>
      <c r="K221" s="108"/>
      <c r="L221" s="108" t="s">
        <v>8335</v>
      </c>
      <c r="M221" s="108"/>
    </row>
    <row r="222" spans="8:8">
      <c r="B222" s="105" t="s">
        <v>765</v>
      </c>
      <c r="C222" s="106" t="s">
        <v>8333</v>
      </c>
      <c r="D222" s="78" t="s">
        <v>4395</v>
      </c>
      <c r="E222" s="8" t="s">
        <v>49</v>
      </c>
      <c r="F222" s="8" t="s">
        <v>569</v>
      </c>
      <c r="G222" s="107">
        <v>46040.0</v>
      </c>
      <c r="H222" s="108"/>
      <c r="I222" s="108">
        <v>1.0</v>
      </c>
      <c r="J222" s="108" t="s">
        <v>8253</v>
      </c>
      <c r="K222" s="108"/>
      <c r="L222" s="108" t="s">
        <v>8334</v>
      </c>
      <c r="M222" s="108"/>
    </row>
    <row r="223" spans="8:8">
      <c r="B223" s="105" t="s">
        <v>765</v>
      </c>
      <c r="C223" s="106" t="s">
        <v>8333</v>
      </c>
      <c r="D223" s="78" t="s">
        <v>4400</v>
      </c>
      <c r="E223" s="8" t="s">
        <v>591</v>
      </c>
      <c r="F223" s="8" t="s">
        <v>591</v>
      </c>
      <c r="G223" s="107">
        <v>46040.0</v>
      </c>
      <c r="H223" s="108"/>
      <c r="I223" s="108">
        <v>3.0</v>
      </c>
      <c r="J223" s="108" t="s">
        <v>8253</v>
      </c>
      <c r="K223" s="108"/>
      <c r="L223" s="108" t="s">
        <v>8334</v>
      </c>
      <c r="M223" s="108"/>
    </row>
    <row r="224" spans="8:8">
      <c r="B224" s="108" t="s">
        <v>828</v>
      </c>
      <c r="C224" s="106" t="s">
        <v>8336</v>
      </c>
      <c r="D224" s="60" t="s">
        <v>7345</v>
      </c>
      <c r="E224" s="8" t="s">
        <v>3886</v>
      </c>
      <c r="F224" s="8" t="s">
        <v>3886</v>
      </c>
      <c r="G224" s="107">
        <v>46040.0</v>
      </c>
      <c r="H224" s="108">
        <v>3.0</v>
      </c>
      <c r="I224" s="108"/>
      <c r="J224" s="108" t="s">
        <v>8291</v>
      </c>
      <c r="K224" s="108"/>
      <c r="L224" s="108" t="s">
        <v>766</v>
      </c>
      <c r="M224" s="108" t="s">
        <v>8337</v>
      </c>
    </row>
    <row r="225" spans="8:8">
      <c r="B225" s="105" t="s">
        <v>765</v>
      </c>
      <c r="C225" s="106" t="s">
        <v>8338</v>
      </c>
      <c r="D225" s="78" t="s">
        <v>5226</v>
      </c>
      <c r="E225" s="8" t="s">
        <v>3144</v>
      </c>
      <c r="F225" s="8" t="s">
        <v>3144</v>
      </c>
      <c r="G225" s="107">
        <v>46041.0</v>
      </c>
      <c r="H225" s="108"/>
      <c r="I225" s="108">
        <v>1.0</v>
      </c>
      <c r="J225" s="108" t="s">
        <v>8253</v>
      </c>
      <c r="K225" s="108"/>
      <c r="L225" s="108" t="s">
        <v>8219</v>
      </c>
      <c r="M225" s="108"/>
    </row>
    <row r="226" spans="8:8">
      <c r="B226" s="105" t="s">
        <v>765</v>
      </c>
      <c r="C226" s="106" t="s">
        <v>8338</v>
      </c>
      <c r="D226" s="78" t="s">
        <v>5224</v>
      </c>
      <c r="E226" s="8" t="s">
        <v>3296</v>
      </c>
      <c r="F226" s="8" t="s">
        <v>3296</v>
      </c>
      <c r="G226" s="107">
        <v>46041.0</v>
      </c>
      <c r="H226" s="108"/>
      <c r="I226" s="108">
        <v>1.0</v>
      </c>
      <c r="J226" s="108" t="s">
        <v>8253</v>
      </c>
      <c r="K226" s="108"/>
      <c r="L226" s="108" t="s">
        <v>8219</v>
      </c>
      <c r="M226" s="108"/>
    </row>
    <row r="227" spans="8:8">
      <c r="B227" s="105" t="s">
        <v>765</v>
      </c>
      <c r="C227" s="106" t="s">
        <v>8338</v>
      </c>
      <c r="D227" s="78" t="s">
        <v>3954</v>
      </c>
      <c r="E227" s="8" t="s">
        <v>23</v>
      </c>
      <c r="F227" s="8">
        <v>6307.0</v>
      </c>
      <c r="G227" s="107">
        <v>46041.0</v>
      </c>
      <c r="H227" s="108"/>
      <c r="I227" s="108">
        <v>2.0</v>
      </c>
      <c r="J227" s="108" t="s">
        <v>8253</v>
      </c>
      <c r="K227" s="108"/>
      <c r="L227" s="108" t="s">
        <v>8219</v>
      </c>
      <c r="M227" s="108"/>
    </row>
    <row r="228" spans="8:8">
      <c r="B228" s="105" t="s">
        <v>765</v>
      </c>
      <c r="C228" s="106" t="s">
        <v>8338</v>
      </c>
      <c r="D228" s="78" t="s">
        <v>5228</v>
      </c>
      <c r="E228" s="8" t="s">
        <v>3536</v>
      </c>
      <c r="F228" s="8" t="s">
        <v>3536</v>
      </c>
      <c r="G228" s="107">
        <v>46041.0</v>
      </c>
      <c r="H228" s="108"/>
      <c r="I228" s="108">
        <v>1.0</v>
      </c>
      <c r="J228" s="108" t="s">
        <v>8253</v>
      </c>
      <c r="K228" s="108"/>
      <c r="L228" s="108" t="s">
        <v>8219</v>
      </c>
      <c r="M228" s="108"/>
    </row>
    <row r="229" spans="8:8">
      <c r="B229" s="105" t="s">
        <v>8286</v>
      </c>
      <c r="C229" s="106" t="s">
        <v>8338</v>
      </c>
      <c r="D229" s="60" t="s">
        <v>7910</v>
      </c>
      <c r="E229" s="8" t="s">
        <v>2661</v>
      </c>
      <c r="F229" s="8" t="s">
        <v>2661</v>
      </c>
      <c r="G229" s="107">
        <v>46041.0</v>
      </c>
      <c r="H229" s="108"/>
      <c r="I229" s="108">
        <v>8.0</v>
      </c>
      <c r="J229" s="108" t="s">
        <v>8253</v>
      </c>
      <c r="K229" s="108"/>
      <c r="L229" s="108" t="s">
        <v>8239</v>
      </c>
      <c r="M229" s="108"/>
    </row>
    <row r="230" spans="8:8">
      <c r="B230" s="105" t="s">
        <v>8286</v>
      </c>
      <c r="C230" s="106" t="s">
        <v>8338</v>
      </c>
      <c r="D230" s="60" t="s">
        <v>8053</v>
      </c>
      <c r="E230" s="8" t="s">
        <v>3904</v>
      </c>
      <c r="F230" s="8" t="s">
        <v>3904</v>
      </c>
      <c r="G230" s="107">
        <v>46041.0</v>
      </c>
      <c r="H230" s="108"/>
      <c r="I230" s="108">
        <v>1.0</v>
      </c>
      <c r="J230" s="108" t="s">
        <v>8253</v>
      </c>
      <c r="K230" s="108"/>
      <c r="L230" s="108" t="s">
        <v>8239</v>
      </c>
      <c r="M230" s="108"/>
    </row>
    <row r="231" spans="8:8">
      <c r="B231" s="105" t="s">
        <v>8204</v>
      </c>
      <c r="C231" s="106" t="s">
        <v>8339</v>
      </c>
      <c r="D231" s="56" t="s">
        <v>7662</v>
      </c>
      <c r="E231" s="8" t="s">
        <v>1334</v>
      </c>
      <c r="F231" s="8" t="s">
        <v>3760</v>
      </c>
      <c r="G231" s="107">
        <v>46041.0</v>
      </c>
      <c r="H231" s="108"/>
      <c r="I231" s="108">
        <v>2.0</v>
      </c>
      <c r="J231" s="108" t="s">
        <v>8253</v>
      </c>
      <c r="K231" s="108"/>
      <c r="L231" s="108" t="s">
        <v>8340</v>
      </c>
      <c r="M231" s="108"/>
    </row>
    <row r="232" spans="8:8">
      <c r="B232" s="105" t="s">
        <v>765</v>
      </c>
      <c r="C232" s="106" t="s">
        <v>8339</v>
      </c>
      <c r="D232" s="78" t="s">
        <v>4180</v>
      </c>
      <c r="E232" s="8" t="s">
        <v>80</v>
      </c>
      <c r="F232" s="8" t="s">
        <v>1159</v>
      </c>
      <c r="G232" s="107">
        <v>46041.0</v>
      </c>
      <c r="H232" s="108"/>
      <c r="I232" s="108">
        <v>1.0</v>
      </c>
      <c r="J232" s="108" t="s">
        <v>8253</v>
      </c>
      <c r="K232" s="108"/>
      <c r="L232" s="108" t="s">
        <v>8217</v>
      </c>
      <c r="M232" s="108"/>
    </row>
    <row r="233" spans="8:8">
      <c r="B233" s="105" t="s">
        <v>765</v>
      </c>
      <c r="C233" s="106" t="s">
        <v>8339</v>
      </c>
      <c r="D233" s="78" t="s">
        <v>4183</v>
      </c>
      <c r="E233" s="8" t="s">
        <v>79</v>
      </c>
      <c r="F233" s="8" t="s">
        <v>815</v>
      </c>
      <c r="G233" s="107">
        <v>46041.0</v>
      </c>
      <c r="H233" s="108"/>
      <c r="I233" s="108">
        <v>1.0</v>
      </c>
      <c r="J233" s="108" t="s">
        <v>8253</v>
      </c>
      <c r="K233" s="108"/>
      <c r="L233" s="108" t="s">
        <v>8217</v>
      </c>
      <c r="M233" s="108"/>
    </row>
    <row r="234" spans="8:8">
      <c r="B234" s="105" t="s">
        <v>765</v>
      </c>
      <c r="C234" s="106" t="s">
        <v>8339</v>
      </c>
      <c r="D234" s="78" t="s">
        <v>4844</v>
      </c>
      <c r="E234" s="8" t="s">
        <v>1599</v>
      </c>
      <c r="F234" s="8" t="s">
        <v>1599</v>
      </c>
      <c r="G234" s="107">
        <v>46041.0</v>
      </c>
      <c r="H234" s="108"/>
      <c r="I234" s="108">
        <v>10.0</v>
      </c>
      <c r="J234" s="108" t="s">
        <v>8253</v>
      </c>
      <c r="K234" s="108"/>
      <c r="L234" s="108" t="s">
        <v>8209</v>
      </c>
      <c r="M234" s="108"/>
    </row>
    <row r="235" spans="8:8">
      <c r="B235" s="105" t="s">
        <v>767</v>
      </c>
      <c r="C235" s="106" t="s">
        <v>8339</v>
      </c>
      <c r="D235" s="78" t="s">
        <v>4003</v>
      </c>
      <c r="E235" s="8" t="s">
        <v>252</v>
      </c>
      <c r="F235" s="8" t="s">
        <v>256</v>
      </c>
      <c r="G235" s="107">
        <v>46041.0</v>
      </c>
      <c r="H235" s="108"/>
      <c r="I235" s="108">
        <v>1.0</v>
      </c>
      <c r="J235" s="108" t="s">
        <v>8253</v>
      </c>
      <c r="K235" s="108"/>
      <c r="L235" s="108" t="s">
        <v>8219</v>
      </c>
      <c r="M235" s="108"/>
    </row>
    <row r="236" spans="8:8">
      <c r="B236" s="105" t="s">
        <v>765</v>
      </c>
      <c r="C236" s="106" t="s">
        <v>8339</v>
      </c>
      <c r="D236" s="78" t="s">
        <v>5229</v>
      </c>
      <c r="E236" s="8" t="s">
        <v>3297</v>
      </c>
      <c r="F236" s="8" t="s">
        <v>3297</v>
      </c>
      <c r="G236" s="107">
        <v>46041.0</v>
      </c>
      <c r="H236" s="108"/>
      <c r="I236" s="108">
        <v>1.0</v>
      </c>
      <c r="J236" s="108" t="s">
        <v>8253</v>
      </c>
      <c r="K236" s="108"/>
      <c r="L236" s="108" t="s">
        <v>8219</v>
      </c>
      <c r="M236" s="108"/>
    </row>
    <row r="237" spans="8:8">
      <c r="B237" s="105" t="s">
        <v>765</v>
      </c>
      <c r="C237" s="106" t="s">
        <v>8343</v>
      </c>
      <c r="D237" s="78" t="s">
        <v>4267</v>
      </c>
      <c r="E237" s="8" t="s">
        <v>8341</v>
      </c>
      <c r="F237" s="8" t="s">
        <v>8341</v>
      </c>
      <c r="G237" s="107">
        <v>46042.0</v>
      </c>
      <c r="H237" s="108">
        <v>1.0</v>
      </c>
      <c r="I237" s="108"/>
      <c r="J237" s="108" t="s">
        <v>8291</v>
      </c>
      <c r="K237" s="108"/>
      <c r="L237" s="108" t="s">
        <v>8314</v>
      </c>
      <c r="M237" s="108" t="s">
        <v>8342</v>
      </c>
    </row>
    <row r="238" spans="8:8">
      <c r="B238" s="105" t="s">
        <v>765</v>
      </c>
      <c r="C238" s="106" t="s">
        <v>8343</v>
      </c>
      <c r="D238" s="78" t="s">
        <v>4995</v>
      </c>
      <c r="E238" s="8" t="s">
        <v>1057</v>
      </c>
      <c r="F238" s="8" t="s">
        <v>1057</v>
      </c>
      <c r="G238" s="107">
        <v>46042.0</v>
      </c>
      <c r="H238" s="108">
        <v>10.0</v>
      </c>
      <c r="I238" s="108"/>
      <c r="J238" s="108" t="s">
        <v>8291</v>
      </c>
      <c r="K238" s="108"/>
      <c r="L238" s="108" t="s">
        <v>8314</v>
      </c>
      <c r="M238" s="108" t="s">
        <v>8342</v>
      </c>
    </row>
    <row r="239" spans="8:8">
      <c r="B239" s="105" t="s">
        <v>765</v>
      </c>
      <c r="C239" s="106" t="s">
        <v>8344</v>
      </c>
      <c r="D239" s="78" t="s">
        <v>4306</v>
      </c>
      <c r="E239" s="8" t="s">
        <v>601</v>
      </c>
      <c r="F239" s="8" t="s">
        <v>601</v>
      </c>
      <c r="G239" s="107">
        <v>46042.0</v>
      </c>
      <c r="H239" s="108"/>
      <c r="I239" s="108">
        <v>1.0</v>
      </c>
      <c r="J239" s="108" t="s">
        <v>8253</v>
      </c>
      <c r="K239" s="108"/>
      <c r="L239" s="108" t="s">
        <v>8217</v>
      </c>
      <c r="M239" s="108"/>
    </row>
    <row r="240" spans="8:8">
      <c r="B240" s="105" t="s">
        <v>8204</v>
      </c>
      <c r="C240" s="106" t="s">
        <v>8344</v>
      </c>
      <c r="D240" s="56" t="s">
        <v>7585</v>
      </c>
      <c r="E240" s="8" t="s">
        <v>3071</v>
      </c>
      <c r="F240" s="8" t="s">
        <v>3071</v>
      </c>
      <c r="G240" s="107">
        <v>46042.0</v>
      </c>
      <c r="H240" s="108"/>
      <c r="I240" s="108">
        <v>1.0</v>
      </c>
      <c r="J240" s="108" t="s">
        <v>8253</v>
      </c>
      <c r="K240" s="108"/>
      <c r="L240" s="108" t="s">
        <v>8239</v>
      </c>
      <c r="M240" s="108"/>
    </row>
    <row r="241" spans="8:8">
      <c r="B241" s="105" t="s">
        <v>765</v>
      </c>
      <c r="C241" s="106" t="s">
        <v>8344</v>
      </c>
      <c r="D241" s="78" t="s">
        <v>4183</v>
      </c>
      <c r="E241" s="8" t="s">
        <v>79</v>
      </c>
      <c r="F241" s="8" t="s">
        <v>815</v>
      </c>
      <c r="G241" s="107">
        <v>46042.0</v>
      </c>
      <c r="H241" s="108"/>
      <c r="I241" s="108">
        <v>1.0</v>
      </c>
      <c r="J241" s="108" t="s">
        <v>8253</v>
      </c>
      <c r="K241" s="108"/>
      <c r="L241" s="108" t="s">
        <v>8217</v>
      </c>
      <c r="M241" s="108"/>
    </row>
    <row r="242" spans="8:8">
      <c r="B242" s="105" t="s">
        <v>765</v>
      </c>
      <c r="C242" s="106" t="s">
        <v>8344</v>
      </c>
      <c r="D242" s="78" t="s">
        <v>5485</v>
      </c>
      <c r="E242" s="8" t="s">
        <v>3762</v>
      </c>
      <c r="F242" s="8" t="s">
        <v>3762</v>
      </c>
      <c r="G242" s="107">
        <v>46042.0</v>
      </c>
      <c r="H242" s="108"/>
      <c r="I242" s="108">
        <v>16.0</v>
      </c>
      <c r="J242" s="108" t="s">
        <v>8253</v>
      </c>
      <c r="K242" s="108"/>
      <c r="L242" s="108" t="s">
        <v>8239</v>
      </c>
      <c r="M242" s="108"/>
    </row>
    <row r="243" spans="8:8">
      <c r="B243" s="105" t="s">
        <v>765</v>
      </c>
      <c r="C243" s="106" t="s">
        <v>8344</v>
      </c>
      <c r="D243" s="78" t="s">
        <v>4601</v>
      </c>
      <c r="E243" s="8" t="s">
        <v>593</v>
      </c>
      <c r="F243" s="8" t="s">
        <v>593</v>
      </c>
      <c r="G243" s="107">
        <v>46042.0</v>
      </c>
      <c r="H243" s="108"/>
      <c r="I243" s="108">
        <v>3.0</v>
      </c>
      <c r="J243" s="108" t="s">
        <v>8253</v>
      </c>
      <c r="K243" s="108"/>
      <c r="L243" s="108" t="s">
        <v>8345</v>
      </c>
      <c r="M243" s="108"/>
    </row>
    <row r="244" spans="8:8">
      <c r="B244" s="105" t="s">
        <v>765</v>
      </c>
      <c r="C244" s="106" t="s">
        <v>8344</v>
      </c>
      <c r="D244" s="78" t="s">
        <v>4421</v>
      </c>
      <c r="E244" s="8" t="s">
        <v>1626</v>
      </c>
      <c r="F244" s="8" t="s">
        <v>1626</v>
      </c>
      <c r="G244" s="107">
        <v>46042.0</v>
      </c>
      <c r="H244" s="108"/>
      <c r="I244" s="108">
        <v>1.0</v>
      </c>
      <c r="J244" s="108" t="s">
        <v>8253</v>
      </c>
      <c r="K244" s="108"/>
      <c r="L244" s="108" t="s">
        <v>8220</v>
      </c>
      <c r="M244" s="108"/>
    </row>
    <row r="245" spans="8:8">
      <c r="B245" s="105" t="s">
        <v>8204</v>
      </c>
      <c r="C245" s="106" t="s">
        <v>8346</v>
      </c>
      <c r="D245" s="56" t="s">
        <v>7566</v>
      </c>
      <c r="E245" s="8" t="s">
        <v>1334</v>
      </c>
      <c r="F245" s="8" t="s">
        <v>1957</v>
      </c>
      <c r="G245" s="107">
        <v>46042.0</v>
      </c>
      <c r="H245" s="108"/>
      <c r="I245" s="108">
        <v>1.0</v>
      </c>
      <c r="J245" s="108" t="s">
        <v>8253</v>
      </c>
      <c r="K245" s="108"/>
      <c r="L245" s="108" t="s">
        <v>8230</v>
      </c>
      <c r="M245" s="108"/>
    </row>
    <row r="246" spans="8:8">
      <c r="B246" s="105" t="s">
        <v>765</v>
      </c>
      <c r="C246" s="106" t="s">
        <v>8346</v>
      </c>
      <c r="D246" s="78" t="s">
        <v>5543</v>
      </c>
      <c r="E246" s="8" t="s">
        <v>3894</v>
      </c>
      <c r="F246" s="8" t="s">
        <v>3894</v>
      </c>
      <c r="G246" s="107">
        <v>46042.0</v>
      </c>
      <c r="H246" s="108"/>
      <c r="I246" s="108">
        <v>1.0</v>
      </c>
      <c r="J246" s="108" t="s">
        <v>8253</v>
      </c>
      <c r="K246" s="108"/>
      <c r="L246" s="108" t="s">
        <v>8348</v>
      </c>
      <c r="M246" s="108"/>
    </row>
    <row r="247" spans="8:8">
      <c r="B247" s="105" t="s">
        <v>765</v>
      </c>
      <c r="C247" s="106" t="s">
        <v>8346</v>
      </c>
      <c r="D247" s="78" t="s">
        <v>5542</v>
      </c>
      <c r="E247" s="8" t="s">
        <v>3893</v>
      </c>
      <c r="F247" s="8" t="s">
        <v>3893</v>
      </c>
      <c r="G247" s="107">
        <v>46042.0</v>
      </c>
      <c r="H247" s="108"/>
      <c r="I247" s="108">
        <v>2.0</v>
      </c>
      <c r="J247" s="108" t="s">
        <v>8253</v>
      </c>
      <c r="K247" s="108"/>
      <c r="L247" s="108" t="s">
        <v>8348</v>
      </c>
      <c r="M247" s="108"/>
    </row>
    <row r="248" spans="8:8">
      <c r="B248" s="105" t="s">
        <v>765</v>
      </c>
      <c r="C248" s="106" t="s">
        <v>8346</v>
      </c>
      <c r="D248" s="78" t="s">
        <v>4371</v>
      </c>
      <c r="E248" s="8" t="s">
        <v>8350</v>
      </c>
      <c r="F248" s="8" t="s">
        <v>8350</v>
      </c>
      <c r="G248" s="107">
        <v>46042.0</v>
      </c>
      <c r="H248" s="108"/>
      <c r="I248" s="108">
        <v>1.0</v>
      </c>
      <c r="J248" s="108" t="s">
        <v>8253</v>
      </c>
      <c r="K248" s="108"/>
      <c r="L248" s="108" t="s">
        <v>8348</v>
      </c>
      <c r="M248" s="108"/>
    </row>
    <row r="249" spans="8:8">
      <c r="B249" s="105" t="s">
        <v>765</v>
      </c>
      <c r="C249" s="106" t="s">
        <v>8346</v>
      </c>
      <c r="D249" s="78" t="s">
        <v>4389</v>
      </c>
      <c r="E249" s="8" t="s">
        <v>1087</v>
      </c>
      <c r="F249" s="8" t="s">
        <v>1087</v>
      </c>
      <c r="G249" s="107">
        <v>46042.0</v>
      </c>
      <c r="H249" s="108"/>
      <c r="I249" s="108">
        <v>1.0</v>
      </c>
      <c r="J249" s="108" t="s">
        <v>8253</v>
      </c>
      <c r="K249" s="108"/>
      <c r="L249" s="108" t="s">
        <v>8348</v>
      </c>
      <c r="M249" s="108"/>
    </row>
    <row r="250" spans="8:8">
      <c r="B250" s="105" t="s">
        <v>765</v>
      </c>
      <c r="C250" s="106" t="s">
        <v>8346</v>
      </c>
      <c r="D250" s="78" t="s">
        <v>4136</v>
      </c>
      <c r="E250" s="8" t="s">
        <v>8136</v>
      </c>
      <c r="F250" s="8" t="s">
        <v>8136</v>
      </c>
      <c r="G250" s="107">
        <v>46042.0</v>
      </c>
      <c r="H250" s="108"/>
      <c r="I250" s="108">
        <v>14.0</v>
      </c>
      <c r="J250" s="108" t="s">
        <v>8253</v>
      </c>
      <c r="K250" s="108"/>
      <c r="L250" s="108" t="s">
        <v>8348</v>
      </c>
      <c r="M250" s="108"/>
    </row>
    <row r="251" spans="8:8">
      <c r="B251" s="105" t="s">
        <v>765</v>
      </c>
      <c r="C251" s="106" t="s">
        <v>8347</v>
      </c>
      <c r="D251" s="78" t="s">
        <v>4013</v>
      </c>
      <c r="E251" s="8" t="s">
        <v>252</v>
      </c>
      <c r="F251" s="8" t="s">
        <v>257</v>
      </c>
      <c r="G251" s="107">
        <v>46042.0</v>
      </c>
      <c r="H251" s="108"/>
      <c r="I251" s="108">
        <v>1.0</v>
      </c>
      <c r="J251" s="108" t="s">
        <v>8349</v>
      </c>
      <c r="K251" s="108"/>
      <c r="L251" s="108" t="s">
        <v>8237</v>
      </c>
      <c r="M251" s="108"/>
    </row>
    <row r="252" spans="8:8">
      <c r="B252" s="105" t="s">
        <v>765</v>
      </c>
      <c r="C252" s="106" t="s">
        <v>8347</v>
      </c>
      <c r="D252" s="78" t="s">
        <v>4830</v>
      </c>
      <c r="E252" s="8" t="s">
        <v>3597</v>
      </c>
      <c r="F252" s="8" t="s">
        <v>3597</v>
      </c>
      <c r="G252" s="107">
        <v>46042.0</v>
      </c>
      <c r="H252" s="108"/>
      <c r="I252" s="108">
        <v>2.0</v>
      </c>
      <c r="J252" s="108" t="s">
        <v>8349</v>
      </c>
      <c r="K252" s="108"/>
      <c r="L252" s="108" t="s">
        <v>8237</v>
      </c>
      <c r="M252" s="108"/>
    </row>
    <row r="253" spans="8:8">
      <c r="B253" s="105" t="s">
        <v>765</v>
      </c>
      <c r="C253" s="106" t="s">
        <v>8347</v>
      </c>
      <c r="D253" s="78" t="s">
        <v>4730</v>
      </c>
      <c r="E253" s="8" t="s">
        <v>793</v>
      </c>
      <c r="F253" s="8" t="s">
        <v>810</v>
      </c>
      <c r="G253" s="107">
        <v>46042.0</v>
      </c>
      <c r="H253" s="108"/>
      <c r="I253" s="108">
        <v>1.0</v>
      </c>
      <c r="J253" s="108" t="s">
        <v>8349</v>
      </c>
      <c r="K253" s="108"/>
      <c r="L253" s="108" t="s">
        <v>8237</v>
      </c>
      <c r="M253" s="108"/>
    </row>
    <row r="254" spans="8:8" ht="19.0">
      <c r="B254" s="105"/>
      <c r="C254" s="106"/>
      <c r="D254" s="78"/>
      <c r="E254" s="8"/>
      <c r="F254" s="8" t="s">
        <v>810</v>
      </c>
      <c r="G254" s="107">
        <v>46043.0</v>
      </c>
      <c r="H254" s="108"/>
      <c r="I254" s="108">
        <v>2.0</v>
      </c>
      <c r="J254" s="108"/>
      <c r="K254" s="108"/>
      <c r="L254" s="108"/>
      <c r="M254" s="108"/>
    </row>
    <row r="255" spans="8:8">
      <c r="B255" s="105"/>
      <c r="C255" s="106"/>
      <c r="D255" s="78"/>
      <c r="E255" s="8"/>
      <c r="F255" s="8"/>
      <c r="G255" s="107"/>
      <c r="H255" s="108"/>
      <c r="I255" s="108"/>
      <c r="J255" s="108"/>
      <c r="K255" s="108"/>
      <c r="L255" s="108"/>
      <c r="M255" s="108"/>
    </row>
    <row r="256" spans="8:8">
      <c r="B256" s="105"/>
      <c r="C256" s="106"/>
      <c r="D256" s="78"/>
      <c r="E256" s="8"/>
      <c r="F256" s="8"/>
      <c r="G256" s="107"/>
      <c r="H256" s="108"/>
      <c r="I256" s="108"/>
      <c r="J256" s="108"/>
      <c r="K256" s="108"/>
      <c r="L256" s="108"/>
      <c r="M256" s="108"/>
    </row>
    <row r="257" spans="8:8">
      <c r="B257" s="105"/>
      <c r="C257" s="106"/>
      <c r="D257" s="60"/>
      <c r="E257" s="8"/>
      <c r="F257" s="8"/>
      <c r="G257" s="107"/>
      <c r="H257" s="108"/>
      <c r="I257" s="108"/>
      <c r="J257" s="108"/>
      <c r="K257" s="108"/>
      <c r="L257" s="108"/>
      <c r="M257" s="108"/>
    </row>
    <row r="258" spans="8:8">
      <c r="B258" s="105"/>
      <c r="C258" s="106"/>
      <c r="D258" s="60"/>
      <c r="E258" s="8"/>
      <c r="F258" s="8"/>
      <c r="G258" s="107"/>
      <c r="H258" s="108"/>
      <c r="I258" s="108"/>
      <c r="J258" s="108"/>
      <c r="K258" s="108"/>
      <c r="L258" s="108"/>
      <c r="M258" s="108"/>
    </row>
    <row r="259" spans="8:8">
      <c r="B259" s="105"/>
      <c r="C259" s="106"/>
      <c r="D259" s="60"/>
      <c r="E259" s="8"/>
      <c r="F259" s="8"/>
      <c r="G259" s="107"/>
      <c r="H259" s="108"/>
      <c r="I259" s="108"/>
      <c r="J259" s="108"/>
      <c r="K259" s="108"/>
      <c r="L259" s="108"/>
      <c r="M259" s="108"/>
    </row>
    <row r="260" spans="8:8">
      <c r="B260" s="105"/>
      <c r="C260" s="106"/>
      <c r="D260" s="78"/>
      <c r="E260" s="8"/>
      <c r="F260" s="8"/>
      <c r="G260" s="107"/>
      <c r="H260" s="108"/>
      <c r="I260" s="108"/>
      <c r="J260" s="108"/>
      <c r="K260" s="108"/>
      <c r="L260" s="108"/>
      <c r="M260" s="108"/>
    </row>
    <row r="261" spans="8:8">
      <c r="B261" s="105"/>
      <c r="C261" s="106"/>
      <c r="D261" s="60"/>
      <c r="E261" s="8"/>
      <c r="F261" s="8"/>
      <c r="G261" s="107"/>
      <c r="H261" s="108"/>
      <c r="I261" s="108"/>
      <c r="J261" s="108"/>
      <c r="K261" s="108"/>
      <c r="L261" s="108"/>
      <c r="M261" s="108"/>
    </row>
    <row r="262" spans="8:8">
      <c r="B262" s="105"/>
      <c r="C262" s="106"/>
      <c r="D262" s="78"/>
      <c r="E262" s="8"/>
      <c r="F262" s="8"/>
      <c r="G262" s="107"/>
      <c r="H262" s="108"/>
      <c r="I262" s="108"/>
      <c r="J262" s="108"/>
      <c r="K262" s="108"/>
      <c r="L262" s="108"/>
      <c r="M262" s="108"/>
    </row>
    <row r="263" spans="8:8">
      <c r="B263" s="105"/>
      <c r="C263" s="106"/>
      <c r="D263" s="60"/>
      <c r="E263" s="8"/>
      <c r="F263" s="8"/>
      <c r="G263" s="107"/>
      <c r="H263" s="108"/>
      <c r="I263" s="108"/>
      <c r="J263" s="108"/>
      <c r="K263" s="108"/>
      <c r="L263" s="108"/>
      <c r="M263" s="108"/>
    </row>
    <row r="264" spans="8:8">
      <c r="B264" s="105"/>
      <c r="C264" s="106"/>
      <c r="D264" s="60"/>
      <c r="E264" s="8"/>
      <c r="F264" s="8"/>
      <c r="G264" s="107"/>
      <c r="H264" s="108"/>
      <c r="I264" s="108"/>
      <c r="J264" s="108"/>
      <c r="K264" s="108"/>
      <c r="L264" s="108"/>
      <c r="M264" s="108"/>
    </row>
    <row r="265" spans="8:8">
      <c r="B265" s="105"/>
      <c r="C265" s="106"/>
      <c r="D265" s="56"/>
      <c r="E265" s="8"/>
      <c r="F265" s="8"/>
      <c r="G265" s="107"/>
      <c r="H265" s="108"/>
      <c r="I265" s="108"/>
      <c r="J265" s="108"/>
      <c r="K265" s="108"/>
      <c r="L265" s="108"/>
      <c r="M265" s="108"/>
    </row>
    <row r="266" spans="8:8">
      <c r="B266" s="105"/>
      <c r="C266" s="106"/>
      <c r="D266" s="78"/>
      <c r="E266" s="8"/>
      <c r="F266" s="8"/>
      <c r="G266" s="107"/>
      <c r="H266" s="108"/>
      <c r="I266" s="108"/>
      <c r="J266" s="108"/>
      <c r="K266" s="108"/>
      <c r="L266" s="108"/>
      <c r="M266" s="108"/>
    </row>
    <row r="267" spans="8:8">
      <c r="B267" s="105"/>
      <c r="C267" s="106"/>
      <c r="D267" s="78"/>
      <c r="E267" s="8"/>
      <c r="F267" s="8"/>
      <c r="G267" s="107"/>
      <c r="H267" s="108"/>
      <c r="I267" s="108"/>
      <c r="J267" s="108"/>
      <c r="K267" s="108"/>
      <c r="L267" s="108"/>
      <c r="M267" s="108"/>
    </row>
    <row r="268" spans="8:8">
      <c r="B268" s="105"/>
      <c r="C268" s="106"/>
      <c r="D268" s="78"/>
      <c r="E268" s="8"/>
      <c r="F268" s="8"/>
      <c r="G268" s="107"/>
      <c r="H268" s="108"/>
      <c r="I268" s="108"/>
      <c r="J268" s="108"/>
      <c r="K268" s="108"/>
      <c r="L268" s="108"/>
      <c r="M268" s="108"/>
    </row>
    <row r="269" spans="8:8">
      <c r="B269" s="105"/>
      <c r="C269" s="106"/>
      <c r="D269" s="78"/>
      <c r="E269" s="8"/>
      <c r="F269" s="8"/>
      <c r="G269" s="107"/>
      <c r="H269" s="108"/>
      <c r="I269" s="108"/>
      <c r="J269" s="108"/>
      <c r="K269" s="108"/>
      <c r="L269" s="108"/>
      <c r="M269" s="108"/>
    </row>
    <row r="270" spans="8:8">
      <c r="B270" s="105"/>
      <c r="C270" s="106"/>
      <c r="D270" s="110"/>
      <c r="E270" s="8"/>
      <c r="F270" s="8"/>
      <c r="G270" s="107"/>
      <c r="H270" s="108"/>
      <c r="I270" s="108"/>
      <c r="J270" s="108"/>
      <c r="K270" s="108"/>
      <c r="L270" s="108"/>
      <c r="M270" s="108"/>
    </row>
    <row r="271" spans="8:8">
      <c r="B271" s="105"/>
      <c r="C271" s="106"/>
      <c r="D271" s="60"/>
      <c r="E271" s="8"/>
      <c r="F271" s="8"/>
      <c r="G271" s="107"/>
      <c r="H271" s="108"/>
      <c r="I271" s="108"/>
      <c r="J271" s="108"/>
      <c r="K271" s="108"/>
      <c r="L271" s="108"/>
      <c r="M271" s="108"/>
    </row>
    <row r="272" spans="8:8">
      <c r="B272" s="105"/>
      <c r="C272" s="106"/>
      <c r="D272" s="78"/>
      <c r="E272" s="8"/>
      <c r="F272" s="8"/>
      <c r="G272" s="107"/>
      <c r="H272" s="108"/>
      <c r="I272" s="108"/>
      <c r="J272" s="108"/>
      <c r="K272" s="108"/>
      <c r="L272" s="108"/>
      <c r="M272" s="108"/>
    </row>
    <row r="273" spans="8:8">
      <c r="B273" s="105"/>
      <c r="C273" s="106"/>
      <c r="D273" s="78"/>
      <c r="E273" s="8"/>
      <c r="F273" s="8"/>
      <c r="G273" s="107"/>
      <c r="H273" s="108"/>
      <c r="I273" s="108"/>
      <c r="J273" s="108"/>
      <c r="K273" s="108"/>
      <c r="L273" s="108"/>
      <c r="M273" s="108"/>
    </row>
    <row r="274" spans="8:8">
      <c r="B274" s="105"/>
      <c r="C274" s="106"/>
      <c r="D274" s="78"/>
      <c r="E274" s="8"/>
      <c r="F274" s="8"/>
      <c r="G274" s="107"/>
      <c r="H274" s="108"/>
      <c r="I274" s="108"/>
      <c r="J274" s="108"/>
      <c r="K274" s="108"/>
      <c r="L274" s="108"/>
      <c r="M274" s="108"/>
    </row>
    <row r="275" spans="8:8">
      <c r="B275" s="105"/>
      <c r="C275" s="106"/>
      <c r="D275" s="78"/>
      <c r="E275" s="8"/>
      <c r="F275" s="8"/>
      <c r="G275" s="107"/>
      <c r="H275" s="108"/>
      <c r="I275" s="108"/>
      <c r="J275" s="108"/>
      <c r="K275" s="108"/>
      <c r="L275" s="108"/>
      <c r="M275" s="108"/>
    </row>
    <row r="276" spans="8:8">
      <c r="B276" s="105"/>
      <c r="C276" s="106"/>
      <c r="D276" s="78"/>
      <c r="E276" s="8"/>
      <c r="F276" s="8"/>
      <c r="G276" s="107"/>
      <c r="H276" s="108"/>
      <c r="I276" s="108"/>
      <c r="J276" s="108"/>
      <c r="K276" s="108"/>
      <c r="L276" s="108"/>
      <c r="M276" s="108"/>
    </row>
    <row r="277" spans="8:8">
      <c r="B277" s="105"/>
      <c r="C277" s="106"/>
      <c r="D277" s="78"/>
      <c r="E277" s="8"/>
      <c r="F277" s="8"/>
      <c r="G277" s="107"/>
      <c r="H277" s="108"/>
      <c r="I277" s="108"/>
      <c r="J277" s="108"/>
      <c r="K277" s="108"/>
      <c r="L277" s="108"/>
      <c r="M277" s="108"/>
    </row>
    <row r="278" spans="8:8">
      <c r="B278" s="105"/>
      <c r="C278" s="106"/>
      <c r="D278" s="78"/>
      <c r="E278" s="8"/>
      <c r="F278" s="8"/>
      <c r="G278" s="107"/>
      <c r="H278" s="108"/>
      <c r="I278" s="108"/>
      <c r="J278" s="108"/>
      <c r="K278" s="108"/>
      <c r="L278" s="108"/>
      <c r="M278" s="108"/>
    </row>
    <row r="279" spans="8:8">
      <c r="B279" s="105"/>
      <c r="C279" s="106"/>
      <c r="D279" s="78"/>
      <c r="E279" s="8"/>
      <c r="F279" s="8"/>
      <c r="G279" s="107"/>
      <c r="H279" s="108"/>
      <c r="I279" s="108"/>
      <c r="J279" s="108"/>
      <c r="K279" s="108"/>
      <c r="L279" s="108"/>
      <c r="M279" s="108"/>
    </row>
    <row r="280" spans="8:8">
      <c r="B280" s="105"/>
      <c r="C280" s="106"/>
      <c r="D280" s="78"/>
      <c r="E280" s="8"/>
      <c r="F280" s="8"/>
      <c r="G280" s="107"/>
      <c r="H280" s="108"/>
      <c r="I280" s="108"/>
      <c r="J280" s="108"/>
      <c r="K280" s="108"/>
      <c r="L280" s="108"/>
      <c r="M280" s="108"/>
    </row>
    <row r="281" spans="8:8">
      <c r="B281" s="105"/>
      <c r="C281" s="106"/>
      <c r="D281" s="78"/>
      <c r="E281" s="8"/>
      <c r="F281" s="8"/>
      <c r="G281" s="107"/>
      <c r="H281" s="108"/>
      <c r="I281" s="108"/>
      <c r="J281" s="108"/>
      <c r="K281" s="108"/>
      <c r="L281" s="108"/>
      <c r="M281" s="108"/>
    </row>
    <row r="282" spans="8:8">
      <c r="B282" s="105"/>
      <c r="C282" s="106"/>
      <c r="D282" s="78"/>
      <c r="E282" s="8"/>
      <c r="F282" s="8"/>
      <c r="G282" s="107"/>
      <c r="H282" s="108"/>
      <c r="I282" s="108"/>
      <c r="J282" s="108"/>
      <c r="K282" s="108"/>
      <c r="L282" s="108"/>
      <c r="M282" s="108"/>
    </row>
    <row r="283" spans="8:8">
      <c r="B283" s="108"/>
      <c r="C283" s="106"/>
      <c r="D283" s="60"/>
      <c r="E283" s="8"/>
      <c r="F283" s="8"/>
      <c r="G283" s="107"/>
      <c r="H283" s="108"/>
      <c r="I283" s="108"/>
      <c r="J283" s="108"/>
      <c r="K283" s="108"/>
      <c r="L283" s="108"/>
      <c r="M283" s="108"/>
    </row>
    <row r="284" spans="8:8">
      <c r="B284" s="108"/>
      <c r="C284" s="106"/>
      <c r="D284" s="60"/>
      <c r="E284" s="8"/>
      <c r="F284" s="8"/>
      <c r="G284" s="107"/>
      <c r="H284" s="108"/>
      <c r="I284" s="108"/>
      <c r="J284" s="108"/>
      <c r="K284" s="108"/>
      <c r="L284" s="108"/>
      <c r="M284" s="108"/>
    </row>
    <row r="285" spans="8:8">
      <c r="B285" s="108"/>
      <c r="C285" s="106"/>
      <c r="D285" s="110"/>
      <c r="E285" s="8"/>
      <c r="F285" s="8"/>
      <c r="G285" s="107"/>
      <c r="H285" s="108"/>
      <c r="I285" s="108"/>
      <c r="J285" s="108"/>
      <c r="K285" s="108"/>
      <c r="L285" s="108"/>
      <c r="M285" s="108"/>
    </row>
    <row r="286" spans="8:8">
      <c r="B286" s="108"/>
      <c r="C286" s="106"/>
      <c r="D286" s="110"/>
      <c r="E286" s="8"/>
      <c r="F286" s="8"/>
      <c r="G286" s="107"/>
      <c r="H286" s="108"/>
      <c r="I286" s="108"/>
      <c r="J286" s="108"/>
      <c r="K286" s="108"/>
      <c r="L286" s="108"/>
      <c r="M286" s="108"/>
    </row>
    <row r="287" spans="8:8">
      <c r="B287" s="108"/>
      <c r="C287" s="106"/>
      <c r="D287" s="110"/>
      <c r="E287" s="8"/>
      <c r="F287" s="8"/>
      <c r="G287" s="107"/>
      <c r="H287" s="108"/>
      <c r="I287" s="108"/>
      <c r="J287" s="108"/>
      <c r="K287" s="108"/>
      <c r="L287" s="108"/>
      <c r="M287" s="108"/>
    </row>
    <row r="288" spans="8:8">
      <c r="B288" s="108"/>
      <c r="C288" s="106"/>
      <c r="D288" s="60"/>
      <c r="E288" s="8"/>
      <c r="F288" s="8"/>
      <c r="G288" s="107"/>
      <c r="H288" s="108"/>
      <c r="I288" s="108"/>
      <c r="J288" s="108"/>
      <c r="K288" s="108"/>
      <c r="L288" s="108"/>
      <c r="M288" s="108"/>
    </row>
    <row r="289" spans="8:8">
      <c r="B289" s="108"/>
      <c r="C289" s="106"/>
      <c r="D289" s="110"/>
      <c r="E289" s="8"/>
      <c r="F289" s="8"/>
      <c r="G289" s="107"/>
      <c r="H289" s="108"/>
      <c r="I289" s="108"/>
      <c r="J289" s="108"/>
      <c r="K289" s="108"/>
      <c r="L289" s="108"/>
      <c r="M289" s="108"/>
    </row>
    <row r="290" spans="8:8">
      <c r="B290" s="108"/>
      <c r="C290" s="106"/>
      <c r="D290" s="110"/>
      <c r="E290" s="8"/>
      <c r="F290" s="8"/>
      <c r="G290" s="107"/>
      <c r="H290" s="108"/>
      <c r="I290" s="108"/>
      <c r="J290" s="108"/>
      <c r="K290" s="108"/>
      <c r="L290" s="108"/>
      <c r="M290" s="108"/>
    </row>
    <row r="291" spans="8:8">
      <c r="B291" s="108"/>
      <c r="C291" s="106"/>
      <c r="D291" s="110"/>
      <c r="E291" s="8"/>
      <c r="F291" s="8"/>
      <c r="G291" s="107"/>
      <c r="H291" s="108"/>
      <c r="I291" s="108"/>
      <c r="J291" s="108"/>
      <c r="K291" s="108"/>
      <c r="L291" s="108"/>
      <c r="M291" s="108"/>
    </row>
    <row r="292" spans="8:8">
      <c r="B292" s="108"/>
      <c r="C292" s="106"/>
      <c r="D292" s="56"/>
      <c r="E292" s="8"/>
      <c r="F292" s="8"/>
      <c r="G292" s="107"/>
      <c r="H292" s="108"/>
      <c r="I292" s="108"/>
      <c r="J292" s="108"/>
      <c r="K292" s="108"/>
      <c r="L292" s="108"/>
      <c r="M292" s="108"/>
    </row>
    <row r="293" spans="8:8">
      <c r="B293" s="108"/>
      <c r="C293" s="106"/>
      <c r="D293" s="60"/>
      <c r="E293" s="8"/>
      <c r="F293" s="8"/>
      <c r="G293" s="107"/>
      <c r="H293" s="108"/>
      <c r="I293" s="108"/>
      <c r="J293" s="108"/>
      <c r="K293" s="108"/>
      <c r="L293" s="108"/>
      <c r="M293" s="108"/>
    </row>
    <row r="294" spans="8:8">
      <c r="B294" s="108"/>
      <c r="C294" s="106"/>
      <c r="D294" s="60"/>
      <c r="E294" s="8"/>
      <c r="F294" s="8"/>
      <c r="G294" s="107"/>
      <c r="H294" s="108"/>
      <c r="I294" s="108"/>
      <c r="J294" s="108"/>
      <c r="K294" s="108"/>
      <c r="L294" s="108"/>
      <c r="M294" s="108"/>
    </row>
    <row r="295" spans="8:8">
      <c r="B295" s="108"/>
      <c r="C295" s="106"/>
      <c r="D295" s="78"/>
      <c r="E295" s="8"/>
      <c r="F295" s="8"/>
      <c r="G295" s="107"/>
      <c r="H295" s="108"/>
      <c r="I295" s="108"/>
      <c r="J295" s="108"/>
      <c r="K295" s="108"/>
      <c r="L295" s="108"/>
      <c r="M295" s="108"/>
    </row>
    <row r="296" spans="8:8">
      <c r="B296" s="105"/>
      <c r="C296" s="106"/>
      <c r="D296" s="56"/>
      <c r="E296" s="8"/>
      <c r="F296" s="8"/>
      <c r="G296" s="107"/>
      <c r="H296" s="108"/>
      <c r="I296" s="108"/>
      <c r="J296" s="108"/>
      <c r="K296" s="108"/>
      <c r="L296" s="108"/>
      <c r="M296" s="108"/>
    </row>
    <row r="297" spans="8:8">
      <c r="B297" s="105"/>
      <c r="C297" s="106"/>
      <c r="D297" s="78"/>
      <c r="E297" s="8"/>
      <c r="F297" s="8"/>
      <c r="G297" s="107"/>
      <c r="H297" s="108"/>
      <c r="I297" s="108"/>
      <c r="J297" s="108"/>
      <c r="K297" s="108"/>
      <c r="L297" s="108"/>
      <c r="M297" s="108"/>
    </row>
    <row r="298" spans="8:8">
      <c r="B298" s="105"/>
      <c r="C298" s="106"/>
      <c r="D298" s="78"/>
      <c r="E298" s="8"/>
      <c r="F298" s="8"/>
      <c r="G298" s="107"/>
      <c r="H298" s="108"/>
      <c r="I298" s="108"/>
      <c r="J298" s="108"/>
      <c r="K298" s="108"/>
      <c r="L298" s="108"/>
      <c r="M298" s="108"/>
    </row>
    <row r="299" spans="8:8">
      <c r="B299" s="105"/>
      <c r="C299" s="106"/>
      <c r="D299" s="56"/>
      <c r="E299" s="8"/>
      <c r="F299" s="8"/>
      <c r="G299" s="107"/>
      <c r="H299" s="108"/>
      <c r="I299" s="108"/>
      <c r="J299" s="108"/>
      <c r="K299" s="108"/>
      <c r="L299" s="108"/>
      <c r="M299" s="108"/>
    </row>
    <row r="300" spans="8:8">
      <c r="B300" s="105"/>
      <c r="C300" s="106"/>
      <c r="D300" s="60"/>
      <c r="E300" s="8"/>
      <c r="F300" s="8"/>
      <c r="G300" s="107"/>
      <c r="H300" s="108"/>
      <c r="I300" s="108"/>
      <c r="J300" s="108"/>
      <c r="K300" s="108"/>
      <c r="L300" s="108"/>
      <c r="M300" s="108"/>
    </row>
    <row r="301" spans="8:8">
      <c r="B301" s="105"/>
      <c r="C301" s="106"/>
      <c r="D301" s="78"/>
      <c r="E301" s="8"/>
      <c r="F301" s="8"/>
      <c r="G301" s="107"/>
      <c r="H301" s="108"/>
      <c r="I301" s="108"/>
      <c r="J301" s="108"/>
      <c r="K301" s="108"/>
      <c r="L301" s="108"/>
      <c r="M301" s="108"/>
    </row>
    <row r="302" spans="8:8">
      <c r="B302" s="105"/>
      <c r="C302" s="106"/>
      <c r="D302" s="78"/>
      <c r="E302" s="8"/>
      <c r="F302" s="8"/>
      <c r="G302" s="107"/>
      <c r="H302" s="108"/>
      <c r="I302" s="108"/>
      <c r="J302" s="108"/>
      <c r="K302" s="108"/>
      <c r="L302" s="108"/>
      <c r="M302" s="108"/>
    </row>
    <row r="303" spans="8:8">
      <c r="B303" s="105"/>
      <c r="C303" s="106"/>
      <c r="D303" s="78"/>
      <c r="E303" s="8"/>
      <c r="F303" s="8"/>
      <c r="G303" s="107"/>
      <c r="H303" s="108"/>
      <c r="I303" s="108"/>
      <c r="J303" s="108"/>
      <c r="K303" s="108"/>
      <c r="L303" s="108"/>
      <c r="M303" s="108"/>
    </row>
    <row r="304" spans="8:8">
      <c r="B304" s="105"/>
      <c r="C304" s="106"/>
      <c r="D304" s="78"/>
      <c r="E304" s="8"/>
      <c r="F304" s="8"/>
      <c r="G304" s="107"/>
      <c r="H304" s="108"/>
      <c r="I304" s="108"/>
      <c r="J304" s="108"/>
      <c r="K304" s="108"/>
      <c r="L304" s="108"/>
      <c r="M304" s="108"/>
    </row>
    <row r="305" spans="8:8">
      <c r="B305" s="105"/>
      <c r="C305" s="106"/>
      <c r="D305" s="56"/>
      <c r="E305" s="8"/>
      <c r="F305" s="8"/>
      <c r="G305" s="107"/>
      <c r="H305" s="108"/>
      <c r="I305" s="108"/>
      <c r="J305" s="108"/>
      <c r="K305" s="108"/>
      <c r="L305" s="108"/>
      <c r="M305" s="108"/>
    </row>
    <row r="306" spans="8:8">
      <c r="B306" s="105"/>
      <c r="C306" s="106"/>
      <c r="D306" s="110"/>
      <c r="E306" s="8"/>
      <c r="F306" s="8"/>
      <c r="G306" s="107"/>
      <c r="H306" s="108"/>
      <c r="I306" s="108"/>
      <c r="J306" s="108"/>
      <c r="K306" s="108"/>
      <c r="L306" s="108"/>
      <c r="M306" s="108"/>
    </row>
    <row r="307" spans="8:8">
      <c r="B307" s="105"/>
      <c r="C307" s="106"/>
      <c r="D307" s="78"/>
      <c r="E307" s="8"/>
      <c r="F307" s="8"/>
      <c r="G307" s="107"/>
      <c r="H307" s="108"/>
      <c r="I307" s="108"/>
      <c r="J307" s="108"/>
      <c r="K307" s="108"/>
      <c r="L307" s="108"/>
      <c r="M307" s="108"/>
    </row>
    <row r="308" spans="8:8">
      <c r="B308" s="105"/>
      <c r="C308" s="106"/>
      <c r="D308" s="78"/>
      <c r="E308" s="8"/>
      <c r="F308" s="8"/>
      <c r="G308" s="107"/>
      <c r="H308" s="108"/>
      <c r="I308" s="108"/>
      <c r="J308" s="108"/>
      <c r="K308" s="108"/>
      <c r="L308" s="108"/>
      <c r="M308" s="108"/>
    </row>
    <row r="309" spans="8:8">
      <c r="B309" s="105"/>
      <c r="C309" s="106"/>
      <c r="D309" s="78"/>
      <c r="E309" s="8"/>
      <c r="F309" s="8"/>
      <c r="G309" s="107"/>
      <c r="H309" s="108"/>
      <c r="I309" s="108"/>
      <c r="J309" s="108"/>
      <c r="K309" s="108"/>
      <c r="L309" s="108"/>
      <c r="M309" s="108"/>
    </row>
    <row r="310" spans="8:8">
      <c r="B310" s="105"/>
      <c r="C310" s="106"/>
      <c r="D310" s="78"/>
      <c r="E310" s="8"/>
      <c r="F310" s="8"/>
      <c r="G310" s="107"/>
      <c r="H310" s="108"/>
      <c r="I310" s="108"/>
      <c r="J310" s="108"/>
      <c r="K310" s="108"/>
      <c r="L310" s="108"/>
      <c r="M310" s="108"/>
    </row>
    <row r="311" spans="8:8">
      <c r="B311" s="105"/>
      <c r="C311" s="106"/>
      <c r="D311" s="60"/>
      <c r="E311" s="8"/>
      <c r="F311" s="8"/>
      <c r="G311" s="107"/>
      <c r="H311" s="108"/>
      <c r="I311" s="108"/>
      <c r="J311" s="108"/>
      <c r="K311" s="108"/>
      <c r="L311" s="108"/>
      <c r="M311" s="108"/>
    </row>
    <row r="312" spans="8:8">
      <c r="B312" s="105"/>
      <c r="C312" s="106"/>
      <c r="D312" s="78"/>
      <c r="E312" s="8"/>
      <c r="F312" s="8"/>
      <c r="G312" s="107"/>
      <c r="H312" s="108"/>
      <c r="I312" s="108"/>
      <c r="J312" s="108"/>
      <c r="K312" s="108"/>
      <c r="L312" s="108"/>
      <c r="M312" s="108"/>
    </row>
    <row r="313" spans="8:8">
      <c r="B313" s="105"/>
      <c r="C313" s="106"/>
      <c r="D313" s="78"/>
      <c r="E313" s="8"/>
      <c r="F313" s="8"/>
      <c r="G313" s="107"/>
      <c r="H313" s="108"/>
      <c r="I313" s="108"/>
      <c r="J313" s="108"/>
      <c r="K313" s="108"/>
      <c r="L313" s="108"/>
      <c r="M313" s="108"/>
    </row>
    <row r="314" spans="8:8">
      <c r="B314" s="105"/>
      <c r="C314" s="106"/>
      <c r="D314" s="78"/>
      <c r="E314" s="8"/>
      <c r="F314" s="8"/>
      <c r="G314" s="107"/>
      <c r="H314" s="108"/>
      <c r="I314" s="108"/>
      <c r="J314" s="108"/>
      <c r="K314" s="108"/>
      <c r="L314" s="108"/>
      <c r="M314" s="108"/>
    </row>
    <row r="315" spans="8:8">
      <c r="B315" s="105"/>
      <c r="C315" s="106"/>
      <c r="D315" s="78"/>
      <c r="E315" s="8"/>
      <c r="F315" s="8"/>
      <c r="G315" s="107"/>
      <c r="H315" s="108"/>
      <c r="I315" s="108"/>
      <c r="J315" s="108"/>
      <c r="K315" s="108"/>
      <c r="L315" s="108"/>
      <c r="M315" s="108"/>
    </row>
    <row r="316" spans="8:8">
      <c r="B316" s="105"/>
      <c r="C316" s="106"/>
      <c r="D316" s="78"/>
      <c r="E316" s="8"/>
      <c r="F316" s="8"/>
      <c r="G316" s="107"/>
      <c r="H316" s="108"/>
      <c r="I316" s="108"/>
      <c r="J316" s="108"/>
      <c r="K316" s="108"/>
      <c r="L316" s="108"/>
      <c r="M316" s="108"/>
    </row>
    <row r="317" spans="8:8">
      <c r="B317" s="105"/>
      <c r="C317" s="106"/>
      <c r="D317" s="78"/>
      <c r="E317" s="8"/>
      <c r="F317" s="8"/>
      <c r="G317" s="107"/>
      <c r="H317" s="108"/>
      <c r="I317" s="108"/>
      <c r="J317" s="108"/>
      <c r="K317" s="108"/>
      <c r="L317" s="108"/>
      <c r="M317" s="108"/>
    </row>
    <row r="318" spans="8:8">
      <c r="B318" s="105"/>
      <c r="C318" s="106"/>
      <c r="D318" s="78"/>
      <c r="E318" s="8"/>
      <c r="F318" s="8"/>
      <c r="G318" s="107"/>
      <c r="H318" s="108"/>
      <c r="I318" s="108"/>
      <c r="J318" s="108"/>
      <c r="K318" s="108"/>
      <c r="L318" s="108"/>
      <c r="M318" s="108"/>
    </row>
    <row r="319" spans="8:8">
      <c r="B319" s="105"/>
      <c r="C319" s="106"/>
      <c r="D319" s="78"/>
      <c r="E319" s="8"/>
      <c r="F319" s="8"/>
      <c r="G319" s="107"/>
      <c r="H319" s="108"/>
      <c r="I319" s="108"/>
      <c r="J319" s="108"/>
      <c r="K319" s="108"/>
      <c r="L319" s="108"/>
      <c r="M319" s="108"/>
    </row>
    <row r="320" spans="8:8">
      <c r="B320" s="105"/>
      <c r="C320" s="106"/>
      <c r="D320" s="78"/>
      <c r="E320" s="8"/>
      <c r="F320" s="8"/>
      <c r="G320" s="107"/>
      <c r="H320" s="108"/>
      <c r="I320" s="108"/>
      <c r="J320" s="108"/>
      <c r="K320" s="108"/>
      <c r="L320" s="108"/>
      <c r="M320" s="108"/>
    </row>
    <row r="321" spans="8:8">
      <c r="B321" s="105"/>
      <c r="C321" s="106"/>
      <c r="D321" s="78"/>
      <c r="E321" s="8"/>
      <c r="F321" s="8"/>
      <c r="G321" s="107"/>
      <c r="H321" s="108"/>
      <c r="I321" s="108"/>
      <c r="J321" s="108"/>
      <c r="K321" s="108"/>
      <c r="L321" s="108"/>
      <c r="M321" s="108"/>
    </row>
    <row r="322" spans="8:8">
      <c r="B322" s="105"/>
      <c r="C322" s="106"/>
      <c r="D322" s="78"/>
      <c r="E322" s="8"/>
      <c r="F322" s="8"/>
      <c r="G322" s="107"/>
      <c r="H322" s="108"/>
      <c r="I322" s="108"/>
      <c r="J322" s="108"/>
      <c r="K322" s="108"/>
      <c r="L322" s="108"/>
      <c r="M322" s="108"/>
    </row>
    <row r="323" spans="8:8">
      <c r="B323" s="105"/>
      <c r="C323" s="106"/>
      <c r="D323" s="78"/>
      <c r="E323" s="8"/>
      <c r="F323" s="8"/>
      <c r="G323" s="107"/>
      <c r="H323" s="108"/>
      <c r="I323" s="108"/>
      <c r="J323" s="108"/>
      <c r="K323" s="108"/>
      <c r="L323" s="108"/>
      <c r="M323" s="108"/>
    </row>
    <row r="324" spans="8:8">
      <c r="B324" s="105"/>
      <c r="C324" s="106"/>
      <c r="D324" s="78"/>
      <c r="E324" s="8"/>
      <c r="F324" s="8"/>
      <c r="G324" s="107"/>
      <c r="H324" s="108"/>
      <c r="I324" s="108"/>
      <c r="J324" s="108"/>
      <c r="K324" s="108"/>
      <c r="L324" s="108"/>
      <c r="M324" s="108"/>
    </row>
    <row r="325" spans="8:8">
      <c r="B325" s="105"/>
      <c r="C325" s="106"/>
      <c r="D325" s="78"/>
      <c r="E325" s="8"/>
      <c r="F325" s="8"/>
      <c r="G325" s="107"/>
      <c r="H325" s="108"/>
      <c r="I325" s="108"/>
      <c r="J325" s="108"/>
      <c r="K325" s="108"/>
      <c r="L325" s="108"/>
      <c r="M325" s="108"/>
    </row>
    <row r="326" spans="8:8">
      <c r="B326" s="105"/>
      <c r="C326" s="106"/>
      <c r="D326" s="78"/>
      <c r="E326" s="8"/>
      <c r="F326" s="8"/>
      <c r="G326" s="107"/>
      <c r="H326" s="108"/>
      <c r="I326" s="108"/>
      <c r="J326" s="108"/>
      <c r="K326" s="108"/>
      <c r="L326" s="108"/>
      <c r="M326" s="108"/>
    </row>
    <row r="327" spans="8:8">
      <c r="B327" s="105"/>
      <c r="C327" s="106"/>
      <c r="D327" s="78"/>
      <c r="E327" s="8"/>
      <c r="F327" s="8"/>
      <c r="G327" s="107"/>
      <c r="H327" s="108"/>
      <c r="I327" s="108"/>
      <c r="J327" s="108"/>
      <c r="K327" s="108"/>
      <c r="L327" s="108"/>
      <c r="M327" s="108"/>
    </row>
    <row r="328" spans="8:8">
      <c r="B328" s="105"/>
      <c r="C328" s="106"/>
      <c r="D328" s="78"/>
      <c r="E328" s="8"/>
      <c r="F328" s="8"/>
      <c r="G328" s="107"/>
      <c r="H328" s="108"/>
      <c r="I328" s="108"/>
      <c r="J328" s="108"/>
      <c r="K328" s="108"/>
      <c r="L328" s="108"/>
      <c r="M328" s="108"/>
    </row>
    <row r="329" spans="8:8">
      <c r="B329" s="105"/>
      <c r="C329" s="106"/>
      <c r="D329" s="78"/>
      <c r="E329" s="8"/>
      <c r="F329" s="8"/>
      <c r="G329" s="107"/>
      <c r="H329" s="108"/>
      <c r="I329" s="108"/>
      <c r="J329" s="108"/>
      <c r="K329" s="108"/>
      <c r="L329" s="108"/>
      <c r="M329" s="108"/>
    </row>
    <row r="330" spans="8:8">
      <c r="B330" s="105"/>
      <c r="C330" s="106"/>
      <c r="D330" s="78"/>
      <c r="E330" s="8"/>
      <c r="F330" s="8"/>
      <c r="G330" s="107"/>
      <c r="H330" s="108"/>
      <c r="I330" s="108"/>
      <c r="J330" s="108"/>
      <c r="K330" s="108"/>
      <c r="L330" s="108"/>
      <c r="M330" s="108"/>
    </row>
    <row r="331" spans="8:8">
      <c r="B331" s="105"/>
      <c r="C331" s="106"/>
      <c r="D331" s="78"/>
      <c r="E331" s="8"/>
      <c r="F331" s="8"/>
      <c r="G331" s="107"/>
      <c r="H331" s="108"/>
      <c r="I331" s="108"/>
      <c r="J331" s="108"/>
      <c r="K331" s="108"/>
      <c r="L331" s="108"/>
      <c r="M331" s="108"/>
    </row>
    <row r="332" spans="8:8">
      <c r="B332" s="105"/>
      <c r="C332" s="106"/>
      <c r="D332" s="60"/>
      <c r="E332" s="8"/>
      <c r="F332" s="8"/>
      <c r="G332" s="107"/>
      <c r="H332" s="108"/>
      <c r="I332" s="108"/>
      <c r="J332" s="108"/>
      <c r="K332" s="108"/>
      <c r="L332" s="108"/>
      <c r="M332" s="108"/>
    </row>
    <row r="333" spans="8:8">
      <c r="B333" s="105"/>
      <c r="C333" s="106"/>
      <c r="D333" s="60"/>
      <c r="E333" s="8"/>
      <c r="F333" s="8"/>
      <c r="G333" s="107"/>
      <c r="H333" s="108"/>
      <c r="I333" s="108"/>
      <c r="J333" s="108"/>
      <c r="K333" s="108"/>
      <c r="L333" s="108"/>
      <c r="M333" s="108"/>
    </row>
    <row r="334" spans="8:8">
      <c r="B334" s="105"/>
      <c r="C334" s="106"/>
      <c r="D334" s="60"/>
      <c r="E334" s="8"/>
      <c r="F334" s="8"/>
      <c r="G334" s="107"/>
      <c r="H334" s="108"/>
      <c r="I334" s="108"/>
      <c r="J334" s="108"/>
      <c r="K334" s="108"/>
      <c r="L334" s="108"/>
      <c r="M334" s="108"/>
    </row>
    <row r="335" spans="8:8">
      <c r="B335" s="105"/>
      <c r="C335" s="106"/>
      <c r="D335" s="78"/>
      <c r="E335" s="8"/>
      <c r="F335" s="8"/>
      <c r="G335" s="107"/>
      <c r="H335" s="108"/>
      <c r="I335" s="108"/>
      <c r="J335" s="108"/>
      <c r="K335" s="108"/>
      <c r="L335" s="108"/>
      <c r="M335" s="108"/>
    </row>
    <row r="336" spans="8:8">
      <c r="B336" s="105"/>
      <c r="C336" s="106"/>
      <c r="D336" s="78"/>
      <c r="E336" s="8"/>
      <c r="F336" s="8"/>
      <c r="G336" s="107"/>
      <c r="H336" s="108"/>
      <c r="I336" s="108"/>
      <c r="J336" s="108"/>
      <c r="K336" s="108"/>
      <c r="L336" s="108"/>
      <c r="M336" s="108"/>
    </row>
    <row r="337" spans="8:8">
      <c r="B337" s="105"/>
      <c r="C337" s="106"/>
      <c r="D337" s="78"/>
      <c r="E337" s="8"/>
      <c r="F337" s="8"/>
      <c r="G337" s="107"/>
      <c r="H337" s="108"/>
      <c r="I337" s="108"/>
      <c r="J337" s="108"/>
      <c r="K337" s="108"/>
      <c r="L337" s="108"/>
      <c r="M337" s="108"/>
    </row>
    <row r="338" spans="8:8">
      <c r="B338" s="105"/>
      <c r="C338" s="106"/>
      <c r="D338" s="78"/>
      <c r="E338" s="8"/>
      <c r="F338" s="8"/>
      <c r="G338" s="107"/>
      <c r="H338" s="108"/>
      <c r="I338" s="108"/>
      <c r="J338" s="108"/>
      <c r="K338" s="108"/>
      <c r="L338" s="108"/>
      <c r="M338" s="108"/>
    </row>
    <row r="339" spans="8:8">
      <c r="B339" s="105"/>
      <c r="C339" s="106"/>
      <c r="D339" s="78"/>
      <c r="E339" s="8"/>
      <c r="F339" s="8"/>
      <c r="G339" s="107"/>
      <c r="H339" s="108"/>
      <c r="I339" s="108"/>
      <c r="J339" s="108"/>
      <c r="K339" s="108"/>
      <c r="L339" s="108"/>
      <c r="M339" s="108"/>
    </row>
    <row r="340" spans="8:8">
      <c r="B340" s="105"/>
      <c r="C340" s="106"/>
      <c r="D340" s="78"/>
      <c r="E340" s="8"/>
      <c r="F340" s="8"/>
      <c r="G340" s="107"/>
      <c r="H340" s="108"/>
      <c r="I340" s="108"/>
      <c r="J340" s="108"/>
      <c r="K340" s="108"/>
      <c r="L340" s="108"/>
      <c r="M340" s="108"/>
    </row>
    <row r="341" spans="8:8">
      <c r="B341" s="105"/>
      <c r="C341" s="106"/>
      <c r="D341" s="78"/>
      <c r="E341" s="8"/>
      <c r="F341" s="8"/>
      <c r="G341" s="107"/>
      <c r="H341" s="108"/>
      <c r="I341" s="108"/>
      <c r="J341" s="108"/>
      <c r="K341" s="108"/>
      <c r="L341" s="108"/>
      <c r="M341" s="108"/>
    </row>
    <row r="342" spans="8:8">
      <c r="B342" s="105"/>
      <c r="C342" s="106"/>
      <c r="D342" s="78"/>
      <c r="E342" s="8"/>
      <c r="F342" s="8"/>
      <c r="G342" s="107"/>
      <c r="H342" s="108"/>
      <c r="I342" s="108"/>
      <c r="J342" s="108"/>
      <c r="K342" s="108"/>
      <c r="L342" s="108"/>
      <c r="M342" s="108"/>
    </row>
    <row r="343" spans="8:8">
      <c r="B343" s="105"/>
      <c r="C343" s="106"/>
      <c r="D343" s="78"/>
      <c r="E343" s="8"/>
      <c r="F343" s="8"/>
      <c r="G343" s="107"/>
      <c r="H343" s="108"/>
      <c r="I343" s="108"/>
      <c r="J343" s="108"/>
      <c r="K343" s="108"/>
      <c r="L343" s="108"/>
      <c r="M343" s="108"/>
    </row>
    <row r="344" spans="8:8">
      <c r="B344" s="105"/>
      <c r="C344" s="106"/>
      <c r="D344" s="78"/>
      <c r="E344" s="8"/>
      <c r="F344" s="8"/>
      <c r="G344" s="107"/>
      <c r="H344" s="108"/>
      <c r="I344" s="108"/>
      <c r="J344" s="108"/>
      <c r="K344" s="108"/>
      <c r="L344" s="108"/>
      <c r="M344" s="108"/>
    </row>
    <row r="345" spans="8:8">
      <c r="B345" s="108"/>
      <c r="C345" s="106"/>
      <c r="D345" s="56"/>
      <c r="E345" s="8"/>
      <c r="F345" s="8"/>
      <c r="G345" s="107"/>
      <c r="H345" s="108"/>
      <c r="I345" s="108"/>
      <c r="J345" s="108"/>
      <c r="K345" s="108"/>
      <c r="L345" s="108"/>
      <c r="M345" s="108"/>
    </row>
    <row r="346" spans="8:8">
      <c r="B346" s="105"/>
      <c r="C346" s="106"/>
      <c r="D346" s="56"/>
      <c r="E346" s="8"/>
      <c r="F346" s="8"/>
      <c r="G346" s="107"/>
      <c r="H346" s="108"/>
      <c r="I346" s="108"/>
      <c r="J346" s="108"/>
      <c r="K346" s="108"/>
      <c r="L346" s="108"/>
      <c r="M346" s="108"/>
    </row>
    <row r="347" spans="8:8">
      <c r="B347" s="105"/>
      <c r="C347" s="106"/>
      <c r="D347" s="78"/>
      <c r="E347" s="8"/>
      <c r="F347" s="8"/>
      <c r="G347" s="107"/>
      <c r="H347" s="108"/>
      <c r="I347" s="108"/>
      <c r="J347" s="108"/>
      <c r="K347" s="108"/>
      <c r="L347" s="108"/>
      <c r="M347" s="108"/>
    </row>
    <row r="348" spans="8:8">
      <c r="B348" s="105"/>
      <c r="C348" s="106"/>
      <c r="D348" s="78"/>
      <c r="E348" s="8"/>
      <c r="F348" s="8"/>
      <c r="G348" s="107"/>
      <c r="H348" s="108"/>
      <c r="I348" s="108"/>
      <c r="J348" s="108"/>
      <c r="K348" s="108"/>
      <c r="L348" s="108"/>
      <c r="M348" s="108"/>
    </row>
    <row r="349" spans="8:8">
      <c r="B349" s="105"/>
      <c r="C349" s="106"/>
      <c r="D349" s="78"/>
      <c r="E349" s="8"/>
      <c r="F349" s="8"/>
      <c r="G349" s="107"/>
      <c r="H349" s="108"/>
      <c r="I349" s="108"/>
      <c r="J349" s="108"/>
      <c r="K349" s="108"/>
      <c r="L349" s="108"/>
      <c r="M349" s="108"/>
    </row>
    <row r="350" spans="8:8">
      <c r="B350" s="105"/>
      <c r="C350" s="106"/>
      <c r="D350" s="78"/>
      <c r="E350" s="8"/>
      <c r="F350" s="8"/>
      <c r="G350" s="107"/>
      <c r="H350" s="108"/>
      <c r="I350" s="108"/>
      <c r="J350" s="108"/>
      <c r="K350" s="108"/>
      <c r="L350" s="108"/>
      <c r="M350" s="108"/>
    </row>
    <row r="351" spans="8:8">
      <c r="B351" s="105"/>
      <c r="C351" s="106"/>
      <c r="D351" s="78"/>
      <c r="E351" s="8"/>
      <c r="F351" s="8"/>
      <c r="G351" s="107"/>
      <c r="H351" s="108"/>
      <c r="I351" s="108"/>
      <c r="J351" s="108"/>
      <c r="K351" s="108"/>
      <c r="L351" s="108"/>
      <c r="M351" s="108"/>
    </row>
    <row r="352" spans="8:8">
      <c r="B352" s="105"/>
      <c r="C352" s="106"/>
      <c r="D352" s="78"/>
      <c r="E352" s="8"/>
      <c r="F352" s="8"/>
      <c r="G352" s="107"/>
      <c r="H352" s="108"/>
      <c r="I352" s="108"/>
      <c r="J352" s="108"/>
      <c r="K352" s="108"/>
      <c r="L352" s="108"/>
      <c r="M352" s="108"/>
    </row>
    <row r="353" spans="8:8">
      <c r="B353" s="108"/>
      <c r="C353" s="106"/>
      <c r="D353" s="56"/>
      <c r="E353" s="8"/>
      <c r="F353" s="8"/>
      <c r="G353" s="107"/>
      <c r="H353" s="108"/>
      <c r="I353" s="108"/>
      <c r="J353" s="108"/>
      <c r="K353" s="108"/>
      <c r="L353" s="108"/>
      <c r="M353" s="108"/>
    </row>
    <row r="354" spans="8:8">
      <c r="B354" s="105"/>
      <c r="C354" s="106"/>
      <c r="D354" s="78"/>
      <c r="E354" s="8"/>
      <c r="F354" s="8"/>
      <c r="G354" s="107"/>
      <c r="H354" s="108"/>
      <c r="I354" s="108"/>
      <c r="J354" s="108"/>
      <c r="K354" s="108"/>
      <c r="L354" s="108"/>
      <c r="M354" s="108"/>
    </row>
    <row r="355" spans="8:8">
      <c r="B355" s="105"/>
      <c r="C355" s="106"/>
      <c r="D355" s="78"/>
      <c r="E355" s="8"/>
      <c r="F355" s="8"/>
      <c r="G355" s="107"/>
      <c r="H355" s="108"/>
      <c r="I355" s="108"/>
      <c r="J355" s="108"/>
      <c r="K355" s="108"/>
      <c r="L355" s="108"/>
      <c r="M355" s="108"/>
    </row>
    <row r="356" spans="8:8">
      <c r="B356" s="105"/>
      <c r="C356" s="106"/>
      <c r="D356" s="78"/>
      <c r="E356" s="8"/>
      <c r="F356" s="8"/>
      <c r="G356" s="107"/>
      <c r="H356" s="108"/>
      <c r="I356" s="108"/>
      <c r="J356" s="108"/>
      <c r="K356" s="108"/>
      <c r="L356" s="108"/>
      <c r="M356" s="108"/>
    </row>
    <row r="357" spans="8:8">
      <c r="B357" s="105"/>
      <c r="C357" s="106"/>
      <c r="D357" s="78"/>
      <c r="E357" s="8"/>
      <c r="F357" s="8"/>
      <c r="G357" s="107"/>
      <c r="H357" s="108"/>
      <c r="I357" s="108"/>
      <c r="J357" s="108"/>
      <c r="K357" s="108"/>
      <c r="L357" s="108"/>
      <c r="M357" s="108"/>
    </row>
    <row r="358" spans="8:8">
      <c r="B358" s="105"/>
      <c r="C358" s="106"/>
      <c r="D358" s="78"/>
      <c r="E358" s="8"/>
      <c r="F358" s="8"/>
      <c r="G358" s="107"/>
      <c r="H358" s="108"/>
      <c r="I358" s="108"/>
      <c r="J358" s="108"/>
      <c r="K358" s="108"/>
      <c r="L358" s="108"/>
      <c r="M358" s="108"/>
    </row>
    <row r="359" spans="8:8">
      <c r="B359" s="105"/>
      <c r="C359" s="106"/>
      <c r="D359" s="78"/>
      <c r="E359" s="8"/>
      <c r="F359" s="8"/>
      <c r="G359" s="107"/>
      <c r="H359" s="108"/>
      <c r="I359" s="108"/>
      <c r="J359" s="108"/>
      <c r="K359" s="108"/>
      <c r="L359" s="108"/>
      <c r="M359" s="108"/>
    </row>
    <row r="360" spans="8:8">
      <c r="B360" s="105"/>
      <c r="C360" s="106"/>
      <c r="D360" s="78"/>
      <c r="E360" s="8"/>
      <c r="F360" s="8"/>
      <c r="G360" s="107"/>
      <c r="H360" s="108"/>
      <c r="I360" s="108"/>
      <c r="J360" s="108"/>
      <c r="K360" s="108"/>
      <c r="L360" s="108"/>
      <c r="M360" s="108"/>
    </row>
    <row r="361" spans="8:8">
      <c r="B361" s="105"/>
      <c r="C361" s="106"/>
      <c r="D361" s="78"/>
      <c r="E361" s="8"/>
      <c r="F361" s="8"/>
      <c r="G361" s="107"/>
      <c r="H361" s="108"/>
      <c r="I361" s="108"/>
      <c r="J361" s="108"/>
      <c r="K361" s="108"/>
      <c r="L361" s="108"/>
      <c r="M361" s="108"/>
    </row>
    <row r="362" spans="8:8">
      <c r="B362" s="108"/>
      <c r="C362" s="106"/>
      <c r="D362" s="60"/>
      <c r="E362" s="8"/>
      <c r="F362" s="8"/>
      <c r="G362" s="107"/>
      <c r="H362" s="108"/>
      <c r="I362" s="108"/>
      <c r="J362" s="108"/>
      <c r="K362" s="108"/>
      <c r="L362" s="108"/>
      <c r="M362" s="108"/>
    </row>
    <row r="363" spans="8:8">
      <c r="B363" s="108"/>
      <c r="C363" s="106"/>
      <c r="D363" s="60"/>
      <c r="E363" s="8"/>
      <c r="F363" s="8"/>
      <c r="G363" s="107"/>
      <c r="H363" s="108"/>
      <c r="I363" s="108"/>
      <c r="J363" s="108"/>
      <c r="K363" s="108"/>
      <c r="L363" s="108"/>
      <c r="M363" s="108"/>
    </row>
    <row r="364" spans="8:8">
      <c r="B364" s="108"/>
      <c r="C364" s="106"/>
      <c r="D364" s="60"/>
      <c r="E364" s="8"/>
      <c r="F364" s="8"/>
      <c r="G364" s="107"/>
      <c r="H364" s="108"/>
      <c r="I364" s="108"/>
      <c r="J364" s="108"/>
      <c r="K364" s="108"/>
      <c r="L364" s="108"/>
      <c r="M364" s="108"/>
    </row>
    <row r="365" spans="8:8">
      <c r="B365" s="108"/>
      <c r="C365" s="106"/>
      <c r="D365" s="60"/>
      <c r="E365" s="8"/>
      <c r="F365" s="8"/>
      <c r="G365" s="107"/>
      <c r="H365" s="108"/>
      <c r="I365" s="108"/>
      <c r="J365" s="108"/>
      <c r="K365" s="108"/>
      <c r="L365" s="108"/>
      <c r="M365" s="108"/>
    </row>
    <row r="366" spans="8:8">
      <c r="B366" s="108"/>
      <c r="C366" s="106"/>
      <c r="D366" s="60"/>
      <c r="E366" s="8"/>
      <c r="F366" s="8"/>
      <c r="G366" s="107"/>
      <c r="H366" s="108"/>
      <c r="I366" s="108"/>
      <c r="J366" s="108"/>
      <c r="K366" s="108"/>
      <c r="L366" s="108"/>
      <c r="M366" s="108"/>
    </row>
    <row r="367" spans="8:8">
      <c r="B367" s="108"/>
      <c r="C367" s="106"/>
      <c r="D367" s="60"/>
      <c r="E367" s="8"/>
      <c r="F367" s="8"/>
      <c r="G367" s="107"/>
      <c r="H367" s="108"/>
      <c r="I367" s="108"/>
      <c r="J367" s="108"/>
      <c r="K367" s="108"/>
      <c r="L367" s="108"/>
      <c r="M367" s="108"/>
    </row>
    <row r="368" spans="8:8">
      <c r="B368" s="105"/>
      <c r="C368" s="106"/>
      <c r="D368" s="78"/>
      <c r="E368" s="8"/>
      <c r="F368" s="8"/>
      <c r="G368" s="107"/>
      <c r="H368" s="108"/>
      <c r="I368" s="108"/>
      <c r="J368" s="108"/>
      <c r="K368" s="108"/>
      <c r="L368" s="108"/>
      <c r="M368" s="108"/>
    </row>
    <row r="369" spans="8:8">
      <c r="B369" s="105"/>
      <c r="C369" s="106"/>
      <c r="D369" s="60"/>
      <c r="E369" s="8"/>
      <c r="F369" s="8"/>
      <c r="G369" s="107"/>
      <c r="H369" s="108"/>
      <c r="I369" s="108"/>
      <c r="J369" s="108"/>
      <c r="K369" s="108"/>
      <c r="L369" s="108"/>
      <c r="M369" s="108"/>
    </row>
    <row r="370" spans="8:8">
      <c r="B370" s="105"/>
      <c r="C370" s="106"/>
      <c r="D370" s="78"/>
      <c r="E370" s="8"/>
      <c r="F370" s="8"/>
      <c r="G370" s="107"/>
      <c r="H370" s="108"/>
      <c r="I370" s="108"/>
      <c r="J370" s="108"/>
      <c r="K370" s="108"/>
      <c r="L370" s="108"/>
      <c r="M370" s="108"/>
    </row>
    <row r="371" spans="8:8">
      <c r="B371" s="105"/>
      <c r="C371" s="106"/>
      <c r="D371" s="78"/>
      <c r="E371" s="8"/>
      <c r="F371" s="8"/>
      <c r="G371" s="107"/>
      <c r="H371" s="108"/>
      <c r="I371" s="108"/>
      <c r="J371" s="108"/>
      <c r="K371" s="108"/>
      <c r="L371" s="108"/>
      <c r="M371" s="108"/>
    </row>
    <row r="372" spans="8:8">
      <c r="B372" s="105"/>
      <c r="C372" s="106"/>
      <c r="D372" s="78"/>
      <c r="E372" s="8"/>
      <c r="F372" s="8"/>
      <c r="G372" s="107"/>
      <c r="H372" s="108"/>
      <c r="I372" s="108"/>
      <c r="J372" s="108"/>
      <c r="K372" s="108"/>
      <c r="L372" s="108"/>
      <c r="M372" s="108"/>
    </row>
    <row r="373" spans="8:8">
      <c r="B373" s="105"/>
      <c r="C373" s="106"/>
      <c r="D373" s="60"/>
      <c r="E373" s="8"/>
      <c r="F373" s="8"/>
      <c r="G373" s="107"/>
      <c r="H373" s="108"/>
      <c r="I373" s="108"/>
      <c r="J373" s="108"/>
      <c r="K373" s="108"/>
      <c r="L373" s="108"/>
      <c r="M373" s="108"/>
    </row>
    <row r="374" spans="8:8">
      <c r="B374" s="105"/>
      <c r="C374" s="106"/>
      <c r="D374" s="78"/>
      <c r="E374" s="8"/>
      <c r="F374" s="8"/>
      <c r="G374" s="107"/>
      <c r="H374" s="108"/>
      <c r="I374" s="108"/>
      <c r="J374" s="108"/>
      <c r="K374" s="108"/>
      <c r="L374" s="108"/>
      <c r="M374" s="108"/>
    </row>
    <row r="375" spans="8:8">
      <c r="B375" s="105"/>
      <c r="C375" s="106"/>
      <c r="D375" s="60"/>
      <c r="E375" s="8"/>
      <c r="F375" s="8"/>
      <c r="G375" s="107"/>
      <c r="H375" s="108"/>
      <c r="I375" s="108"/>
      <c r="J375" s="108"/>
      <c r="K375" s="108"/>
      <c r="L375" s="108"/>
      <c r="M375" s="108"/>
    </row>
    <row r="376" spans="8:8">
      <c r="B376" s="105"/>
      <c r="C376" s="106"/>
      <c r="D376" s="78"/>
      <c r="E376" s="8"/>
      <c r="F376" s="8"/>
      <c r="G376" s="107"/>
      <c r="H376" s="108"/>
      <c r="I376" s="108"/>
      <c r="J376" s="108"/>
      <c r="K376" s="108"/>
      <c r="L376" s="108"/>
      <c r="M376" s="108"/>
    </row>
    <row r="377" spans="8:8">
      <c r="B377" s="105"/>
      <c r="C377" s="106"/>
      <c r="D377" s="78"/>
      <c r="E377" s="8"/>
      <c r="F377" s="8"/>
      <c r="G377" s="107"/>
      <c r="H377" s="108"/>
      <c r="I377" s="108"/>
      <c r="J377" s="108"/>
      <c r="K377" s="108"/>
      <c r="L377" s="108"/>
      <c r="M377" s="108"/>
    </row>
    <row r="378" spans="8:8">
      <c r="B378" s="105"/>
      <c r="C378" s="106"/>
      <c r="D378" s="78"/>
      <c r="E378" s="8"/>
      <c r="F378" s="8"/>
      <c r="G378" s="107"/>
      <c r="H378" s="108"/>
      <c r="I378" s="108"/>
      <c r="J378" s="108"/>
      <c r="K378" s="108"/>
      <c r="L378" s="108"/>
      <c r="M378" s="108"/>
    </row>
    <row r="379" spans="8:8">
      <c r="B379" s="105"/>
      <c r="C379" s="106"/>
      <c r="D379" s="78"/>
      <c r="E379" s="8"/>
      <c r="F379" s="8"/>
      <c r="G379" s="107"/>
      <c r="H379" s="108"/>
      <c r="I379" s="108"/>
      <c r="J379" s="108"/>
      <c r="K379" s="108"/>
      <c r="L379" s="108"/>
      <c r="M379" s="108"/>
    </row>
    <row r="380" spans="8:8">
      <c r="B380" s="105"/>
      <c r="C380" s="106"/>
      <c r="D380" s="78"/>
      <c r="E380" s="8"/>
      <c r="F380" s="8"/>
      <c r="G380" s="107"/>
      <c r="H380" s="108"/>
      <c r="I380" s="108"/>
      <c r="J380" s="108"/>
      <c r="K380" s="108"/>
      <c r="L380" s="108"/>
      <c r="M380" s="108"/>
    </row>
    <row r="381" spans="8:8">
      <c r="B381" s="105"/>
      <c r="C381" s="106"/>
      <c r="D381" s="78"/>
      <c r="E381" s="8"/>
      <c r="F381" s="8"/>
      <c r="G381" s="107"/>
      <c r="H381" s="108"/>
      <c r="I381" s="108"/>
      <c r="J381" s="108"/>
      <c r="K381" s="108"/>
      <c r="L381" s="108"/>
      <c r="M381" s="108"/>
    </row>
    <row r="382" spans="8:8">
      <c r="B382" s="105"/>
      <c r="C382" s="106"/>
      <c r="D382" s="110"/>
      <c r="E382" s="8"/>
      <c r="F382" s="8"/>
      <c r="G382" s="107"/>
      <c r="H382" s="108"/>
      <c r="I382" s="108"/>
      <c r="J382" s="108"/>
      <c r="K382" s="108"/>
      <c r="L382" s="108"/>
      <c r="M382" s="108"/>
    </row>
    <row r="383" spans="8:8">
      <c r="B383" s="105"/>
      <c r="C383" s="106"/>
      <c r="D383" s="78"/>
      <c r="E383" s="8"/>
      <c r="F383" s="8"/>
      <c r="G383" s="107"/>
      <c r="H383" s="108"/>
      <c r="I383" s="108"/>
      <c r="J383" s="108"/>
      <c r="K383" s="108"/>
      <c r="L383" s="108"/>
      <c r="M383" s="108"/>
    </row>
    <row r="384" spans="8:8">
      <c r="B384" s="105"/>
      <c r="C384" s="106"/>
      <c r="D384" s="78"/>
      <c r="E384" s="8"/>
      <c r="F384" s="8"/>
      <c r="G384" s="107"/>
      <c r="H384" s="108"/>
      <c r="I384" s="108"/>
      <c r="J384" s="108"/>
      <c r="K384" s="108"/>
      <c r="L384" s="108"/>
      <c r="M384" s="108"/>
    </row>
    <row r="385" spans="8:8">
      <c r="B385" s="105"/>
      <c r="C385" s="106"/>
      <c r="D385" s="78"/>
      <c r="E385" s="8"/>
      <c r="F385" s="8"/>
      <c r="G385" s="107"/>
      <c r="H385" s="108"/>
      <c r="I385" s="108"/>
      <c r="J385" s="108"/>
      <c r="K385" s="108"/>
      <c r="L385" s="108"/>
      <c r="M385" s="108"/>
    </row>
    <row r="386" spans="8:8">
      <c r="B386" s="105"/>
      <c r="C386" s="106"/>
      <c r="D386" s="60"/>
      <c r="E386" s="8"/>
      <c r="F386" s="8"/>
      <c r="G386" s="107"/>
      <c r="H386" s="108"/>
      <c r="I386" s="108"/>
      <c r="J386" s="108"/>
      <c r="K386" s="108"/>
      <c r="L386" s="108"/>
      <c r="M386" s="108"/>
    </row>
    <row r="387" spans="8:8">
      <c r="B387" s="105"/>
      <c r="C387" s="106"/>
      <c r="D387" s="78"/>
      <c r="E387" s="8"/>
      <c r="F387" s="8"/>
      <c r="G387" s="107"/>
      <c r="H387" s="108"/>
      <c r="I387" s="108"/>
      <c r="J387" s="108"/>
      <c r="K387" s="108"/>
      <c r="L387" s="108"/>
      <c r="M387" s="108"/>
    </row>
    <row r="388" spans="8:8">
      <c r="B388" s="105"/>
      <c r="C388" s="106"/>
      <c r="D388" s="60"/>
      <c r="E388" s="8"/>
      <c r="F388" s="8"/>
      <c r="G388" s="107"/>
      <c r="H388" s="108"/>
      <c r="I388" s="108"/>
      <c r="J388" s="108"/>
      <c r="K388" s="108"/>
      <c r="L388" s="108"/>
      <c r="M388" s="108"/>
    </row>
    <row r="389" spans="8:8">
      <c r="B389" s="105"/>
      <c r="C389" s="106"/>
      <c r="D389" s="78"/>
      <c r="E389" s="8"/>
      <c r="F389" s="8"/>
      <c r="G389" s="107"/>
      <c r="H389" s="108"/>
      <c r="I389" s="108"/>
      <c r="J389" s="108"/>
      <c r="K389" s="108"/>
      <c r="L389" s="108"/>
      <c r="M389" s="108"/>
    </row>
    <row r="390" spans="8:8">
      <c r="B390" s="105"/>
      <c r="C390" s="106"/>
      <c r="D390" s="60"/>
      <c r="E390" s="8"/>
      <c r="F390" s="8"/>
      <c r="G390" s="107"/>
      <c r="H390" s="108"/>
      <c r="I390" s="108"/>
      <c r="J390" s="108"/>
      <c r="K390" s="108"/>
      <c r="L390" s="108"/>
      <c r="M390" s="108"/>
    </row>
    <row r="391" spans="8:8">
      <c r="B391" s="105"/>
      <c r="C391" s="106"/>
      <c r="D391" s="78"/>
      <c r="E391" s="8"/>
      <c r="F391" s="8"/>
      <c r="G391" s="107"/>
      <c r="H391" s="108"/>
      <c r="I391" s="108"/>
      <c r="J391" s="108"/>
      <c r="K391" s="108"/>
      <c r="L391" s="108"/>
      <c r="M391" s="108"/>
    </row>
    <row r="392" spans="8:8">
      <c r="B392" s="105"/>
      <c r="C392" s="106"/>
      <c r="D392" s="60"/>
      <c r="E392" s="8"/>
      <c r="F392" s="8"/>
      <c r="G392" s="107"/>
      <c r="H392" s="108"/>
      <c r="I392" s="108"/>
      <c r="J392" s="108"/>
      <c r="K392" s="108"/>
      <c r="L392" s="108"/>
      <c r="M392" s="108"/>
    </row>
    <row r="393" spans="8:8">
      <c r="B393" s="105"/>
      <c r="C393" s="106"/>
      <c r="D393" s="78"/>
      <c r="E393" s="8"/>
      <c r="F393" s="8"/>
      <c r="G393" s="107"/>
      <c r="H393" s="108"/>
      <c r="I393" s="108"/>
      <c r="J393" s="108"/>
      <c r="K393" s="108"/>
      <c r="L393" s="108"/>
      <c r="M393" s="108"/>
    </row>
    <row r="394" spans="8:8">
      <c r="B394" s="105"/>
      <c r="C394" s="106"/>
      <c r="D394" s="78"/>
      <c r="E394" s="8"/>
      <c r="F394" s="8"/>
      <c r="G394" s="107"/>
      <c r="H394" s="108"/>
      <c r="I394" s="108"/>
      <c r="J394" s="108"/>
      <c r="K394" s="108"/>
      <c r="L394" s="108"/>
      <c r="M394" s="108"/>
    </row>
    <row r="395" spans="8:8">
      <c r="B395" s="105"/>
      <c r="C395" s="106"/>
      <c r="D395" s="78"/>
      <c r="E395" s="8"/>
      <c r="F395" s="8"/>
      <c r="G395" s="107"/>
      <c r="H395" s="108"/>
      <c r="I395" s="108"/>
      <c r="J395" s="108"/>
      <c r="K395" s="108"/>
      <c r="L395" s="108"/>
      <c r="M395" s="108"/>
    </row>
    <row r="396" spans="8:8">
      <c r="B396" s="105"/>
      <c r="C396" s="106"/>
      <c r="D396" s="78"/>
      <c r="E396" s="8"/>
      <c r="F396" s="8"/>
      <c r="G396" s="107"/>
      <c r="H396" s="108"/>
      <c r="I396" s="108"/>
      <c r="J396" s="108"/>
      <c r="K396" s="108"/>
      <c r="L396" s="108"/>
      <c r="M396" s="108"/>
    </row>
    <row r="397" spans="8:8">
      <c r="B397" s="105"/>
      <c r="C397" s="106"/>
      <c r="D397" s="78"/>
      <c r="E397" s="8"/>
      <c r="F397" s="8"/>
      <c r="G397" s="107"/>
      <c r="H397" s="108"/>
      <c r="I397" s="108"/>
      <c r="J397" s="108"/>
      <c r="K397" s="108"/>
      <c r="L397" s="108"/>
      <c r="M397" s="108"/>
    </row>
    <row r="398" spans="8:8">
      <c r="B398" s="105"/>
      <c r="C398" s="106"/>
      <c r="D398" s="78"/>
      <c r="E398" s="8"/>
      <c r="F398" s="8"/>
      <c r="G398" s="107"/>
      <c r="H398" s="108"/>
      <c r="I398" s="108"/>
      <c r="J398" s="108"/>
      <c r="K398" s="108"/>
      <c r="L398" s="108"/>
      <c r="M398" s="108"/>
    </row>
    <row r="399" spans="8:8">
      <c r="B399" s="105"/>
      <c r="C399" s="106"/>
      <c r="D399" s="78"/>
      <c r="E399" s="8"/>
      <c r="F399" s="8"/>
      <c r="G399" s="107"/>
      <c r="H399" s="108"/>
      <c r="I399" s="108"/>
      <c r="J399" s="108"/>
      <c r="K399" s="108"/>
      <c r="L399" s="108"/>
      <c r="M399" s="108"/>
    </row>
    <row r="400" spans="8:8">
      <c r="B400" s="105"/>
      <c r="C400" s="106"/>
      <c r="D400" s="78"/>
      <c r="E400" s="8"/>
      <c r="F400" s="8"/>
      <c r="G400" s="107"/>
      <c r="H400" s="108"/>
      <c r="I400" s="108"/>
      <c r="J400" s="108"/>
      <c r="K400" s="108"/>
      <c r="L400" s="108"/>
      <c r="M400" s="108"/>
    </row>
    <row r="401" spans="8:8">
      <c r="B401" s="108"/>
      <c r="C401" s="106"/>
      <c r="D401" s="60"/>
      <c r="E401" s="8"/>
      <c r="F401" s="8"/>
      <c r="G401" s="107"/>
      <c r="H401" s="108"/>
      <c r="I401" s="108"/>
      <c r="J401" s="108"/>
      <c r="K401" s="108"/>
      <c r="L401" s="108"/>
      <c r="M401" s="108"/>
    </row>
    <row r="402" spans="8:8">
      <c r="B402" s="108"/>
      <c r="C402" s="106"/>
      <c r="D402" s="60"/>
      <c r="E402" s="8"/>
      <c r="F402" s="8"/>
      <c r="G402" s="107"/>
      <c r="H402" s="108"/>
      <c r="I402" s="108"/>
      <c r="J402" s="108"/>
      <c r="K402" s="108"/>
      <c r="L402" s="108"/>
      <c r="M402" s="108"/>
    </row>
    <row r="403" spans="8:8">
      <c r="B403" s="108"/>
      <c r="C403" s="106"/>
      <c r="D403" s="60"/>
      <c r="E403" s="8"/>
      <c r="F403" s="8"/>
      <c r="G403" s="107"/>
      <c r="H403" s="108"/>
      <c r="I403" s="108"/>
      <c r="J403" s="108"/>
      <c r="K403" s="108"/>
      <c r="L403" s="108"/>
      <c r="M403" s="108"/>
    </row>
    <row r="404" spans="8:8">
      <c r="B404" s="108"/>
      <c r="C404" s="106"/>
      <c r="D404" s="78"/>
      <c r="E404" s="8"/>
      <c r="F404" s="8"/>
      <c r="G404" s="107"/>
      <c r="H404" s="108"/>
      <c r="I404" s="108"/>
      <c r="J404" s="108"/>
      <c r="K404" s="108"/>
      <c r="L404" s="108"/>
      <c r="M404" s="108"/>
    </row>
    <row r="405" spans="8:8">
      <c r="B405" s="105"/>
      <c r="C405" s="106"/>
      <c r="D405" s="78"/>
      <c r="E405" s="8"/>
      <c r="F405" s="8"/>
      <c r="G405" s="107"/>
      <c r="H405" s="108"/>
      <c r="I405" s="108"/>
      <c r="J405" s="108"/>
      <c r="K405" s="108"/>
      <c r="L405" s="108"/>
      <c r="M405" s="108"/>
    </row>
    <row r="406" spans="8:8">
      <c r="B406" s="105"/>
      <c r="C406" s="106"/>
      <c r="D406" s="78"/>
      <c r="E406" s="8"/>
      <c r="F406" s="8"/>
      <c r="G406" s="107"/>
      <c r="H406" s="108"/>
      <c r="I406" s="108"/>
      <c r="J406" s="108"/>
      <c r="K406" s="108"/>
      <c r="L406" s="108"/>
      <c r="M406" s="108"/>
    </row>
    <row r="407" spans="8:8">
      <c r="B407" s="105"/>
      <c r="C407" s="106"/>
      <c r="D407" s="78"/>
      <c r="E407" s="8"/>
      <c r="F407" s="8"/>
      <c r="G407" s="107"/>
      <c r="H407" s="108"/>
      <c r="I407" s="108"/>
      <c r="J407" s="108"/>
      <c r="K407" s="108"/>
      <c r="L407" s="108"/>
      <c r="M407" s="108"/>
    </row>
    <row r="408" spans="8:8">
      <c r="B408" s="105"/>
      <c r="C408" s="106"/>
      <c r="D408" s="78"/>
      <c r="E408" s="8"/>
      <c r="F408" s="8"/>
      <c r="G408" s="107"/>
      <c r="H408" s="108"/>
      <c r="I408" s="108"/>
      <c r="J408" s="108"/>
      <c r="K408" s="108"/>
      <c r="L408" s="108"/>
      <c r="M408" s="108"/>
    </row>
    <row r="409" spans="8:8">
      <c r="B409" s="105"/>
      <c r="C409" s="106"/>
      <c r="D409" s="78"/>
      <c r="E409" s="8"/>
      <c r="F409" s="8"/>
      <c r="G409" s="107"/>
      <c r="H409" s="108"/>
      <c r="I409" s="108"/>
      <c r="J409" s="108"/>
      <c r="K409" s="108"/>
      <c r="L409" s="108"/>
      <c r="M409" s="108"/>
    </row>
    <row r="410" spans="8:8">
      <c r="B410" s="105"/>
      <c r="C410" s="106"/>
      <c r="D410" s="78"/>
      <c r="E410" s="8"/>
      <c r="F410" s="8"/>
      <c r="G410" s="107"/>
      <c r="H410" s="108"/>
      <c r="I410" s="108"/>
      <c r="J410" s="108"/>
      <c r="K410" s="108"/>
      <c r="L410" s="108"/>
      <c r="M410" s="108"/>
    </row>
    <row r="411" spans="8:8">
      <c r="B411" s="105"/>
      <c r="C411" s="106"/>
      <c r="D411" s="78"/>
      <c r="E411" s="8"/>
      <c r="F411" s="8"/>
      <c r="G411" s="107"/>
      <c r="H411" s="108"/>
      <c r="I411" s="108"/>
      <c r="J411" s="108"/>
      <c r="K411" s="108"/>
      <c r="L411" s="108"/>
      <c r="M411" s="108"/>
    </row>
    <row r="412" spans="8:8">
      <c r="B412" s="105"/>
      <c r="C412" s="106"/>
      <c r="D412" s="78"/>
      <c r="E412" s="8"/>
      <c r="F412" s="8"/>
      <c r="G412" s="107"/>
      <c r="H412" s="108"/>
      <c r="I412" s="108"/>
      <c r="J412" s="108"/>
      <c r="K412" s="108"/>
      <c r="L412" s="108"/>
      <c r="M412" s="108"/>
    </row>
    <row r="413" spans="8:8">
      <c r="B413" s="105"/>
      <c r="C413" s="106"/>
      <c r="D413" s="78"/>
      <c r="E413" s="8"/>
      <c r="F413" s="8"/>
      <c r="G413" s="107"/>
      <c r="H413" s="108"/>
      <c r="I413" s="108"/>
      <c r="J413" s="108"/>
      <c r="K413" s="108"/>
      <c r="L413" s="108"/>
      <c r="M413" s="108"/>
    </row>
    <row r="414" spans="8:8">
      <c r="B414" s="105"/>
      <c r="C414" s="106"/>
      <c r="D414" s="78"/>
      <c r="E414" s="8"/>
      <c r="F414" s="8"/>
      <c r="G414" s="107"/>
      <c r="H414" s="108"/>
      <c r="I414" s="108"/>
      <c r="J414" s="108"/>
      <c r="K414" s="108"/>
      <c r="L414" s="108"/>
      <c r="M414" s="108"/>
    </row>
    <row r="415" spans="8:8">
      <c r="B415" s="105"/>
      <c r="C415" s="106"/>
      <c r="D415" s="78"/>
      <c r="E415" s="8"/>
      <c r="F415" s="8"/>
      <c r="G415" s="107"/>
      <c r="H415" s="108"/>
      <c r="I415" s="108"/>
      <c r="J415" s="108"/>
      <c r="K415" s="108"/>
      <c r="L415" s="108"/>
      <c r="M415" s="108"/>
    </row>
    <row r="416" spans="8:8">
      <c r="B416" s="105"/>
      <c r="C416" s="106"/>
      <c r="D416" s="78"/>
      <c r="E416" s="8"/>
      <c r="F416" s="8"/>
      <c r="G416" s="107"/>
      <c r="H416" s="108"/>
      <c r="I416" s="108"/>
      <c r="J416" s="108"/>
      <c r="K416" s="108"/>
      <c r="L416" s="108"/>
      <c r="M416" s="108"/>
    </row>
    <row r="417" spans="8:8">
      <c r="B417" s="105"/>
      <c r="C417" s="106"/>
      <c r="D417" s="78"/>
      <c r="E417" s="8"/>
      <c r="F417" s="8"/>
      <c r="G417" s="107"/>
      <c r="H417" s="108"/>
      <c r="I417" s="108"/>
      <c r="J417" s="108"/>
      <c r="K417" s="108"/>
      <c r="L417" s="108"/>
      <c r="M417" s="108"/>
    </row>
    <row r="418" spans="8:8">
      <c r="B418" s="105"/>
      <c r="C418" s="106"/>
      <c r="D418" s="78"/>
      <c r="E418" s="8"/>
      <c r="F418" s="8"/>
      <c r="G418" s="107"/>
      <c r="H418" s="108"/>
      <c r="I418" s="108"/>
      <c r="J418" s="108"/>
      <c r="K418" s="108"/>
      <c r="L418" s="108"/>
      <c r="M418" s="108"/>
    </row>
    <row r="419" spans="8:8">
      <c r="B419" s="105"/>
      <c r="C419" s="106"/>
      <c r="D419" s="78"/>
      <c r="E419" s="8"/>
      <c r="F419" s="8"/>
      <c r="G419" s="107"/>
      <c r="H419" s="108"/>
      <c r="I419" s="108"/>
      <c r="J419" s="108"/>
      <c r="K419" s="108"/>
      <c r="L419" s="108"/>
      <c r="M419" s="108"/>
    </row>
    <row r="420" spans="8:8">
      <c r="B420" s="105"/>
      <c r="C420" s="106"/>
      <c r="D420" s="78"/>
      <c r="E420" s="8"/>
      <c r="F420" s="8"/>
      <c r="G420" s="107"/>
      <c r="H420" s="108"/>
      <c r="I420" s="108"/>
      <c r="J420" s="108"/>
      <c r="K420" s="108"/>
      <c r="L420" s="108"/>
      <c r="M420" s="108"/>
    </row>
    <row r="421" spans="8:8">
      <c r="B421" s="105"/>
      <c r="C421" s="106"/>
      <c r="D421" s="78"/>
      <c r="E421" s="8"/>
      <c r="F421" s="8"/>
      <c r="G421" s="107"/>
      <c r="H421" s="108"/>
      <c r="I421" s="108"/>
      <c r="J421" s="108"/>
      <c r="K421" s="108"/>
      <c r="L421" s="108"/>
      <c r="M421" s="108"/>
    </row>
    <row r="422" spans="8:8">
      <c r="B422" s="105"/>
      <c r="C422" s="106"/>
      <c r="D422" s="78"/>
      <c r="E422" s="8"/>
      <c r="F422" s="8"/>
      <c r="G422" s="107"/>
      <c r="H422" s="108"/>
      <c r="I422" s="108"/>
      <c r="J422" s="108"/>
      <c r="K422" s="108"/>
      <c r="L422" s="108"/>
      <c r="M422" s="108"/>
    </row>
    <row r="423" spans="8:8">
      <c r="B423" s="105"/>
      <c r="C423" s="106"/>
      <c r="D423" s="78"/>
      <c r="E423" s="8"/>
      <c r="F423" s="8"/>
      <c r="G423" s="107"/>
      <c r="H423" s="108"/>
      <c r="I423" s="108"/>
      <c r="J423" s="108"/>
      <c r="K423" s="108"/>
      <c r="L423" s="108"/>
      <c r="M423" s="108"/>
    </row>
    <row r="424" spans="8:8">
      <c r="B424" s="105"/>
      <c r="C424" s="106"/>
      <c r="D424" s="78"/>
      <c r="E424" s="8"/>
      <c r="F424" s="8"/>
      <c r="G424" s="107"/>
      <c r="H424" s="108"/>
      <c r="I424" s="108"/>
      <c r="J424" s="108"/>
      <c r="K424" s="108"/>
      <c r="L424" s="108"/>
      <c r="M424" s="108"/>
    </row>
    <row r="425" spans="8:8">
      <c r="B425" s="105"/>
      <c r="C425" s="106"/>
      <c r="D425" s="78"/>
      <c r="E425" s="8"/>
      <c r="F425" s="8"/>
      <c r="G425" s="107"/>
      <c r="H425" s="108"/>
      <c r="I425" s="108"/>
      <c r="J425" s="108"/>
      <c r="K425" s="108"/>
      <c r="L425" s="108"/>
      <c r="M425" s="108"/>
    </row>
    <row r="426" spans="8:8">
      <c r="B426" s="105"/>
      <c r="C426" s="106"/>
      <c r="D426" s="60"/>
      <c r="E426" s="8"/>
      <c r="F426" s="8"/>
      <c r="G426" s="107"/>
      <c r="H426" s="108"/>
      <c r="I426" s="108"/>
      <c r="J426" s="108"/>
      <c r="K426" s="108"/>
      <c r="L426" s="108"/>
      <c r="M426" s="108"/>
    </row>
    <row r="427" spans="8:8">
      <c r="B427" s="105"/>
      <c r="C427" s="106"/>
      <c r="D427" s="60"/>
      <c r="E427" s="8"/>
      <c r="F427" s="8"/>
      <c r="G427" s="107"/>
      <c r="H427" s="108"/>
      <c r="I427" s="108"/>
      <c r="J427" s="108"/>
      <c r="K427" s="108"/>
      <c r="L427" s="108"/>
      <c r="M427" s="108"/>
    </row>
    <row r="428" spans="8:8">
      <c r="B428" s="105"/>
      <c r="C428" s="106"/>
      <c r="D428" s="56"/>
      <c r="E428" s="8"/>
      <c r="F428" s="8"/>
      <c r="G428" s="107"/>
      <c r="H428" s="108"/>
      <c r="I428" s="108"/>
      <c r="J428" s="108"/>
      <c r="K428" s="108"/>
      <c r="L428" s="108"/>
      <c r="M428" s="108"/>
    </row>
    <row r="429" spans="8:8">
      <c r="B429" s="105"/>
      <c r="C429" s="106"/>
      <c r="D429" s="56"/>
      <c r="E429" s="8"/>
      <c r="F429" s="8"/>
      <c r="G429" s="107"/>
      <c r="H429" s="108"/>
      <c r="I429" s="108"/>
      <c r="J429" s="108"/>
      <c r="K429" s="108"/>
      <c r="L429" s="108"/>
      <c r="M429" s="108"/>
    </row>
    <row r="430" spans="8:8">
      <c r="B430" s="105"/>
      <c r="C430" s="106"/>
      <c r="D430" s="78"/>
      <c r="E430" s="8"/>
      <c r="F430" s="8"/>
      <c r="G430" s="107"/>
      <c r="H430" s="108"/>
      <c r="I430" s="108"/>
      <c r="J430" s="108"/>
      <c r="K430" s="108"/>
      <c r="L430" s="108"/>
      <c r="M430" s="108"/>
    </row>
    <row r="431" spans="8:8">
      <c r="B431" s="105"/>
      <c r="C431" s="106"/>
      <c r="D431" s="78"/>
      <c r="E431" s="8"/>
      <c r="F431" s="8"/>
      <c r="G431" s="107"/>
      <c r="H431" s="108"/>
      <c r="I431" s="108"/>
      <c r="J431" s="108"/>
      <c r="K431" s="108"/>
      <c r="L431" s="108"/>
      <c r="M431" s="108"/>
    </row>
    <row r="432" spans="8:8">
      <c r="B432" s="105"/>
      <c r="C432" s="106"/>
      <c r="D432" s="78"/>
      <c r="E432" s="8"/>
      <c r="F432" s="8"/>
      <c r="G432" s="107"/>
      <c r="H432" s="108"/>
      <c r="I432" s="108"/>
      <c r="J432" s="108"/>
      <c r="K432" s="108"/>
      <c r="L432" s="108"/>
      <c r="M432" s="108"/>
    </row>
    <row r="433" spans="8:8">
      <c r="B433" s="105"/>
      <c r="C433" s="106"/>
      <c r="D433" s="78"/>
      <c r="E433" s="8"/>
      <c r="F433" s="8"/>
      <c r="G433" s="107"/>
      <c r="H433" s="108"/>
      <c r="I433" s="108"/>
      <c r="J433" s="108"/>
      <c r="K433" s="108"/>
      <c r="L433" s="108"/>
      <c r="M433" s="108"/>
    </row>
    <row r="434" spans="8:8">
      <c r="B434" s="105"/>
      <c r="C434" s="106"/>
      <c r="D434" s="78"/>
      <c r="E434" s="8"/>
      <c r="F434" s="8"/>
      <c r="G434" s="107"/>
      <c r="H434" s="108"/>
      <c r="I434" s="108"/>
      <c r="J434" s="108"/>
      <c r="K434" s="108"/>
      <c r="L434" s="108"/>
      <c r="M434" s="108"/>
    </row>
    <row r="435" spans="8:8">
      <c r="B435" s="105"/>
      <c r="C435" s="106"/>
      <c r="D435" s="78"/>
      <c r="E435" s="8"/>
      <c r="F435" s="8"/>
      <c r="G435" s="107"/>
      <c r="H435" s="108"/>
      <c r="I435" s="108"/>
      <c r="J435" s="108"/>
      <c r="K435" s="108"/>
      <c r="L435" s="108"/>
      <c r="M435" s="108"/>
    </row>
    <row r="436" spans="8:8">
      <c r="B436" s="105"/>
      <c r="C436" s="106"/>
      <c r="D436" s="78"/>
      <c r="E436" s="8"/>
      <c r="F436" s="8"/>
      <c r="G436" s="107"/>
      <c r="H436" s="108"/>
      <c r="I436" s="108"/>
      <c r="J436" s="108"/>
      <c r="K436" s="108"/>
      <c r="L436" s="108"/>
      <c r="M436" s="108"/>
    </row>
    <row r="437" spans="8:8">
      <c r="B437" s="105"/>
      <c r="C437" s="106"/>
      <c r="D437" s="78"/>
      <c r="E437" s="8"/>
      <c r="F437" s="8"/>
      <c r="G437" s="107"/>
      <c r="H437" s="108"/>
      <c r="I437" s="108"/>
      <c r="J437" s="108"/>
      <c r="K437" s="108"/>
      <c r="L437" s="108"/>
      <c r="M437" s="108"/>
    </row>
    <row r="438" spans="8:8">
      <c r="B438" s="105"/>
      <c r="C438" s="106"/>
      <c r="D438" s="78"/>
      <c r="E438" s="8"/>
      <c r="F438" s="8"/>
      <c r="G438" s="107"/>
      <c r="H438" s="108"/>
      <c r="I438" s="108"/>
      <c r="J438" s="108"/>
      <c r="K438" s="108"/>
      <c r="L438" s="108"/>
      <c r="M438" s="108"/>
    </row>
    <row r="439" spans="8:8">
      <c r="B439" s="105"/>
      <c r="C439" s="106"/>
      <c r="D439" s="78"/>
      <c r="E439" s="8"/>
      <c r="F439" s="8"/>
      <c r="G439" s="107"/>
      <c r="H439" s="108"/>
      <c r="I439" s="108"/>
      <c r="J439" s="108"/>
      <c r="K439" s="108"/>
      <c r="L439" s="108"/>
      <c r="M439" s="108"/>
    </row>
    <row r="440" spans="8:8">
      <c r="B440" s="105"/>
      <c r="C440" s="106"/>
      <c r="D440" s="78"/>
      <c r="E440" s="8"/>
      <c r="F440" s="8"/>
      <c r="G440" s="107"/>
      <c r="H440" s="108"/>
      <c r="I440" s="108"/>
      <c r="J440" s="108"/>
      <c r="K440" s="108"/>
      <c r="L440" s="108"/>
      <c r="M440" s="108"/>
    </row>
    <row r="441" spans="8:8">
      <c r="B441" s="105"/>
      <c r="C441" s="106"/>
      <c r="D441" s="78"/>
      <c r="E441" s="8"/>
      <c r="F441" s="8"/>
      <c r="G441" s="107"/>
      <c r="H441" s="108"/>
      <c r="I441" s="108"/>
      <c r="J441" s="108"/>
      <c r="K441" s="108"/>
      <c r="L441" s="108"/>
      <c r="M441" s="108"/>
    </row>
    <row r="442" spans="8:8">
      <c r="B442" s="105"/>
      <c r="C442" s="106"/>
      <c r="D442" s="78"/>
      <c r="E442" s="8"/>
      <c r="F442" s="8"/>
      <c r="G442" s="107"/>
      <c r="H442" s="108"/>
      <c r="I442" s="108"/>
      <c r="J442" s="108"/>
      <c r="K442" s="108"/>
      <c r="L442" s="108"/>
      <c r="M442" s="108"/>
    </row>
    <row r="443" spans="8:8">
      <c r="B443" s="105"/>
      <c r="C443" s="106"/>
      <c r="D443" s="78"/>
      <c r="E443" s="8"/>
      <c r="F443" s="8"/>
      <c r="G443" s="107"/>
      <c r="H443" s="108"/>
      <c r="I443" s="108"/>
      <c r="J443" s="108"/>
      <c r="K443" s="108"/>
      <c r="L443" s="108"/>
      <c r="M443" s="108"/>
    </row>
    <row r="444" spans="8:8">
      <c r="B444" s="105"/>
      <c r="C444" s="106"/>
      <c r="D444" s="56"/>
      <c r="E444" s="8"/>
      <c r="F444" s="8"/>
      <c r="G444" s="107"/>
      <c r="H444" s="108"/>
      <c r="I444" s="108"/>
      <c r="J444" s="108"/>
      <c r="K444" s="108"/>
      <c r="L444" s="108"/>
      <c r="M444" s="108"/>
    </row>
    <row r="445" spans="8:8">
      <c r="B445" s="105"/>
      <c r="C445" s="106"/>
      <c r="D445" s="78"/>
      <c r="E445" s="8"/>
      <c r="F445" s="8"/>
      <c r="G445" s="107"/>
      <c r="H445" s="108"/>
      <c r="I445" s="108"/>
      <c r="J445" s="108"/>
      <c r="K445" s="108"/>
      <c r="L445" s="108"/>
      <c r="M445" s="108"/>
    </row>
    <row r="446" spans="8:8">
      <c r="B446" s="105"/>
      <c r="C446" s="106"/>
      <c r="D446" s="78"/>
      <c r="E446" s="8"/>
      <c r="F446" s="8"/>
      <c r="G446" s="107"/>
      <c r="H446" s="108"/>
      <c r="I446" s="108"/>
      <c r="J446" s="108"/>
      <c r="K446" s="108"/>
      <c r="L446" s="108"/>
      <c r="M446" s="108"/>
    </row>
    <row r="447" spans="8:8">
      <c r="B447" s="105"/>
      <c r="C447" s="106"/>
      <c r="D447" s="60"/>
      <c r="E447" s="8"/>
      <c r="F447" s="8"/>
      <c r="G447" s="107"/>
      <c r="H447" s="108"/>
      <c r="I447" s="108"/>
      <c r="J447" s="108"/>
      <c r="K447" s="108"/>
      <c r="L447" s="108"/>
      <c r="M447" s="108"/>
    </row>
    <row r="448" spans="8:8">
      <c r="B448" s="105"/>
      <c r="C448" s="106"/>
      <c r="D448" s="78"/>
      <c r="E448" s="8"/>
      <c r="F448" s="8"/>
      <c r="G448" s="107"/>
      <c r="H448" s="108"/>
      <c r="I448" s="108"/>
      <c r="J448" s="108"/>
      <c r="K448" s="108"/>
      <c r="L448" s="108"/>
      <c r="M448" s="108"/>
    </row>
    <row r="449" spans="8:8">
      <c r="B449" s="105"/>
      <c r="C449" s="106"/>
      <c r="D449" s="78"/>
      <c r="E449" s="8"/>
      <c r="F449" s="8"/>
      <c r="G449" s="107"/>
      <c r="H449" s="108"/>
      <c r="I449" s="108"/>
      <c r="J449" s="108"/>
      <c r="K449" s="108"/>
      <c r="L449" s="108"/>
      <c r="M449" s="108"/>
    </row>
    <row r="450" spans="8:8">
      <c r="B450" s="105"/>
      <c r="C450" s="106"/>
      <c r="D450" s="60"/>
      <c r="E450" s="8"/>
      <c r="F450" s="8"/>
      <c r="G450" s="107"/>
      <c r="H450" s="108"/>
      <c r="I450" s="108"/>
      <c r="J450" s="108"/>
      <c r="K450" s="108"/>
      <c r="L450" s="108"/>
      <c r="M450" s="108"/>
    </row>
    <row r="451" spans="8:8">
      <c r="B451" s="105"/>
      <c r="C451" s="106"/>
      <c r="D451" s="60"/>
      <c r="E451" s="8"/>
      <c r="F451" s="8"/>
      <c r="G451" s="107"/>
      <c r="H451" s="108"/>
      <c r="I451" s="108"/>
      <c r="J451" s="108"/>
      <c r="K451" s="108"/>
      <c r="L451" s="108"/>
      <c r="M451" s="108"/>
    </row>
    <row r="452" spans="8:8">
      <c r="B452" s="105"/>
      <c r="C452" s="106"/>
      <c r="D452" s="78"/>
      <c r="E452" s="8"/>
      <c r="F452" s="8"/>
      <c r="G452" s="107"/>
      <c r="H452" s="108"/>
      <c r="I452" s="108"/>
      <c r="J452" s="108"/>
      <c r="K452" s="108"/>
      <c r="L452" s="108"/>
      <c r="M452" s="108"/>
    </row>
    <row r="453" spans="8:8">
      <c r="B453" s="105"/>
      <c r="C453" s="106"/>
      <c r="D453" s="60"/>
      <c r="E453" s="8"/>
      <c r="F453" s="8"/>
      <c r="G453" s="107"/>
      <c r="H453" s="108"/>
      <c r="I453" s="108"/>
      <c r="J453" s="108"/>
      <c r="K453" s="108"/>
      <c r="L453" s="108"/>
      <c r="M453" s="108"/>
    </row>
    <row r="454" spans="8:8">
      <c r="B454" s="105"/>
      <c r="C454" s="106"/>
      <c r="D454" s="78"/>
      <c r="E454" s="8"/>
      <c r="F454" s="8"/>
      <c r="G454" s="107"/>
      <c r="H454" s="108"/>
      <c r="I454" s="108"/>
      <c r="J454" s="108"/>
      <c r="K454" s="108"/>
      <c r="L454" s="108"/>
      <c r="M454" s="108"/>
    </row>
    <row r="455" spans="8:8">
      <c r="B455" s="105"/>
      <c r="C455" s="106"/>
      <c r="D455" s="78"/>
      <c r="E455" s="8"/>
      <c r="F455" s="8"/>
      <c r="G455" s="107"/>
      <c r="H455" s="108"/>
      <c r="I455" s="108"/>
      <c r="J455" s="108"/>
      <c r="K455" s="108"/>
      <c r="L455" s="108"/>
      <c r="M455" s="108"/>
    </row>
    <row r="456" spans="8:8">
      <c r="B456" s="105"/>
      <c r="C456" s="106"/>
      <c r="D456" s="56"/>
      <c r="E456" s="8"/>
      <c r="F456" s="8"/>
      <c r="G456" s="107"/>
      <c r="H456" s="108"/>
      <c r="I456" s="108"/>
      <c r="J456" s="108"/>
      <c r="K456" s="108"/>
      <c r="L456" s="108"/>
      <c r="M456" s="108"/>
    </row>
    <row r="457" spans="8:8">
      <c r="B457" s="105"/>
      <c r="C457" s="106"/>
      <c r="D457" s="78"/>
      <c r="E457" s="8"/>
      <c r="F457" s="8"/>
      <c r="G457" s="107"/>
      <c r="H457" s="108"/>
      <c r="I457" s="108"/>
      <c r="J457" s="108"/>
      <c r="K457" s="108"/>
      <c r="L457" s="108"/>
      <c r="M457" s="108"/>
    </row>
    <row r="458" spans="8:8">
      <c r="B458" s="105"/>
      <c r="C458" s="106"/>
      <c r="D458" s="78"/>
      <c r="E458" s="8"/>
      <c r="F458" s="8"/>
      <c r="G458" s="107"/>
      <c r="H458" s="108"/>
      <c r="I458" s="108"/>
      <c r="J458" s="108"/>
      <c r="K458" s="108"/>
      <c r="L458" s="108"/>
      <c r="M458" s="108"/>
    </row>
    <row r="459" spans="8:8">
      <c r="B459" s="105"/>
      <c r="C459" s="106"/>
      <c r="D459" s="78"/>
      <c r="E459" s="8"/>
      <c r="F459" s="8"/>
      <c r="G459" s="107"/>
      <c r="H459" s="108"/>
      <c r="I459" s="108"/>
      <c r="J459" s="108"/>
      <c r="K459" s="108"/>
      <c r="L459" s="108"/>
      <c r="M459" s="108"/>
    </row>
    <row r="460" spans="8:8">
      <c r="B460" s="105"/>
      <c r="C460" s="106"/>
      <c r="D460" s="60"/>
      <c r="E460" s="8"/>
      <c r="F460" s="8"/>
      <c r="G460" s="107"/>
      <c r="H460" s="108"/>
      <c r="I460" s="108"/>
      <c r="J460" s="108"/>
      <c r="K460" s="108"/>
      <c r="L460" s="108"/>
      <c r="M460" s="108"/>
    </row>
    <row r="461" spans="8:8">
      <c r="B461" s="105"/>
      <c r="C461" s="106"/>
      <c r="D461" s="60"/>
      <c r="E461" s="8"/>
      <c r="F461" s="8"/>
      <c r="G461" s="107"/>
      <c r="H461" s="108"/>
      <c r="I461" s="108"/>
      <c r="J461" s="108"/>
      <c r="K461" s="108"/>
      <c r="L461" s="108"/>
      <c r="M461" s="108"/>
    </row>
    <row r="462" spans="8:8">
      <c r="B462" s="105"/>
      <c r="C462" s="106"/>
      <c r="D462" s="78"/>
      <c r="E462" s="8"/>
      <c r="F462" s="8"/>
      <c r="G462" s="107"/>
      <c r="H462" s="108"/>
      <c r="I462" s="108"/>
      <c r="J462" s="108"/>
      <c r="K462" s="108"/>
      <c r="L462" s="108"/>
      <c r="M462" s="108"/>
    </row>
    <row r="463" spans="8:8">
      <c r="B463" s="105"/>
      <c r="C463" s="106"/>
      <c r="D463" s="78"/>
      <c r="E463" s="8"/>
      <c r="F463" s="8"/>
      <c r="G463" s="107"/>
      <c r="H463" s="108"/>
      <c r="I463" s="108"/>
      <c r="J463" s="108"/>
      <c r="K463" s="108"/>
      <c r="L463" s="108"/>
      <c r="M463" s="108"/>
    </row>
    <row r="464" spans="8:8">
      <c r="B464" s="105"/>
      <c r="C464" s="106"/>
      <c r="D464" s="56"/>
      <c r="E464" s="8"/>
      <c r="F464" s="8"/>
      <c r="G464" s="107"/>
      <c r="H464" s="108"/>
      <c r="I464" s="108"/>
      <c r="J464" s="108"/>
      <c r="K464" s="108"/>
      <c r="L464" s="108"/>
      <c r="M464" s="108"/>
    </row>
    <row r="465" spans="8:8">
      <c r="B465" s="105"/>
      <c r="C465" s="106"/>
      <c r="D465" s="78"/>
      <c r="E465" s="8"/>
      <c r="F465" s="8"/>
      <c r="G465" s="107"/>
      <c r="H465" s="108"/>
      <c r="I465" s="108"/>
      <c r="J465" s="108"/>
      <c r="K465" s="108"/>
      <c r="L465" s="108"/>
      <c r="M465" s="108"/>
    </row>
    <row r="466" spans="8:8">
      <c r="B466" s="105"/>
      <c r="C466" s="106"/>
      <c r="D466" s="78"/>
      <c r="E466" s="8"/>
      <c r="F466" s="8"/>
      <c r="G466" s="107"/>
      <c r="H466" s="108"/>
      <c r="I466" s="108"/>
      <c r="J466" s="108"/>
      <c r="K466" s="108"/>
      <c r="L466" s="108"/>
      <c r="M466" s="108"/>
    </row>
    <row r="467" spans="8:8">
      <c r="B467" s="105"/>
      <c r="C467" s="106"/>
      <c r="D467" s="60"/>
      <c r="E467" s="8"/>
      <c r="F467" s="8"/>
      <c r="G467" s="107"/>
      <c r="H467" s="108"/>
      <c r="I467" s="108"/>
      <c r="J467" s="108"/>
      <c r="K467" s="108"/>
      <c r="L467" s="108"/>
      <c r="M467" s="108"/>
    </row>
    <row r="468" spans="8:8">
      <c r="B468" s="105"/>
      <c r="C468" s="106"/>
      <c r="D468" s="78"/>
      <c r="E468" s="8"/>
      <c r="F468" s="8"/>
      <c r="G468" s="107"/>
      <c r="H468" s="108"/>
      <c r="I468" s="108"/>
      <c r="J468" s="108"/>
      <c r="K468" s="108"/>
      <c r="L468" s="108"/>
      <c r="M468" s="108"/>
    </row>
    <row r="469" spans="8:8">
      <c r="B469" s="105"/>
      <c r="C469" s="106"/>
      <c r="D469" s="60"/>
      <c r="E469" s="8"/>
      <c r="F469" s="8"/>
      <c r="G469" s="107"/>
      <c r="H469" s="108"/>
      <c r="I469" s="108"/>
      <c r="J469" s="108"/>
      <c r="K469" s="108"/>
      <c r="L469" s="108"/>
      <c r="M469" s="108"/>
    </row>
    <row r="470" spans="8:8">
      <c r="B470" s="105"/>
      <c r="C470" s="106"/>
      <c r="D470" s="60"/>
      <c r="E470" s="8"/>
      <c r="F470" s="8"/>
      <c r="G470" s="107"/>
      <c r="H470" s="108"/>
      <c r="I470" s="108"/>
      <c r="J470" s="108"/>
      <c r="K470" s="108"/>
      <c r="L470" s="108"/>
      <c r="M470" s="108"/>
    </row>
    <row r="471" spans="8:8">
      <c r="B471" s="105"/>
      <c r="C471" s="106"/>
      <c r="D471" s="78"/>
      <c r="E471" s="8"/>
      <c r="F471" s="8"/>
      <c r="G471" s="107"/>
      <c r="H471" s="108"/>
      <c r="I471" s="108"/>
      <c r="J471" s="108"/>
      <c r="K471" s="108"/>
      <c r="L471" s="108"/>
      <c r="M471" s="108"/>
    </row>
    <row r="472" spans="8:8">
      <c r="B472" s="105"/>
      <c r="C472" s="106"/>
      <c r="D472" s="60"/>
      <c r="E472" s="8"/>
      <c r="F472" s="8"/>
      <c r="G472" s="107"/>
      <c r="H472" s="108"/>
      <c r="I472" s="108"/>
      <c r="J472" s="108"/>
      <c r="K472" s="108"/>
      <c r="L472" s="108"/>
      <c r="M472" s="108"/>
    </row>
    <row r="473" spans="8:8">
      <c r="B473" s="105"/>
      <c r="C473" s="106"/>
      <c r="D473" s="78"/>
      <c r="E473" s="8"/>
      <c r="F473" s="8"/>
      <c r="G473" s="107"/>
      <c r="H473" s="108"/>
      <c r="I473" s="108"/>
      <c r="J473" s="108"/>
      <c r="K473" s="108"/>
      <c r="L473" s="108"/>
      <c r="M473" s="108"/>
    </row>
    <row r="474" spans="8:8">
      <c r="B474" s="105"/>
      <c r="C474" s="106"/>
      <c r="D474" s="78"/>
      <c r="E474" s="8"/>
      <c r="F474" s="8"/>
      <c r="G474" s="107"/>
      <c r="H474" s="108"/>
      <c r="I474" s="108"/>
      <c r="J474" s="108"/>
      <c r="K474" s="108"/>
      <c r="L474" s="108"/>
      <c r="M474" s="108"/>
    </row>
    <row r="475" spans="8:8">
      <c r="B475" s="105"/>
      <c r="C475" s="106"/>
      <c r="D475" s="78"/>
      <c r="E475" s="8"/>
      <c r="F475" s="8"/>
      <c r="G475" s="107"/>
      <c r="H475" s="108"/>
      <c r="I475" s="108"/>
      <c r="J475" s="108"/>
      <c r="K475" s="108"/>
      <c r="L475" s="108"/>
      <c r="M475" s="108"/>
    </row>
    <row r="476" spans="8:8">
      <c r="B476" s="105"/>
      <c r="C476" s="106"/>
      <c r="D476" s="78"/>
      <c r="E476" s="8"/>
      <c r="F476" s="8"/>
      <c r="G476" s="107"/>
      <c r="H476" s="108"/>
      <c r="I476" s="108"/>
      <c r="J476" s="108"/>
      <c r="K476" s="108"/>
      <c r="L476" s="108"/>
      <c r="M476" s="108"/>
    </row>
    <row r="477" spans="8:8">
      <c r="B477" s="105"/>
      <c r="C477" s="106"/>
      <c r="D477" s="78"/>
      <c r="E477" s="8"/>
      <c r="F477" s="8"/>
      <c r="G477" s="107"/>
      <c r="H477" s="108"/>
      <c r="I477" s="108"/>
      <c r="J477" s="108"/>
      <c r="K477" s="108"/>
      <c r="L477" s="108"/>
      <c r="M477" s="108"/>
    </row>
    <row r="478" spans="8:8">
      <c r="B478" s="105"/>
      <c r="C478" s="106"/>
      <c r="D478" s="78"/>
      <c r="E478" s="8"/>
      <c r="F478" s="8"/>
      <c r="G478" s="107"/>
      <c r="H478" s="108"/>
      <c r="I478" s="108"/>
      <c r="J478" s="108"/>
      <c r="K478" s="108"/>
      <c r="L478" s="108"/>
      <c r="M478" s="108"/>
    </row>
    <row r="479" spans="8:8">
      <c r="B479" s="105"/>
      <c r="C479" s="106"/>
      <c r="D479" s="78"/>
      <c r="E479" s="8"/>
      <c r="F479" s="8"/>
      <c r="G479" s="107"/>
      <c r="H479" s="108"/>
      <c r="I479" s="108"/>
      <c r="J479" s="108"/>
      <c r="K479" s="108"/>
      <c r="L479" s="108"/>
      <c r="M479" s="108"/>
    </row>
    <row r="480" spans="8:8">
      <c r="B480" s="105"/>
      <c r="C480" s="106"/>
      <c r="D480" s="78"/>
      <c r="E480" s="8"/>
      <c r="F480" s="8"/>
      <c r="G480" s="107"/>
      <c r="H480" s="108"/>
      <c r="I480" s="108"/>
      <c r="J480" s="108"/>
      <c r="K480" s="108"/>
      <c r="L480" s="108"/>
      <c r="M480" s="108"/>
    </row>
    <row r="481" spans="8:8">
      <c r="B481" s="105"/>
      <c r="C481" s="106"/>
      <c r="D481" s="78"/>
      <c r="E481" s="8"/>
      <c r="F481" s="8"/>
      <c r="G481" s="107"/>
      <c r="H481" s="108"/>
      <c r="I481" s="108"/>
      <c r="J481" s="108"/>
      <c r="K481" s="108"/>
      <c r="L481" s="108"/>
      <c r="M481" s="108"/>
    </row>
    <row r="482" spans="8:8">
      <c r="B482" s="105"/>
      <c r="C482" s="106"/>
      <c r="D482" s="56"/>
      <c r="E482" s="8"/>
      <c r="F482" s="8"/>
      <c r="G482" s="107"/>
      <c r="H482" s="108"/>
      <c r="I482" s="108"/>
      <c r="J482" s="108"/>
      <c r="K482" s="108"/>
      <c r="L482" s="108"/>
      <c r="M482" s="108"/>
    </row>
    <row r="483" spans="8:8">
      <c r="B483" s="105"/>
      <c r="C483" s="106"/>
      <c r="D483" s="78"/>
      <c r="E483" s="8"/>
      <c r="F483" s="8"/>
      <c r="G483" s="107"/>
      <c r="H483" s="108"/>
      <c r="I483" s="108"/>
      <c r="J483" s="108"/>
      <c r="K483" s="108"/>
      <c r="L483" s="108"/>
      <c r="M483" s="108"/>
    </row>
    <row r="484" spans="8:8">
      <c r="B484" s="105"/>
      <c r="C484" s="106"/>
      <c r="D484" s="56"/>
      <c r="E484" s="8"/>
      <c r="F484" s="8"/>
      <c r="G484" s="107"/>
      <c r="H484" s="108"/>
      <c r="I484" s="108"/>
      <c r="J484" s="108"/>
      <c r="K484" s="108"/>
      <c r="L484" s="108"/>
      <c r="M484" s="108"/>
    </row>
    <row r="485" spans="8:8">
      <c r="B485" s="105"/>
      <c r="C485" s="106"/>
      <c r="D485" s="56"/>
      <c r="E485" s="8"/>
      <c r="F485" s="8"/>
      <c r="G485" s="107"/>
      <c r="H485" s="108"/>
      <c r="I485" s="108"/>
      <c r="J485" s="108"/>
      <c r="K485" s="108"/>
      <c r="L485" s="108"/>
      <c r="M485" s="108"/>
    </row>
    <row r="486" spans="8:8">
      <c r="B486" s="105"/>
      <c r="C486" s="106"/>
      <c r="D486" s="78"/>
      <c r="E486" s="8"/>
      <c r="F486" s="8"/>
      <c r="G486" s="107"/>
      <c r="H486" s="108"/>
      <c r="I486" s="108"/>
      <c r="J486" s="108"/>
      <c r="K486" s="108"/>
      <c r="L486" s="108"/>
      <c r="M486" s="108"/>
    </row>
    <row r="487" spans="8:8">
      <c r="B487" s="105"/>
      <c r="C487" s="106"/>
      <c r="D487" s="78"/>
      <c r="E487" s="8"/>
      <c r="F487" s="8"/>
      <c r="G487" s="107"/>
      <c r="H487" s="108"/>
      <c r="I487" s="108"/>
      <c r="J487" s="108"/>
      <c r="K487" s="108"/>
      <c r="L487" s="108"/>
      <c r="M487" s="108"/>
    </row>
    <row r="488" spans="8:8">
      <c r="B488" s="105"/>
      <c r="C488" s="106"/>
      <c r="D488" s="78"/>
      <c r="E488" s="8"/>
      <c r="F488" s="8"/>
      <c r="G488" s="107"/>
      <c r="H488" s="108"/>
      <c r="I488" s="108"/>
      <c r="J488" s="108"/>
      <c r="K488" s="108"/>
      <c r="L488" s="108"/>
      <c r="M488" s="108"/>
    </row>
    <row r="489" spans="8:8">
      <c r="B489" s="105"/>
      <c r="C489" s="106"/>
      <c r="D489" s="78"/>
      <c r="E489" s="8"/>
      <c r="F489" s="8"/>
      <c r="G489" s="107"/>
      <c r="H489" s="108"/>
      <c r="I489" s="108"/>
      <c r="J489" s="108"/>
      <c r="K489" s="108"/>
      <c r="L489" s="108"/>
      <c r="M489" s="108"/>
    </row>
    <row r="490" spans="8:8">
      <c r="B490" s="105"/>
      <c r="C490" s="106"/>
      <c r="D490" s="78"/>
      <c r="E490" s="8"/>
      <c r="F490" s="8"/>
      <c r="G490" s="107"/>
      <c r="H490" s="108"/>
      <c r="I490" s="108"/>
      <c r="J490" s="108"/>
      <c r="K490" s="108"/>
      <c r="L490" s="108"/>
      <c r="M490" s="108"/>
    </row>
    <row r="491" spans="8:8">
      <c r="B491" s="105"/>
      <c r="C491" s="106"/>
      <c r="D491" s="78"/>
      <c r="E491" s="8"/>
      <c r="F491" s="8"/>
      <c r="G491" s="107"/>
      <c r="H491" s="108"/>
      <c r="I491" s="108"/>
      <c r="J491" s="108"/>
      <c r="K491" s="108"/>
      <c r="L491" s="108"/>
      <c r="M491" s="108"/>
    </row>
    <row r="492" spans="8:8">
      <c r="B492" s="105"/>
      <c r="C492" s="106"/>
      <c r="D492" s="78"/>
      <c r="E492" s="8"/>
      <c r="F492" s="8"/>
      <c r="G492" s="107"/>
      <c r="H492" s="108"/>
      <c r="I492" s="108"/>
      <c r="J492" s="108"/>
      <c r="K492" s="108"/>
      <c r="L492" s="108"/>
      <c r="M492" s="108"/>
    </row>
    <row r="493" spans="8:8">
      <c r="B493" s="105"/>
      <c r="C493" s="106"/>
      <c r="D493" s="78"/>
      <c r="E493" s="8"/>
      <c r="F493" s="8"/>
      <c r="G493" s="107"/>
      <c r="H493" s="108"/>
      <c r="I493" s="108"/>
      <c r="J493" s="108"/>
      <c r="K493" s="108"/>
      <c r="L493" s="108"/>
      <c r="M493" s="108"/>
    </row>
    <row r="494" spans="8:8">
      <c r="B494" s="105"/>
      <c r="C494" s="106"/>
      <c r="D494" s="78"/>
      <c r="E494" s="8"/>
      <c r="F494" s="8"/>
      <c r="G494" s="107"/>
      <c r="H494" s="108"/>
      <c r="I494" s="108"/>
      <c r="J494" s="108"/>
      <c r="K494" s="108"/>
      <c r="L494" s="108"/>
      <c r="M494" s="108"/>
    </row>
    <row r="495" spans="8:8">
      <c r="B495" s="105"/>
      <c r="C495" s="106"/>
      <c r="D495" s="78"/>
      <c r="E495" s="8"/>
      <c r="F495" s="8"/>
      <c r="G495" s="107"/>
      <c r="H495" s="108"/>
      <c r="I495" s="108"/>
      <c r="J495" s="108"/>
      <c r="K495" s="108"/>
      <c r="L495" s="108"/>
      <c r="M495" s="108"/>
    </row>
    <row r="496" spans="8:8">
      <c r="B496" s="105"/>
      <c r="C496" s="106"/>
      <c r="D496" s="78"/>
      <c r="E496" s="8"/>
      <c r="F496" s="8"/>
      <c r="G496" s="107"/>
      <c r="H496" s="108"/>
      <c r="I496" s="108"/>
      <c r="J496" s="108"/>
      <c r="K496" s="108"/>
      <c r="L496" s="108"/>
      <c r="M496" s="108"/>
    </row>
    <row r="497" spans="8:8">
      <c r="B497" s="105"/>
      <c r="C497" s="106"/>
      <c r="D497" s="78"/>
      <c r="E497" s="8"/>
      <c r="F497" s="8"/>
      <c r="G497" s="107"/>
      <c r="H497" s="108"/>
      <c r="I497" s="108"/>
      <c r="J497" s="108"/>
      <c r="K497" s="108"/>
      <c r="L497" s="108"/>
      <c r="M497" s="108"/>
    </row>
    <row r="498" spans="8:8">
      <c r="B498" s="105"/>
      <c r="C498" s="106"/>
      <c r="D498" s="78"/>
      <c r="E498" s="8"/>
      <c r="F498" s="8"/>
      <c r="G498" s="107"/>
      <c r="H498" s="108"/>
      <c r="I498" s="108"/>
      <c r="J498" s="108"/>
      <c r="K498" s="108"/>
      <c r="L498" s="108"/>
      <c r="M498" s="108"/>
    </row>
    <row r="499" spans="8:8">
      <c r="B499" s="105"/>
      <c r="C499" s="106"/>
      <c r="D499" s="78"/>
      <c r="E499" s="8"/>
      <c r="F499" s="8"/>
      <c r="G499" s="107"/>
      <c r="H499" s="108"/>
      <c r="I499" s="108"/>
      <c r="J499" s="108"/>
      <c r="K499" s="108"/>
      <c r="L499" s="108"/>
      <c r="M499" s="108"/>
    </row>
    <row r="500" spans="8:8">
      <c r="B500" s="105"/>
      <c r="C500" s="106"/>
      <c r="D500" s="78"/>
      <c r="E500" s="8"/>
      <c r="F500" s="8"/>
      <c r="G500" s="107"/>
      <c r="H500" s="108"/>
      <c r="I500" s="108"/>
      <c r="J500" s="108"/>
      <c r="K500" s="108"/>
      <c r="L500" s="108"/>
      <c r="M500" s="108"/>
    </row>
    <row r="501" spans="8:8">
      <c r="B501" s="105"/>
      <c r="C501" s="106"/>
      <c r="D501" s="78"/>
      <c r="E501" s="8"/>
      <c r="F501" s="8"/>
      <c r="G501" s="107"/>
      <c r="H501" s="108"/>
      <c r="I501" s="108"/>
      <c r="J501" s="108"/>
      <c r="K501" s="108"/>
      <c r="L501" s="108"/>
      <c r="M501" s="108"/>
    </row>
    <row r="502" spans="8:8">
      <c r="B502" s="105"/>
      <c r="C502" s="106"/>
      <c r="D502" s="60"/>
      <c r="E502" s="8"/>
      <c r="F502" s="8"/>
      <c r="G502" s="107"/>
      <c r="H502" s="108"/>
      <c r="I502" s="108"/>
      <c r="J502" s="108"/>
      <c r="K502" s="108"/>
      <c r="L502" s="108"/>
      <c r="M502" s="108"/>
    </row>
    <row r="503" spans="8:8">
      <c r="B503" s="105"/>
      <c r="C503" s="106"/>
      <c r="D503" s="56"/>
      <c r="E503" s="8"/>
      <c r="F503" s="8"/>
      <c r="G503" s="107"/>
      <c r="H503" s="108"/>
      <c r="I503" s="108"/>
      <c r="J503" s="108"/>
      <c r="K503" s="108"/>
      <c r="L503" s="108"/>
      <c r="M503" s="108"/>
    </row>
    <row r="504" spans="8:8">
      <c r="B504" s="105"/>
      <c r="C504" s="106"/>
      <c r="D504" s="78"/>
      <c r="E504" s="8"/>
      <c r="F504" s="8"/>
      <c r="G504" s="107"/>
      <c r="H504" s="108"/>
      <c r="I504" s="108"/>
      <c r="J504" s="108"/>
      <c r="K504" s="108"/>
      <c r="L504" s="108"/>
      <c r="M504" s="108"/>
    </row>
    <row r="505" spans="8:8">
      <c r="B505" s="105"/>
      <c r="C505" s="106"/>
      <c r="D505" s="78"/>
      <c r="E505" s="8"/>
      <c r="F505" s="8"/>
      <c r="G505" s="107"/>
      <c r="H505" s="108"/>
      <c r="I505" s="108"/>
      <c r="J505" s="108"/>
      <c r="K505" s="108"/>
      <c r="L505" s="108"/>
      <c r="M505" s="108"/>
    </row>
    <row r="506" spans="8:8">
      <c r="B506" s="105"/>
      <c r="C506" s="106"/>
      <c r="D506" s="78"/>
      <c r="E506" s="8"/>
      <c r="F506" s="8"/>
      <c r="G506" s="107"/>
      <c r="H506" s="108"/>
      <c r="I506" s="108"/>
      <c r="J506" s="108"/>
      <c r="K506" s="108"/>
      <c r="L506" s="108"/>
      <c r="M506" s="108"/>
    </row>
    <row r="507" spans="8:8">
      <c r="B507" s="105"/>
      <c r="C507" s="106"/>
      <c r="D507" s="78"/>
      <c r="E507" s="8"/>
      <c r="F507" s="8"/>
      <c r="G507" s="107"/>
      <c r="H507" s="108"/>
      <c r="I507" s="108"/>
      <c r="J507" s="108"/>
      <c r="K507" s="108"/>
      <c r="L507" s="108"/>
      <c r="M507" s="108"/>
    </row>
    <row r="508" spans="8:8">
      <c r="B508" s="105"/>
      <c r="C508" s="106"/>
      <c r="D508" s="78"/>
      <c r="E508" s="8"/>
      <c r="F508" s="8"/>
      <c r="G508" s="107"/>
      <c r="H508" s="108"/>
      <c r="I508" s="108"/>
      <c r="J508" s="108"/>
      <c r="K508" s="108"/>
      <c r="L508" s="108"/>
      <c r="M508" s="108"/>
    </row>
    <row r="509" spans="8:8">
      <c r="B509" s="105"/>
      <c r="C509" s="106"/>
      <c r="D509" s="78"/>
      <c r="E509" s="8"/>
      <c r="F509" s="8"/>
      <c r="G509" s="107"/>
      <c r="H509" s="108"/>
      <c r="I509" s="108"/>
      <c r="J509" s="108"/>
      <c r="K509" s="108"/>
      <c r="L509" s="108"/>
      <c r="M509" s="108"/>
    </row>
    <row r="510" spans="8:8">
      <c r="B510" s="105"/>
      <c r="C510" s="106"/>
      <c r="D510" s="78"/>
      <c r="E510" s="8"/>
      <c r="F510" s="8"/>
      <c r="G510" s="107"/>
      <c r="H510" s="108"/>
      <c r="I510" s="108"/>
      <c r="J510" s="108"/>
      <c r="K510" s="108"/>
      <c r="L510" s="108"/>
      <c r="M510" s="108"/>
    </row>
    <row r="511" spans="8:8">
      <c r="B511" s="105"/>
      <c r="C511" s="106"/>
      <c r="D511" s="60"/>
      <c r="E511" s="8"/>
      <c r="F511" s="8"/>
      <c r="G511" s="107"/>
      <c r="H511" s="108"/>
      <c r="I511" s="108"/>
      <c r="J511" s="108"/>
      <c r="K511" s="108"/>
      <c r="L511" s="108"/>
      <c r="M511" s="108"/>
    </row>
    <row r="512" spans="8:8">
      <c r="B512" s="105"/>
      <c r="C512" s="106"/>
      <c r="D512" s="78"/>
      <c r="E512" s="8"/>
      <c r="F512" s="8"/>
      <c r="G512" s="107"/>
      <c r="H512" s="108"/>
      <c r="I512" s="108"/>
      <c r="J512" s="108"/>
      <c r="K512" s="108"/>
      <c r="L512" s="108"/>
      <c r="M512" s="108"/>
    </row>
    <row r="513" spans="8:8">
      <c r="B513" s="105"/>
      <c r="C513" s="106"/>
      <c r="D513" s="78"/>
      <c r="E513" s="8"/>
      <c r="F513" s="8"/>
      <c r="G513" s="107"/>
      <c r="H513" s="108"/>
      <c r="I513" s="108"/>
      <c r="J513" s="108"/>
      <c r="K513" s="108"/>
      <c r="L513" s="108"/>
      <c r="M513" s="108"/>
    </row>
    <row r="514" spans="8:8">
      <c r="B514" s="105"/>
      <c r="C514" s="106"/>
      <c r="D514" s="78"/>
      <c r="E514" s="8"/>
      <c r="F514" s="8"/>
      <c r="G514" s="107"/>
      <c r="H514" s="108"/>
      <c r="I514" s="108"/>
      <c r="J514" s="108"/>
      <c r="K514" s="108"/>
      <c r="L514" s="108"/>
      <c r="M514" s="108"/>
    </row>
    <row r="515" spans="8:8">
      <c r="B515" s="108"/>
      <c r="C515" s="106"/>
      <c r="D515" s="56"/>
      <c r="E515" s="8"/>
      <c r="F515" s="8"/>
      <c r="G515" s="107"/>
      <c r="H515" s="108"/>
      <c r="I515" s="108"/>
      <c r="J515" s="108"/>
      <c r="K515" s="108"/>
      <c r="L515" s="108"/>
      <c r="M515" s="108"/>
    </row>
    <row r="516" spans="8:8">
      <c r="B516" s="105"/>
      <c r="C516" s="106"/>
      <c r="D516" s="78"/>
      <c r="E516" s="8"/>
      <c r="F516" s="8"/>
      <c r="G516" s="107"/>
      <c r="H516" s="108"/>
      <c r="I516" s="108"/>
      <c r="J516" s="108"/>
      <c r="K516" s="108"/>
      <c r="L516" s="108"/>
      <c r="M516" s="108"/>
    </row>
    <row r="517" spans="8:8">
      <c r="B517" s="108"/>
      <c r="C517" s="106"/>
      <c r="D517" s="60"/>
      <c r="E517" s="8"/>
      <c r="F517" s="8"/>
      <c r="G517" s="107"/>
      <c r="H517" s="108"/>
      <c r="I517" s="108"/>
      <c r="J517" s="108"/>
      <c r="K517" s="108"/>
      <c r="L517" s="108"/>
      <c r="M517" s="108"/>
    </row>
    <row r="518" spans="8:8">
      <c r="B518" s="108"/>
      <c r="C518" s="106"/>
      <c r="D518" s="78"/>
      <c r="E518" s="8"/>
      <c r="F518" s="8"/>
      <c r="G518" s="107"/>
      <c r="H518" s="108"/>
      <c r="I518" s="108"/>
      <c r="J518" s="108"/>
      <c r="K518" s="108"/>
      <c r="L518" s="108"/>
      <c r="M518" s="108"/>
    </row>
    <row r="519" spans="8:8">
      <c r="B519" s="108"/>
      <c r="C519" s="106"/>
      <c r="D519" s="78"/>
      <c r="E519" s="8"/>
      <c r="F519" s="8"/>
      <c r="G519" s="107"/>
      <c r="H519" s="108"/>
      <c r="I519" s="108"/>
      <c r="J519" s="108"/>
      <c r="K519" s="108"/>
      <c r="L519" s="108"/>
      <c r="M519" s="108"/>
    </row>
    <row r="520" spans="8:8">
      <c r="B520" s="108"/>
      <c r="C520" s="106"/>
      <c r="D520" s="78"/>
      <c r="E520" s="8"/>
      <c r="F520" s="8"/>
      <c r="G520" s="107"/>
      <c r="H520" s="108"/>
      <c r="I520" s="108"/>
      <c r="J520" s="108"/>
      <c r="K520" s="108"/>
      <c r="L520" s="108"/>
      <c r="M520" s="108"/>
    </row>
    <row r="521" spans="8:8">
      <c r="B521" s="108"/>
      <c r="C521" s="106"/>
      <c r="D521" s="60"/>
      <c r="E521" s="8"/>
      <c r="F521" s="8"/>
      <c r="G521" s="107"/>
      <c r="H521" s="108"/>
      <c r="I521" s="108"/>
      <c r="J521" s="108"/>
      <c r="K521" s="108"/>
      <c r="L521" s="108"/>
      <c r="M521" s="108"/>
    </row>
    <row r="522" spans="8:8" ht="20.25" customHeight="1">
      <c r="B522" s="108"/>
      <c r="C522" s="106"/>
      <c r="D522" s="60"/>
      <c r="E522" s="8"/>
      <c r="F522" s="8"/>
      <c r="G522" s="107"/>
      <c r="H522" s="108"/>
      <c r="I522" s="108"/>
      <c r="J522" s="108"/>
      <c r="K522" s="108"/>
      <c r="L522" s="108"/>
      <c r="M522" s="108"/>
    </row>
    <row r="523" spans="8:8">
      <c r="B523" s="108"/>
      <c r="C523" s="106"/>
      <c r="D523" s="60"/>
      <c r="E523" s="8"/>
      <c r="F523" s="8"/>
      <c r="G523" s="107"/>
      <c r="H523" s="108"/>
      <c r="I523" s="108"/>
      <c r="J523" s="108"/>
      <c r="K523" s="108"/>
      <c r="L523" s="108"/>
      <c r="M523" s="108"/>
    </row>
    <row r="524" spans="8:8">
      <c r="B524" s="108"/>
      <c r="C524" s="106"/>
      <c r="D524" s="60"/>
      <c r="E524" s="8"/>
      <c r="F524" s="8"/>
      <c r="G524" s="107"/>
      <c r="H524" s="108"/>
      <c r="I524" s="108"/>
      <c r="J524" s="108"/>
      <c r="K524" s="108"/>
      <c r="L524" s="108"/>
      <c r="M524" s="108"/>
    </row>
    <row r="525" spans="8:8">
      <c r="B525" s="108"/>
      <c r="C525" s="106"/>
      <c r="D525" s="60"/>
      <c r="E525" s="8"/>
      <c r="F525" s="8"/>
      <c r="G525" s="107"/>
      <c r="H525" s="108"/>
      <c r="I525" s="108"/>
      <c r="J525" s="108"/>
      <c r="K525" s="108"/>
      <c r="L525" s="108"/>
      <c r="M525" s="108"/>
    </row>
    <row r="526" spans="8:8">
      <c r="B526" s="108"/>
      <c r="C526" s="106"/>
      <c r="D526" s="60"/>
      <c r="E526" s="8"/>
      <c r="F526" s="8"/>
      <c r="G526" s="107"/>
      <c r="H526" s="108"/>
      <c r="I526" s="108"/>
      <c r="J526" s="108"/>
      <c r="K526" s="108"/>
      <c r="L526" s="108"/>
      <c r="M526" s="108"/>
    </row>
    <row r="527" spans="8:8">
      <c r="B527" s="108"/>
      <c r="C527" s="106"/>
      <c r="D527" s="60"/>
      <c r="E527" s="8"/>
      <c r="F527" s="8"/>
      <c r="G527" s="107"/>
      <c r="H527" s="108"/>
      <c r="I527" s="108"/>
      <c r="J527" s="108"/>
      <c r="K527" s="108"/>
      <c r="L527" s="108"/>
      <c r="M527" s="108"/>
    </row>
    <row r="528" spans="8:8">
      <c r="B528" s="108"/>
      <c r="C528" s="106"/>
      <c r="D528" s="60"/>
      <c r="E528" s="8"/>
      <c r="F528" s="8"/>
      <c r="G528" s="107"/>
      <c r="H528" s="108"/>
      <c r="I528" s="108"/>
      <c r="J528" s="108"/>
      <c r="K528" s="108"/>
      <c r="L528" s="108"/>
      <c r="M528" s="108"/>
    </row>
    <row r="529" spans="8:8">
      <c r="B529" s="108"/>
      <c r="C529" s="106"/>
      <c r="D529" s="60"/>
      <c r="E529" s="8"/>
      <c r="F529" s="8"/>
      <c r="G529" s="107"/>
      <c r="H529" s="108"/>
      <c r="I529" s="108"/>
      <c r="J529" s="108"/>
      <c r="K529" s="108"/>
      <c r="L529" s="108"/>
      <c r="M529" s="108"/>
    </row>
    <row r="530" spans="8:8">
      <c r="B530" s="108"/>
      <c r="C530" s="106"/>
      <c r="D530" s="78"/>
      <c r="E530" s="8"/>
      <c r="F530" s="8"/>
      <c r="G530" s="107"/>
      <c r="H530" s="108"/>
      <c r="I530" s="108"/>
      <c r="J530" s="108"/>
      <c r="K530" s="108"/>
      <c r="L530" s="108"/>
      <c r="M530" s="108"/>
    </row>
    <row r="531" spans="8:8">
      <c r="B531" s="108"/>
      <c r="C531" s="106"/>
      <c r="D531" s="78"/>
      <c r="E531" s="8"/>
      <c r="F531" s="8"/>
      <c r="G531" s="107"/>
      <c r="H531" s="108"/>
      <c r="I531" s="108"/>
      <c r="J531" s="108"/>
      <c r="K531" s="108"/>
      <c r="L531" s="108"/>
      <c r="M531" s="108"/>
    </row>
    <row r="532" spans="8:8">
      <c r="B532" s="108"/>
      <c r="C532" s="106"/>
      <c r="D532" s="56"/>
      <c r="E532" s="8"/>
      <c r="F532" s="8"/>
      <c r="G532" s="107"/>
      <c r="H532" s="108"/>
      <c r="I532" s="108"/>
      <c r="J532" s="108"/>
      <c r="K532" s="108"/>
      <c r="L532" s="108"/>
      <c r="M532" s="108"/>
    </row>
    <row r="533" spans="8:8">
      <c r="B533" s="108"/>
      <c r="C533" s="106"/>
      <c r="D533" s="78"/>
      <c r="E533" s="8"/>
      <c r="F533" s="8"/>
      <c r="G533" s="107"/>
      <c r="H533" s="108"/>
      <c r="I533" s="108"/>
      <c r="J533" s="108"/>
      <c r="K533" s="108"/>
      <c r="L533" s="108"/>
      <c r="M533" s="108"/>
    </row>
    <row r="534" spans="8:8">
      <c r="B534" s="108"/>
      <c r="C534" s="106"/>
      <c r="D534" s="78"/>
      <c r="E534" s="8"/>
      <c r="F534" s="8"/>
      <c r="G534" s="107"/>
      <c r="H534" s="108"/>
      <c r="I534" s="108"/>
      <c r="J534" s="108"/>
      <c r="K534" s="108"/>
      <c r="L534" s="108"/>
      <c r="M534" s="108"/>
    </row>
    <row r="535" spans="8:8">
      <c r="B535" s="108"/>
      <c r="C535" s="106"/>
      <c r="D535" s="78"/>
      <c r="E535" s="8"/>
      <c r="F535" s="8"/>
      <c r="G535" s="107"/>
      <c r="H535" s="108"/>
      <c r="I535" s="108"/>
      <c r="J535" s="108"/>
      <c r="K535" s="108"/>
      <c r="L535" s="108"/>
      <c r="M535" s="108"/>
    </row>
    <row r="536" spans="8:8">
      <c r="B536" s="108"/>
      <c r="C536" s="106"/>
      <c r="D536" s="78"/>
      <c r="E536" s="8"/>
      <c r="F536" s="8"/>
      <c r="G536" s="107"/>
      <c r="H536" s="108"/>
      <c r="I536" s="108"/>
      <c r="J536" s="108"/>
      <c r="K536" s="108"/>
      <c r="L536" s="108"/>
      <c r="M536" s="108"/>
    </row>
    <row r="537" spans="8:8">
      <c r="B537" s="108"/>
      <c r="C537" s="106"/>
      <c r="D537" s="78"/>
      <c r="E537" s="8"/>
      <c r="F537" s="8"/>
      <c r="G537" s="107"/>
      <c r="H537" s="108"/>
      <c r="I537" s="108"/>
      <c r="J537" s="108"/>
      <c r="K537" s="108"/>
      <c r="L537" s="108"/>
      <c r="M537" s="108"/>
    </row>
    <row r="538" spans="8:8">
      <c r="B538" s="108"/>
      <c r="C538" s="106"/>
      <c r="D538" s="78"/>
      <c r="E538" s="8"/>
      <c r="F538" s="8"/>
      <c r="G538" s="107"/>
      <c r="H538" s="108"/>
      <c r="I538" s="108"/>
      <c r="J538" s="108"/>
      <c r="K538" s="108"/>
      <c r="L538" s="108"/>
      <c r="M538" s="108"/>
    </row>
    <row r="539" spans="8:8">
      <c r="B539" s="108"/>
      <c r="C539" s="106"/>
      <c r="D539" s="60"/>
      <c r="E539" s="8"/>
      <c r="F539" s="8"/>
      <c r="G539" s="107"/>
      <c r="H539" s="108"/>
      <c r="I539" s="108"/>
      <c r="J539" s="108"/>
      <c r="K539" s="108"/>
      <c r="L539" s="108"/>
      <c r="M539" s="108"/>
    </row>
    <row r="540" spans="8:8">
      <c r="B540" s="108"/>
      <c r="C540" s="106"/>
      <c r="D540" s="78"/>
      <c r="E540" s="8"/>
      <c r="F540" s="8"/>
      <c r="G540" s="107"/>
      <c r="H540" s="108"/>
      <c r="I540" s="108"/>
      <c r="J540" s="108"/>
      <c r="K540" s="108"/>
      <c r="L540" s="108"/>
      <c r="M540" s="108"/>
    </row>
    <row r="541" spans="8:8">
      <c r="B541" s="108"/>
      <c r="C541" s="106"/>
      <c r="D541" s="78"/>
      <c r="E541" s="8"/>
      <c r="F541" s="8"/>
      <c r="G541" s="107"/>
      <c r="H541" s="108"/>
      <c r="I541" s="108"/>
      <c r="J541" s="108"/>
      <c r="K541" s="108"/>
      <c r="L541" s="108"/>
      <c r="M541" s="108"/>
    </row>
    <row r="542" spans="8:8">
      <c r="B542" s="108"/>
      <c r="C542" s="106"/>
      <c r="D542" s="78"/>
      <c r="E542" s="8"/>
      <c r="F542" s="8"/>
      <c r="G542" s="107"/>
      <c r="H542" s="108"/>
      <c r="I542" s="108"/>
      <c r="J542" s="108"/>
      <c r="K542" s="108"/>
      <c r="L542" s="108"/>
      <c r="M542" s="108"/>
    </row>
    <row r="543" spans="8:8">
      <c r="B543" s="108"/>
      <c r="C543" s="106"/>
      <c r="D543" s="78"/>
      <c r="E543" s="8"/>
      <c r="F543" s="8"/>
      <c r="G543" s="107"/>
      <c r="H543" s="108"/>
      <c r="I543" s="108"/>
      <c r="J543" s="108"/>
      <c r="K543" s="108"/>
      <c r="L543" s="108"/>
      <c r="M543" s="108"/>
    </row>
    <row r="544" spans="8:8">
      <c r="B544" s="108"/>
      <c r="C544" s="106"/>
      <c r="D544" s="78"/>
      <c r="E544" s="8"/>
      <c r="F544" s="8"/>
      <c r="G544" s="107"/>
      <c r="H544" s="108"/>
      <c r="I544" s="108"/>
      <c r="J544" s="108"/>
      <c r="K544" s="108"/>
      <c r="L544" s="108"/>
      <c r="M544" s="108"/>
    </row>
    <row r="545" spans="8:8">
      <c r="B545" s="108"/>
      <c r="C545" s="106"/>
      <c r="D545" s="78"/>
      <c r="E545" s="8"/>
      <c r="F545" s="8"/>
      <c r="G545" s="107"/>
      <c r="H545" s="108"/>
      <c r="I545" s="108"/>
      <c r="J545" s="108"/>
      <c r="K545" s="108"/>
      <c r="L545" s="108"/>
      <c r="M545" s="108"/>
    </row>
    <row r="546" spans="8:8">
      <c r="B546" s="108"/>
      <c r="C546" s="106"/>
      <c r="D546" s="78"/>
      <c r="E546" s="8"/>
      <c r="F546" s="8"/>
      <c r="G546" s="107"/>
      <c r="H546" s="108"/>
      <c r="I546" s="108"/>
      <c r="J546" s="108"/>
      <c r="K546" s="108"/>
      <c r="L546" s="108"/>
      <c r="M546" s="108"/>
    </row>
    <row r="547" spans="8:8">
      <c r="B547" s="108"/>
      <c r="C547" s="106"/>
      <c r="D547" s="78"/>
      <c r="E547" s="8"/>
      <c r="F547" s="8"/>
      <c r="G547" s="107"/>
      <c r="H547" s="108"/>
      <c r="I547" s="108"/>
      <c r="J547" s="108"/>
      <c r="K547" s="108"/>
      <c r="L547" s="108"/>
      <c r="M547" s="108"/>
    </row>
    <row r="548" spans="8:8">
      <c r="B548" s="108"/>
      <c r="C548" s="106"/>
      <c r="D548" s="78"/>
      <c r="E548" s="8"/>
      <c r="F548" s="8"/>
      <c r="G548" s="107"/>
      <c r="H548" s="108"/>
      <c r="I548" s="108"/>
      <c r="J548" s="108"/>
      <c r="K548" s="108"/>
      <c r="L548" s="108"/>
      <c r="M548" s="108"/>
    </row>
    <row r="549" spans="8:8">
      <c r="B549" s="108"/>
      <c r="C549" s="106"/>
      <c r="D549" s="78"/>
      <c r="E549" s="8"/>
      <c r="F549" s="8"/>
      <c r="G549" s="107"/>
      <c r="H549" s="108"/>
      <c r="I549" s="108"/>
      <c r="J549" s="108"/>
      <c r="K549" s="108"/>
      <c r="L549" s="108"/>
      <c r="M549" s="108"/>
    </row>
    <row r="550" spans="8:8">
      <c r="B550" s="108"/>
      <c r="C550" s="106"/>
      <c r="D550" s="78"/>
      <c r="E550" s="8"/>
      <c r="F550" s="8"/>
      <c r="G550" s="107"/>
      <c r="H550" s="108"/>
      <c r="I550" s="108"/>
      <c r="J550" s="108"/>
      <c r="K550" s="108"/>
      <c r="L550" s="108"/>
      <c r="M550" s="108"/>
    </row>
    <row r="551" spans="8:8">
      <c r="B551" s="108"/>
      <c r="C551" s="106"/>
      <c r="D551" s="78"/>
      <c r="E551" s="8"/>
      <c r="F551" s="8"/>
      <c r="G551" s="107"/>
      <c r="H551" s="108"/>
      <c r="I551" s="108"/>
      <c r="J551" s="108"/>
      <c r="K551" s="108"/>
      <c r="L551" s="108"/>
      <c r="M551" s="108"/>
    </row>
    <row r="552" spans="8:8">
      <c r="B552" s="108"/>
      <c r="C552" s="106"/>
      <c r="D552" s="78"/>
      <c r="E552" s="8"/>
      <c r="F552" s="8"/>
      <c r="G552" s="107"/>
      <c r="H552" s="108"/>
      <c r="I552" s="108"/>
      <c r="J552" s="108"/>
      <c r="K552" s="108"/>
      <c r="L552" s="108"/>
      <c r="M552" s="108"/>
    </row>
    <row r="553" spans="8:8">
      <c r="B553" s="108"/>
      <c r="C553" s="106"/>
      <c r="D553" s="78"/>
      <c r="E553" s="8"/>
      <c r="F553" s="8"/>
      <c r="G553" s="107"/>
      <c r="H553" s="108"/>
      <c r="I553" s="108"/>
      <c r="J553" s="108"/>
      <c r="K553" s="108"/>
      <c r="L553" s="108"/>
      <c r="M553" s="108"/>
    </row>
    <row r="554" spans="8:8">
      <c r="B554" s="108"/>
      <c r="C554" s="106"/>
      <c r="D554" s="60"/>
      <c r="E554" s="8"/>
      <c r="F554" s="8"/>
      <c r="G554" s="107"/>
      <c r="H554" s="108"/>
      <c r="I554" s="108"/>
      <c r="J554" s="108"/>
      <c r="K554" s="108"/>
      <c r="L554" s="108"/>
      <c r="M554" s="108"/>
    </row>
    <row r="555" spans="8:8">
      <c r="B555" s="108"/>
      <c r="C555" s="106"/>
      <c r="D555" s="56"/>
      <c r="E555" s="8"/>
      <c r="F555" s="8"/>
      <c r="G555" s="107"/>
      <c r="H555" s="108"/>
      <c r="I555" s="108"/>
      <c r="J555" s="108"/>
      <c r="K555" s="108"/>
      <c r="L555" s="108"/>
      <c r="M555" s="108"/>
    </row>
    <row r="556" spans="8:8">
      <c r="B556" s="108"/>
      <c r="C556" s="106"/>
      <c r="D556" s="78"/>
      <c r="E556" s="8"/>
      <c r="F556" s="8"/>
      <c r="G556" s="107"/>
      <c r="H556" s="108"/>
      <c r="I556" s="108"/>
      <c r="J556" s="108"/>
      <c r="K556" s="108"/>
      <c r="L556" s="108"/>
      <c r="M556" s="108"/>
    </row>
    <row r="557" spans="8:8">
      <c r="B557" s="108"/>
      <c r="C557" s="106"/>
      <c r="D557" s="78"/>
      <c r="E557" s="8"/>
      <c r="F557" s="8"/>
      <c r="G557" s="107"/>
      <c r="H557" s="108"/>
      <c r="I557" s="108"/>
      <c r="J557" s="108"/>
      <c r="K557" s="108"/>
      <c r="L557" s="108"/>
      <c r="M557" s="108"/>
    </row>
    <row r="558" spans="8:8">
      <c r="B558" s="108"/>
      <c r="C558" s="106"/>
      <c r="D558" s="78"/>
      <c r="E558" s="8"/>
      <c r="F558" s="8"/>
      <c r="G558" s="107"/>
      <c r="H558" s="108"/>
      <c r="I558" s="108"/>
      <c r="J558" s="108"/>
      <c r="K558" s="108"/>
      <c r="L558" s="108"/>
      <c r="M558" s="108"/>
    </row>
    <row r="559" spans="8:8">
      <c r="B559" s="108"/>
      <c r="C559" s="106"/>
      <c r="D559" s="78"/>
      <c r="E559" s="8"/>
      <c r="F559" s="8"/>
      <c r="G559" s="107"/>
      <c r="H559" s="108"/>
      <c r="I559" s="108"/>
      <c r="J559" s="108"/>
      <c r="K559" s="108"/>
      <c r="L559" s="108"/>
      <c r="M559" s="108"/>
    </row>
    <row r="560" spans="8:8">
      <c r="B560" s="108"/>
      <c r="C560" s="106"/>
      <c r="D560" s="105"/>
      <c r="E560" s="8"/>
      <c r="F560" s="8"/>
      <c r="G560" s="107"/>
      <c r="H560" s="108"/>
      <c r="I560" s="108"/>
      <c r="J560" s="108"/>
      <c r="K560" s="108"/>
      <c r="L560" s="108"/>
      <c r="M560" s="108"/>
    </row>
    <row r="561" spans="8:8">
      <c r="B561" s="108"/>
      <c r="C561" s="106"/>
      <c r="D561" s="105"/>
      <c r="E561" s="8"/>
      <c r="F561" s="8"/>
      <c r="G561" s="107"/>
      <c r="H561" s="108"/>
      <c r="I561" s="108"/>
      <c r="J561" s="108"/>
      <c r="K561" s="108"/>
      <c r="L561" s="108"/>
      <c r="M561" s="108"/>
    </row>
    <row r="562" spans="8:8">
      <c r="B562" s="108"/>
      <c r="C562" s="106"/>
      <c r="D562" s="105"/>
      <c r="E562" s="8"/>
      <c r="F562" s="8"/>
      <c r="G562" s="107"/>
      <c r="H562" s="108"/>
      <c r="I562" s="108"/>
      <c r="J562" s="108"/>
      <c r="K562" s="108"/>
      <c r="L562" s="108"/>
      <c r="M562" s="108"/>
    </row>
    <row r="563" spans="8:8">
      <c r="B563" s="108"/>
      <c r="C563" s="106"/>
      <c r="D563" s="105"/>
      <c r="E563" s="8"/>
      <c r="F563" s="8"/>
      <c r="G563" s="107"/>
      <c r="H563" s="108"/>
      <c r="I563" s="108"/>
      <c r="J563" s="108"/>
      <c r="K563" s="108"/>
      <c r="L563" s="108"/>
      <c r="M563" s="108"/>
    </row>
    <row r="564" spans="8:8">
      <c r="B564" s="108"/>
      <c r="C564" s="106"/>
      <c r="D564" s="105"/>
      <c r="E564" s="8"/>
      <c r="F564" s="8"/>
      <c r="G564" s="107"/>
      <c r="H564" s="108"/>
      <c r="I564" s="108"/>
      <c r="J564" s="108"/>
      <c r="K564" s="108"/>
      <c r="L564" s="108"/>
      <c r="M564" s="108"/>
    </row>
    <row r="565" spans="8:8">
      <c r="B565" s="108"/>
      <c r="C565" s="106"/>
      <c r="D565" s="105"/>
      <c r="E565" s="8"/>
      <c r="F565" s="8"/>
      <c r="G565" s="107"/>
      <c r="H565" s="108"/>
      <c r="I565" s="108"/>
      <c r="J565" s="108"/>
      <c r="K565" s="108"/>
      <c r="L565" s="108"/>
      <c r="M565" s="108"/>
    </row>
    <row r="566" spans="8:8">
      <c r="B566" s="108"/>
      <c r="C566" s="106"/>
      <c r="D566" s="105"/>
      <c r="E566" s="8"/>
      <c r="F566" s="8"/>
      <c r="G566" s="107"/>
      <c r="H566" s="108"/>
      <c r="I566" s="108"/>
      <c r="J566" s="108"/>
      <c r="K566" s="108"/>
      <c r="L566" s="108"/>
      <c r="M566" s="108"/>
    </row>
    <row r="567" spans="8:8">
      <c r="B567" s="108"/>
      <c r="C567" s="106"/>
      <c r="D567" s="105"/>
      <c r="E567" s="8"/>
      <c r="F567" s="8"/>
      <c r="G567" s="107"/>
      <c r="H567" s="108"/>
      <c r="I567" s="108"/>
      <c r="J567" s="108"/>
      <c r="K567" s="108"/>
      <c r="L567" s="108"/>
      <c r="M567" s="108"/>
    </row>
    <row r="568" spans="8:8">
      <c r="B568" s="108"/>
      <c r="C568" s="106"/>
      <c r="D568" s="105"/>
      <c r="E568" s="8"/>
      <c r="F568" s="8"/>
      <c r="G568" s="107"/>
      <c r="H568" s="108"/>
      <c r="I568" s="108"/>
      <c r="J568" s="108"/>
      <c r="K568" s="108"/>
      <c r="L568" s="108"/>
      <c r="M568" s="108"/>
    </row>
    <row r="569" spans="8:8">
      <c r="B569" s="108"/>
      <c r="C569" s="106"/>
      <c r="D569" s="105"/>
      <c r="E569" s="8"/>
      <c r="F569" s="8"/>
      <c r="G569" s="107"/>
      <c r="H569" s="108"/>
      <c r="I569" s="108"/>
      <c r="J569" s="108"/>
      <c r="K569" s="108"/>
      <c r="L569" s="108"/>
      <c r="M569" s="108"/>
    </row>
    <row r="570" spans="8:8">
      <c r="B570" s="108"/>
      <c r="C570" s="106"/>
      <c r="D570" s="105"/>
      <c r="E570" s="8"/>
      <c r="F570" s="8"/>
      <c r="G570" s="107"/>
      <c r="H570" s="108"/>
      <c r="I570" s="108"/>
      <c r="J570" s="108"/>
      <c r="K570" s="108"/>
      <c r="L570" s="108"/>
      <c r="M570" s="108"/>
    </row>
    <row r="571" spans="8:8">
      <c r="B571" s="108"/>
      <c r="C571" s="106"/>
      <c r="D571" s="105"/>
      <c r="E571" s="8"/>
      <c r="F571" s="8"/>
      <c r="G571" s="107"/>
      <c r="H571" s="108"/>
      <c r="I571" s="108"/>
      <c r="J571" s="108"/>
      <c r="K571" s="108"/>
      <c r="L571" s="108"/>
      <c r="M571" s="108"/>
    </row>
    <row r="572" spans="8:8">
      <c r="B572" s="108"/>
      <c r="C572" s="106"/>
      <c r="D572" s="105"/>
      <c r="E572" s="8"/>
      <c r="F572" s="8"/>
      <c r="G572" s="107"/>
      <c r="H572" s="108"/>
      <c r="I572" s="108"/>
      <c r="J572" s="108"/>
      <c r="K572" s="108"/>
      <c r="L572" s="108"/>
      <c r="M572" s="108"/>
    </row>
    <row r="573" spans="8:8">
      <c r="B573" s="108"/>
      <c r="C573" s="106"/>
      <c r="D573" s="105"/>
      <c r="E573" s="8"/>
      <c r="F573" s="8"/>
      <c r="G573" s="107"/>
      <c r="H573" s="108"/>
      <c r="I573" s="108"/>
      <c r="J573" s="108"/>
      <c r="K573" s="108"/>
      <c r="L573" s="108"/>
      <c r="M573" s="108"/>
    </row>
    <row r="574" spans="8:8">
      <c r="B574" s="108"/>
      <c r="C574" s="106"/>
      <c r="D574" s="105"/>
      <c r="E574" s="8"/>
      <c r="F574" s="8"/>
      <c r="G574" s="107"/>
      <c r="H574" s="108"/>
      <c r="I574" s="108"/>
      <c r="J574" s="108"/>
      <c r="K574" s="108"/>
      <c r="L574" s="108"/>
      <c r="M574" s="108"/>
    </row>
    <row r="575" spans="8:8">
      <c r="B575" s="108"/>
      <c r="C575" s="106"/>
      <c r="D575" s="105"/>
      <c r="E575" s="8"/>
      <c r="F575" s="8"/>
      <c r="G575" s="107"/>
      <c r="H575" s="105"/>
      <c r="I575" s="108"/>
      <c r="J575" s="108"/>
      <c r="K575" s="108"/>
      <c r="L575" s="108"/>
      <c r="M575" s="108"/>
    </row>
    <row r="576" spans="8:8">
      <c r="B576" s="108"/>
      <c r="C576" s="106"/>
      <c r="D576" s="105"/>
      <c r="E576" s="8"/>
      <c r="F576" s="8"/>
      <c r="G576" s="107"/>
      <c r="H576" s="105"/>
      <c r="I576" s="108"/>
      <c r="J576" s="108"/>
      <c r="K576" s="108"/>
      <c r="L576" s="108"/>
      <c r="M576" s="108"/>
    </row>
    <row r="577" spans="8:8">
      <c r="B577" s="108"/>
      <c r="C577" s="106"/>
      <c r="D577" s="105"/>
      <c r="E577" s="8"/>
      <c r="F577" s="8"/>
      <c r="G577" s="107"/>
      <c r="H577" s="105"/>
      <c r="I577" s="108"/>
      <c r="J577" s="108"/>
      <c r="K577" s="108"/>
      <c r="L577" s="108"/>
      <c r="M577" s="108"/>
    </row>
    <row r="578" spans="8:8">
      <c r="B578" s="108"/>
      <c r="C578" s="106"/>
      <c r="D578" s="105"/>
      <c r="E578" s="8"/>
      <c r="F578" s="8"/>
      <c r="G578" s="107"/>
      <c r="H578" s="105"/>
      <c r="I578" s="108"/>
      <c r="J578" s="108"/>
      <c r="K578" s="108"/>
      <c r="L578" s="108"/>
      <c r="M578" s="108"/>
    </row>
    <row r="579" spans="8:8">
      <c r="B579" s="108"/>
      <c r="C579" s="106"/>
      <c r="D579" s="105"/>
      <c r="E579" s="8"/>
      <c r="F579" s="8"/>
      <c r="G579" s="107"/>
      <c r="H579" s="105"/>
      <c r="I579" s="108"/>
      <c r="J579" s="108"/>
      <c r="K579" s="108"/>
      <c r="L579" s="108"/>
      <c r="M579" s="108"/>
    </row>
    <row r="580" spans="8:8">
      <c r="B580" s="108"/>
      <c r="C580" s="106"/>
      <c r="D580" s="105"/>
      <c r="E580" s="8"/>
      <c r="F580" s="8"/>
      <c r="G580" s="107"/>
      <c r="H580" s="108"/>
      <c r="I580" s="108"/>
      <c r="J580" s="108"/>
      <c r="K580" s="108"/>
      <c r="L580" s="108"/>
      <c r="M580" s="108"/>
    </row>
    <row r="581" spans="8:8">
      <c r="B581" s="108"/>
      <c r="C581" s="106"/>
      <c r="D581" s="105"/>
      <c r="E581" s="8"/>
      <c r="F581" s="8"/>
      <c r="G581" s="107"/>
      <c r="H581" s="108"/>
      <c r="I581" s="108"/>
      <c r="J581" s="108"/>
      <c r="K581" s="108"/>
      <c r="L581" s="108"/>
      <c r="M581" s="108"/>
    </row>
    <row r="582" spans="8:8">
      <c r="B582" s="108"/>
      <c r="C582" s="106"/>
      <c r="D582" s="105"/>
      <c r="E582" s="8"/>
      <c r="F582" s="8"/>
      <c r="G582" s="107"/>
      <c r="H582" s="108"/>
      <c r="I582" s="108"/>
      <c r="J582" s="108"/>
      <c r="K582" s="108"/>
      <c r="L582" s="108"/>
      <c r="M582" s="108"/>
    </row>
    <row r="583" spans="8:8">
      <c r="B583" s="108"/>
      <c r="C583" s="106"/>
      <c r="D583" s="105"/>
      <c r="E583" s="8"/>
      <c r="F583" s="8"/>
      <c r="G583" s="107"/>
      <c r="H583" s="108"/>
      <c r="I583" s="108"/>
      <c r="J583" s="108"/>
      <c r="K583" s="108"/>
      <c r="L583" s="108"/>
      <c r="M583" s="108"/>
    </row>
    <row r="584" spans="8:8">
      <c r="B584" s="108"/>
      <c r="C584" s="106"/>
      <c r="D584" s="105"/>
      <c r="E584" s="8"/>
      <c r="F584" s="8"/>
      <c r="G584" s="107"/>
      <c r="H584" s="108"/>
      <c r="I584" s="108"/>
      <c r="J584" s="108"/>
      <c r="K584" s="108"/>
      <c r="L584" s="108"/>
      <c r="M584" s="108"/>
    </row>
    <row r="585" spans="8:8">
      <c r="B585" s="108"/>
      <c r="C585" s="106"/>
      <c r="D585" s="105"/>
      <c r="E585" s="8"/>
      <c r="F585" s="8"/>
      <c r="G585" s="107"/>
      <c r="H585" s="108"/>
      <c r="I585" s="108"/>
      <c r="J585" s="108"/>
      <c r="K585" s="108"/>
      <c r="L585" s="108"/>
      <c r="M585" s="108"/>
    </row>
    <row r="586" spans="8:8">
      <c r="B586" s="108"/>
      <c r="C586" s="106"/>
      <c r="D586" s="105"/>
      <c r="E586" s="8"/>
      <c r="F586" s="8"/>
      <c r="G586" s="107"/>
      <c r="H586" s="108"/>
      <c r="I586" s="108"/>
      <c r="J586" s="108"/>
      <c r="K586" s="108"/>
      <c r="L586" s="108"/>
      <c r="M586" s="108"/>
    </row>
    <row r="587" spans="8:8">
      <c r="B587" s="108"/>
      <c r="C587" s="106"/>
      <c r="D587" s="105"/>
      <c r="E587" s="8"/>
      <c r="F587" s="8"/>
      <c r="G587" s="107"/>
      <c r="H587" s="108"/>
      <c r="I587" s="108"/>
      <c r="J587" s="108"/>
      <c r="K587" s="108"/>
      <c r="L587" s="108"/>
      <c r="M587" s="108"/>
    </row>
    <row r="588" spans="8:8">
      <c r="B588" s="108"/>
      <c r="C588" s="106"/>
      <c r="D588" s="105"/>
      <c r="E588" s="8"/>
      <c r="F588" s="8"/>
      <c r="G588" s="107"/>
      <c r="H588" s="108"/>
      <c r="I588" s="108"/>
      <c r="J588" s="108"/>
      <c r="K588" s="108"/>
      <c r="L588" s="108"/>
      <c r="M588" s="108"/>
    </row>
    <row r="589" spans="8:8">
      <c r="B589" s="108"/>
      <c r="C589" s="106"/>
      <c r="D589" s="105"/>
      <c r="E589" s="8"/>
      <c r="F589" s="8"/>
      <c r="G589" s="107"/>
      <c r="H589" s="108"/>
      <c r="I589" s="108"/>
      <c r="J589" s="108"/>
      <c r="K589" s="108"/>
      <c r="L589" s="108"/>
      <c r="M589" s="108"/>
    </row>
    <row r="590" spans="8:8">
      <c r="B590" s="108"/>
      <c r="C590" s="106"/>
      <c r="D590" s="105"/>
      <c r="E590" s="8"/>
      <c r="F590" s="8"/>
      <c r="G590" s="107"/>
      <c r="H590" s="108"/>
      <c r="I590" s="108"/>
      <c r="J590" s="108"/>
      <c r="K590" s="108"/>
      <c r="L590" s="108"/>
      <c r="M590" s="108"/>
    </row>
    <row r="591" spans="8:8">
      <c r="B591" s="108"/>
      <c r="C591" s="106"/>
      <c r="D591" s="105"/>
      <c r="E591" s="8"/>
      <c r="F591" s="8"/>
      <c r="G591" s="107"/>
      <c r="H591" s="108"/>
      <c r="I591" s="108"/>
      <c r="J591" s="108"/>
      <c r="K591" s="108"/>
      <c r="L591" s="108"/>
      <c r="M591" s="108"/>
    </row>
    <row r="592" spans="8:8">
      <c r="B592" s="108"/>
      <c r="C592" s="106"/>
      <c r="D592" s="105"/>
      <c r="E592" s="8"/>
      <c r="F592" s="8"/>
      <c r="G592" s="107"/>
      <c r="H592" s="108"/>
      <c r="I592" s="108"/>
      <c r="J592" s="108"/>
      <c r="K592" s="108"/>
      <c r="L592" s="108"/>
      <c r="M592" s="108"/>
    </row>
    <row r="593" spans="8:8">
      <c r="B593" s="108"/>
      <c r="C593" s="106"/>
      <c r="D593" s="105"/>
      <c r="E593" s="8"/>
      <c r="F593" s="8"/>
      <c r="G593" s="107"/>
      <c r="H593" s="108"/>
      <c r="I593" s="108"/>
      <c r="J593" s="108"/>
      <c r="K593" s="108"/>
      <c r="L593" s="108"/>
      <c r="M593" s="108"/>
    </row>
    <row r="594" spans="8:8">
      <c r="B594" s="108"/>
      <c r="C594" s="106"/>
      <c r="D594" s="105"/>
      <c r="E594" s="8"/>
      <c r="F594" s="8"/>
      <c r="G594" s="107"/>
      <c r="H594" s="108"/>
      <c r="I594" s="108"/>
      <c r="J594" s="108"/>
      <c r="K594" s="108"/>
      <c r="L594" s="108"/>
      <c r="M594" s="108"/>
    </row>
    <row r="595" spans="8:8">
      <c r="B595" s="108"/>
      <c r="C595" s="106"/>
      <c r="D595" s="105"/>
      <c r="E595" s="8"/>
      <c r="F595" s="8"/>
      <c r="G595" s="107"/>
      <c r="H595" s="108"/>
      <c r="I595" s="108"/>
      <c r="J595" s="108"/>
      <c r="K595" s="108"/>
      <c r="L595" s="108"/>
      <c r="M595" s="108"/>
    </row>
    <row r="596" spans="8:8">
      <c r="B596" s="108"/>
      <c r="C596" s="106"/>
      <c r="D596" s="105"/>
      <c r="E596" s="8"/>
      <c r="F596" s="8"/>
      <c r="G596" s="107"/>
      <c r="H596" s="108"/>
      <c r="I596" s="108"/>
      <c r="J596" s="108"/>
      <c r="K596" s="108"/>
      <c r="L596" s="108"/>
      <c r="M596" s="108"/>
    </row>
    <row r="597" spans="8:8">
      <c r="B597" s="108"/>
      <c r="C597" s="106"/>
      <c r="D597" s="105"/>
      <c r="E597" s="8"/>
      <c r="F597" s="8"/>
      <c r="G597" s="107"/>
      <c r="H597" s="108"/>
      <c r="I597" s="108"/>
      <c r="J597" s="108"/>
      <c r="K597" s="108"/>
      <c r="L597" s="108"/>
      <c r="M597" s="108"/>
    </row>
    <row r="598" spans="8:8">
      <c r="B598" s="108"/>
      <c r="C598" s="106"/>
      <c r="D598" s="105"/>
      <c r="E598" s="8"/>
      <c r="F598" s="8"/>
      <c r="G598" s="107"/>
      <c r="H598" s="108"/>
      <c r="I598" s="108"/>
      <c r="J598" s="108"/>
      <c r="K598" s="108"/>
      <c r="L598" s="108"/>
      <c r="M598" s="108"/>
    </row>
    <row r="599" spans="8:8">
      <c r="B599" s="108"/>
      <c r="C599" s="106"/>
      <c r="D599" s="105"/>
      <c r="E599" s="8"/>
      <c r="F599" s="8"/>
      <c r="G599" s="107"/>
      <c r="H599" s="108"/>
      <c r="I599" s="108"/>
      <c r="J599" s="108"/>
      <c r="K599" s="108"/>
      <c r="L599" s="108"/>
      <c r="M599" s="108"/>
    </row>
    <row r="600" spans="8:8">
      <c r="B600" s="108"/>
      <c r="C600" s="106"/>
      <c r="D600" s="105"/>
      <c r="E600" s="8"/>
      <c r="F600" s="8"/>
      <c r="G600" s="107"/>
      <c r="H600" s="108"/>
      <c r="I600" s="108"/>
      <c r="J600" s="108"/>
      <c r="K600" s="108"/>
      <c r="L600" s="108"/>
      <c r="M600" s="108"/>
    </row>
    <row r="601" spans="8:8">
      <c r="B601" s="108"/>
      <c r="C601" s="106"/>
      <c r="D601" s="105"/>
      <c r="E601" s="8"/>
      <c r="F601" s="8"/>
      <c r="G601" s="107"/>
      <c r="H601" s="108"/>
      <c r="I601" s="108"/>
      <c r="J601" s="108"/>
      <c r="K601" s="108"/>
      <c r="L601" s="108"/>
      <c r="M601" s="108"/>
    </row>
    <row r="602" spans="8:8">
      <c r="B602" s="108"/>
      <c r="C602" s="106"/>
      <c r="D602" s="105"/>
      <c r="E602" s="8"/>
      <c r="F602" s="8"/>
      <c r="G602" s="107"/>
      <c r="H602" s="108"/>
      <c r="I602" s="108"/>
      <c r="J602" s="108"/>
      <c r="K602" s="108"/>
      <c r="L602" s="108"/>
      <c r="M602" s="108"/>
    </row>
    <row r="603" spans="8:8">
      <c r="B603" s="108"/>
      <c r="C603" s="106"/>
      <c r="D603" s="105"/>
      <c r="E603" s="8"/>
      <c r="F603" s="8"/>
      <c r="G603" s="107"/>
      <c r="H603" s="108"/>
      <c r="I603" s="108"/>
      <c r="J603" s="108"/>
      <c r="K603" s="108"/>
      <c r="L603" s="108"/>
      <c r="M603" s="108"/>
    </row>
    <row r="604" spans="8:8">
      <c r="B604" s="108"/>
      <c r="C604" s="106"/>
      <c r="D604" s="105"/>
      <c r="E604" s="8"/>
      <c r="F604" s="8"/>
      <c r="G604" s="107"/>
      <c r="H604" s="108"/>
      <c r="I604" s="108"/>
      <c r="J604" s="108"/>
      <c r="K604" s="108"/>
      <c r="L604" s="108"/>
      <c r="M604" s="108"/>
    </row>
    <row r="605" spans="8:8">
      <c r="B605" s="108"/>
      <c r="C605" s="106"/>
      <c r="D605" s="105"/>
      <c r="E605" s="8"/>
      <c r="F605" s="8"/>
      <c r="G605" s="107"/>
      <c r="H605" s="108"/>
      <c r="I605" s="108"/>
      <c r="J605" s="108"/>
      <c r="K605" s="108"/>
      <c r="L605" s="108"/>
      <c r="M605" s="108"/>
    </row>
    <row r="606" spans="8:8">
      <c r="B606" s="108"/>
      <c r="C606" s="106"/>
      <c r="D606" s="105"/>
      <c r="E606" s="8"/>
      <c r="F606" s="8"/>
      <c r="G606" s="107"/>
      <c r="H606" s="108"/>
      <c r="I606" s="108"/>
      <c r="J606" s="108"/>
      <c r="K606" s="108"/>
      <c r="L606" s="108"/>
      <c r="M606" s="108"/>
    </row>
    <row r="607" spans="8:8">
      <c r="B607" s="108"/>
      <c r="C607" s="106"/>
      <c r="D607" s="105"/>
      <c r="E607" s="8"/>
      <c r="F607" s="8"/>
      <c r="G607" s="107"/>
      <c r="H607" s="108"/>
      <c r="I607" s="108"/>
      <c r="J607" s="108"/>
      <c r="K607" s="108"/>
      <c r="L607" s="108"/>
      <c r="M607" s="108"/>
    </row>
    <row r="608" spans="8:8">
      <c r="B608" s="108"/>
      <c r="C608" s="106"/>
      <c r="D608" s="105"/>
      <c r="E608" s="8"/>
      <c r="F608" s="8"/>
      <c r="G608" s="107"/>
      <c r="H608" s="108"/>
      <c r="I608" s="108"/>
      <c r="J608" s="108"/>
      <c r="K608" s="108"/>
      <c r="L608" s="108"/>
      <c r="M608" s="108"/>
    </row>
    <row r="609" spans="8:8">
      <c r="B609" s="108"/>
      <c r="C609" s="106"/>
      <c r="D609" s="105"/>
      <c r="E609" s="8"/>
      <c r="F609" s="8"/>
      <c r="G609" s="107"/>
      <c r="H609" s="108"/>
      <c r="I609" s="108"/>
      <c r="J609" s="108"/>
      <c r="K609" s="108"/>
      <c r="L609" s="108"/>
      <c r="M609" s="108"/>
    </row>
    <row r="610" spans="8:8">
      <c r="B610" s="108"/>
      <c r="C610" s="106"/>
      <c r="D610" s="105"/>
      <c r="E610" s="8"/>
      <c r="F610" s="8"/>
      <c r="G610" s="107"/>
      <c r="H610" s="108"/>
      <c r="I610" s="108"/>
      <c r="J610" s="108"/>
      <c r="K610" s="108"/>
      <c r="L610" s="108"/>
      <c r="M610" s="108"/>
    </row>
    <row r="611" spans="8:8">
      <c r="B611" s="108"/>
      <c r="C611" s="106"/>
      <c r="D611" s="105"/>
      <c r="E611" s="8"/>
      <c r="F611" s="8"/>
      <c r="G611" s="107"/>
      <c r="H611" s="108"/>
      <c r="I611" s="108"/>
      <c r="J611" s="108"/>
      <c r="K611" s="108"/>
      <c r="L611" s="108"/>
      <c r="M611" s="108"/>
    </row>
    <row r="612" spans="8:8">
      <c r="B612" s="108"/>
      <c r="C612" s="106"/>
      <c r="D612" s="105"/>
      <c r="E612" s="8"/>
      <c r="F612" s="8"/>
      <c r="G612" s="107"/>
      <c r="H612" s="108"/>
      <c r="I612" s="108"/>
      <c r="J612" s="108"/>
      <c r="K612" s="108"/>
      <c r="L612" s="108"/>
      <c r="M612" s="108"/>
    </row>
    <row r="613" spans="8:8">
      <c r="B613" s="108"/>
      <c r="C613" s="106"/>
      <c r="D613" s="105"/>
      <c r="E613" s="8"/>
      <c r="F613" s="8"/>
      <c r="G613" s="107"/>
      <c r="H613" s="108"/>
      <c r="I613" s="108"/>
      <c r="J613" s="108"/>
      <c r="K613" s="108"/>
      <c r="L613" s="108"/>
      <c r="M613" s="108"/>
    </row>
    <row r="614" spans="8:8">
      <c r="B614" s="108"/>
      <c r="C614" s="106"/>
      <c r="D614" s="105"/>
      <c r="E614" s="8"/>
      <c r="F614" s="8"/>
      <c r="G614" s="107"/>
      <c r="H614" s="108"/>
      <c r="I614" s="108"/>
      <c r="J614" s="108"/>
      <c r="K614" s="108"/>
      <c r="L614" s="108"/>
      <c r="M614" s="108"/>
    </row>
    <row r="615" spans="8:8">
      <c r="B615" s="108"/>
      <c r="C615" s="106"/>
      <c r="D615" s="105"/>
      <c r="E615" s="8"/>
      <c r="F615" s="8"/>
      <c r="G615" s="107"/>
      <c r="H615" s="108"/>
      <c r="I615" s="108"/>
      <c r="J615" s="108"/>
      <c r="K615" s="108"/>
      <c r="L615" s="108"/>
      <c r="M615" s="108"/>
    </row>
    <row r="616" spans="8:8">
      <c r="B616" s="108"/>
      <c r="C616" s="106"/>
      <c r="D616" s="105"/>
      <c r="E616" s="8"/>
      <c r="F616" s="8"/>
      <c r="G616" s="107"/>
      <c r="H616" s="108"/>
      <c r="I616" s="108"/>
      <c r="J616" s="108"/>
      <c r="K616" s="108"/>
      <c r="L616" s="108"/>
      <c r="M616" s="108"/>
    </row>
    <row r="617" spans="8:8">
      <c r="B617" s="108"/>
      <c r="C617" s="106"/>
      <c r="D617" s="105"/>
      <c r="E617" s="8"/>
      <c r="F617" s="8"/>
      <c r="G617" s="107"/>
      <c r="H617" s="108"/>
      <c r="I617" s="108"/>
      <c r="J617" s="108"/>
      <c r="K617" s="108"/>
      <c r="L617" s="108"/>
      <c r="M617" s="108"/>
    </row>
    <row r="618" spans="8:8">
      <c r="B618" s="108"/>
      <c r="C618" s="106"/>
      <c r="D618" s="105"/>
      <c r="E618" s="8"/>
      <c r="F618" s="8"/>
      <c r="G618" s="107"/>
      <c r="H618" s="108"/>
      <c r="I618" s="108"/>
      <c r="J618" s="108"/>
      <c r="K618" s="108"/>
      <c r="L618" s="108"/>
      <c r="M618" s="108"/>
    </row>
    <row r="619" spans="8:8">
      <c r="B619" s="108"/>
      <c r="C619" s="106"/>
      <c r="D619" s="105"/>
      <c r="E619" s="8"/>
      <c r="F619" s="8"/>
      <c r="G619" s="107"/>
      <c r="H619" s="108"/>
      <c r="I619" s="108"/>
      <c r="J619" s="108"/>
      <c r="K619" s="108"/>
      <c r="L619" s="108"/>
      <c r="M619" s="108"/>
    </row>
    <row r="620" spans="8:8">
      <c r="B620" s="108"/>
      <c r="C620" s="106"/>
      <c r="D620" s="105"/>
      <c r="E620" s="8"/>
      <c r="F620" s="8"/>
      <c r="G620" s="107"/>
      <c r="H620" s="108"/>
      <c r="I620" s="108"/>
      <c r="J620" s="108"/>
      <c r="K620" s="108"/>
      <c r="L620" s="108"/>
      <c r="M620" s="108"/>
    </row>
    <row r="621" spans="8:8">
      <c r="B621" s="108"/>
      <c r="C621" s="106"/>
      <c r="D621" s="105"/>
      <c r="E621" s="8"/>
      <c r="F621" s="8"/>
      <c r="G621" s="107"/>
      <c r="H621" s="108"/>
      <c r="I621" s="108"/>
      <c r="J621" s="108"/>
      <c r="K621" s="108"/>
      <c r="L621" s="108"/>
      <c r="M621" s="108"/>
    </row>
    <row r="622" spans="8:8">
      <c r="B622" s="108"/>
      <c r="C622" s="106"/>
      <c r="D622" s="105"/>
      <c r="E622" s="8"/>
      <c r="F622" s="8"/>
      <c r="G622" s="107"/>
      <c r="H622" s="108"/>
      <c r="I622" s="108"/>
      <c r="J622" s="108"/>
      <c r="K622" s="108"/>
      <c r="L622" s="108"/>
      <c r="M622" s="108"/>
    </row>
    <row r="623" spans="8:8">
      <c r="B623" s="108"/>
      <c r="C623" s="106"/>
      <c r="D623" s="105"/>
      <c r="E623" s="8"/>
      <c r="F623" s="8"/>
      <c r="G623" s="107"/>
      <c r="H623" s="108"/>
      <c r="I623" s="108"/>
      <c r="J623" s="108"/>
      <c r="K623" s="108"/>
      <c r="L623" s="108"/>
      <c r="M623" s="108"/>
    </row>
    <row r="624" spans="8:8">
      <c r="B624" s="108"/>
      <c r="C624" s="106"/>
      <c r="D624" s="105"/>
      <c r="E624" s="8"/>
      <c r="F624" s="8"/>
      <c r="G624" s="107"/>
      <c r="H624" s="108"/>
      <c r="I624" s="108"/>
      <c r="J624" s="108"/>
      <c r="K624" s="108"/>
      <c r="L624" s="108"/>
      <c r="M624" s="108"/>
    </row>
    <row r="625" spans="8:8">
      <c r="B625" s="108"/>
      <c r="C625" s="106"/>
      <c r="D625" s="105"/>
      <c r="E625" s="8"/>
      <c r="F625" s="8"/>
      <c r="G625" s="107"/>
      <c r="H625" s="108"/>
      <c r="I625" s="108"/>
      <c r="J625" s="108"/>
      <c r="K625" s="108"/>
      <c r="L625" s="108"/>
      <c r="M625" s="108"/>
    </row>
    <row r="626" spans="8:8">
      <c r="B626" s="108"/>
      <c r="C626" s="106"/>
      <c r="D626" s="105"/>
      <c r="E626" s="8"/>
      <c r="F626" s="8"/>
      <c r="G626" s="107"/>
      <c r="H626" s="108"/>
      <c r="I626" s="108"/>
      <c r="J626" s="108"/>
      <c r="K626" s="108"/>
      <c r="L626" s="108"/>
      <c r="M626" s="108"/>
    </row>
    <row r="627" spans="8:8">
      <c r="A627" s="87">
        <v>0.0</v>
      </c>
      <c r="B627" s="108"/>
      <c r="C627" s="106"/>
      <c r="D627" s="105"/>
      <c r="E627" s="8"/>
      <c r="F627" s="8"/>
      <c r="G627" s="107"/>
      <c r="H627" s="108"/>
      <c r="I627" s="108"/>
      <c r="J627" s="108"/>
      <c r="K627" s="108"/>
      <c r="L627" s="108"/>
      <c r="M627" s="108"/>
    </row>
    <row r="628" spans="8:8">
      <c r="B628" s="108"/>
      <c r="C628" s="106"/>
      <c r="D628" s="105"/>
      <c r="E628" s="8"/>
      <c r="F628" s="8"/>
      <c r="G628" s="107"/>
      <c r="H628" s="108"/>
      <c r="I628" s="108"/>
      <c r="J628" s="108"/>
      <c r="K628" s="108"/>
      <c r="L628" s="108"/>
      <c r="M628" s="108"/>
    </row>
    <row r="629" spans="8:8">
      <c r="B629" s="108"/>
      <c r="C629" s="106"/>
      <c r="D629" s="105"/>
      <c r="E629" s="8"/>
      <c r="F629" s="8"/>
      <c r="G629" s="107"/>
      <c r="H629" s="108"/>
      <c r="I629" s="108"/>
      <c r="J629" s="108"/>
      <c r="K629" s="108"/>
      <c r="L629" s="108"/>
      <c r="M629" s="108"/>
    </row>
    <row r="630" spans="8:8">
      <c r="B630" s="108"/>
      <c r="C630" s="106"/>
      <c r="D630" s="105"/>
      <c r="E630" s="8"/>
      <c r="F630" s="8"/>
      <c r="G630" s="107"/>
      <c r="H630" s="108"/>
      <c r="I630" s="108"/>
      <c r="J630" s="108"/>
      <c r="K630" s="108"/>
      <c r="L630" s="108"/>
      <c r="M630" s="108"/>
    </row>
    <row r="631" spans="8:8">
      <c r="B631" s="108"/>
      <c r="C631" s="106"/>
      <c r="D631" s="105"/>
      <c r="E631" s="8"/>
      <c r="F631" s="8"/>
      <c r="G631" s="107"/>
      <c r="H631" s="108"/>
      <c r="I631" s="108"/>
      <c r="J631" s="108"/>
      <c r="K631" s="108"/>
      <c r="L631" s="108"/>
      <c r="M631" s="108"/>
    </row>
    <row r="632" spans="8:8">
      <c r="B632" s="108"/>
      <c r="C632" s="106"/>
      <c r="D632" s="105"/>
      <c r="E632" s="8"/>
      <c r="F632" s="8"/>
      <c r="G632" s="107"/>
      <c r="H632" s="108"/>
      <c r="I632" s="108"/>
      <c r="J632" s="108"/>
      <c r="K632" s="108"/>
      <c r="L632" s="108"/>
      <c r="M632" s="108"/>
    </row>
    <row r="633" spans="8:8">
      <c r="B633" s="108"/>
      <c r="C633" s="106"/>
      <c r="D633" s="105"/>
      <c r="E633" s="8"/>
      <c r="F633" s="8"/>
      <c r="G633" s="107"/>
      <c r="H633" s="108"/>
      <c r="I633" s="108"/>
      <c r="J633" s="108"/>
      <c r="K633" s="108"/>
      <c r="L633" s="108"/>
      <c r="M633" s="108"/>
    </row>
    <row r="634" spans="8:8">
      <c r="B634" s="108"/>
      <c r="C634" s="106"/>
      <c r="D634" s="105"/>
      <c r="E634" s="8"/>
      <c r="F634" s="8"/>
      <c r="G634" s="107"/>
      <c r="H634" s="108"/>
      <c r="I634" s="108"/>
      <c r="J634" s="108"/>
      <c r="K634" s="108"/>
      <c r="L634" s="108"/>
      <c r="M634" s="108"/>
    </row>
    <row r="635" spans="8:8">
      <c r="B635" s="108"/>
      <c r="C635" s="106"/>
      <c r="D635" s="105"/>
      <c r="E635" s="8"/>
      <c r="F635" s="8"/>
      <c r="G635" s="107"/>
      <c r="H635" s="108"/>
      <c r="I635" s="108"/>
      <c r="J635" s="108"/>
      <c r="K635" s="108"/>
      <c r="L635" s="108"/>
      <c r="M635" s="108"/>
    </row>
    <row r="636" spans="8:8">
      <c r="B636" s="108"/>
      <c r="C636" s="106"/>
      <c r="D636" s="105"/>
      <c r="E636" s="8"/>
      <c r="F636" s="8"/>
      <c r="G636" s="107"/>
      <c r="H636" s="108"/>
      <c r="I636" s="108"/>
      <c r="J636" s="108"/>
      <c r="K636" s="108"/>
      <c r="L636" s="108"/>
      <c r="M636" s="108"/>
    </row>
    <row r="637" spans="8:8">
      <c r="B637" s="108"/>
      <c r="C637" s="106"/>
      <c r="D637" s="105"/>
      <c r="E637" s="8"/>
      <c r="F637" s="8"/>
      <c r="G637" s="107"/>
      <c r="H637" s="108"/>
      <c r="I637" s="108"/>
      <c r="J637" s="108"/>
      <c r="K637" s="108"/>
      <c r="L637" s="108"/>
      <c r="M637" s="108"/>
    </row>
    <row r="638" spans="8:8">
      <c r="B638" s="108"/>
      <c r="C638" s="106"/>
      <c r="D638" s="105"/>
      <c r="E638" s="8"/>
      <c r="F638" s="8"/>
      <c r="G638" s="107"/>
      <c r="H638" s="108"/>
      <c r="I638" s="108"/>
      <c r="J638" s="108"/>
      <c r="K638" s="108"/>
      <c r="L638" s="108"/>
      <c r="M638" s="108"/>
    </row>
    <row r="639" spans="8:8">
      <c r="B639" s="108"/>
      <c r="C639" s="106"/>
      <c r="D639" s="105"/>
      <c r="E639" s="8"/>
      <c r="F639" s="8"/>
      <c r="G639" s="107"/>
      <c r="H639" s="108"/>
      <c r="I639" s="108"/>
      <c r="J639" s="108"/>
      <c r="K639" s="108"/>
      <c r="L639" s="108"/>
      <c r="M639" s="108"/>
    </row>
    <row r="640" spans="8:8">
      <c r="B640" s="108"/>
      <c r="C640" s="106"/>
      <c r="D640" s="105"/>
      <c r="E640" s="8"/>
      <c r="F640" s="8"/>
      <c r="G640" s="107"/>
      <c r="H640" s="108"/>
      <c r="I640" s="108"/>
      <c r="J640" s="108"/>
      <c r="K640" s="108"/>
      <c r="L640" s="108"/>
      <c r="M640" s="108"/>
    </row>
    <row r="641" spans="8:8">
      <c r="B641" s="108"/>
      <c r="C641" s="106"/>
      <c r="D641" s="105"/>
      <c r="E641" s="8"/>
      <c r="F641" s="8"/>
      <c r="G641" s="107"/>
      <c r="H641" s="108"/>
      <c r="I641" s="108"/>
      <c r="J641" s="108"/>
      <c r="K641" s="108"/>
      <c r="L641" s="108"/>
      <c r="M641" s="108"/>
    </row>
    <row r="642" spans="8:8">
      <c r="B642" s="108"/>
      <c r="C642" s="106"/>
      <c r="D642" s="105"/>
      <c r="E642" s="8"/>
      <c r="F642" s="8"/>
      <c r="G642" s="107"/>
      <c r="H642" s="108"/>
      <c r="I642" s="108"/>
      <c r="J642" s="108"/>
      <c r="K642" s="108"/>
      <c r="L642" s="108"/>
      <c r="M642" s="108"/>
    </row>
    <row r="643" spans="8:8">
      <c r="B643" s="108"/>
      <c r="C643" s="106"/>
      <c r="D643" s="105"/>
      <c r="E643" s="8"/>
      <c r="F643" s="8"/>
      <c r="G643" s="107"/>
      <c r="H643" s="108"/>
      <c r="I643" s="108"/>
      <c r="J643" s="108"/>
      <c r="K643" s="108"/>
      <c r="L643" s="108"/>
      <c r="M643" s="108"/>
    </row>
    <row r="644" spans="8:8">
      <c r="B644" s="108"/>
      <c r="C644" s="106"/>
      <c r="D644" s="105"/>
      <c r="E644" s="8"/>
      <c r="F644" s="8"/>
      <c r="G644" s="107"/>
      <c r="H644" s="108"/>
      <c r="I644" s="108"/>
      <c r="J644" s="108"/>
      <c r="K644" s="108"/>
      <c r="L644" s="108"/>
      <c r="M644" s="108"/>
    </row>
    <row r="645" spans="8:8">
      <c r="B645" s="108"/>
      <c r="C645" s="106"/>
      <c r="D645" s="105"/>
      <c r="E645" s="8"/>
      <c r="F645" s="8"/>
      <c r="G645" s="107"/>
      <c r="H645" s="108"/>
      <c r="I645" s="108"/>
      <c r="J645" s="108"/>
      <c r="K645" s="108"/>
      <c r="L645" s="108"/>
      <c r="M645" s="108"/>
    </row>
    <row r="646" spans="8:8">
      <c r="B646" s="108"/>
      <c r="C646" s="106"/>
      <c r="D646" s="105"/>
      <c r="E646" s="8"/>
      <c r="F646" s="8"/>
      <c r="G646" s="107"/>
      <c r="H646" s="108"/>
      <c r="I646" s="108"/>
      <c r="J646" s="108"/>
      <c r="K646" s="108"/>
      <c r="L646" s="108"/>
      <c r="M646" s="108"/>
    </row>
    <row r="647" spans="8:8">
      <c r="B647" s="108"/>
      <c r="C647" s="106"/>
      <c r="D647" s="105"/>
      <c r="E647" s="8"/>
      <c r="F647" s="8"/>
      <c r="G647" s="107"/>
      <c r="H647" s="108"/>
      <c r="I647" s="108"/>
      <c r="J647" s="108"/>
      <c r="K647" s="108"/>
      <c r="L647" s="108"/>
      <c r="M647" s="108"/>
    </row>
    <row r="648" spans="8:8">
      <c r="B648" s="108"/>
      <c r="C648" s="106"/>
      <c r="D648" s="105"/>
      <c r="E648" s="8"/>
      <c r="F648" s="8"/>
      <c r="G648" s="107"/>
      <c r="H648" s="108"/>
      <c r="I648" s="108"/>
      <c r="J648" s="108"/>
      <c r="K648" s="108"/>
      <c r="L648" s="108"/>
      <c r="M648" s="108"/>
    </row>
    <row r="649" spans="8:8">
      <c r="B649" s="108"/>
      <c r="C649" s="106"/>
      <c r="D649" s="105"/>
      <c r="E649" s="8"/>
      <c r="F649" s="8"/>
      <c r="G649" s="107"/>
      <c r="H649" s="108"/>
      <c r="I649" s="108"/>
      <c r="J649" s="108"/>
      <c r="K649" s="108"/>
      <c r="L649" s="108"/>
      <c r="M649" s="108"/>
    </row>
    <row r="650" spans="8:8">
      <c r="B650" s="108"/>
      <c r="C650" s="106"/>
      <c r="D650" s="105"/>
      <c r="E650" s="8"/>
      <c r="F650" s="8"/>
      <c r="G650" s="107"/>
      <c r="H650" s="108"/>
      <c r="I650" s="108"/>
      <c r="J650" s="108"/>
      <c r="K650" s="108"/>
      <c r="L650" s="108"/>
      <c r="M650" s="108"/>
    </row>
    <row r="651" spans="8:8">
      <c r="B651" s="108"/>
      <c r="C651" s="106"/>
      <c r="D651" s="105"/>
      <c r="E651" s="8"/>
      <c r="F651" s="8"/>
      <c r="G651" s="107"/>
      <c r="H651" s="108"/>
      <c r="I651" s="108"/>
      <c r="J651" s="108"/>
      <c r="K651" s="108"/>
      <c r="L651" s="108"/>
      <c r="M651" s="108"/>
    </row>
    <row r="652" spans="8:8">
      <c r="B652" s="108"/>
      <c r="C652" s="106"/>
      <c r="D652" s="105"/>
      <c r="E652" s="8"/>
      <c r="F652" s="8"/>
      <c r="G652" s="107"/>
      <c r="H652" s="108"/>
      <c r="I652" s="108"/>
      <c r="J652" s="108"/>
      <c r="K652" s="108"/>
      <c r="L652" s="108"/>
      <c r="M652" s="108"/>
    </row>
    <row r="653" spans="8:8">
      <c r="B653" s="108"/>
      <c r="C653" s="106"/>
      <c r="D653" s="105"/>
      <c r="E653" s="8"/>
      <c r="F653" s="8"/>
      <c r="G653" s="107"/>
      <c r="H653" s="108"/>
      <c r="I653" s="108"/>
      <c r="J653" s="108"/>
      <c r="K653" s="108"/>
      <c r="L653" s="108"/>
      <c r="M653" s="108"/>
    </row>
    <row r="654" spans="8:8">
      <c r="B654" s="108"/>
      <c r="C654" s="106"/>
      <c r="D654" s="105"/>
      <c r="E654" s="8"/>
      <c r="F654" s="8"/>
      <c r="G654" s="107"/>
      <c r="H654" s="108"/>
      <c r="I654" s="108"/>
      <c r="J654" s="108"/>
      <c r="K654" s="108"/>
      <c r="L654" s="108"/>
      <c r="M654" s="108"/>
    </row>
    <row r="655" spans="8:8">
      <c r="B655" s="108"/>
      <c r="C655" s="106"/>
      <c r="D655" s="105"/>
      <c r="E655" s="8"/>
      <c r="F655" s="8"/>
      <c r="G655" s="107"/>
      <c r="H655" s="108"/>
      <c r="I655" s="108"/>
      <c r="J655" s="108"/>
      <c r="K655" s="108"/>
      <c r="L655" s="108"/>
      <c r="M655" s="108"/>
    </row>
    <row r="656" spans="8:8">
      <c r="B656" s="108"/>
      <c r="C656" s="106"/>
      <c r="D656" s="105"/>
      <c r="E656" s="8"/>
      <c r="F656" s="8"/>
      <c r="G656" s="107"/>
      <c r="H656" s="108"/>
      <c r="I656" s="108"/>
      <c r="J656" s="108"/>
      <c r="K656" s="108"/>
      <c r="L656" s="108"/>
      <c r="M656" s="108"/>
    </row>
    <row r="657" spans="8:8">
      <c r="B657" s="108"/>
      <c r="C657" s="106"/>
      <c r="D657" s="105"/>
      <c r="E657" s="8"/>
      <c r="F657" s="8"/>
      <c r="G657" s="107"/>
      <c r="H657" s="108"/>
      <c r="I657" s="108"/>
      <c r="J657" s="108"/>
      <c r="K657" s="108"/>
      <c r="L657" s="108"/>
      <c r="M657" s="108"/>
    </row>
    <row r="658" spans="8:8">
      <c r="B658" s="108"/>
      <c r="C658" s="106"/>
      <c r="D658" s="105"/>
      <c r="E658" s="8"/>
      <c r="F658" s="8"/>
      <c r="G658" s="107"/>
      <c r="H658" s="108"/>
      <c r="I658" s="108"/>
      <c r="J658" s="108"/>
      <c r="K658" s="108"/>
      <c r="L658" s="108"/>
      <c r="M658" s="108"/>
    </row>
    <row r="659" spans="8:8">
      <c r="B659" s="108"/>
      <c r="C659" s="106"/>
      <c r="D659" s="105"/>
      <c r="E659" s="8"/>
      <c r="F659" s="8"/>
      <c r="G659" s="107"/>
      <c r="H659" s="108"/>
      <c r="I659" s="108"/>
      <c r="J659" s="108"/>
      <c r="K659" s="108"/>
      <c r="L659" s="108"/>
      <c r="M659" s="108"/>
    </row>
    <row r="660" spans="8:8">
      <c r="B660" s="108"/>
      <c r="C660" s="106"/>
      <c r="D660" s="105"/>
      <c r="E660" s="8"/>
      <c r="F660" s="8"/>
      <c r="G660" s="107"/>
      <c r="H660" s="108"/>
      <c r="I660" s="108"/>
      <c r="J660" s="108"/>
      <c r="K660" s="108"/>
      <c r="L660" s="108"/>
      <c r="M660" s="108"/>
    </row>
    <row r="661" spans="8:8">
      <c r="B661" s="108"/>
      <c r="C661" s="106"/>
      <c r="D661" s="105"/>
      <c r="E661" s="8"/>
      <c r="F661" s="8"/>
      <c r="G661" s="107"/>
      <c r="H661" s="108"/>
      <c r="I661" s="108"/>
      <c r="J661" s="108"/>
      <c r="K661" s="108"/>
      <c r="L661" s="108"/>
      <c r="M661" s="108"/>
    </row>
    <row r="662" spans="8:8">
      <c r="B662" s="108"/>
      <c r="C662" s="106"/>
      <c r="D662" s="105"/>
      <c r="E662" s="8"/>
      <c r="F662" s="8"/>
      <c r="G662" s="107"/>
      <c r="H662" s="108"/>
      <c r="I662" s="108"/>
      <c r="J662" s="108"/>
      <c r="K662" s="108"/>
      <c r="L662" s="108"/>
      <c r="M662" s="108"/>
    </row>
    <row r="663" spans="8:8">
      <c r="B663" s="108"/>
      <c r="C663" s="106"/>
      <c r="D663" s="105"/>
      <c r="E663" s="8"/>
      <c r="F663" s="8"/>
      <c r="G663" s="107"/>
      <c r="H663" s="108"/>
      <c r="I663" s="108"/>
      <c r="J663" s="108"/>
      <c r="K663" s="108"/>
      <c r="L663" s="108"/>
      <c r="M663" s="108"/>
    </row>
    <row r="664" spans="8:8">
      <c r="B664" s="108"/>
      <c r="C664" s="106"/>
      <c r="D664" s="105"/>
      <c r="E664" s="8"/>
      <c r="F664" s="8"/>
      <c r="G664" s="107"/>
      <c r="H664" s="108"/>
      <c r="I664" s="108"/>
      <c r="J664" s="108"/>
      <c r="K664" s="108"/>
      <c r="L664" s="108"/>
      <c r="M664" s="108"/>
    </row>
    <row r="665" spans="8:8">
      <c r="B665" s="108"/>
      <c r="C665" s="106"/>
      <c r="D665" s="105"/>
      <c r="E665" s="8"/>
      <c r="F665" s="8"/>
      <c r="G665" s="107"/>
      <c r="H665" s="108"/>
      <c r="I665" s="108"/>
      <c r="J665" s="108"/>
      <c r="K665" s="108"/>
      <c r="L665" s="108"/>
      <c r="M665" s="108"/>
    </row>
    <row r="666" spans="8:8">
      <c r="B666" s="108"/>
      <c r="C666" s="106"/>
      <c r="D666" s="105"/>
      <c r="E666" s="8"/>
      <c r="F666" s="8"/>
      <c r="G666" s="107"/>
      <c r="H666" s="108"/>
      <c r="I666" s="108"/>
      <c r="J666" s="108"/>
      <c r="K666" s="108"/>
      <c r="L666" s="108"/>
      <c r="M666" s="108"/>
    </row>
    <row r="667" spans="8:8">
      <c r="B667" s="108"/>
      <c r="C667" s="106"/>
      <c r="D667" s="105"/>
      <c r="E667" s="8"/>
      <c r="F667" s="8"/>
      <c r="G667" s="107"/>
      <c r="H667" s="108"/>
      <c r="I667" s="108"/>
      <c r="J667" s="108"/>
      <c r="K667" s="108"/>
      <c r="L667" s="108"/>
      <c r="M667" s="108"/>
    </row>
    <row r="668" spans="8:8">
      <c r="B668" s="108"/>
      <c r="C668" s="106"/>
      <c r="D668" s="105"/>
      <c r="E668" s="8"/>
      <c r="F668" s="8"/>
      <c r="G668" s="107"/>
      <c r="H668" s="108"/>
      <c r="I668" s="108"/>
      <c r="J668" s="108"/>
      <c r="K668" s="108"/>
      <c r="L668" s="108"/>
      <c r="M668" s="108"/>
    </row>
    <row r="669" spans="8:8">
      <c r="B669" s="108"/>
      <c r="C669" s="106"/>
      <c r="D669" s="105"/>
      <c r="E669" s="8"/>
      <c r="F669" s="8"/>
      <c r="G669" s="107"/>
      <c r="H669" s="108"/>
      <c r="I669" s="108"/>
      <c r="J669" s="108"/>
      <c r="K669" s="108"/>
      <c r="L669" s="108"/>
      <c r="M669" s="108"/>
    </row>
    <row r="670" spans="8:8">
      <c r="B670" s="108"/>
      <c r="C670" s="106"/>
      <c r="D670" s="105"/>
      <c r="E670" s="8"/>
      <c r="F670" s="8"/>
      <c r="G670" s="107"/>
      <c r="H670" s="108"/>
      <c r="I670" s="108"/>
      <c r="J670" s="108"/>
      <c r="K670" s="108"/>
      <c r="L670" s="108"/>
      <c r="M670" s="108"/>
    </row>
    <row r="671" spans="8:8">
      <c r="B671" s="108"/>
      <c r="C671" s="106"/>
      <c r="D671" s="105"/>
      <c r="E671" s="8"/>
      <c r="F671" s="8"/>
      <c r="G671" s="107"/>
      <c r="H671" s="108"/>
      <c r="I671" s="108"/>
      <c r="J671" s="108"/>
      <c r="K671" s="108"/>
      <c r="L671" s="108"/>
      <c r="M671" s="108"/>
    </row>
    <row r="672" spans="8:8">
      <c r="B672" s="108"/>
      <c r="C672" s="106"/>
      <c r="D672" s="105"/>
      <c r="E672" s="8"/>
      <c r="F672" s="8"/>
      <c r="G672" s="107"/>
      <c r="H672" s="108"/>
      <c r="I672" s="108"/>
      <c r="J672" s="108"/>
      <c r="K672" s="108"/>
      <c r="L672" s="108"/>
      <c r="M672" s="108"/>
    </row>
    <row r="673" spans="8:8">
      <c r="B673" s="108"/>
      <c r="C673" s="106"/>
      <c r="D673" s="105"/>
      <c r="E673" s="8"/>
      <c r="F673" s="8"/>
      <c r="G673" s="107"/>
      <c r="H673" s="108"/>
      <c r="I673" s="108"/>
      <c r="J673" s="108"/>
      <c r="K673" s="108"/>
      <c r="L673" s="108"/>
      <c r="M673" s="108"/>
    </row>
    <row r="674" spans="8:8">
      <c r="B674" s="108"/>
      <c r="C674" s="106"/>
      <c r="D674" s="105"/>
      <c r="E674" s="8"/>
      <c r="F674" s="8"/>
      <c r="G674" s="107"/>
      <c r="H674" s="108"/>
      <c r="I674" s="108"/>
      <c r="J674" s="108"/>
      <c r="K674" s="108"/>
      <c r="L674" s="108"/>
      <c r="M674" s="108"/>
    </row>
    <row r="675" spans="8:8">
      <c r="B675" s="108"/>
      <c r="C675" s="106"/>
      <c r="D675" s="105"/>
      <c r="E675" s="8"/>
      <c r="F675" s="8"/>
      <c r="G675" s="107"/>
      <c r="H675" s="108"/>
      <c r="I675" s="108"/>
      <c r="J675" s="108"/>
      <c r="K675" s="108"/>
      <c r="L675" s="108"/>
      <c r="M675" s="108"/>
    </row>
    <row r="676" spans="8:8">
      <c r="B676" s="108"/>
      <c r="C676" s="106"/>
      <c r="D676" s="105"/>
      <c r="E676" s="8"/>
      <c r="F676" s="8"/>
      <c r="G676" s="107"/>
      <c r="H676" s="108"/>
      <c r="I676" s="108"/>
      <c r="J676" s="108"/>
      <c r="K676" s="108"/>
      <c r="L676" s="108"/>
      <c r="M676" s="108"/>
    </row>
    <row r="677" spans="8:8">
      <c r="B677" s="108"/>
      <c r="C677" s="106"/>
      <c r="D677" s="105"/>
      <c r="E677" s="8"/>
      <c r="F677" s="8"/>
      <c r="G677" s="107"/>
      <c r="H677" s="108"/>
      <c r="I677" s="108"/>
      <c r="J677" s="108"/>
      <c r="K677" s="108"/>
      <c r="L677" s="108"/>
      <c r="M677" s="108"/>
    </row>
    <row r="678" spans="8:8">
      <c r="B678" s="108"/>
      <c r="C678" s="106"/>
      <c r="D678" s="105"/>
      <c r="E678" s="8"/>
      <c r="F678" s="8"/>
      <c r="G678" s="107"/>
      <c r="H678" s="108"/>
      <c r="I678" s="108"/>
      <c r="J678" s="108"/>
      <c r="K678" s="108"/>
      <c r="L678" s="108"/>
      <c r="M678" s="108"/>
    </row>
    <row r="679" spans="8:8">
      <c r="B679" s="108"/>
      <c r="C679" s="106"/>
      <c r="D679" s="105"/>
      <c r="E679" s="8"/>
      <c r="F679" s="8"/>
      <c r="G679" s="107"/>
      <c r="H679" s="108"/>
      <c r="I679" s="108"/>
      <c r="J679" s="108"/>
      <c r="K679" s="108"/>
      <c r="L679" s="108"/>
      <c r="M679" s="108"/>
    </row>
    <row r="680" spans="8:8">
      <c r="B680" s="108"/>
      <c r="C680" s="106"/>
      <c r="D680" s="105"/>
      <c r="E680" s="8"/>
      <c r="F680" s="8"/>
      <c r="G680" s="107"/>
      <c r="H680" s="108"/>
      <c r="I680" s="108"/>
      <c r="J680" s="108"/>
      <c r="K680" s="108"/>
      <c r="L680" s="108"/>
      <c r="M680" s="108"/>
    </row>
    <row r="681" spans="8:8">
      <c r="B681" s="108"/>
      <c r="C681" s="106"/>
      <c r="D681" s="105"/>
      <c r="E681" s="8"/>
      <c r="F681" s="8"/>
      <c r="G681" s="107"/>
      <c r="H681" s="108"/>
      <c r="I681" s="108"/>
      <c r="J681" s="108"/>
      <c r="K681" s="108"/>
      <c r="L681" s="108"/>
      <c r="M681" s="108"/>
    </row>
    <row r="682" spans="8:8">
      <c r="B682" s="108"/>
      <c r="C682" s="106"/>
      <c r="D682" s="105"/>
      <c r="E682" s="8"/>
      <c r="F682" s="8"/>
      <c r="G682" s="107"/>
      <c r="H682" s="108"/>
      <c r="I682" s="108"/>
      <c r="J682" s="108"/>
      <c r="K682" s="108"/>
      <c r="L682" s="108"/>
      <c r="M682" s="108"/>
    </row>
    <row r="683" spans="8:8">
      <c r="B683" s="108"/>
      <c r="C683" s="106"/>
      <c r="D683" s="105"/>
      <c r="E683" s="8"/>
      <c r="F683" s="8"/>
      <c r="G683" s="107"/>
      <c r="H683" s="108"/>
      <c r="I683" s="108"/>
      <c r="J683" s="108"/>
      <c r="K683" s="108"/>
      <c r="L683" s="108"/>
      <c r="M683" s="108"/>
    </row>
    <row r="684" spans="8:8">
      <c r="B684" s="108"/>
      <c r="C684" s="106"/>
      <c r="D684" s="105"/>
      <c r="E684" s="8"/>
      <c r="F684" s="8"/>
      <c r="G684" s="107"/>
      <c r="H684" s="108"/>
      <c r="I684" s="108"/>
      <c r="J684" s="108"/>
      <c r="K684" s="108"/>
      <c r="L684" s="108"/>
      <c r="M684" s="108"/>
    </row>
    <row r="685" spans="8:8">
      <c r="B685" s="108"/>
      <c r="C685" s="106"/>
      <c r="D685" s="105"/>
      <c r="E685" s="55"/>
      <c r="F685" s="55"/>
      <c r="G685" s="107"/>
      <c r="H685" s="108"/>
      <c r="I685" s="108"/>
      <c r="J685" s="108"/>
      <c r="K685" s="108"/>
      <c r="L685" s="108"/>
      <c r="M685" s="108"/>
    </row>
    <row r="686" spans="8:8">
      <c r="B686" s="108"/>
      <c r="C686" s="106"/>
      <c r="D686" s="105"/>
      <c r="E686" s="8"/>
      <c r="F686" s="8"/>
      <c r="G686" s="107"/>
      <c r="H686" s="108"/>
      <c r="I686" s="108"/>
      <c r="J686" s="108"/>
      <c r="K686" s="108"/>
      <c r="L686" s="108"/>
      <c r="M686" s="108"/>
    </row>
    <row r="687" spans="8:8">
      <c r="B687" s="108"/>
      <c r="C687" s="106"/>
      <c r="D687" s="105"/>
      <c r="E687" s="8"/>
      <c r="F687" s="8"/>
      <c r="G687" s="107"/>
      <c r="H687" s="108"/>
      <c r="I687" s="108"/>
      <c r="J687" s="108"/>
      <c r="K687" s="108"/>
      <c r="L687" s="108"/>
      <c r="M687" s="108"/>
    </row>
    <row r="688" spans="8:8">
      <c r="B688" s="108"/>
      <c r="C688" s="106"/>
      <c r="D688" s="105"/>
      <c r="E688" s="8"/>
      <c r="F688" s="8"/>
      <c r="G688" s="107"/>
      <c r="H688" s="108"/>
      <c r="I688" s="108"/>
      <c r="J688" s="108"/>
      <c r="K688" s="108"/>
      <c r="L688" s="108"/>
      <c r="M688" s="108"/>
    </row>
    <row r="689" spans="8:8">
      <c r="B689" s="108"/>
      <c r="C689" s="106"/>
      <c r="D689" s="105"/>
      <c r="E689" s="8"/>
      <c r="F689" s="8"/>
      <c r="G689" s="107"/>
      <c r="H689" s="108"/>
      <c r="I689" s="108"/>
      <c r="J689" s="108"/>
      <c r="K689" s="108"/>
      <c r="L689" s="108"/>
      <c r="M689" s="108"/>
    </row>
    <row r="690" spans="8:8">
      <c r="B690" s="108"/>
      <c r="C690" s="106"/>
      <c r="D690" s="105"/>
      <c r="E690" s="8"/>
      <c r="F690" s="8"/>
      <c r="G690" s="107"/>
      <c r="H690" s="108"/>
      <c r="I690" s="108"/>
      <c r="J690" s="108"/>
      <c r="K690" s="108"/>
      <c r="L690" s="108"/>
      <c r="M690" s="108"/>
    </row>
    <row r="691" spans="8:8">
      <c r="B691" s="108"/>
      <c r="C691" s="106"/>
      <c r="D691" s="105"/>
      <c r="E691" s="8"/>
      <c r="F691" s="8"/>
      <c r="G691" s="107"/>
      <c r="H691" s="108"/>
      <c r="I691" s="108"/>
      <c r="J691" s="108"/>
      <c r="K691" s="108"/>
      <c r="L691" s="108"/>
      <c r="M691" s="108"/>
    </row>
    <row r="692" spans="8:8">
      <c r="B692" s="108"/>
      <c r="C692" s="106"/>
      <c r="D692" s="105"/>
      <c r="E692" s="8"/>
      <c r="F692" s="8"/>
      <c r="G692" s="107"/>
      <c r="H692" s="108"/>
      <c r="I692" s="108"/>
      <c r="J692" s="108"/>
      <c r="K692" s="108"/>
      <c r="L692" s="108"/>
      <c r="M692" s="108"/>
    </row>
    <row r="693" spans="8:8">
      <c r="B693" s="108"/>
      <c r="C693" s="106"/>
      <c r="D693" s="105"/>
      <c r="E693" s="8"/>
      <c r="F693" s="8"/>
      <c r="G693" s="107"/>
      <c r="H693" s="108"/>
      <c r="I693" s="108"/>
      <c r="J693" s="108"/>
      <c r="K693" s="108"/>
      <c r="L693" s="108"/>
      <c r="M693" s="108"/>
    </row>
    <row r="694" spans="8:8">
      <c r="B694" s="108"/>
      <c r="C694" s="106"/>
      <c r="D694" s="105"/>
      <c r="E694" s="8"/>
      <c r="F694" s="8"/>
      <c r="G694" s="107"/>
      <c r="H694" s="108"/>
      <c r="I694" s="108"/>
      <c r="J694" s="108"/>
      <c r="K694" s="108"/>
      <c r="L694" s="108"/>
      <c r="M694" s="108"/>
    </row>
    <row r="695" spans="8:8">
      <c r="B695" s="108"/>
      <c r="C695" s="106"/>
      <c r="D695" s="105"/>
      <c r="E695" s="8"/>
      <c r="F695" s="8"/>
      <c r="G695" s="107"/>
      <c r="H695" s="108"/>
      <c r="I695" s="108"/>
      <c r="J695" s="108"/>
      <c r="K695" s="108"/>
      <c r="L695" s="108"/>
      <c r="M695" s="108"/>
    </row>
    <row r="696" spans="8:8">
      <c r="B696" s="108"/>
      <c r="C696" s="106"/>
      <c r="D696" s="105"/>
      <c r="E696" s="8"/>
      <c r="F696" s="8"/>
      <c r="G696" s="107"/>
      <c r="H696" s="108"/>
      <c r="I696" s="108"/>
      <c r="J696" s="108"/>
      <c r="K696" s="108"/>
      <c r="L696" s="108"/>
      <c r="M696" s="108"/>
    </row>
    <row r="697" spans="8:8">
      <c r="B697" s="108"/>
      <c r="C697" s="106"/>
      <c r="D697" s="105"/>
      <c r="E697" s="8"/>
      <c r="F697" s="8"/>
      <c r="G697" s="107"/>
      <c r="H697" s="108"/>
      <c r="I697" s="108"/>
      <c r="J697" s="108"/>
      <c r="K697" s="108"/>
      <c r="L697" s="108"/>
      <c r="M697" s="108"/>
    </row>
    <row r="698" spans="8:8">
      <c r="B698" s="108"/>
      <c r="C698" s="106"/>
      <c r="D698" s="105"/>
      <c r="E698" s="8"/>
      <c r="F698" s="8"/>
      <c r="G698" s="107"/>
      <c r="H698" s="108"/>
      <c r="I698" s="108"/>
      <c r="J698" s="108"/>
      <c r="K698" s="108"/>
      <c r="L698" s="108"/>
      <c r="M698" s="108"/>
    </row>
    <row r="699" spans="8:8">
      <c r="B699" s="108"/>
      <c r="C699" s="106"/>
      <c r="D699" s="105"/>
      <c r="E699" s="8"/>
      <c r="F699" s="8"/>
      <c r="G699" s="107"/>
      <c r="H699" s="108"/>
      <c r="I699" s="108"/>
      <c r="J699" s="108"/>
      <c r="K699" s="108"/>
      <c r="L699" s="108"/>
      <c r="M699" s="108"/>
    </row>
    <row r="700" spans="8:8">
      <c r="B700" s="108"/>
      <c r="C700" s="106"/>
      <c r="D700" s="105"/>
      <c r="E700" s="8"/>
      <c r="F700" s="8"/>
      <c r="G700" s="107"/>
      <c r="H700" s="108"/>
      <c r="I700" s="108"/>
      <c r="J700" s="108"/>
      <c r="K700" s="108"/>
      <c r="L700" s="108"/>
      <c r="M700" s="108"/>
    </row>
    <row r="701" spans="8:8">
      <c r="B701" s="108"/>
      <c r="C701" s="106"/>
      <c r="D701" s="105"/>
      <c r="E701" s="8"/>
      <c r="F701" s="8"/>
      <c r="G701" s="107"/>
      <c r="H701" s="108"/>
      <c r="I701" s="108"/>
      <c r="J701" s="108"/>
      <c r="K701" s="108"/>
      <c r="L701" s="108"/>
      <c r="M701" s="108"/>
    </row>
    <row r="702" spans="8:8">
      <c r="B702" s="108"/>
      <c r="C702" s="106"/>
      <c r="D702" s="105"/>
      <c r="E702" s="8"/>
      <c r="F702" s="8"/>
      <c r="G702" s="107"/>
      <c r="H702" s="108"/>
      <c r="I702" s="108"/>
      <c r="J702" s="108"/>
      <c r="K702" s="108"/>
      <c r="L702" s="108"/>
      <c r="M702" s="108"/>
    </row>
    <row r="703" spans="8:8">
      <c r="B703" s="108"/>
      <c r="C703" s="106"/>
      <c r="D703" s="105"/>
      <c r="E703" s="8"/>
      <c r="F703" s="8"/>
      <c r="G703" s="107"/>
      <c r="H703" s="108"/>
      <c r="I703" s="108"/>
      <c r="J703" s="108"/>
      <c r="K703" s="108"/>
      <c r="L703" s="108"/>
      <c r="M703" s="108"/>
    </row>
    <row r="704" spans="8:8">
      <c r="B704" s="108"/>
      <c r="C704" s="106"/>
      <c r="D704" s="105"/>
      <c r="E704" s="8"/>
      <c r="F704" s="8"/>
      <c r="G704" s="107"/>
      <c r="H704" s="108"/>
      <c r="I704" s="108"/>
      <c r="J704" s="108"/>
      <c r="K704" s="108"/>
      <c r="L704" s="108"/>
      <c r="M704" s="108"/>
    </row>
    <row r="705" spans="8:8">
      <c r="B705" s="108"/>
      <c r="C705" s="106"/>
      <c r="D705" s="105"/>
      <c r="E705" s="8"/>
      <c r="F705" s="8"/>
      <c r="G705" s="107"/>
      <c r="H705" s="108"/>
      <c r="I705" s="108"/>
      <c r="J705" s="108"/>
      <c r="K705" s="108"/>
      <c r="L705" s="108"/>
      <c r="M705" s="108"/>
    </row>
    <row r="706" spans="8:8">
      <c r="B706" s="108"/>
      <c r="C706" s="106"/>
      <c r="D706" s="105"/>
      <c r="E706" s="8"/>
      <c r="F706" s="8"/>
      <c r="G706" s="107"/>
      <c r="H706" s="108"/>
      <c r="I706" s="108"/>
      <c r="J706" s="108"/>
      <c r="K706" s="108"/>
      <c r="L706" s="108"/>
      <c r="M706" s="108"/>
    </row>
    <row r="707" spans="8:8">
      <c r="B707" s="108"/>
      <c r="C707" s="106"/>
      <c r="D707" s="105"/>
      <c r="E707" s="8"/>
      <c r="F707" s="8"/>
      <c r="G707" s="107"/>
      <c r="H707" s="108"/>
      <c r="I707" s="108"/>
      <c r="J707" s="108"/>
      <c r="K707" s="108"/>
      <c r="L707" s="108"/>
      <c r="M707" s="108"/>
    </row>
    <row r="708" spans="8:8">
      <c r="B708" s="108"/>
      <c r="C708" s="106"/>
      <c r="D708" s="105"/>
      <c r="E708" s="8"/>
      <c r="F708" s="8"/>
      <c r="G708" s="107"/>
      <c r="H708" s="108"/>
      <c r="I708" s="108"/>
      <c r="J708" s="108"/>
      <c r="K708" s="108"/>
      <c r="L708" s="108"/>
      <c r="M708" s="108"/>
    </row>
    <row r="709" spans="8:8">
      <c r="B709" s="108"/>
      <c r="C709" s="106"/>
      <c r="D709" s="105"/>
      <c r="E709" s="8"/>
      <c r="F709" s="8"/>
      <c r="G709" s="107"/>
      <c r="H709" s="108"/>
      <c r="I709" s="108"/>
      <c r="J709" s="108"/>
      <c r="K709" s="108"/>
      <c r="L709" s="108"/>
      <c r="M709" s="108"/>
    </row>
    <row r="710" spans="8:8">
      <c r="B710" s="108"/>
      <c r="C710" s="106"/>
      <c r="D710" s="105"/>
      <c r="E710" s="8"/>
      <c r="F710" s="8"/>
      <c r="G710" s="107"/>
      <c r="H710" s="108"/>
      <c r="I710" s="108"/>
      <c r="J710" s="108"/>
      <c r="K710" s="108"/>
      <c r="L710" s="108"/>
      <c r="M710" s="108"/>
    </row>
    <row r="711" spans="8:8">
      <c r="B711" s="108"/>
      <c r="C711" s="106"/>
      <c r="D711" s="105"/>
      <c r="E711" s="8"/>
      <c r="F711" s="8"/>
      <c r="G711" s="107"/>
      <c r="H711" s="108"/>
      <c r="I711" s="108"/>
      <c r="J711" s="108"/>
      <c r="K711" s="108"/>
      <c r="L711" s="108"/>
      <c r="M711" s="108"/>
    </row>
    <row r="712" spans="8:8">
      <c r="B712" s="108"/>
      <c r="C712" s="106"/>
      <c r="D712" s="105"/>
      <c r="E712" s="8"/>
      <c r="F712" s="8"/>
      <c r="G712" s="107"/>
      <c r="H712" s="108"/>
      <c r="I712" s="108"/>
      <c r="J712" s="108"/>
      <c r="K712" s="108"/>
      <c r="L712" s="108"/>
      <c r="M712" s="108"/>
    </row>
    <row r="713" spans="8:8">
      <c r="B713" s="108"/>
      <c r="C713" s="106"/>
      <c r="D713" s="105"/>
      <c r="E713" s="8"/>
      <c r="F713" s="8"/>
      <c r="G713" s="107"/>
      <c r="H713" s="108"/>
      <c r="I713" s="108"/>
      <c r="J713" s="108"/>
      <c r="K713" s="108"/>
      <c r="L713" s="108"/>
      <c r="M713" s="108"/>
    </row>
    <row r="714" spans="8:8">
      <c r="B714" s="108"/>
      <c r="C714" s="106"/>
      <c r="D714" s="105"/>
      <c r="E714" s="8"/>
      <c r="F714" s="8"/>
      <c r="G714" s="107"/>
      <c r="H714" s="108"/>
      <c r="I714" s="108"/>
      <c r="J714" s="108"/>
      <c r="K714" s="108"/>
      <c r="L714" s="108"/>
      <c r="M714" s="108"/>
    </row>
    <row r="715" spans="8:8">
      <c r="B715" s="108"/>
      <c r="C715" s="106"/>
      <c r="D715" s="105"/>
      <c r="E715" s="8"/>
      <c r="F715" s="8"/>
      <c r="G715" s="107"/>
      <c r="H715" s="108"/>
      <c r="I715" s="108"/>
      <c r="J715" s="108"/>
      <c r="K715" s="108"/>
      <c r="L715" s="108"/>
      <c r="M715" s="108"/>
    </row>
    <row r="716" spans="8:8">
      <c r="B716" s="108"/>
      <c r="C716" s="106"/>
      <c r="D716" s="105"/>
      <c r="E716" s="8"/>
      <c r="F716" s="8"/>
      <c r="G716" s="107"/>
      <c r="H716" s="108"/>
      <c r="I716" s="108"/>
      <c r="J716" s="108"/>
      <c r="K716" s="108"/>
      <c r="L716" s="108"/>
      <c r="M716" s="108"/>
    </row>
    <row r="717" spans="8:8">
      <c r="B717" s="108"/>
      <c r="C717" s="106"/>
      <c r="D717" s="105"/>
      <c r="E717" s="8"/>
      <c r="F717" s="8"/>
      <c r="G717" s="107"/>
      <c r="H717" s="108"/>
      <c r="I717" s="108"/>
      <c r="J717" s="108"/>
      <c r="K717" s="108"/>
      <c r="L717" s="108"/>
      <c r="M717" s="108"/>
    </row>
    <row r="718" spans="8:8">
      <c r="B718" s="108"/>
      <c r="C718" s="106"/>
      <c r="D718" s="105"/>
      <c r="E718" s="8"/>
      <c r="F718" s="8"/>
      <c r="G718" s="107"/>
      <c r="H718" s="108"/>
      <c r="I718" s="108"/>
      <c r="J718" s="108"/>
      <c r="K718" s="108"/>
      <c r="L718" s="108"/>
      <c r="M718" s="108"/>
    </row>
    <row r="719" spans="8:8">
      <c r="B719" s="108"/>
      <c r="C719" s="106"/>
      <c r="D719" s="105"/>
      <c r="E719" s="8"/>
      <c r="F719" s="8"/>
      <c r="G719" s="107"/>
      <c r="H719" s="108"/>
      <c r="I719" s="108"/>
      <c r="J719" s="108"/>
      <c r="K719" s="108"/>
      <c r="L719" s="108"/>
      <c r="M719" s="108"/>
    </row>
    <row r="720" spans="8:8">
      <c r="B720" s="108"/>
      <c r="C720" s="106"/>
      <c r="D720" s="105"/>
      <c r="E720" s="8"/>
      <c r="F720" s="8"/>
      <c r="G720" s="107"/>
      <c r="H720" s="108"/>
      <c r="I720" s="108"/>
      <c r="J720" s="108"/>
      <c r="K720" s="108"/>
      <c r="L720" s="108"/>
      <c r="M720" s="108"/>
    </row>
    <row r="721" spans="8:8">
      <c r="B721" s="108"/>
      <c r="C721" s="106"/>
      <c r="D721" s="105"/>
      <c r="E721" s="8"/>
      <c r="F721" s="8"/>
      <c r="G721" s="107"/>
      <c r="H721" s="108"/>
      <c r="I721" s="108"/>
      <c r="J721" s="108"/>
      <c r="K721" s="108"/>
      <c r="L721" s="108"/>
      <c r="M721" s="108"/>
    </row>
    <row r="722" spans="8:8">
      <c r="B722" s="108"/>
      <c r="C722" s="106"/>
      <c r="D722" s="105"/>
      <c r="E722" s="8"/>
      <c r="F722" s="8"/>
      <c r="G722" s="107"/>
      <c r="H722" s="108"/>
      <c r="I722" s="108"/>
      <c r="J722" s="108"/>
      <c r="K722" s="108"/>
      <c r="L722" s="108"/>
      <c r="M722" s="108"/>
    </row>
    <row r="723" spans="8:8">
      <c r="B723" s="108"/>
      <c r="C723" s="106"/>
      <c r="D723" s="105"/>
      <c r="E723" s="8"/>
      <c r="F723" s="8"/>
      <c r="G723" s="107"/>
      <c r="H723" s="108"/>
      <c r="I723" s="108"/>
      <c r="J723" s="108"/>
      <c r="K723" s="108"/>
      <c r="L723" s="108"/>
      <c r="M723" s="108"/>
    </row>
    <row r="724" spans="8:8">
      <c r="B724" s="108"/>
      <c r="C724" s="106"/>
      <c r="D724" s="105"/>
      <c r="E724" s="8"/>
      <c r="F724" s="8"/>
      <c r="G724" s="107"/>
      <c r="H724" s="108"/>
      <c r="I724" s="108"/>
      <c r="J724" s="108"/>
      <c r="K724" s="108"/>
      <c r="L724" s="108"/>
      <c r="M724" s="108"/>
    </row>
    <row r="725" spans="8:8">
      <c r="B725" s="108"/>
      <c r="C725" s="106"/>
      <c r="D725" s="105"/>
      <c r="E725" s="8"/>
      <c r="F725" s="8"/>
      <c r="G725" s="107"/>
      <c r="H725" s="108"/>
      <c r="I725" s="108"/>
      <c r="J725" s="108"/>
      <c r="K725" s="108"/>
      <c r="L725" s="108"/>
      <c r="M725" s="108"/>
    </row>
    <row r="726" spans="8:8">
      <c r="B726" s="108"/>
      <c r="C726" s="106"/>
      <c r="D726" s="105"/>
      <c r="E726" s="8"/>
      <c r="F726" s="8"/>
      <c r="G726" s="107"/>
      <c r="H726" s="108"/>
      <c r="I726" s="108"/>
      <c r="J726" s="108"/>
      <c r="K726" s="108"/>
      <c r="L726" s="108"/>
      <c r="M726" s="108"/>
    </row>
    <row r="727" spans="8:8">
      <c r="B727" s="108"/>
      <c r="C727" s="106"/>
      <c r="D727" s="105"/>
      <c r="E727" s="8"/>
      <c r="F727" s="8"/>
      <c r="G727" s="107"/>
      <c r="H727" s="108"/>
      <c r="I727" s="108"/>
      <c r="J727" s="108"/>
      <c r="K727" s="108"/>
      <c r="L727" s="108"/>
      <c r="M727" s="108"/>
    </row>
    <row r="728" spans="8:8">
      <c r="B728" s="108"/>
      <c r="C728" s="106"/>
      <c r="D728" s="105"/>
      <c r="E728" s="8"/>
      <c r="F728" s="8"/>
      <c r="G728" s="107"/>
      <c r="H728" s="108"/>
      <c r="I728" s="108"/>
      <c r="J728" s="108"/>
      <c r="K728" s="108"/>
      <c r="L728" s="108"/>
      <c r="M728" s="108"/>
    </row>
    <row r="729" spans="8:8">
      <c r="B729" s="108"/>
      <c r="C729" s="106"/>
      <c r="D729" s="105"/>
      <c r="E729" s="8"/>
      <c r="F729" s="8"/>
      <c r="G729" s="107"/>
      <c r="H729" s="108"/>
      <c r="I729" s="108"/>
      <c r="J729" s="108"/>
      <c r="K729" s="108"/>
      <c r="L729" s="108"/>
      <c r="M729" s="108"/>
    </row>
    <row r="730" spans="8:8">
      <c r="B730" s="108"/>
      <c r="C730" s="106"/>
      <c r="D730" s="105"/>
      <c r="E730" s="8"/>
      <c r="F730" s="8"/>
      <c r="G730" s="107"/>
      <c r="H730" s="108"/>
      <c r="I730" s="108"/>
      <c r="J730" s="108"/>
      <c r="K730" s="108"/>
      <c r="L730" s="108"/>
      <c r="M730" s="108"/>
    </row>
    <row r="731" spans="8:8">
      <c r="B731" s="108"/>
      <c r="C731" s="106"/>
      <c r="D731" s="105"/>
      <c r="E731" s="8"/>
      <c r="F731" s="8"/>
      <c r="G731" s="107"/>
      <c r="H731" s="108"/>
      <c r="I731" s="108"/>
      <c r="J731" s="108"/>
      <c r="K731" s="108"/>
      <c r="L731" s="108"/>
      <c r="M731" s="108"/>
    </row>
    <row r="732" spans="8:8">
      <c r="B732" s="108"/>
      <c r="C732" s="106"/>
      <c r="D732" s="105"/>
      <c r="E732" s="8"/>
      <c r="F732" s="8"/>
      <c r="G732" s="107"/>
      <c r="H732" s="108"/>
      <c r="I732" s="108"/>
      <c r="J732" s="108"/>
      <c r="K732" s="108"/>
      <c r="L732" s="108"/>
      <c r="M732" s="108"/>
    </row>
    <row r="733" spans="8:8">
      <c r="B733" s="108"/>
      <c r="C733" s="106"/>
      <c r="D733" s="105"/>
      <c r="E733" s="8"/>
      <c r="F733" s="8"/>
      <c r="G733" s="107"/>
      <c r="H733" s="108"/>
      <c r="I733" s="108"/>
      <c r="J733" s="108"/>
      <c r="K733" s="108"/>
      <c r="L733" s="108"/>
      <c r="M733" s="108"/>
    </row>
    <row r="734" spans="8:8">
      <c r="B734" s="108"/>
      <c r="C734" s="106"/>
      <c r="D734" s="105"/>
      <c r="E734" s="8"/>
      <c r="F734" s="8"/>
      <c r="G734" s="107"/>
      <c r="H734" s="108"/>
      <c r="I734" s="108"/>
      <c r="J734" s="108"/>
      <c r="K734" s="108"/>
      <c r="L734" s="108"/>
      <c r="M734" s="108"/>
    </row>
    <row r="735" spans="8:8">
      <c r="B735" s="108"/>
      <c r="C735" s="106"/>
      <c r="D735" s="105"/>
      <c r="E735" s="8"/>
      <c r="F735" s="8"/>
      <c r="G735" s="107"/>
      <c r="H735" s="108"/>
      <c r="I735" s="108"/>
      <c r="J735" s="108"/>
      <c r="K735" s="108"/>
      <c r="L735" s="108"/>
      <c r="M735" s="108"/>
    </row>
    <row r="736" spans="8:8">
      <c r="B736" s="108"/>
      <c r="C736" s="106"/>
      <c r="D736" s="105"/>
      <c r="E736" s="8"/>
      <c r="F736" s="8"/>
      <c r="G736" s="107"/>
      <c r="H736" s="108"/>
      <c r="I736" s="108"/>
      <c r="J736" s="108"/>
      <c r="K736" s="108"/>
      <c r="L736" s="108"/>
      <c r="M736" s="108"/>
    </row>
    <row r="737" spans="8:8">
      <c r="B737" s="108"/>
      <c r="C737" s="106"/>
      <c r="D737" s="105"/>
      <c r="E737" s="8"/>
      <c r="F737" s="8"/>
      <c r="G737" s="107"/>
      <c r="H737" s="108"/>
      <c r="I737" s="108"/>
      <c r="J737" s="108"/>
      <c r="K737" s="108"/>
      <c r="L737" s="108"/>
      <c r="M737" s="108"/>
    </row>
    <row r="738" spans="8:8">
      <c r="B738" s="108"/>
      <c r="C738" s="106"/>
      <c r="D738" s="105"/>
      <c r="E738" s="8"/>
      <c r="F738" s="8"/>
      <c r="G738" s="107"/>
      <c r="H738" s="108"/>
      <c r="I738" s="108"/>
      <c r="J738" s="108"/>
      <c r="K738" s="108"/>
      <c r="L738" s="108"/>
      <c r="M738" s="108"/>
    </row>
    <row r="739" spans="8:8">
      <c r="B739" s="108"/>
      <c r="C739" s="106"/>
      <c r="D739" s="105"/>
      <c r="E739" s="8"/>
      <c r="F739" s="8"/>
      <c r="G739" s="107"/>
      <c r="H739" s="108"/>
      <c r="I739" s="108"/>
      <c r="J739" s="108"/>
      <c r="K739" s="108"/>
      <c r="L739" s="108"/>
      <c r="M739" s="108"/>
    </row>
    <row r="740" spans="8:8">
      <c r="B740" s="108"/>
      <c r="C740" s="106"/>
      <c r="D740" s="105"/>
      <c r="E740" s="8"/>
      <c r="F740" s="8"/>
      <c r="G740" s="107"/>
      <c r="H740" s="108"/>
      <c r="I740" s="108"/>
      <c r="J740" s="108"/>
      <c r="K740" s="108"/>
      <c r="L740" s="108"/>
      <c r="M740" s="108"/>
    </row>
    <row r="741" spans="8:8">
      <c r="B741" s="108"/>
      <c r="C741" s="106"/>
      <c r="D741" s="105"/>
      <c r="E741" s="8"/>
      <c r="F741" s="8"/>
      <c r="G741" s="107"/>
      <c r="H741" s="108"/>
      <c r="I741" s="108"/>
      <c r="J741" s="108"/>
      <c r="K741" s="108"/>
      <c r="L741" s="108"/>
      <c r="M741" s="108"/>
    </row>
    <row r="742" spans="8:8">
      <c r="B742" s="108"/>
      <c r="C742" s="106"/>
      <c r="D742" s="105"/>
      <c r="E742" s="8"/>
      <c r="F742" s="8"/>
      <c r="G742" s="107"/>
      <c r="H742" s="108"/>
      <c r="I742" s="108"/>
      <c r="J742" s="108"/>
      <c r="K742" s="108"/>
      <c r="L742" s="108"/>
      <c r="M742" s="108"/>
    </row>
    <row r="743" spans="8:8">
      <c r="B743" s="108"/>
      <c r="C743" s="106"/>
      <c r="D743" s="105"/>
      <c r="E743" s="8"/>
      <c r="F743" s="8"/>
      <c r="G743" s="107"/>
      <c r="H743" s="108"/>
      <c r="I743" s="108"/>
      <c r="J743" s="108"/>
      <c r="K743" s="108"/>
      <c r="L743" s="108"/>
      <c r="M743" s="108"/>
    </row>
    <row r="744" spans="8:8">
      <c r="B744" s="108"/>
      <c r="C744" s="106"/>
      <c r="D744" s="105"/>
      <c r="E744" s="8"/>
      <c r="F744" s="8"/>
      <c r="G744" s="107"/>
      <c r="H744" s="108"/>
      <c r="I744" s="108"/>
      <c r="J744" s="108"/>
      <c r="K744" s="108"/>
      <c r="L744" s="108"/>
      <c r="M744" s="108"/>
    </row>
    <row r="745" spans="8:8">
      <c r="B745" s="108"/>
      <c r="C745" s="106"/>
      <c r="D745" s="105"/>
      <c r="E745" s="8"/>
      <c r="F745" s="8"/>
      <c r="G745" s="107"/>
      <c r="H745" s="108"/>
      <c r="I745" s="108"/>
      <c r="J745" s="108"/>
      <c r="K745" s="108"/>
      <c r="L745" s="108"/>
      <c r="M745" s="108"/>
    </row>
    <row r="746" spans="8:8">
      <c r="B746" s="108"/>
      <c r="C746" s="106"/>
      <c r="D746" s="105"/>
      <c r="E746" s="8"/>
      <c r="F746" s="8"/>
      <c r="G746" s="107"/>
      <c r="H746" s="108"/>
      <c r="I746" s="108"/>
      <c r="J746" s="108"/>
      <c r="K746" s="108"/>
      <c r="L746" s="108"/>
      <c r="M746" s="108"/>
    </row>
    <row r="747" spans="8:8">
      <c r="B747" s="108"/>
      <c r="C747" s="106"/>
      <c r="D747" s="105"/>
      <c r="E747" s="8"/>
      <c r="F747" s="8"/>
      <c r="G747" s="107"/>
      <c r="H747" s="108"/>
      <c r="I747" s="108"/>
      <c r="J747" s="108"/>
      <c r="K747" s="108"/>
      <c r="L747" s="108"/>
      <c r="M747" s="108"/>
    </row>
    <row r="748" spans="8:8">
      <c r="B748" s="108"/>
      <c r="C748" s="106"/>
      <c r="D748" s="105"/>
      <c r="E748" s="8"/>
      <c r="F748" s="8"/>
      <c r="G748" s="107"/>
      <c r="H748" s="108"/>
      <c r="I748" s="108"/>
      <c r="J748" s="108"/>
      <c r="K748" s="108"/>
      <c r="L748" s="108"/>
      <c r="M748" s="108"/>
    </row>
    <row r="749" spans="8:8">
      <c r="B749" s="108"/>
      <c r="C749" s="106"/>
      <c r="D749" s="105"/>
      <c r="E749" s="8"/>
      <c r="F749" s="8"/>
      <c r="G749" s="107"/>
      <c r="H749" s="108"/>
      <c r="I749" s="108"/>
      <c r="J749" s="108"/>
      <c r="K749" s="108"/>
      <c r="L749" s="108"/>
      <c r="M749" s="108"/>
    </row>
    <row r="750" spans="8:8">
      <c r="B750" s="108"/>
      <c r="C750" s="106"/>
      <c r="D750" s="105"/>
      <c r="E750" s="8"/>
      <c r="F750" s="8"/>
      <c r="G750" s="107"/>
      <c r="H750" s="108"/>
      <c r="I750" s="108"/>
      <c r="J750" s="108"/>
      <c r="K750" s="108"/>
      <c r="L750" s="108"/>
      <c r="M750" s="108"/>
    </row>
    <row r="751" spans="8:8">
      <c r="B751" s="108"/>
      <c r="C751" s="106"/>
      <c r="D751" s="105"/>
      <c r="E751" s="8"/>
      <c r="F751" s="8"/>
      <c r="G751" s="107"/>
      <c r="H751" s="108"/>
      <c r="I751" s="108"/>
      <c r="J751" s="108"/>
      <c r="K751" s="108"/>
      <c r="L751" s="108"/>
      <c r="M751" s="108"/>
    </row>
    <row r="752" spans="8:8">
      <c r="B752" s="108"/>
      <c r="C752" s="106"/>
      <c r="D752" s="105"/>
      <c r="E752" s="8"/>
      <c r="F752" s="8"/>
      <c r="G752" s="107"/>
      <c r="H752" s="108"/>
      <c r="I752" s="108"/>
      <c r="J752" s="108"/>
      <c r="K752" s="108"/>
      <c r="L752" s="108"/>
      <c r="M752" s="108"/>
    </row>
    <row r="753" spans="8:8">
      <c r="B753" s="108"/>
      <c r="C753" s="106"/>
      <c r="D753" s="105"/>
      <c r="E753" s="8"/>
      <c r="F753" s="8"/>
      <c r="G753" s="107"/>
      <c r="H753" s="108"/>
      <c r="I753" s="108"/>
      <c r="J753" s="108"/>
      <c r="K753" s="108"/>
      <c r="L753" s="108"/>
      <c r="M753" s="108"/>
    </row>
    <row r="754" spans="8:8">
      <c r="B754" s="108"/>
      <c r="C754" s="106"/>
      <c r="D754" s="105"/>
      <c r="E754" s="8"/>
      <c r="F754" s="8"/>
      <c r="G754" s="107"/>
      <c r="H754" s="108"/>
      <c r="I754" s="108"/>
      <c r="J754" s="108"/>
      <c r="K754" s="108"/>
      <c r="L754" s="108"/>
      <c r="M754" s="108"/>
    </row>
    <row r="755" spans="8:8">
      <c r="B755" s="108"/>
      <c r="C755" s="106"/>
      <c r="D755" s="105"/>
      <c r="E755" s="8"/>
      <c r="F755" s="8"/>
      <c r="G755" s="107"/>
      <c r="H755" s="108"/>
      <c r="I755" s="108"/>
      <c r="J755" s="108"/>
      <c r="K755" s="108"/>
      <c r="L755" s="108"/>
      <c r="M755" s="108"/>
    </row>
    <row r="756" spans="8:8">
      <c r="B756" s="108"/>
      <c r="C756" s="106"/>
      <c r="D756" s="105"/>
      <c r="E756" s="8"/>
      <c r="F756" s="8"/>
      <c r="G756" s="107"/>
      <c r="H756" s="108"/>
      <c r="I756" s="108"/>
      <c r="J756" s="108"/>
      <c r="K756" s="108"/>
      <c r="L756" s="108"/>
      <c r="M756" s="108"/>
    </row>
    <row r="757" spans="8:8">
      <c r="B757" s="108"/>
      <c r="C757" s="106"/>
      <c r="D757" s="105"/>
      <c r="E757" s="8"/>
      <c r="F757" s="8"/>
      <c r="G757" s="107"/>
      <c r="H757" s="108"/>
      <c r="I757" s="108"/>
      <c r="J757" s="108"/>
      <c r="K757" s="108"/>
      <c r="L757" s="108"/>
      <c r="M757" s="108"/>
    </row>
    <row r="758" spans="8:8">
      <c r="B758" s="108"/>
      <c r="C758" s="106"/>
      <c r="D758" s="105"/>
      <c r="E758" s="8"/>
      <c r="F758" s="8"/>
      <c r="G758" s="107"/>
      <c r="H758" s="108"/>
      <c r="I758" s="108"/>
      <c r="J758" s="108"/>
      <c r="K758" s="108"/>
      <c r="L758" s="108"/>
      <c r="M758" s="108"/>
    </row>
    <row r="759" spans="8:8">
      <c r="B759" s="108"/>
      <c r="C759" s="106"/>
      <c r="D759" s="105"/>
      <c r="E759" s="8"/>
      <c r="F759" s="8"/>
      <c r="G759" s="107"/>
      <c r="H759" s="108"/>
      <c r="I759" s="108"/>
      <c r="J759" s="108"/>
      <c r="K759" s="108"/>
      <c r="L759" s="108"/>
      <c r="M759" s="108"/>
    </row>
    <row r="760" spans="8:8">
      <c r="B760" s="108"/>
      <c r="C760" s="106"/>
      <c r="D760" s="105"/>
      <c r="E760" s="8"/>
      <c r="F760" s="8"/>
      <c r="G760" s="107"/>
      <c r="H760" s="108"/>
      <c r="I760" s="108"/>
      <c r="J760" s="108"/>
      <c r="K760" s="108"/>
      <c r="L760" s="108"/>
      <c r="M760" s="108"/>
    </row>
    <row r="761" spans="8:8">
      <c r="B761" s="108"/>
      <c r="C761" s="106"/>
      <c r="D761" s="105"/>
      <c r="E761" s="8"/>
      <c r="F761" s="8"/>
      <c r="G761" s="107"/>
      <c r="H761" s="108"/>
      <c r="I761" s="108"/>
      <c r="J761" s="108"/>
      <c r="K761" s="108"/>
      <c r="L761" s="108"/>
      <c r="M761" s="108"/>
    </row>
    <row r="762" spans="8:8">
      <c r="B762" s="108"/>
      <c r="C762" s="106"/>
      <c r="D762" s="105"/>
      <c r="E762" s="8"/>
      <c r="F762" s="8"/>
      <c r="G762" s="107"/>
      <c r="H762" s="108"/>
      <c r="I762" s="108"/>
      <c r="J762" s="108"/>
      <c r="K762" s="108"/>
      <c r="L762" s="108"/>
      <c r="M762" s="108"/>
    </row>
    <row r="763" spans="8:8">
      <c r="B763" s="108"/>
      <c r="C763" s="106"/>
      <c r="D763" s="105"/>
      <c r="E763" s="8"/>
      <c r="F763" s="8"/>
      <c r="G763" s="107"/>
      <c r="H763" s="108"/>
      <c r="I763" s="108"/>
      <c r="J763" s="108"/>
      <c r="K763" s="108"/>
      <c r="L763" s="108"/>
      <c r="M763" s="108"/>
    </row>
    <row r="764" spans="8:8">
      <c r="B764" s="108"/>
      <c r="C764" s="106"/>
      <c r="D764" s="105"/>
      <c r="E764" s="8"/>
      <c r="F764" s="8"/>
      <c r="G764" s="107"/>
      <c r="H764" s="108"/>
      <c r="I764" s="108"/>
      <c r="J764" s="108"/>
      <c r="K764" s="108"/>
      <c r="L764" s="108"/>
      <c r="M764" s="108"/>
    </row>
    <row r="765" spans="8:8">
      <c r="B765" s="108"/>
      <c r="C765" s="106"/>
      <c r="D765" s="105"/>
      <c r="E765" s="8"/>
      <c r="F765" s="8"/>
      <c r="G765" s="107"/>
      <c r="H765" s="108"/>
      <c r="I765" s="108"/>
      <c r="J765" s="108"/>
      <c r="K765" s="108"/>
      <c r="L765" s="108"/>
      <c r="M765" s="108"/>
    </row>
    <row r="766" spans="8:8">
      <c r="B766" s="108"/>
      <c r="C766" s="106"/>
      <c r="D766" s="105"/>
      <c r="E766" s="8"/>
      <c r="F766" s="8"/>
      <c r="G766" s="107"/>
      <c r="H766" s="108"/>
      <c r="I766" s="108"/>
      <c r="J766" s="108"/>
      <c r="K766" s="108"/>
      <c r="L766" s="108"/>
      <c r="M766" s="108"/>
    </row>
    <row r="767" spans="8:8">
      <c r="B767" s="108"/>
      <c r="C767" s="106"/>
      <c r="D767" s="105"/>
      <c r="E767" s="8"/>
      <c r="F767" s="8"/>
      <c r="G767" s="107"/>
      <c r="H767" s="108"/>
      <c r="I767" s="108"/>
      <c r="J767" s="108"/>
      <c r="K767" s="108"/>
      <c r="L767" s="108"/>
      <c r="M767" s="108"/>
    </row>
    <row r="768" spans="8:8">
      <c r="B768" s="108"/>
      <c r="C768" s="106"/>
      <c r="D768" s="105"/>
      <c r="E768" s="8"/>
      <c r="F768" s="8"/>
      <c r="G768" s="107"/>
      <c r="H768" s="108"/>
      <c r="I768" s="108"/>
      <c r="J768" s="108"/>
      <c r="K768" s="108"/>
      <c r="L768" s="108"/>
      <c r="M768" s="108"/>
    </row>
    <row r="769" spans="8:8">
      <c r="B769" s="108"/>
      <c r="C769" s="108"/>
      <c r="D769" s="105"/>
      <c r="E769" s="8"/>
      <c r="F769" s="8"/>
      <c r="G769" s="107"/>
      <c r="H769" s="108"/>
      <c r="I769" s="108"/>
      <c r="J769" s="108"/>
      <c r="K769" s="108"/>
      <c r="L769" s="108"/>
      <c r="M769" s="108"/>
    </row>
    <row r="770" spans="8:8">
      <c r="B770" s="108"/>
      <c r="C770" s="106"/>
      <c r="D770" s="105"/>
      <c r="E770" s="8"/>
      <c r="F770" s="8"/>
      <c r="G770" s="107"/>
      <c r="H770" s="108"/>
      <c r="I770" s="108"/>
      <c r="J770" s="108"/>
      <c r="K770" s="108"/>
      <c r="L770" s="108"/>
      <c r="M770" s="108"/>
    </row>
    <row r="771" spans="8:8">
      <c r="B771" s="108"/>
      <c r="C771" s="106"/>
      <c r="D771" s="105"/>
      <c r="E771" s="8"/>
      <c r="F771" s="8"/>
      <c r="G771" s="107"/>
      <c r="H771" s="108"/>
      <c r="I771" s="108"/>
      <c r="J771" s="108"/>
      <c r="K771" s="108"/>
      <c r="L771" s="108"/>
      <c r="M771" s="108"/>
    </row>
    <row r="772" spans="8:8">
      <c r="B772" s="108"/>
      <c r="C772" s="106"/>
      <c r="D772" s="105"/>
      <c r="E772" s="8"/>
      <c r="F772" s="8"/>
      <c r="G772" s="107"/>
      <c r="H772" s="108"/>
      <c r="I772" s="108"/>
      <c r="J772" s="108"/>
      <c r="K772" s="108"/>
      <c r="L772" s="108"/>
      <c r="M772" s="108"/>
    </row>
    <row r="773" spans="8:8">
      <c r="B773" s="108"/>
      <c r="C773" s="106"/>
      <c r="D773" s="105"/>
      <c r="E773" s="8"/>
      <c r="F773" s="8"/>
      <c r="G773" s="107"/>
      <c r="H773" s="108"/>
      <c r="I773" s="108"/>
      <c r="J773" s="108"/>
      <c r="K773" s="108"/>
      <c r="L773" s="108"/>
      <c r="M773" s="108"/>
    </row>
    <row r="774" spans="8:8">
      <c r="B774" s="108"/>
      <c r="C774" s="106"/>
      <c r="D774" s="105"/>
      <c r="E774" s="8"/>
      <c r="F774" s="8"/>
      <c r="G774" s="107"/>
      <c r="H774" s="108"/>
      <c r="I774" s="108"/>
      <c r="J774" s="108"/>
      <c r="K774" s="108"/>
      <c r="L774" s="108"/>
      <c r="M774" s="108"/>
    </row>
    <row r="775" spans="8:8">
      <c r="B775" s="108"/>
      <c r="C775" s="106"/>
      <c r="D775" s="105"/>
      <c r="E775" s="8"/>
      <c r="F775" s="8"/>
      <c r="G775" s="107"/>
      <c r="H775" s="108"/>
      <c r="I775" s="108"/>
      <c r="J775" s="108"/>
      <c r="K775" s="108"/>
      <c r="L775" s="108"/>
      <c r="M775" s="108"/>
    </row>
    <row r="776" spans="8:8">
      <c r="B776" s="108"/>
      <c r="C776" s="106"/>
      <c r="D776" s="105"/>
      <c r="E776" s="8"/>
      <c r="F776" s="8"/>
      <c r="G776" s="107"/>
      <c r="H776" s="108"/>
      <c r="I776" s="108"/>
      <c r="J776" s="108"/>
      <c r="K776" s="108"/>
      <c r="L776" s="108"/>
      <c r="M776" s="108"/>
    </row>
    <row r="777" spans="8:8">
      <c r="B777" s="108"/>
      <c r="C777" s="106"/>
      <c r="D777" s="105"/>
      <c r="E777" s="8"/>
      <c r="F777" s="8"/>
      <c r="G777" s="107"/>
      <c r="H777" s="108"/>
      <c r="I777" s="108"/>
      <c r="J777" s="108"/>
      <c r="K777" s="108"/>
      <c r="L777" s="108"/>
      <c r="M777" s="108"/>
    </row>
    <row r="778" spans="8:8">
      <c r="B778" s="108"/>
      <c r="C778" s="106"/>
      <c r="D778" s="105"/>
      <c r="E778" s="8"/>
      <c r="F778" s="8"/>
      <c r="G778" s="107"/>
      <c r="H778" s="108"/>
      <c r="I778" s="108"/>
      <c r="J778" s="108"/>
      <c r="K778" s="108"/>
      <c r="L778" s="108"/>
      <c r="M778" s="108"/>
    </row>
    <row r="779" spans="8:8">
      <c r="B779" s="108"/>
      <c r="C779" s="106"/>
      <c r="D779" s="105"/>
      <c r="E779" s="8"/>
      <c r="F779" s="8"/>
      <c r="G779" s="107"/>
      <c r="H779" s="108"/>
      <c r="I779" s="108"/>
      <c r="J779" s="108"/>
      <c r="K779" s="108"/>
      <c r="L779" s="108"/>
      <c r="M779" s="108"/>
    </row>
    <row r="780" spans="8:8">
      <c r="B780" s="108"/>
      <c r="C780" s="106"/>
      <c r="D780" s="105"/>
      <c r="E780" s="8"/>
      <c r="F780" s="8"/>
      <c r="G780" s="107"/>
      <c r="H780" s="108"/>
      <c r="I780" s="108"/>
      <c r="J780" s="108"/>
      <c r="K780" s="108"/>
      <c r="L780" s="108"/>
      <c r="M780" s="108"/>
    </row>
    <row r="781" spans="8:8">
      <c r="B781" s="108"/>
      <c r="C781" s="106"/>
      <c r="D781" s="105"/>
      <c r="E781" s="8"/>
      <c r="F781" s="8"/>
      <c r="G781" s="107"/>
      <c r="H781" s="108"/>
      <c r="I781" s="108"/>
      <c r="J781" s="108"/>
      <c r="K781" s="108"/>
      <c r="L781" s="108"/>
      <c r="M781" s="108"/>
    </row>
    <row r="782" spans="8:8">
      <c r="B782" s="108"/>
      <c r="C782" s="106"/>
      <c r="D782" s="105"/>
      <c r="E782" s="8"/>
      <c r="F782" s="8"/>
      <c r="G782" s="107"/>
      <c r="H782" s="108"/>
      <c r="I782" s="108"/>
      <c r="J782" s="108"/>
      <c r="K782" s="108"/>
      <c r="L782" s="108"/>
      <c r="M782" s="108"/>
    </row>
    <row r="783" spans="8:8">
      <c r="B783" s="108"/>
      <c r="C783" s="106"/>
      <c r="D783" s="105"/>
      <c r="E783" s="8"/>
      <c r="F783" s="8"/>
      <c r="G783" s="107"/>
      <c r="H783" s="108"/>
      <c r="I783" s="108"/>
      <c r="J783" s="108"/>
      <c r="K783" s="108"/>
      <c r="L783" s="108"/>
      <c r="M783" s="108"/>
    </row>
    <row r="784" spans="8:8">
      <c r="B784" s="108"/>
      <c r="C784" s="106"/>
      <c r="D784" s="105"/>
      <c r="E784" s="8"/>
      <c r="F784" s="8"/>
      <c r="G784" s="107"/>
      <c r="H784" s="108"/>
      <c r="I784" s="108"/>
      <c r="J784" s="108"/>
      <c r="K784" s="108"/>
      <c r="L784" s="108"/>
      <c r="M784" s="108"/>
    </row>
    <row r="785" spans="8:8">
      <c r="B785" s="108"/>
      <c r="C785" s="106"/>
      <c r="D785" s="105"/>
      <c r="E785" s="8"/>
      <c r="F785" s="8"/>
      <c r="G785" s="107"/>
      <c r="H785" s="108"/>
      <c r="I785" s="108"/>
      <c r="J785" s="108"/>
      <c r="K785" s="108"/>
      <c r="L785" s="108"/>
      <c r="M785" s="108"/>
    </row>
    <row r="786" spans="8:8">
      <c r="B786" s="108"/>
      <c r="C786" s="106"/>
      <c r="D786" s="105"/>
      <c r="E786" s="8"/>
      <c r="F786" s="8"/>
      <c r="G786" s="107"/>
      <c r="H786" s="108"/>
      <c r="I786" s="108"/>
      <c r="J786" s="108"/>
      <c r="K786" s="108"/>
      <c r="L786" s="108"/>
      <c r="M786" s="108"/>
    </row>
    <row r="787" spans="8:8">
      <c r="B787" s="108"/>
      <c r="C787" s="106"/>
      <c r="D787" s="105"/>
      <c r="E787" s="8"/>
      <c r="F787" s="8"/>
      <c r="G787" s="107"/>
      <c r="H787" s="108"/>
      <c r="I787" s="108"/>
      <c r="J787" s="108"/>
      <c r="K787" s="108"/>
      <c r="L787" s="108"/>
      <c r="M787" s="108"/>
    </row>
    <row r="788" spans="8:8">
      <c r="B788" s="108"/>
      <c r="C788" s="106"/>
      <c r="D788" s="105"/>
      <c r="E788" s="8"/>
      <c r="F788" s="8"/>
      <c r="G788" s="107"/>
      <c r="H788" s="108"/>
      <c r="I788" s="108"/>
      <c r="J788" s="108"/>
      <c r="K788" s="108"/>
      <c r="L788" s="108"/>
      <c r="M788" s="108"/>
    </row>
    <row r="789" spans="8:8">
      <c r="B789" s="108"/>
      <c r="C789" s="106"/>
      <c r="D789" s="105"/>
      <c r="E789" s="8"/>
      <c r="F789" s="8"/>
      <c r="G789" s="107"/>
      <c r="H789" s="108"/>
      <c r="I789" s="108"/>
      <c r="J789" s="108"/>
      <c r="K789" s="108"/>
      <c r="L789" s="108"/>
      <c r="M789" s="108"/>
    </row>
    <row r="790" spans="8:8">
      <c r="B790" s="108"/>
      <c r="C790" s="106"/>
      <c r="D790" s="105"/>
      <c r="E790" s="8"/>
      <c r="F790" s="8"/>
      <c r="G790" s="107"/>
      <c r="H790" s="108"/>
      <c r="I790" s="108"/>
      <c r="J790" s="108"/>
      <c r="K790" s="108"/>
      <c r="L790" s="108"/>
      <c r="M790" s="108"/>
    </row>
    <row r="791" spans="8:8">
      <c r="B791" s="108"/>
      <c r="C791" s="106"/>
      <c r="D791" s="105"/>
      <c r="E791" s="8"/>
      <c r="F791" s="8"/>
      <c r="G791" s="107"/>
      <c r="H791" s="108"/>
      <c r="I791" s="108"/>
      <c r="J791" s="108"/>
      <c r="K791" s="108"/>
      <c r="L791" s="108"/>
      <c r="M791" s="108"/>
    </row>
    <row r="792" spans="8:8">
      <c r="B792" s="108"/>
      <c r="C792" s="106"/>
      <c r="D792" s="105"/>
      <c r="E792" s="8"/>
      <c r="F792" s="8"/>
      <c r="G792" s="107"/>
      <c r="H792" s="108"/>
      <c r="I792" s="108"/>
      <c r="J792" s="108"/>
      <c r="K792" s="108"/>
      <c r="L792" s="108"/>
      <c r="M792" s="108"/>
    </row>
    <row r="793" spans="8:8">
      <c r="B793" s="108"/>
      <c r="C793" s="106"/>
      <c r="D793" s="105"/>
      <c r="E793" s="8"/>
      <c r="F793" s="8"/>
      <c r="G793" s="107"/>
      <c r="H793" s="108"/>
      <c r="I793" s="108"/>
      <c r="J793" s="108"/>
      <c r="K793" s="108"/>
      <c r="L793" s="108"/>
      <c r="M793" s="108"/>
    </row>
    <row r="794" spans="8:8">
      <c r="B794" s="108"/>
      <c r="C794" s="106"/>
      <c r="D794" s="105"/>
      <c r="E794" s="8"/>
      <c r="F794" s="8"/>
      <c r="G794" s="107"/>
      <c r="H794" s="108"/>
      <c r="I794" s="108"/>
      <c r="J794" s="108"/>
      <c r="K794" s="108"/>
      <c r="L794" s="108"/>
      <c r="M794" s="108"/>
    </row>
    <row r="795" spans="8:8">
      <c r="B795" s="108"/>
      <c r="C795" s="106"/>
      <c r="D795" s="105"/>
      <c r="E795" s="8"/>
      <c r="F795" s="8"/>
      <c r="G795" s="107"/>
      <c r="H795" s="108"/>
      <c r="I795" s="108"/>
      <c r="J795" s="108"/>
      <c r="K795" s="108"/>
      <c r="L795" s="108"/>
      <c r="M795" s="108"/>
    </row>
    <row r="796" spans="8:8">
      <c r="B796" s="108"/>
      <c r="C796" s="106"/>
      <c r="D796" s="105"/>
      <c r="E796" s="8"/>
      <c r="F796" s="8"/>
      <c r="G796" s="107"/>
      <c r="H796" s="108"/>
      <c r="I796" s="108"/>
      <c r="J796" s="108"/>
      <c r="K796" s="108"/>
      <c r="L796" s="108"/>
      <c r="M796" s="108"/>
    </row>
    <row r="797" spans="8:8">
      <c r="B797" s="108"/>
      <c r="C797" s="106"/>
      <c r="D797" s="105"/>
      <c r="E797" s="8"/>
      <c r="F797" s="8"/>
      <c r="G797" s="107"/>
      <c r="H797" s="108"/>
      <c r="I797" s="108"/>
      <c r="J797" s="108"/>
      <c r="K797" s="108"/>
      <c r="L797" s="108"/>
      <c r="M797" s="108"/>
    </row>
    <row r="798" spans="8:8">
      <c r="B798" s="108"/>
      <c r="C798" s="106"/>
      <c r="D798" s="105"/>
      <c r="E798" s="8"/>
      <c r="F798" s="8"/>
      <c r="G798" s="107"/>
      <c r="H798" s="108"/>
      <c r="I798" s="108"/>
      <c r="J798" s="108"/>
      <c r="K798" s="108"/>
      <c r="L798" s="108"/>
      <c r="M798" s="108"/>
    </row>
    <row r="799" spans="8:8">
      <c r="B799" s="108"/>
      <c r="C799" s="106"/>
      <c r="D799" s="105"/>
      <c r="E799" s="8"/>
      <c r="F799" s="8"/>
      <c r="G799" s="107"/>
      <c r="H799" s="108"/>
      <c r="I799" s="108"/>
      <c r="J799" s="108"/>
      <c r="K799" s="108"/>
      <c r="L799" s="108"/>
      <c r="M799" s="108"/>
    </row>
    <row r="800" spans="8:8">
      <c r="B800" s="108"/>
      <c r="C800" s="106"/>
      <c r="D800" s="105"/>
      <c r="E800" s="8"/>
      <c r="F800" s="8"/>
      <c r="G800" s="107"/>
      <c r="H800" s="108"/>
      <c r="I800" s="108"/>
      <c r="J800" s="108"/>
      <c r="K800" s="108"/>
      <c r="L800" s="108"/>
      <c r="M800" s="108"/>
    </row>
    <row r="801" spans="8:8">
      <c r="B801" s="108"/>
      <c r="C801" s="106"/>
      <c r="D801" s="105"/>
      <c r="E801" s="8"/>
      <c r="F801" s="8"/>
      <c r="G801" s="107"/>
      <c r="H801" s="108"/>
      <c r="I801" s="108"/>
      <c r="J801" s="108"/>
      <c r="K801" s="108"/>
      <c r="L801" s="108"/>
      <c r="M801" s="108"/>
    </row>
    <row r="802" spans="8:8">
      <c r="B802" s="108"/>
      <c r="C802" s="106"/>
      <c r="D802" s="105"/>
      <c r="E802" s="8"/>
      <c r="F802" s="8"/>
      <c r="G802" s="107"/>
      <c r="H802" s="108"/>
      <c r="I802" s="108"/>
      <c r="J802" s="108"/>
      <c r="K802" s="108"/>
      <c r="L802" s="108"/>
      <c r="M802" s="108"/>
    </row>
    <row r="803" spans="8:8">
      <c r="B803" s="108"/>
      <c r="C803" s="106"/>
      <c r="D803" s="105"/>
      <c r="E803" s="8"/>
      <c r="F803" s="8"/>
      <c r="G803" s="107"/>
      <c r="H803" s="108"/>
      <c r="I803" s="108"/>
      <c r="J803" s="108"/>
      <c r="K803" s="108"/>
      <c r="L803" s="108"/>
      <c r="M803" s="108"/>
    </row>
    <row r="804" spans="8:8">
      <c r="B804" s="108"/>
      <c r="C804" s="106"/>
      <c r="D804" s="105"/>
      <c r="E804" s="8"/>
      <c r="F804" s="8"/>
      <c r="G804" s="107"/>
      <c r="H804" s="108"/>
      <c r="I804" s="108"/>
      <c r="J804" s="108"/>
      <c r="K804" s="108"/>
      <c r="L804" s="108"/>
      <c r="M804" s="108"/>
    </row>
    <row r="805" spans="8:8">
      <c r="B805" s="108"/>
      <c r="C805" s="106"/>
      <c r="D805" s="105"/>
      <c r="E805" s="8"/>
      <c r="F805" s="8"/>
      <c r="G805" s="107"/>
      <c r="H805" s="108"/>
      <c r="I805" s="108"/>
      <c r="J805" s="108"/>
      <c r="K805" s="108"/>
      <c r="L805" s="108"/>
      <c r="M805" s="108"/>
    </row>
    <row r="806" spans="8:8">
      <c r="B806" s="108"/>
      <c r="C806" s="106"/>
      <c r="D806" s="105"/>
      <c r="E806" s="8"/>
      <c r="F806" s="8"/>
      <c r="G806" s="107"/>
      <c r="H806" s="108"/>
      <c r="I806" s="108"/>
      <c r="J806" s="108"/>
      <c r="K806" s="108"/>
      <c r="L806" s="108"/>
      <c r="M806" s="108"/>
    </row>
    <row r="807" spans="8:8">
      <c r="B807" s="108"/>
      <c r="C807" s="106"/>
      <c r="D807" s="105"/>
      <c r="E807" s="8"/>
      <c r="F807" s="8"/>
      <c r="G807" s="107"/>
      <c r="H807" s="108"/>
      <c r="I807" s="108"/>
      <c r="J807" s="108"/>
      <c r="K807" s="108"/>
      <c r="L807" s="108"/>
      <c r="M807" s="108"/>
    </row>
    <row r="808" spans="8:8">
      <c r="B808" s="108"/>
      <c r="C808" s="106"/>
      <c r="D808" s="105"/>
      <c r="E808" s="8"/>
      <c r="F808" s="8"/>
      <c r="G808" s="107"/>
      <c r="H808" s="108"/>
      <c r="I808" s="108"/>
      <c r="J808" s="108"/>
      <c r="K808" s="108"/>
      <c r="L808" s="108"/>
      <c r="M808" s="108"/>
    </row>
    <row r="809" spans="8:8">
      <c r="B809" s="108"/>
      <c r="C809" s="106"/>
      <c r="D809" s="105"/>
      <c r="E809" s="8"/>
      <c r="F809" s="8"/>
      <c r="G809" s="107"/>
      <c r="H809" s="108"/>
      <c r="I809" s="108"/>
      <c r="J809" s="108"/>
      <c r="K809" s="108"/>
      <c r="L809" s="108"/>
      <c r="M809" s="108"/>
    </row>
    <row r="810" spans="8:8">
      <c r="B810" s="108"/>
      <c r="C810" s="106"/>
      <c r="D810" s="105"/>
      <c r="E810" s="8"/>
      <c r="F810" s="8"/>
      <c r="G810" s="107"/>
      <c r="H810" s="108"/>
      <c r="I810" s="108"/>
      <c r="J810" s="108"/>
      <c r="K810" s="108"/>
      <c r="L810" s="108"/>
      <c r="M810" s="108"/>
    </row>
    <row r="811" spans="8:8">
      <c r="B811" s="108"/>
      <c r="C811" s="106"/>
      <c r="D811" s="105"/>
      <c r="E811" s="8"/>
      <c r="F811" s="8"/>
      <c r="G811" s="107"/>
      <c r="H811" s="108"/>
      <c r="I811" s="108"/>
      <c r="J811" s="108"/>
      <c r="K811" s="108"/>
      <c r="L811" s="108"/>
      <c r="M811" s="108"/>
    </row>
    <row r="812" spans="8:8">
      <c r="B812" s="108"/>
      <c r="C812" s="106"/>
      <c r="D812" s="105"/>
      <c r="E812" s="8"/>
      <c r="F812" s="8"/>
      <c r="G812" s="107"/>
      <c r="H812" s="108"/>
      <c r="I812" s="108"/>
      <c r="J812" s="108"/>
      <c r="K812" s="108"/>
      <c r="L812" s="108"/>
      <c r="M812" s="108"/>
    </row>
    <row r="813" spans="8:8">
      <c r="B813" s="108"/>
      <c r="C813" s="106"/>
      <c r="D813" s="105"/>
      <c r="E813" s="8"/>
      <c r="F813" s="8"/>
      <c r="G813" s="107"/>
      <c r="H813" s="108"/>
      <c r="I813" s="108"/>
      <c r="J813" s="108"/>
      <c r="K813" s="108"/>
      <c r="L813" s="108"/>
      <c r="M813" s="108"/>
    </row>
    <row r="814" spans="8:8">
      <c r="B814" s="108"/>
      <c r="C814" s="106"/>
      <c r="D814" s="105"/>
      <c r="E814" s="8"/>
      <c r="F814" s="8"/>
      <c r="G814" s="107"/>
      <c r="H814" s="108"/>
      <c r="I814" s="108"/>
      <c r="J814" s="108"/>
      <c r="K814" s="108"/>
      <c r="L814" s="108"/>
      <c r="M814" s="108"/>
    </row>
    <row r="815" spans="8:8">
      <c r="B815" s="108"/>
      <c r="C815" s="106"/>
      <c r="D815" s="105"/>
      <c r="E815" s="8"/>
      <c r="F815" s="8"/>
      <c r="G815" s="107"/>
      <c r="H815" s="108"/>
      <c r="I815" s="108"/>
      <c r="J815" s="108"/>
      <c r="K815" s="108"/>
      <c r="L815" s="108"/>
      <c r="M815" s="108"/>
    </row>
    <row r="816" spans="8:8">
      <c r="B816" s="108"/>
      <c r="C816" s="106"/>
      <c r="D816" s="105"/>
      <c r="E816" s="8"/>
      <c r="F816" s="8"/>
      <c r="G816" s="107"/>
      <c r="H816" s="108"/>
      <c r="I816" s="108"/>
      <c r="J816" s="108"/>
      <c r="K816" s="108"/>
      <c r="L816" s="108"/>
      <c r="M816" s="108"/>
    </row>
    <row r="817" spans="8:8">
      <c r="B817" s="108"/>
      <c r="C817" s="106"/>
      <c r="D817" s="105"/>
      <c r="E817" s="8"/>
      <c r="F817" s="8"/>
      <c r="G817" s="107"/>
      <c r="H817" s="108"/>
      <c r="I817" s="108"/>
      <c r="J817" s="108"/>
      <c r="K817" s="108"/>
      <c r="L817" s="108"/>
      <c r="M817" s="108"/>
    </row>
    <row r="818" spans="8:8">
      <c r="B818" s="108"/>
      <c r="C818" s="106"/>
      <c r="D818" s="105"/>
      <c r="E818" s="8"/>
      <c r="F818" s="8"/>
      <c r="G818" s="107"/>
      <c r="H818" s="108"/>
      <c r="I818" s="108"/>
      <c r="J818" s="108"/>
      <c r="K818" s="108"/>
      <c r="L818" s="108"/>
      <c r="M818" s="108"/>
    </row>
    <row r="819" spans="8:8">
      <c r="B819" s="108"/>
      <c r="C819" s="106"/>
      <c r="D819" s="105"/>
      <c r="E819" s="8"/>
      <c r="F819" s="8"/>
      <c r="G819" s="107"/>
      <c r="H819" s="108"/>
      <c r="I819" s="108"/>
      <c r="J819" s="108"/>
      <c r="K819" s="108"/>
      <c r="L819" s="108"/>
      <c r="M819" s="108"/>
    </row>
    <row r="820" spans="8:8">
      <c r="B820" s="108"/>
      <c r="C820" s="106"/>
      <c r="D820" s="105"/>
      <c r="E820" s="8"/>
      <c r="F820" s="8"/>
      <c r="G820" s="107"/>
      <c r="H820" s="108"/>
      <c r="I820" s="108"/>
      <c r="J820" s="108"/>
      <c r="K820" s="108"/>
      <c r="L820" s="108"/>
      <c r="M820" s="108"/>
    </row>
    <row r="821" spans="8:8">
      <c r="B821" s="108"/>
      <c r="C821" s="106"/>
      <c r="D821" s="105"/>
      <c r="E821" s="8"/>
      <c r="F821" s="8"/>
      <c r="G821" s="107"/>
      <c r="H821" s="108"/>
      <c r="I821" s="108"/>
      <c r="J821" s="108"/>
      <c r="K821" s="108"/>
      <c r="L821" s="108"/>
      <c r="M821" s="108"/>
    </row>
    <row r="822" spans="8:8">
      <c r="B822" s="108"/>
      <c r="C822" s="106"/>
      <c r="D822" s="105"/>
      <c r="E822" s="106"/>
      <c r="F822" s="106"/>
      <c r="G822" s="107"/>
      <c r="H822" s="108"/>
      <c r="I822" s="108"/>
      <c r="J822" s="108"/>
      <c r="K822" s="108"/>
      <c r="L822" s="108"/>
      <c r="M822" s="108"/>
    </row>
    <row r="823" spans="8:8">
      <c r="B823" s="108"/>
      <c r="C823" s="106"/>
      <c r="D823" s="105"/>
      <c r="E823" s="106"/>
      <c r="F823" s="106"/>
      <c r="G823" s="107"/>
      <c r="H823" s="108"/>
      <c r="I823" s="108"/>
      <c r="J823" s="108"/>
      <c r="K823" s="108"/>
      <c r="L823" s="108"/>
      <c r="M823" s="108"/>
    </row>
    <row r="824" spans="8:8">
      <c r="B824" s="108"/>
      <c r="C824" s="106"/>
      <c r="D824" s="105"/>
      <c r="E824" s="106"/>
      <c r="F824" s="106"/>
      <c r="G824" s="107"/>
      <c r="H824" s="108"/>
      <c r="I824" s="108"/>
      <c r="J824" s="108"/>
      <c r="K824" s="108"/>
      <c r="L824" s="108"/>
      <c r="M824" s="108"/>
    </row>
    <row r="825" spans="8:8">
      <c r="B825" s="108"/>
      <c r="C825" s="106"/>
      <c r="D825" s="105"/>
      <c r="E825" s="106"/>
      <c r="F825" s="106"/>
      <c r="G825" s="107"/>
      <c r="H825" s="108"/>
      <c r="I825" s="108"/>
      <c r="J825" s="108"/>
      <c r="K825" s="108"/>
      <c r="L825" s="108"/>
      <c r="M825" s="108"/>
    </row>
    <row r="826" spans="8:8">
      <c r="B826" s="108"/>
      <c r="C826" s="106"/>
      <c r="D826" s="105"/>
      <c r="E826" s="106"/>
      <c r="F826" s="106"/>
      <c r="G826" s="107"/>
      <c r="H826" s="108"/>
      <c r="I826" s="108"/>
      <c r="J826" s="108"/>
      <c r="K826" s="108"/>
      <c r="L826" s="108"/>
      <c r="M826" s="108"/>
    </row>
    <row r="827" spans="8:8">
      <c r="B827" s="108"/>
      <c r="C827" s="106"/>
      <c r="D827" s="105"/>
      <c r="E827" s="106"/>
      <c r="F827" s="106"/>
      <c r="G827" s="107"/>
      <c r="H827" s="108"/>
      <c r="I827" s="108"/>
      <c r="J827" s="108"/>
      <c r="K827" s="108"/>
      <c r="L827" s="108"/>
      <c r="M827" s="108"/>
    </row>
    <row r="828" spans="8:8">
      <c r="B828" s="108"/>
      <c r="C828" s="106"/>
      <c r="D828" s="105"/>
      <c r="E828" s="106"/>
      <c r="F828" s="106"/>
      <c r="G828" s="107"/>
      <c r="H828" s="108"/>
      <c r="I828" s="108"/>
      <c r="J828" s="108"/>
      <c r="K828" s="108"/>
      <c r="L828" s="108"/>
      <c r="M828" s="108"/>
    </row>
    <row r="829" spans="8:8">
      <c r="B829" s="108"/>
      <c r="C829" s="106"/>
      <c r="D829" s="105"/>
      <c r="E829" s="106"/>
      <c r="F829" s="106"/>
      <c r="G829" s="107"/>
      <c r="H829" s="108"/>
      <c r="I829" s="108"/>
      <c r="J829" s="108"/>
      <c r="K829" s="108"/>
      <c r="L829" s="108"/>
      <c r="M829" s="108"/>
    </row>
    <row r="830" spans="8:8">
      <c r="B830" s="108"/>
      <c r="C830" s="106"/>
      <c r="D830" s="105"/>
      <c r="E830" s="106"/>
      <c r="F830" s="106"/>
      <c r="G830" s="107"/>
      <c r="H830" s="108"/>
      <c r="I830" s="108"/>
      <c r="J830" s="108"/>
      <c r="K830" s="108"/>
      <c r="L830" s="108"/>
      <c r="M830" s="108"/>
    </row>
    <row r="831" spans="8:8">
      <c r="B831" s="108"/>
      <c r="C831" s="106"/>
      <c r="D831" s="105"/>
      <c r="E831" s="106"/>
      <c r="F831" s="106"/>
      <c r="G831" s="107"/>
      <c r="H831" s="108"/>
      <c r="I831" s="108"/>
      <c r="J831" s="108"/>
      <c r="K831" s="108"/>
      <c r="L831" s="108"/>
      <c r="M831" s="108"/>
    </row>
    <row r="832" spans="8:8">
      <c r="B832" s="108"/>
      <c r="C832" s="106"/>
      <c r="D832" s="105"/>
      <c r="E832" s="106"/>
      <c r="F832" s="106"/>
      <c r="G832" s="107"/>
      <c r="H832" s="108"/>
      <c r="I832" s="108"/>
      <c r="J832" s="108"/>
      <c r="K832" s="108"/>
      <c r="L832" s="108"/>
      <c r="M832" s="108"/>
    </row>
    <row r="833" spans="8:8">
      <c r="B833" s="108"/>
      <c r="C833" s="106"/>
      <c r="D833" s="105"/>
      <c r="E833" s="106"/>
      <c r="F833" s="106"/>
      <c r="G833" s="107"/>
      <c r="H833" s="108"/>
      <c r="I833" s="108"/>
      <c r="J833" s="108"/>
      <c r="K833" s="108"/>
      <c r="L833" s="108"/>
      <c r="M833" s="108"/>
    </row>
    <row r="834" spans="8:8">
      <c r="B834" s="108"/>
      <c r="C834" s="106"/>
      <c r="D834" s="105"/>
      <c r="E834" s="106"/>
      <c r="F834" s="106"/>
      <c r="G834" s="107"/>
      <c r="H834" s="108"/>
      <c r="I834" s="108"/>
      <c r="J834" s="108"/>
      <c r="K834" s="108"/>
      <c r="L834" s="108"/>
      <c r="M834" s="108"/>
    </row>
    <row r="835" spans="8:8">
      <c r="B835" s="108"/>
      <c r="C835" s="106"/>
      <c r="D835" s="105"/>
      <c r="E835" s="106"/>
      <c r="F835" s="106"/>
      <c r="G835" s="107"/>
      <c r="H835" s="108"/>
      <c r="I835" s="108"/>
      <c r="J835" s="108"/>
      <c r="K835" s="108"/>
      <c r="L835" s="108"/>
      <c r="M835" s="108"/>
    </row>
    <row r="836" spans="8:8">
      <c r="B836" s="108"/>
      <c r="C836" s="106"/>
      <c r="D836" s="105"/>
      <c r="E836" s="106"/>
      <c r="F836" s="106"/>
      <c r="G836" s="107"/>
      <c r="H836" s="108"/>
      <c r="I836" s="108"/>
      <c r="J836" s="108"/>
      <c r="K836" s="108"/>
      <c r="L836" s="108"/>
      <c r="M836" s="108"/>
    </row>
    <row r="837" spans="8:8">
      <c r="B837" s="108"/>
      <c r="C837" s="106"/>
      <c r="D837" s="105"/>
      <c r="E837" s="106"/>
      <c r="F837" s="106"/>
      <c r="G837" s="107"/>
      <c r="H837" s="108"/>
      <c r="I837" s="108"/>
      <c r="J837" s="108"/>
      <c r="K837" s="108"/>
      <c r="L837" s="108"/>
      <c r="M837" s="108"/>
    </row>
    <row r="838" spans="8:8">
      <c r="B838" s="108"/>
      <c r="C838" s="106"/>
      <c r="D838" s="105"/>
      <c r="E838" s="106"/>
      <c r="F838" s="106"/>
      <c r="G838" s="107"/>
      <c r="H838" s="108"/>
      <c r="I838" s="108"/>
      <c r="J838" s="108"/>
      <c r="K838" s="108"/>
      <c r="L838" s="108"/>
      <c r="M838" s="108"/>
    </row>
    <row r="839" spans="8:8">
      <c r="B839" s="108"/>
      <c r="C839" s="106"/>
      <c r="D839" s="105"/>
      <c r="E839" s="106"/>
      <c r="F839" s="106"/>
      <c r="G839" s="107"/>
      <c r="H839" s="108"/>
      <c r="I839" s="108"/>
      <c r="J839" s="108"/>
      <c r="K839" s="108"/>
      <c r="L839" s="108"/>
      <c r="M839" s="108"/>
    </row>
    <row r="840" spans="8:8">
      <c r="B840" s="108"/>
      <c r="C840" s="106"/>
      <c r="D840" s="105"/>
      <c r="E840" s="106"/>
      <c r="F840" s="106"/>
      <c r="G840" s="107"/>
      <c r="H840" s="108"/>
      <c r="I840" s="108"/>
      <c r="J840" s="108"/>
      <c r="K840" s="108"/>
      <c r="L840" s="108"/>
      <c r="M840" s="108"/>
    </row>
    <row r="841" spans="8:8">
      <c r="B841" s="108"/>
      <c r="C841" s="106"/>
      <c r="D841" s="105"/>
      <c r="E841" s="106"/>
      <c r="F841" s="106"/>
      <c r="G841" s="107"/>
      <c r="H841" s="108"/>
      <c r="I841" s="108"/>
      <c r="J841" s="108"/>
      <c r="K841" s="108"/>
      <c r="L841" s="108"/>
      <c r="M841" s="108"/>
    </row>
    <row r="842" spans="8:8">
      <c r="B842" s="108"/>
      <c r="C842" s="106"/>
      <c r="D842" s="105"/>
      <c r="E842" s="106"/>
      <c r="F842" s="106"/>
      <c r="G842" s="107"/>
      <c r="H842" s="108"/>
      <c r="I842" s="108"/>
      <c r="J842" s="108"/>
      <c r="K842" s="108"/>
      <c r="L842" s="108"/>
      <c r="M842" s="108"/>
    </row>
    <row r="843" spans="8:8">
      <c r="B843" s="108"/>
      <c r="C843" s="106"/>
      <c r="D843" s="105"/>
      <c r="E843" s="106"/>
      <c r="F843" s="106"/>
      <c r="G843" s="107"/>
      <c r="H843" s="108"/>
      <c r="I843" s="108"/>
      <c r="J843" s="108"/>
      <c r="K843" s="108"/>
      <c r="L843" s="108"/>
      <c r="M843" s="108"/>
    </row>
    <row r="844" spans="8:8">
      <c r="B844" s="108"/>
      <c r="C844" s="106"/>
      <c r="D844" s="105"/>
      <c r="E844" s="106"/>
      <c r="F844" s="106"/>
      <c r="G844" s="107"/>
      <c r="H844" s="108"/>
      <c r="I844" s="108"/>
      <c r="J844" s="108"/>
      <c r="K844" s="108"/>
      <c r="L844" s="108"/>
      <c r="M844" s="108"/>
    </row>
    <row r="845" spans="8:8">
      <c r="B845" s="108"/>
      <c r="C845" s="106"/>
      <c r="D845" s="105"/>
      <c r="E845" s="106"/>
      <c r="F845" s="106"/>
      <c r="G845" s="107"/>
      <c r="H845" s="108"/>
      <c r="I845" s="108"/>
      <c r="J845" s="108"/>
      <c r="K845" s="108"/>
      <c r="L845" s="108"/>
      <c r="M845" s="108"/>
    </row>
    <row r="846" spans="8:8">
      <c r="B846" s="108"/>
      <c r="C846" s="106"/>
      <c r="D846" s="105"/>
      <c r="E846" s="106"/>
      <c r="F846" s="106"/>
      <c r="G846" s="107"/>
      <c r="H846" s="108"/>
      <c r="I846" s="108"/>
      <c r="J846" s="108"/>
      <c r="K846" s="108"/>
      <c r="L846" s="108"/>
      <c r="M846" s="108"/>
    </row>
    <row r="847" spans="8:8">
      <c r="B847" s="108"/>
      <c r="C847" s="106"/>
      <c r="D847" s="105"/>
      <c r="E847" s="106"/>
      <c r="F847" s="106"/>
      <c r="G847" s="107"/>
      <c r="H847" s="108"/>
      <c r="I847" s="108"/>
      <c r="J847" s="108"/>
      <c r="K847" s="108"/>
      <c r="L847" s="108"/>
      <c r="M847" s="108"/>
    </row>
    <row r="848" spans="8:8">
      <c r="B848" s="108"/>
      <c r="C848" s="106"/>
      <c r="D848" s="105"/>
      <c r="E848" s="106"/>
      <c r="F848" s="106"/>
      <c r="G848" s="107"/>
      <c r="H848" s="108"/>
      <c r="I848" s="108"/>
      <c r="J848" s="108"/>
      <c r="K848" s="108"/>
      <c r="L848" s="108"/>
      <c r="M848" s="108"/>
    </row>
    <row r="849" spans="8:8">
      <c r="B849" s="108"/>
      <c r="C849" s="106"/>
      <c r="D849" s="105"/>
      <c r="E849" s="106"/>
      <c r="F849" s="106"/>
      <c r="G849" s="107"/>
      <c r="H849" s="108"/>
      <c r="I849" s="108"/>
      <c r="J849" s="108"/>
      <c r="K849" s="108"/>
      <c r="L849" s="108"/>
      <c r="M849" s="108"/>
    </row>
    <row r="850" spans="8:8">
      <c r="B850" s="108"/>
      <c r="C850" s="106"/>
      <c r="D850" s="105"/>
      <c r="E850" s="106"/>
      <c r="F850" s="106"/>
      <c r="G850" s="107"/>
      <c r="H850" s="108"/>
      <c r="I850" s="108"/>
      <c r="J850" s="108"/>
      <c r="K850" s="108"/>
      <c r="L850" s="108"/>
      <c r="M850" s="108"/>
    </row>
    <row r="851" spans="8:8">
      <c r="B851" s="108"/>
      <c r="C851" s="106"/>
      <c r="D851" s="105"/>
      <c r="E851" s="106"/>
      <c r="F851" s="106"/>
      <c r="G851" s="107"/>
      <c r="H851" s="108"/>
      <c r="I851" s="108"/>
      <c r="J851" s="108"/>
      <c r="K851" s="108"/>
      <c r="L851" s="108"/>
      <c r="M851" s="108"/>
    </row>
    <row r="852" spans="8:8">
      <c r="B852" s="108"/>
      <c r="C852" s="106"/>
      <c r="D852" s="105"/>
      <c r="E852" s="106"/>
      <c r="F852" s="106"/>
      <c r="G852" s="107"/>
      <c r="H852" s="108"/>
      <c r="I852" s="108"/>
      <c r="J852" s="108"/>
      <c r="K852" s="108"/>
      <c r="L852" s="108"/>
      <c r="M852" s="108"/>
    </row>
    <row r="853" spans="8:8">
      <c r="B853" s="108"/>
      <c r="C853" s="106"/>
      <c r="D853" s="105"/>
      <c r="E853" s="106"/>
      <c r="F853" s="106"/>
      <c r="G853" s="107"/>
      <c r="H853" s="108"/>
      <c r="I853" s="108"/>
      <c r="J853" s="108"/>
      <c r="K853" s="108"/>
      <c r="L853" s="108"/>
      <c r="M853" s="108"/>
    </row>
    <row r="854" spans="8:8">
      <c r="B854" s="108"/>
      <c r="C854" s="106"/>
      <c r="D854" s="105"/>
      <c r="E854" s="106"/>
      <c r="F854" s="106"/>
      <c r="G854" s="107"/>
      <c r="H854" s="108"/>
      <c r="I854" s="108"/>
      <c r="J854" s="108"/>
      <c r="K854" s="108"/>
      <c r="L854" s="108"/>
      <c r="M854" s="108"/>
    </row>
    <row r="855" spans="8:8">
      <c r="B855" s="108"/>
      <c r="C855" s="106"/>
      <c r="D855" s="105"/>
      <c r="E855" s="106"/>
      <c r="F855" s="106"/>
      <c r="G855" s="107"/>
      <c r="H855" s="108"/>
      <c r="I855" s="108"/>
      <c r="J855" s="108"/>
      <c r="K855" s="108"/>
      <c r="L855" s="108"/>
      <c r="M855" s="108"/>
    </row>
    <row r="856" spans="8:8">
      <c r="B856" s="108"/>
      <c r="C856" s="106"/>
      <c r="D856" s="105"/>
      <c r="E856" s="106"/>
      <c r="F856" s="106"/>
      <c r="G856" s="107"/>
      <c r="H856" s="108"/>
      <c r="I856" s="108"/>
      <c r="J856" s="108"/>
      <c r="K856" s="108"/>
      <c r="L856" s="108"/>
      <c r="M856" s="108"/>
    </row>
    <row r="857" spans="8:8">
      <c r="B857" s="108"/>
      <c r="C857" s="106"/>
      <c r="D857" s="105"/>
      <c r="E857" s="106"/>
      <c r="F857" s="106"/>
      <c r="G857" s="107"/>
      <c r="H857" s="108"/>
      <c r="I857" s="108"/>
      <c r="J857" s="108"/>
      <c r="K857" s="108"/>
      <c r="L857" s="108"/>
      <c r="M857" s="108"/>
    </row>
    <row r="858" spans="8:8">
      <c r="B858" s="108"/>
      <c r="C858" s="106"/>
      <c r="D858" s="105"/>
      <c r="E858" s="106"/>
      <c r="F858" s="106"/>
      <c r="G858" s="107"/>
      <c r="H858" s="108"/>
      <c r="I858" s="108"/>
      <c r="J858" s="108"/>
      <c r="K858" s="108"/>
      <c r="L858" s="108"/>
      <c r="M858" s="108"/>
    </row>
    <row r="859" spans="8:8">
      <c r="B859" s="108"/>
      <c r="C859" s="106"/>
      <c r="D859" s="105"/>
      <c r="E859" s="106"/>
      <c r="F859" s="106"/>
      <c r="G859" s="107"/>
      <c r="H859" s="108"/>
      <c r="I859" s="108"/>
      <c r="J859" s="108"/>
      <c r="K859" s="108"/>
      <c r="L859" s="108"/>
      <c r="M859" s="108"/>
    </row>
    <row r="860" spans="8:8">
      <c r="B860" s="108"/>
      <c r="C860" s="106"/>
      <c r="D860" s="105"/>
      <c r="E860" s="106"/>
      <c r="F860" s="106"/>
      <c r="G860" s="107"/>
      <c r="H860" s="108"/>
      <c r="I860" s="108"/>
      <c r="J860" s="108"/>
      <c r="K860" s="108"/>
      <c r="L860" s="108"/>
      <c r="M860" s="108"/>
    </row>
    <row r="861" spans="8:8">
      <c r="B861" s="108"/>
      <c r="C861" s="106"/>
      <c r="D861" s="105"/>
      <c r="E861" s="106"/>
      <c r="F861" s="106"/>
      <c r="G861" s="107"/>
      <c r="H861" s="108"/>
      <c r="I861" s="108"/>
      <c r="J861" s="108"/>
      <c r="K861" s="108"/>
      <c r="L861" s="108"/>
      <c r="M861" s="108"/>
    </row>
    <row r="862" spans="8:8">
      <c r="B862" s="108"/>
      <c r="C862" s="106"/>
      <c r="D862" s="105"/>
      <c r="E862" s="106"/>
      <c r="F862" s="106"/>
      <c r="G862" s="107"/>
      <c r="H862" s="108"/>
      <c r="I862" s="108"/>
      <c r="J862" s="108"/>
      <c r="K862" s="108"/>
      <c r="L862" s="108"/>
      <c r="M862" s="108"/>
    </row>
    <row r="863" spans="8:8">
      <c r="B863" s="108"/>
      <c r="C863" s="106"/>
      <c r="D863" s="105"/>
      <c r="E863" s="106"/>
      <c r="F863" s="106"/>
      <c r="G863" s="107"/>
      <c r="H863" s="108"/>
      <c r="I863" s="108"/>
      <c r="J863" s="108"/>
      <c r="K863" s="108"/>
      <c r="L863" s="108"/>
      <c r="M863" s="108"/>
    </row>
    <row r="864" spans="8:8">
      <c r="B864" s="108"/>
      <c r="C864" s="106"/>
      <c r="D864" s="105"/>
      <c r="E864" s="106"/>
      <c r="F864" s="106"/>
      <c r="G864" s="107"/>
      <c r="H864" s="108"/>
      <c r="I864" s="108"/>
      <c r="J864" s="108"/>
      <c r="K864" s="108"/>
      <c r="L864" s="108"/>
      <c r="M864" s="108"/>
    </row>
    <row r="865" spans="8:8">
      <c r="B865" s="108"/>
      <c r="C865" s="106"/>
      <c r="D865" s="105"/>
      <c r="E865" s="106"/>
      <c r="F865" s="106"/>
      <c r="G865" s="107"/>
      <c r="H865" s="108"/>
      <c r="I865" s="108"/>
      <c r="J865" s="108"/>
      <c r="K865" s="108"/>
      <c r="L865" s="108"/>
      <c r="M865" s="108"/>
    </row>
    <row r="866" spans="8:8">
      <c r="B866" s="108"/>
      <c r="C866" s="106"/>
      <c r="D866" s="105"/>
      <c r="E866" s="106"/>
      <c r="F866" s="106"/>
      <c r="G866" s="107"/>
      <c r="H866" s="108"/>
      <c r="I866" s="108"/>
      <c r="J866" s="108"/>
      <c r="K866" s="108"/>
      <c r="L866" s="108"/>
      <c r="M866" s="108"/>
    </row>
    <row r="867" spans="8:8">
      <c r="B867" s="108"/>
      <c r="C867" s="106"/>
      <c r="D867" s="105"/>
      <c r="E867" s="106"/>
      <c r="F867" s="106"/>
      <c r="G867" s="107"/>
      <c r="H867" s="108"/>
      <c r="I867" s="108"/>
      <c r="J867" s="108"/>
      <c r="K867" s="108"/>
      <c r="L867" s="108"/>
      <c r="M867" s="108"/>
    </row>
    <row r="868" spans="8:8">
      <c r="B868" s="108"/>
      <c r="C868" s="106"/>
      <c r="D868" s="105"/>
      <c r="E868" s="106"/>
      <c r="F868" s="106"/>
      <c r="G868" s="107"/>
      <c r="H868" s="108"/>
      <c r="I868" s="108"/>
      <c r="J868" s="108"/>
      <c r="K868" s="108"/>
      <c r="L868" s="108"/>
      <c r="M868" s="108"/>
    </row>
    <row r="869" spans="8:8">
      <c r="B869" s="108"/>
      <c r="C869" s="106"/>
      <c r="D869" s="105"/>
      <c r="E869" s="106"/>
      <c r="F869" s="106"/>
      <c r="G869" s="107"/>
      <c r="H869" s="108"/>
      <c r="I869" s="108"/>
      <c r="J869" s="108"/>
      <c r="K869" s="108"/>
      <c r="L869" s="108"/>
      <c r="M869" s="108"/>
    </row>
    <row r="870" spans="8:8">
      <c r="B870" s="108"/>
      <c r="C870" s="106"/>
      <c r="D870" s="105"/>
      <c r="E870" s="106"/>
      <c r="F870" s="106"/>
      <c r="G870" s="107"/>
      <c r="H870" s="108"/>
      <c r="I870" s="108"/>
      <c r="J870" s="108"/>
      <c r="K870" s="108"/>
      <c r="L870" s="108"/>
      <c r="M870" s="108"/>
    </row>
    <row r="871" spans="8:8">
      <c r="B871" s="108"/>
      <c r="C871" s="106"/>
      <c r="D871" s="105"/>
      <c r="E871" s="106"/>
      <c r="F871" s="106"/>
      <c r="G871" s="107"/>
      <c r="H871" s="108"/>
      <c r="I871" s="108"/>
      <c r="J871" s="108"/>
      <c r="K871" s="108"/>
      <c r="L871" s="108"/>
      <c r="M871" s="108"/>
    </row>
    <row r="872" spans="8:8">
      <c r="B872" s="108"/>
      <c r="C872" s="106"/>
      <c r="D872" s="105"/>
      <c r="E872" s="106"/>
      <c r="F872" s="106"/>
      <c r="G872" s="107"/>
      <c r="H872" s="108"/>
      <c r="I872" s="108"/>
      <c r="J872" s="108"/>
      <c r="K872" s="108"/>
      <c r="L872" s="108"/>
      <c r="M872" s="108"/>
    </row>
    <row r="873" spans="8:8">
      <c r="B873" s="108"/>
      <c r="C873" s="106"/>
      <c r="D873" s="105"/>
      <c r="E873" s="106"/>
      <c r="F873" s="106"/>
      <c r="G873" s="107"/>
      <c r="H873" s="108"/>
      <c r="I873" s="108"/>
      <c r="J873" s="108"/>
      <c r="K873" s="108"/>
      <c r="L873" s="108"/>
      <c r="M873" s="108"/>
    </row>
    <row r="874" spans="8:8">
      <c r="B874" s="108"/>
      <c r="C874" s="106"/>
      <c r="D874" s="105"/>
      <c r="E874" s="106"/>
      <c r="F874" s="106"/>
      <c r="G874" s="107"/>
      <c r="H874" s="108"/>
      <c r="I874" s="108"/>
      <c r="J874" s="108"/>
      <c r="K874" s="108"/>
      <c r="L874" s="108"/>
      <c r="M874" s="108"/>
    </row>
    <row r="875" spans="8:8">
      <c r="B875" s="108"/>
      <c r="C875" s="106"/>
      <c r="D875" s="105"/>
      <c r="E875" s="106"/>
      <c r="F875" s="106"/>
      <c r="G875" s="107"/>
      <c r="H875" s="108"/>
      <c r="I875" s="108"/>
      <c r="J875" s="108"/>
      <c r="K875" s="108"/>
      <c r="L875" s="108"/>
      <c r="M875" s="108"/>
    </row>
    <row r="876" spans="8:8">
      <c r="B876" s="108"/>
      <c r="C876" s="106"/>
      <c r="D876" s="105"/>
      <c r="E876" s="106"/>
      <c r="F876" s="106"/>
      <c r="G876" s="107"/>
      <c r="H876" s="108"/>
      <c r="I876" s="108"/>
      <c r="J876" s="108"/>
      <c r="K876" s="108"/>
      <c r="L876" s="108"/>
      <c r="M876" s="108"/>
    </row>
    <row r="877" spans="8:8">
      <c r="B877" s="108"/>
      <c r="C877" s="106"/>
      <c r="D877" s="105"/>
      <c r="E877" s="106"/>
      <c r="F877" s="106"/>
      <c r="G877" s="107"/>
      <c r="H877" s="108"/>
      <c r="I877" s="108"/>
      <c r="J877" s="108"/>
      <c r="K877" s="108"/>
      <c r="L877" s="108"/>
      <c r="M877" s="108"/>
    </row>
    <row r="878" spans="8:8">
      <c r="B878" s="108"/>
      <c r="C878" s="106"/>
      <c r="D878" s="105"/>
      <c r="E878" s="106"/>
      <c r="F878" s="106"/>
      <c r="G878" s="107"/>
      <c r="H878" s="108"/>
      <c r="I878" s="108"/>
      <c r="J878" s="108"/>
      <c r="K878" s="108"/>
      <c r="L878" s="108"/>
      <c r="M878" s="108"/>
    </row>
    <row r="879" spans="8:8">
      <c r="B879" s="108"/>
      <c r="C879" s="106"/>
      <c r="D879" s="105"/>
      <c r="E879" s="106"/>
      <c r="F879" s="106"/>
      <c r="G879" s="107"/>
      <c r="H879" s="108"/>
      <c r="I879" s="108"/>
      <c r="J879" s="108"/>
      <c r="K879" s="108"/>
      <c r="L879" s="108"/>
      <c r="M879" s="108"/>
    </row>
    <row r="880" spans="8:8">
      <c r="B880" s="108"/>
      <c r="C880" s="106"/>
      <c r="D880" s="105"/>
      <c r="E880" s="106"/>
      <c r="F880" s="106"/>
      <c r="G880" s="107"/>
      <c r="H880" s="108"/>
      <c r="I880" s="108"/>
      <c r="J880" s="108"/>
      <c r="K880" s="108"/>
      <c r="L880" s="108"/>
      <c r="M880" s="108"/>
    </row>
    <row r="881" spans="8:8">
      <c r="B881" s="108"/>
      <c r="C881" s="106"/>
      <c r="D881" s="105"/>
      <c r="E881" s="106"/>
      <c r="F881" s="106"/>
      <c r="G881" s="107"/>
      <c r="H881" s="108"/>
      <c r="I881" s="108"/>
      <c r="J881" s="108"/>
      <c r="K881" s="108"/>
      <c r="L881" s="108"/>
      <c r="M881" s="108"/>
    </row>
    <row r="882" spans="8:8">
      <c r="B882" s="108"/>
      <c r="C882" s="106"/>
      <c r="D882" s="105"/>
      <c r="E882" s="106"/>
      <c r="F882" s="106"/>
      <c r="G882" s="107"/>
      <c r="H882" s="108"/>
      <c r="I882" s="108"/>
      <c r="J882" s="108"/>
      <c r="K882" s="108"/>
      <c r="L882" s="108"/>
      <c r="M882" s="108"/>
    </row>
    <row r="883" spans="8:8">
      <c r="B883" s="108"/>
      <c r="C883" s="106"/>
      <c r="D883" s="105"/>
      <c r="E883" s="106"/>
      <c r="F883" s="106"/>
      <c r="G883" s="107"/>
      <c r="H883" s="108"/>
      <c r="I883" s="108"/>
      <c r="J883" s="108"/>
      <c r="K883" s="108"/>
      <c r="L883" s="108"/>
      <c r="M883" s="108"/>
    </row>
    <row r="884" spans="8:8">
      <c r="B884" s="108"/>
      <c r="C884" s="106"/>
      <c r="D884" s="105"/>
      <c r="E884" s="106"/>
      <c r="F884" s="106"/>
      <c r="G884" s="107"/>
      <c r="H884" s="108"/>
      <c r="I884" s="108"/>
      <c r="J884" s="108"/>
      <c r="K884" s="108"/>
      <c r="L884" s="108"/>
      <c r="M884" s="108"/>
    </row>
    <row r="885" spans="8:8">
      <c r="B885" s="108"/>
      <c r="C885" s="106"/>
      <c r="D885" s="105"/>
      <c r="E885" s="106"/>
      <c r="F885" s="106"/>
      <c r="G885" s="107"/>
      <c r="H885" s="108"/>
      <c r="I885" s="108"/>
      <c r="J885" s="108"/>
      <c r="K885" s="108"/>
      <c r="L885" s="108"/>
      <c r="M885" s="108"/>
    </row>
    <row r="886" spans="8:8">
      <c r="B886" s="108"/>
      <c r="C886" s="106"/>
      <c r="D886" s="105"/>
      <c r="E886" s="106"/>
      <c r="F886" s="106"/>
      <c r="G886" s="107"/>
      <c r="H886" s="108"/>
      <c r="I886" s="108"/>
      <c r="J886" s="108"/>
      <c r="K886" s="108"/>
      <c r="L886" s="108"/>
      <c r="M886" s="108"/>
    </row>
    <row r="887" spans="8:8">
      <c r="B887" s="108"/>
      <c r="C887" s="106"/>
      <c r="D887" s="105"/>
      <c r="E887" s="106"/>
      <c r="F887" s="106"/>
      <c r="G887" s="107"/>
      <c r="H887" s="108"/>
      <c r="I887" s="108"/>
      <c r="J887" s="108"/>
      <c r="K887" s="108"/>
      <c r="L887" s="108"/>
      <c r="M887" s="108"/>
    </row>
    <row r="888" spans="8:8">
      <c r="B888" s="108"/>
      <c r="C888" s="106"/>
      <c r="D888" s="105"/>
      <c r="E888" s="106"/>
      <c r="F888" s="106"/>
      <c r="G888" s="107"/>
      <c r="H888" s="108"/>
      <c r="I888" s="108"/>
      <c r="J888" s="108"/>
      <c r="K888" s="108"/>
      <c r="L888" s="108"/>
      <c r="M888" s="108"/>
    </row>
    <row r="889" spans="8:8">
      <c r="B889" s="108"/>
      <c r="C889" s="106"/>
      <c r="D889" s="105"/>
      <c r="E889" s="106"/>
      <c r="F889" s="106"/>
      <c r="G889" s="107"/>
      <c r="H889" s="108"/>
      <c r="I889" s="108"/>
      <c r="J889" s="108"/>
      <c r="K889" s="108"/>
      <c r="L889" s="108"/>
      <c r="M889" s="108"/>
    </row>
    <row r="890" spans="8:8">
      <c r="B890" s="108"/>
      <c r="C890" s="106"/>
      <c r="D890" s="105"/>
      <c r="E890" s="106"/>
      <c r="F890" s="106"/>
      <c r="G890" s="107"/>
      <c r="H890" s="108"/>
      <c r="I890" s="108"/>
      <c r="J890" s="108"/>
      <c r="K890" s="108"/>
      <c r="L890" s="108"/>
      <c r="M890" s="108"/>
    </row>
    <row r="891" spans="8:8">
      <c r="B891" s="108"/>
      <c r="C891" s="106"/>
      <c r="D891" s="105"/>
      <c r="E891" s="106"/>
      <c r="F891" s="106"/>
      <c r="G891" s="107"/>
      <c r="H891" s="108"/>
      <c r="I891" s="108"/>
      <c r="J891" s="108"/>
      <c r="K891" s="108"/>
      <c r="L891" s="108"/>
      <c r="M891" s="108"/>
    </row>
    <row r="892" spans="8:8">
      <c r="B892" s="108"/>
      <c r="C892" s="106"/>
      <c r="D892" s="105"/>
      <c r="E892" s="106"/>
      <c r="F892" s="106"/>
      <c r="G892" s="107"/>
      <c r="H892" s="108"/>
      <c r="I892" s="108"/>
      <c r="J892" s="108"/>
      <c r="K892" s="108"/>
      <c r="L892" s="108"/>
      <c r="M892" s="108"/>
    </row>
    <row r="893" spans="8:8">
      <c r="B893" s="108"/>
      <c r="C893" s="106"/>
      <c r="D893" s="105"/>
      <c r="E893" s="106"/>
      <c r="F893" s="106"/>
      <c r="G893" s="107"/>
      <c r="H893" s="108"/>
      <c r="I893" s="108"/>
      <c r="J893" s="108"/>
      <c r="K893" s="108"/>
      <c r="L893" s="108"/>
      <c r="M893" s="108"/>
    </row>
    <row r="894" spans="8:8">
      <c r="B894" s="108"/>
      <c r="C894" s="106"/>
      <c r="D894" s="105"/>
      <c r="E894" s="108"/>
      <c r="F894" s="108"/>
      <c r="G894" s="108"/>
      <c r="H894" s="108"/>
      <c r="I894" s="108"/>
      <c r="J894" s="108"/>
      <c r="K894" s="108"/>
      <c r="L894" s="108"/>
      <c r="M894" s="108"/>
    </row>
    <row r="895" spans="8:8">
      <c r="B895" s="108"/>
      <c r="C895" s="106"/>
      <c r="D895" s="105"/>
      <c r="E895" s="108"/>
      <c r="F895" s="108"/>
      <c r="G895" s="108"/>
      <c r="H895" s="108"/>
      <c r="I895" s="108"/>
      <c r="J895" s="108"/>
      <c r="K895" s="108"/>
      <c r="L895" s="108"/>
      <c r="M895" s="108"/>
    </row>
    <row r="896" spans="8:8">
      <c r="B896" s="108"/>
      <c r="C896" s="106"/>
      <c r="D896" s="105"/>
      <c r="E896" s="108"/>
      <c r="F896" s="108"/>
      <c r="G896" s="108"/>
      <c r="H896" s="108"/>
      <c r="I896" s="108"/>
      <c r="J896" s="108"/>
      <c r="K896" s="108"/>
      <c r="L896" s="108"/>
      <c r="M896" s="108"/>
    </row>
    <row r="897" spans="8:8">
      <c r="B897" s="108"/>
      <c r="C897" s="106"/>
      <c r="D897" s="105"/>
      <c r="E897" s="108"/>
      <c r="F897" s="108"/>
      <c r="G897" s="108"/>
      <c r="H897" s="108"/>
      <c r="I897" s="108"/>
      <c r="J897" s="108"/>
      <c r="K897" s="108"/>
      <c r="L897" s="108"/>
      <c r="M897" s="108"/>
    </row>
    <row r="898" spans="8:8">
      <c r="B898" s="108"/>
      <c r="C898" s="106"/>
      <c r="D898" s="105"/>
      <c r="E898" s="108"/>
      <c r="F898" s="108"/>
      <c r="G898" s="108"/>
      <c r="H898" s="108"/>
      <c r="I898" s="108"/>
      <c r="J898" s="108"/>
      <c r="K898" s="108"/>
      <c r="L898" s="108"/>
      <c r="M898" s="108"/>
    </row>
    <row r="899" spans="8:8">
      <c r="B899" s="108"/>
      <c r="C899" s="106"/>
      <c r="D899" s="105"/>
      <c r="E899" s="108"/>
      <c r="F899" s="108"/>
      <c r="G899" s="108"/>
      <c r="H899" s="108"/>
      <c r="I899" s="108"/>
      <c r="J899" s="108"/>
      <c r="K899" s="108"/>
      <c r="L899" s="108"/>
      <c r="M899" s="108"/>
    </row>
    <row r="900" spans="8:8">
      <c r="B900" s="108"/>
      <c r="C900" s="106"/>
      <c r="D900" s="105"/>
      <c r="E900" s="108"/>
      <c r="F900" s="108"/>
      <c r="G900" s="108"/>
      <c r="H900" s="108"/>
      <c r="I900" s="108"/>
      <c r="J900" s="108"/>
      <c r="K900" s="108"/>
      <c r="L900" s="108"/>
      <c r="M900" s="108"/>
    </row>
    <row r="901" spans="8:8">
      <c r="B901" s="108"/>
      <c r="C901" s="106"/>
      <c r="D901" s="105"/>
      <c r="E901" s="108"/>
      <c r="F901" s="108"/>
      <c r="G901" s="108"/>
      <c r="H901" s="108"/>
      <c r="I901" s="108"/>
      <c r="J901" s="108"/>
      <c r="K901" s="108"/>
      <c r="L901" s="108"/>
      <c r="M901" s="108"/>
    </row>
    <row r="902" spans="8:8">
      <c r="B902" s="108"/>
      <c r="C902" s="106"/>
      <c r="D902" s="105"/>
      <c r="E902" s="108"/>
      <c r="F902" s="108"/>
      <c r="G902" s="108"/>
      <c r="H902" s="108"/>
      <c r="I902" s="108"/>
      <c r="J902" s="108"/>
      <c r="K902" s="108"/>
      <c r="L902" s="108"/>
      <c r="M902" s="108"/>
    </row>
    <row r="903" spans="8:8">
      <c r="B903" s="108"/>
      <c r="C903" s="106"/>
      <c r="D903" s="105"/>
      <c r="E903" s="108"/>
      <c r="F903" s="108"/>
      <c r="G903" s="108"/>
      <c r="H903" s="108"/>
      <c r="I903" s="108"/>
      <c r="J903" s="108"/>
      <c r="K903" s="108"/>
      <c r="L903" s="108"/>
      <c r="M903" s="108"/>
    </row>
    <row r="904" spans="8:8">
      <c r="B904" s="108"/>
      <c r="C904" s="106"/>
      <c r="D904" s="105"/>
      <c r="E904" s="108"/>
      <c r="F904" s="108"/>
      <c r="G904" s="108"/>
      <c r="H904" s="108"/>
      <c r="I904" s="108"/>
      <c r="J904" s="108"/>
      <c r="K904" s="108"/>
      <c r="L904" s="108"/>
      <c r="M904" s="108"/>
    </row>
    <row r="905" spans="8:8">
      <c r="B905" s="108"/>
      <c r="C905" s="106"/>
      <c r="D905" s="105"/>
      <c r="E905" s="108"/>
      <c r="F905" s="108"/>
      <c r="G905" s="108"/>
      <c r="H905" s="108"/>
      <c r="I905" s="108"/>
      <c r="J905" s="108"/>
      <c r="K905" s="108"/>
      <c r="L905" s="108"/>
      <c r="M905" s="108"/>
    </row>
    <row r="906" spans="8:8">
      <c r="B906" s="108"/>
      <c r="C906" s="106"/>
      <c r="D906" s="105"/>
      <c r="E906" s="108"/>
      <c r="F906" s="108"/>
      <c r="G906" s="108"/>
      <c r="H906" s="108"/>
      <c r="I906" s="108"/>
      <c r="J906" s="108"/>
      <c r="K906" s="108"/>
      <c r="L906" s="108"/>
      <c r="M906" s="108"/>
    </row>
    <row r="907" spans="8:8">
      <c r="B907" s="108"/>
      <c r="C907" s="106"/>
      <c r="D907" s="105"/>
      <c r="E907" s="108"/>
      <c r="F907" s="108"/>
      <c r="G907" s="108"/>
      <c r="H907" s="108"/>
      <c r="I907" s="108"/>
      <c r="J907" s="108"/>
      <c r="K907" s="108"/>
      <c r="L907" s="108"/>
      <c r="M907" s="108"/>
    </row>
    <row r="908" spans="8:8">
      <c r="B908" s="108"/>
      <c r="C908" s="106"/>
      <c r="D908" s="105"/>
      <c r="E908" s="108"/>
      <c r="F908" s="108"/>
      <c r="G908" s="108"/>
      <c r="H908" s="108"/>
      <c r="I908" s="108"/>
      <c r="J908" s="108"/>
      <c r="K908" s="108"/>
      <c r="L908" s="108"/>
      <c r="M908" s="108"/>
    </row>
    <row r="909" spans="8:8">
      <c r="B909" s="108"/>
      <c r="C909" s="106"/>
      <c r="D909" s="105"/>
      <c r="E909" s="108"/>
      <c r="F909" s="108"/>
      <c r="G909" s="108"/>
      <c r="H909" s="108"/>
      <c r="I909" s="108"/>
      <c r="J909" s="108"/>
      <c r="K909" s="108"/>
      <c r="L909" s="108"/>
      <c r="M909" s="108"/>
    </row>
    <row r="910" spans="8:8">
      <c r="B910" s="108"/>
      <c r="C910" s="106"/>
      <c r="D910" s="105"/>
      <c r="E910" s="108"/>
      <c r="F910" s="108"/>
      <c r="G910" s="108"/>
      <c r="H910" s="108"/>
      <c r="I910" s="108"/>
      <c r="J910" s="108"/>
      <c r="K910" s="108"/>
      <c r="L910" s="108"/>
      <c r="M910" s="108"/>
    </row>
    <row r="911" spans="8:8">
      <c r="B911" s="108"/>
      <c r="C911" s="106"/>
      <c r="D911" s="105"/>
      <c r="E911" s="108"/>
      <c r="F911" s="108"/>
      <c r="G911" s="108"/>
      <c r="H911" s="108"/>
      <c r="I911" s="108"/>
      <c r="J911" s="108"/>
      <c r="K911" s="108"/>
      <c r="L911" s="108"/>
      <c r="M911" s="108"/>
    </row>
    <row r="912" spans="8:8">
      <c r="B912" s="108"/>
      <c r="C912" s="106"/>
      <c r="D912" s="105"/>
      <c r="E912" s="108"/>
      <c r="F912" s="108"/>
      <c r="G912" s="108"/>
      <c r="H912" s="108"/>
      <c r="I912" s="108"/>
      <c r="J912" s="108"/>
      <c r="K912" s="108"/>
      <c r="L912" s="108"/>
      <c r="M912" s="108"/>
    </row>
    <row r="913" spans="8:8">
      <c r="B913" s="108"/>
      <c r="C913" s="106"/>
      <c r="D913" s="105"/>
      <c r="E913" s="108"/>
      <c r="F913" s="108"/>
      <c r="G913" s="108"/>
      <c r="H913" s="108"/>
      <c r="I913" s="108"/>
      <c r="J913" s="108"/>
      <c r="K913" s="108"/>
      <c r="L913" s="108"/>
      <c r="M913" s="108"/>
    </row>
    <row r="914" spans="8:8">
      <c r="B914" s="108"/>
      <c r="C914" s="106"/>
      <c r="D914" s="105"/>
      <c r="E914" s="108"/>
      <c r="F914" s="108"/>
      <c r="G914" s="108"/>
      <c r="H914" s="108"/>
      <c r="I914" s="108"/>
      <c r="J914" s="108"/>
      <c r="K914" s="108"/>
      <c r="L914" s="108"/>
      <c r="M914" s="108"/>
    </row>
    <row r="915" spans="8:8">
      <c r="B915" s="108"/>
      <c r="C915" s="106"/>
      <c r="D915" s="105"/>
      <c r="E915" s="108"/>
      <c r="F915" s="108"/>
      <c r="G915" s="108"/>
      <c r="H915" s="108"/>
      <c r="I915" s="108"/>
      <c r="J915" s="108"/>
      <c r="K915" s="108"/>
      <c r="L915" s="108"/>
      <c r="M915" s="108"/>
    </row>
    <row r="916" spans="8:8">
      <c r="B916" s="108"/>
      <c r="C916" s="106"/>
      <c r="D916" s="105"/>
      <c r="E916" s="108"/>
      <c r="F916" s="108"/>
      <c r="G916" s="108"/>
      <c r="H916" s="108"/>
      <c r="I916" s="108"/>
      <c r="J916" s="108"/>
      <c r="K916" s="108"/>
      <c r="L916" s="108"/>
      <c r="M916" s="108"/>
    </row>
    <row r="917" spans="8:8">
      <c r="B917" s="108"/>
      <c r="C917" s="106"/>
      <c r="D917" s="105"/>
      <c r="E917" s="108"/>
      <c r="F917" s="108"/>
      <c r="G917" s="108"/>
      <c r="H917" s="108"/>
      <c r="I917" s="108"/>
      <c r="J917" s="108"/>
      <c r="K917" s="108"/>
      <c r="L917" s="108"/>
      <c r="M917" s="108"/>
    </row>
    <row r="918" spans="8:8">
      <c r="B918" s="108"/>
      <c r="C918" s="106"/>
      <c r="D918" s="105"/>
      <c r="E918" s="108"/>
      <c r="F918" s="108"/>
      <c r="G918" s="108"/>
      <c r="H918" s="108"/>
      <c r="I918" s="108"/>
      <c r="J918" s="108"/>
      <c r="K918" s="108"/>
      <c r="L918" s="108"/>
      <c r="M918" s="108"/>
    </row>
    <row r="919" spans="8:8">
      <c r="B919" s="108"/>
      <c r="C919" s="106"/>
      <c r="D919" s="105"/>
      <c r="E919" s="108"/>
      <c r="F919" s="108"/>
      <c r="G919" s="108"/>
      <c r="H919" s="108"/>
      <c r="I919" s="108"/>
      <c r="J919" s="108"/>
      <c r="K919" s="108"/>
      <c r="L919" s="108"/>
      <c r="M919" s="108"/>
    </row>
    <row r="920" spans="8:8">
      <c r="B920" s="108"/>
      <c r="C920" s="106"/>
      <c r="D920" s="105"/>
      <c r="E920" s="108"/>
      <c r="F920" s="108"/>
      <c r="G920" s="108"/>
      <c r="H920" s="108"/>
      <c r="I920" s="108"/>
      <c r="J920" s="108"/>
      <c r="K920" s="108"/>
      <c r="L920" s="108"/>
      <c r="M920" s="108"/>
    </row>
    <row r="921" spans="8:8">
      <c r="B921" s="108"/>
      <c r="C921" s="106"/>
      <c r="D921" s="105"/>
      <c r="E921" s="108"/>
      <c r="F921" s="108"/>
      <c r="G921" s="108"/>
      <c r="H921" s="108"/>
      <c r="I921" s="108"/>
      <c r="J921" s="108"/>
      <c r="K921" s="108"/>
      <c r="L921" s="108"/>
      <c r="M921" s="108"/>
    </row>
    <row r="922" spans="8:8">
      <c r="B922" s="108"/>
      <c r="C922" s="106"/>
      <c r="D922" s="105"/>
      <c r="E922" s="108"/>
      <c r="F922" s="108"/>
      <c r="G922" s="108"/>
      <c r="H922" s="108"/>
      <c r="I922" s="108"/>
      <c r="J922" s="108"/>
      <c r="K922" s="108"/>
      <c r="L922" s="108"/>
      <c r="M922" s="108"/>
    </row>
    <row r="923" spans="8:8">
      <c r="B923" s="108"/>
      <c r="C923" s="106"/>
      <c r="D923" s="105"/>
      <c r="E923" s="108"/>
      <c r="F923" s="108"/>
      <c r="G923" s="108"/>
      <c r="H923" s="108"/>
      <c r="I923" s="108"/>
      <c r="J923" s="108"/>
      <c r="K923" s="108"/>
      <c r="L923" s="108"/>
      <c r="M923" s="108"/>
    </row>
    <row r="924" spans="8:8">
      <c r="B924" s="108"/>
      <c r="C924" s="106"/>
      <c r="D924" s="105"/>
      <c r="E924" s="108"/>
      <c r="F924" s="108"/>
      <c r="G924" s="108"/>
      <c r="H924" s="108"/>
      <c r="I924" s="108"/>
      <c r="J924" s="108"/>
      <c r="K924" s="108"/>
      <c r="L924" s="108"/>
      <c r="M924" s="108"/>
    </row>
    <row r="925" spans="8:8">
      <c r="B925" s="108"/>
      <c r="C925" s="106"/>
      <c r="D925" s="105"/>
      <c r="E925" s="108"/>
      <c r="F925" s="108"/>
      <c r="G925" s="108"/>
      <c r="H925" s="108"/>
      <c r="I925" s="108"/>
      <c r="J925" s="108"/>
      <c r="K925" s="108"/>
      <c r="L925" s="108"/>
      <c r="M925" s="108"/>
    </row>
    <row r="926" spans="8:8">
      <c r="B926" s="108"/>
      <c r="C926" s="106"/>
      <c r="D926" s="105"/>
      <c r="E926" s="108"/>
      <c r="F926" s="108"/>
      <c r="G926" s="108"/>
      <c r="H926" s="108"/>
      <c r="I926" s="108"/>
      <c r="J926" s="108"/>
      <c r="K926" s="108"/>
      <c r="L926" s="108"/>
      <c r="M926" s="108"/>
    </row>
    <row r="927" spans="8:8">
      <c r="B927" s="108"/>
      <c r="C927" s="106"/>
      <c r="D927" s="105"/>
      <c r="E927" s="108"/>
      <c r="F927" s="108"/>
      <c r="G927" s="108"/>
      <c r="H927" s="108"/>
      <c r="I927" s="108"/>
      <c r="J927" s="108"/>
      <c r="K927" s="108"/>
      <c r="L927" s="108"/>
      <c r="M927" s="108"/>
    </row>
    <row r="928" spans="8:8">
      <c r="B928" s="108"/>
      <c r="C928" s="106"/>
      <c r="D928" s="105"/>
      <c r="E928" s="108"/>
      <c r="F928" s="108"/>
      <c r="G928" s="108"/>
      <c r="H928" s="108"/>
      <c r="I928" s="108"/>
      <c r="J928" s="108"/>
      <c r="K928" s="108"/>
      <c r="L928" s="108"/>
      <c r="M928" s="108"/>
    </row>
    <row r="929" spans="8:8">
      <c r="B929" s="108"/>
      <c r="C929" s="106"/>
      <c r="D929" s="105"/>
      <c r="E929" s="108"/>
      <c r="F929" s="108"/>
      <c r="G929" s="108"/>
      <c r="H929" s="108"/>
      <c r="I929" s="108"/>
      <c r="J929" s="108"/>
      <c r="K929" s="108"/>
      <c r="L929" s="108"/>
      <c r="M929" s="108"/>
    </row>
    <row r="930" spans="8:8">
      <c r="B930" s="108"/>
      <c r="C930" s="106"/>
      <c r="D930" s="105"/>
      <c r="E930" s="108"/>
      <c r="F930" s="108"/>
      <c r="G930" s="108"/>
      <c r="H930" s="108"/>
      <c r="I930" s="108"/>
      <c r="J930" s="108"/>
      <c r="K930" s="108"/>
      <c r="L930" s="108"/>
      <c r="M930" s="108"/>
    </row>
    <row r="931" spans="8:8">
      <c r="B931" s="108"/>
      <c r="C931" s="106"/>
      <c r="D931" s="105"/>
      <c r="E931" s="108"/>
      <c r="F931" s="108"/>
      <c r="G931" s="108"/>
      <c r="H931" s="108"/>
      <c r="I931" s="108"/>
      <c r="J931" s="108"/>
      <c r="K931" s="108"/>
      <c r="L931" s="108"/>
      <c r="M931" s="108"/>
    </row>
    <row r="932" spans="8:8">
      <c r="B932" s="108"/>
      <c r="C932" s="106"/>
      <c r="D932" s="105"/>
      <c r="E932" s="108"/>
      <c r="F932" s="108"/>
      <c r="G932" s="108"/>
      <c r="H932" s="108"/>
      <c r="I932" s="108"/>
      <c r="J932" s="108"/>
      <c r="K932" s="108"/>
      <c r="L932" s="108"/>
      <c r="M932" s="108"/>
    </row>
    <row r="933" spans="8:8">
      <c r="B933" s="108"/>
      <c r="C933" s="106"/>
      <c r="D933" s="105"/>
      <c r="E933" s="108"/>
      <c r="F933" s="108"/>
      <c r="G933" s="108"/>
      <c r="H933" s="108"/>
      <c r="I933" s="108"/>
      <c r="J933" s="108"/>
      <c r="K933" s="108"/>
      <c r="L933" s="108"/>
      <c r="M933" s="108"/>
    </row>
    <row r="934" spans="8:8">
      <c r="B934" s="108"/>
      <c r="C934" s="106"/>
      <c r="D934" s="105"/>
      <c r="E934" s="108"/>
      <c r="F934" s="108"/>
      <c r="G934" s="108"/>
      <c r="H934" s="108"/>
      <c r="I934" s="108"/>
      <c r="J934" s="108"/>
      <c r="K934" s="108"/>
      <c r="L934" s="108"/>
      <c r="M934" s="108"/>
    </row>
    <row r="935" spans="8:8">
      <c r="B935" s="108"/>
      <c r="C935" s="106"/>
      <c r="D935" s="105"/>
      <c r="E935" s="108"/>
      <c r="F935" s="108"/>
      <c r="G935" s="108"/>
      <c r="H935" s="108"/>
      <c r="I935" s="108"/>
      <c r="J935" s="108"/>
      <c r="K935" s="108"/>
      <c r="L935" s="108"/>
      <c r="M935" s="108"/>
    </row>
    <row r="936" spans="8:8">
      <c r="B936" s="108"/>
      <c r="C936" s="106"/>
      <c r="D936" s="105"/>
      <c r="E936" s="108"/>
      <c r="F936" s="108"/>
      <c r="G936" s="108"/>
      <c r="H936" s="108"/>
      <c r="I936" s="108"/>
      <c r="J936" s="108"/>
      <c r="K936" s="108"/>
      <c r="L936" s="108"/>
      <c r="M936" s="108"/>
    </row>
    <row r="937" spans="8:8">
      <c r="B937" s="108"/>
      <c r="C937" s="106"/>
      <c r="D937" s="105"/>
      <c r="E937" s="108"/>
      <c r="F937" s="108"/>
      <c r="G937" s="108"/>
      <c r="H937" s="108"/>
      <c r="I937" s="108"/>
      <c r="J937" s="108"/>
      <c r="K937" s="108"/>
      <c r="L937" s="108"/>
      <c r="M937" s="108"/>
    </row>
    <row r="938" spans="8:8">
      <c r="B938" s="108"/>
      <c r="C938" s="106"/>
      <c r="D938" s="105"/>
      <c r="E938" s="108"/>
      <c r="F938" s="108"/>
      <c r="G938" s="108"/>
      <c r="H938" s="108"/>
      <c r="I938" s="108"/>
      <c r="J938" s="108"/>
      <c r="K938" s="108"/>
      <c r="L938" s="108"/>
      <c r="M938" s="108"/>
    </row>
    <row r="939" spans="8:8">
      <c r="B939" s="108"/>
      <c r="C939" s="106"/>
      <c r="D939" s="105"/>
      <c r="E939" s="108"/>
      <c r="F939" s="108"/>
      <c r="G939" s="108"/>
      <c r="H939" s="108"/>
      <c r="I939" s="108"/>
      <c r="J939" s="108"/>
      <c r="K939" s="108"/>
      <c r="L939" s="108"/>
      <c r="M939" s="108"/>
    </row>
    <row r="940" spans="8:8">
      <c r="B940" s="108"/>
      <c r="C940" s="106"/>
      <c r="D940" s="105"/>
      <c r="E940" s="108"/>
      <c r="F940" s="108"/>
      <c r="G940" s="108"/>
      <c r="H940" s="108"/>
      <c r="I940" s="108"/>
      <c r="J940" s="108"/>
      <c r="K940" s="108"/>
      <c r="L940" s="108"/>
      <c r="M940" s="108"/>
    </row>
    <row r="941" spans="8:8">
      <c r="B941" s="108"/>
      <c r="C941" s="106"/>
      <c r="D941" s="105"/>
      <c r="E941" s="108"/>
      <c r="F941" s="108"/>
      <c r="G941" s="108"/>
      <c r="H941" s="108"/>
      <c r="I941" s="108"/>
      <c r="J941" s="108"/>
      <c r="K941" s="108"/>
      <c r="L941" s="108"/>
      <c r="M941" s="108"/>
    </row>
    <row r="942" spans="8:8">
      <c r="B942" s="108"/>
      <c r="C942" s="106"/>
      <c r="D942" s="105"/>
      <c r="E942" s="108"/>
      <c r="F942" s="108"/>
      <c r="G942" s="108"/>
      <c r="H942" s="108"/>
      <c r="I942" s="108"/>
      <c r="J942" s="108"/>
      <c r="K942" s="108"/>
      <c r="L942" s="108"/>
      <c r="M942" s="108"/>
    </row>
    <row r="943" spans="8:8">
      <c r="B943" s="108"/>
      <c r="C943" s="106"/>
      <c r="D943" s="105"/>
      <c r="E943" s="108"/>
      <c r="F943" s="108"/>
      <c r="G943" s="108"/>
      <c r="H943" s="108"/>
      <c r="I943" s="108"/>
      <c r="J943" s="108"/>
      <c r="K943" s="108"/>
      <c r="L943" s="108"/>
      <c r="M943" s="108"/>
    </row>
    <row r="944" spans="8:8">
      <c r="B944" s="108"/>
      <c r="C944" s="106"/>
      <c r="D944" s="105"/>
      <c r="E944" s="108"/>
      <c r="F944" s="108"/>
      <c r="G944" s="108"/>
      <c r="H944" s="108"/>
      <c r="I944" s="108"/>
      <c r="J944" s="108"/>
      <c r="K944" s="108"/>
      <c r="L944" s="108"/>
      <c r="M944" s="108"/>
    </row>
    <row r="945" spans="8:8">
      <c r="B945" s="108"/>
      <c r="C945" s="106"/>
      <c r="D945" s="105"/>
      <c r="E945" s="108"/>
      <c r="F945" s="108"/>
      <c r="G945" s="108"/>
      <c r="H945" s="108"/>
      <c r="I945" s="108"/>
      <c r="J945" s="108"/>
      <c r="K945" s="108"/>
      <c r="L945" s="108"/>
      <c r="M945" s="108"/>
    </row>
    <row r="946" spans="8:8">
      <c r="B946" s="108"/>
      <c r="C946" s="106"/>
      <c r="D946" s="105"/>
      <c r="E946" s="108"/>
      <c r="F946" s="108"/>
      <c r="G946" s="108"/>
      <c r="H946" s="108"/>
      <c r="I946" s="108"/>
      <c r="J946" s="108"/>
      <c r="K946" s="108"/>
      <c r="L946" s="108"/>
      <c r="M946" s="108"/>
    </row>
    <row r="947" spans="8:8">
      <c r="B947" s="108"/>
      <c r="C947" s="106"/>
      <c r="D947" s="105"/>
      <c r="E947" s="108"/>
      <c r="F947" s="108"/>
      <c r="G947" s="108"/>
      <c r="H947" s="108"/>
      <c r="I947" s="108"/>
      <c r="J947" s="108"/>
      <c r="K947" s="108"/>
      <c r="L947" s="108"/>
      <c r="M947" s="108"/>
    </row>
    <row r="948" spans="8:8">
      <c r="B948" s="108"/>
      <c r="C948" s="106"/>
      <c r="D948" s="105"/>
      <c r="E948" s="108"/>
      <c r="F948" s="108"/>
      <c r="G948" s="108"/>
      <c r="H948" s="108"/>
      <c r="I948" s="108"/>
      <c r="J948" s="108"/>
      <c r="K948" s="108"/>
      <c r="L948" s="108"/>
      <c r="M948" s="108"/>
    </row>
    <row r="949" spans="8:8">
      <c r="B949" s="108"/>
      <c r="C949" s="106"/>
      <c r="D949" s="105"/>
      <c r="E949" s="108"/>
      <c r="F949" s="108"/>
      <c r="G949" s="108"/>
      <c r="H949" s="108"/>
      <c r="I949" s="108"/>
      <c r="J949" s="108"/>
      <c r="K949" s="108"/>
      <c r="L949" s="108"/>
      <c r="M949" s="108"/>
    </row>
    <row r="950" spans="8:8">
      <c r="B950" s="108"/>
      <c r="C950" s="106"/>
      <c r="D950" s="105"/>
      <c r="E950" s="108"/>
      <c r="F950" s="108"/>
      <c r="G950" s="108"/>
      <c r="H950" s="108"/>
      <c r="I950" s="108"/>
      <c r="J950" s="108"/>
      <c r="K950" s="108"/>
      <c r="L950" s="108"/>
      <c r="M950" s="108"/>
    </row>
    <row r="951" spans="8:8">
      <c r="B951" s="108"/>
      <c r="C951" s="106"/>
      <c r="D951" s="105"/>
      <c r="E951" s="108"/>
      <c r="F951" s="108"/>
      <c r="G951" s="108"/>
      <c r="H951" s="108"/>
      <c r="I951" s="108"/>
      <c r="J951" s="108"/>
      <c r="K951" s="108"/>
      <c r="L951" s="108"/>
      <c r="M951" s="108"/>
    </row>
    <row r="952" spans="8:8">
      <c r="B952" s="108"/>
      <c r="C952" s="106"/>
      <c r="D952" s="105"/>
      <c r="E952" s="108"/>
      <c r="F952" s="108"/>
      <c r="G952" s="108"/>
      <c r="H952" s="108"/>
      <c r="I952" s="108"/>
      <c r="J952" s="108"/>
      <c r="K952" s="108"/>
      <c r="L952" s="108"/>
      <c r="M952" s="108"/>
    </row>
    <row r="953" spans="8:8">
      <c r="B953" s="108"/>
      <c r="C953" s="106"/>
      <c r="D953" s="105"/>
      <c r="E953" s="108"/>
      <c r="F953" s="108"/>
      <c r="G953" s="108"/>
      <c r="H953" s="108"/>
      <c r="I953" s="108"/>
      <c r="J953" s="108"/>
      <c r="K953" s="108"/>
      <c r="L953" s="108"/>
      <c r="M953" s="108"/>
    </row>
    <row r="954" spans="8:8">
      <c r="B954" s="108"/>
      <c r="C954" s="106"/>
      <c r="D954" s="105"/>
      <c r="E954" s="108"/>
      <c r="F954" s="108"/>
      <c r="G954" s="108"/>
      <c r="H954" s="108"/>
      <c r="I954" s="108"/>
      <c r="J954" s="108"/>
      <c r="K954" s="108"/>
      <c r="L954" s="108"/>
      <c r="M954" s="108"/>
    </row>
    <row r="955" spans="8:8">
      <c r="B955" s="108"/>
      <c r="C955" s="106"/>
      <c r="D955" s="105"/>
      <c r="E955" s="108"/>
      <c r="F955" s="108"/>
      <c r="G955" s="108"/>
      <c r="H955" s="108"/>
      <c r="I955" s="108"/>
      <c r="J955" s="108"/>
      <c r="K955" s="108"/>
      <c r="L955" s="108"/>
      <c r="M955" s="108"/>
    </row>
    <row r="956" spans="8:8">
      <c r="B956" s="108"/>
      <c r="C956" s="106"/>
      <c r="D956" s="105"/>
      <c r="E956" s="108"/>
      <c r="F956" s="108"/>
      <c r="G956" s="108"/>
      <c r="H956" s="108"/>
      <c r="I956" s="108"/>
      <c r="J956" s="108"/>
      <c r="K956" s="108"/>
      <c r="L956" s="108"/>
      <c r="M956" s="108"/>
    </row>
    <row r="957" spans="8:8">
      <c r="B957" s="108"/>
      <c r="C957" s="106"/>
      <c r="D957" s="105"/>
      <c r="E957" s="108"/>
      <c r="F957" s="108"/>
      <c r="G957" s="108"/>
      <c r="H957" s="108"/>
      <c r="I957" s="108"/>
      <c r="J957" s="108"/>
      <c r="K957" s="108"/>
      <c r="L957" s="108"/>
      <c r="M957" s="108"/>
    </row>
    <row r="958" spans="8:8">
      <c r="B958" s="108"/>
      <c r="C958" s="106"/>
      <c r="D958" s="105"/>
      <c r="E958" s="108"/>
      <c r="F958" s="108"/>
      <c r="G958" s="108"/>
      <c r="H958" s="108"/>
      <c r="I958" s="108"/>
      <c r="J958" s="108"/>
      <c r="K958" s="108"/>
      <c r="L958" s="108"/>
      <c r="M958" s="108"/>
    </row>
    <row r="959" spans="8:8">
      <c r="B959" s="108"/>
      <c r="C959" s="106"/>
      <c r="D959" s="105"/>
      <c r="E959" s="108"/>
      <c r="F959" s="108"/>
      <c r="G959" s="108"/>
      <c r="H959" s="108"/>
      <c r="I959" s="108"/>
      <c r="J959" s="108"/>
      <c r="K959" s="108"/>
      <c r="L959" s="108"/>
      <c r="M959" s="108"/>
    </row>
    <row r="960" spans="8:8">
      <c r="B960" s="108"/>
      <c r="C960" s="106"/>
      <c r="D960" s="105"/>
      <c r="E960" s="108"/>
      <c r="F960" s="108"/>
      <c r="G960" s="108"/>
      <c r="H960" s="108"/>
      <c r="I960" s="108"/>
      <c r="J960" s="108"/>
      <c r="K960" s="108"/>
      <c r="L960" s="108"/>
      <c r="M960" s="108"/>
    </row>
    <row r="961" spans="8:8">
      <c r="B961" s="108"/>
      <c r="C961" s="106"/>
      <c r="D961" s="105"/>
      <c r="E961" s="108"/>
      <c r="F961" s="108"/>
      <c r="G961" s="108"/>
      <c r="H961" s="108"/>
      <c r="I961" s="108"/>
      <c r="J961" s="108"/>
      <c r="K961" s="108"/>
      <c r="L961" s="108"/>
      <c r="M961" s="108"/>
    </row>
    <row r="962" spans="8:8">
      <c r="B962" s="108"/>
      <c r="C962" s="106"/>
      <c r="D962" s="105"/>
      <c r="E962" s="108"/>
      <c r="F962" s="108"/>
      <c r="G962" s="108"/>
      <c r="H962" s="108"/>
      <c r="I962" s="108"/>
      <c r="J962" s="108"/>
      <c r="K962" s="108"/>
      <c r="L962" s="108"/>
      <c r="M962" s="108"/>
    </row>
    <row r="963" spans="8:8">
      <c r="B963" s="108"/>
      <c r="C963" s="106"/>
      <c r="D963" s="105"/>
      <c r="E963" s="108"/>
      <c r="F963" s="108"/>
      <c r="G963" s="108"/>
      <c r="H963" s="108"/>
      <c r="I963" s="108"/>
      <c r="J963" s="108"/>
      <c r="K963" s="108"/>
      <c r="L963" s="108"/>
      <c r="M963" s="108"/>
    </row>
    <row r="964" spans="8:8">
      <c r="B964" s="108"/>
      <c r="C964" s="106"/>
      <c r="D964" s="105"/>
      <c r="E964" s="108"/>
      <c r="F964" s="108"/>
      <c r="G964" s="108"/>
      <c r="H964" s="108"/>
      <c r="I964" s="108"/>
      <c r="J964" s="108"/>
      <c r="K964" s="108"/>
      <c r="L964" s="108"/>
      <c r="M964" s="108"/>
    </row>
    <row r="965" spans="8:8">
      <c r="B965" s="108"/>
      <c r="C965" s="106"/>
      <c r="D965" s="105"/>
      <c r="E965" s="108"/>
      <c r="F965" s="108"/>
      <c r="G965" s="108"/>
      <c r="H965" s="108"/>
      <c r="I965" s="108"/>
      <c r="J965" s="108"/>
      <c r="K965" s="108"/>
      <c r="L965" s="108"/>
      <c r="M965" s="108"/>
    </row>
    <row r="966" spans="8:8">
      <c r="B966" s="108"/>
      <c r="C966" s="106"/>
      <c r="D966" s="105"/>
      <c r="E966" s="108"/>
      <c r="F966" s="108"/>
      <c r="G966" s="108"/>
      <c r="H966" s="108"/>
      <c r="I966" s="108"/>
      <c r="J966" s="108"/>
      <c r="K966" s="108"/>
      <c r="L966" s="108"/>
      <c r="M966" s="108"/>
    </row>
    <row r="967" spans="8:8">
      <c r="B967" s="108"/>
      <c r="C967" s="106"/>
      <c r="D967" s="105"/>
      <c r="E967" s="108"/>
      <c r="F967" s="108"/>
      <c r="G967" s="108"/>
      <c r="H967" s="108"/>
      <c r="I967" s="108"/>
      <c r="J967" s="108"/>
      <c r="K967" s="108"/>
      <c r="L967" s="108"/>
      <c r="M967" s="108"/>
    </row>
    <row r="968" spans="8:8">
      <c r="B968" s="108"/>
      <c r="C968" s="106"/>
      <c r="D968" s="105"/>
      <c r="E968" s="108"/>
      <c r="F968" s="108"/>
      <c r="G968" s="108"/>
      <c r="H968" s="108"/>
      <c r="I968" s="108"/>
      <c r="J968" s="108"/>
      <c r="K968" s="108"/>
      <c r="L968" s="108"/>
      <c r="M968" s="108"/>
    </row>
    <row r="969" spans="8:8">
      <c r="B969" s="108"/>
      <c r="C969" s="106"/>
      <c r="D969" s="105"/>
      <c r="E969" s="108"/>
      <c r="F969" s="108"/>
      <c r="G969" s="108"/>
      <c r="H969" s="108"/>
      <c r="I969" s="108"/>
      <c r="J969" s="108"/>
      <c r="K969" s="108"/>
      <c r="L969" s="108"/>
      <c r="M969" s="108"/>
    </row>
    <row r="970" spans="8:8">
      <c r="B970" s="108"/>
      <c r="C970" s="106"/>
      <c r="D970" s="105"/>
      <c r="E970" s="108"/>
      <c r="F970" s="108"/>
      <c r="G970" s="108"/>
      <c r="H970" s="108"/>
      <c r="I970" s="108"/>
      <c r="J970" s="108"/>
      <c r="K970" s="108"/>
      <c r="L970" s="108"/>
      <c r="M970" s="108"/>
    </row>
    <row r="971" spans="8:8">
      <c r="B971" s="108"/>
      <c r="C971" s="106"/>
      <c r="D971" s="105"/>
      <c r="E971" s="108"/>
      <c r="F971" s="108"/>
      <c r="G971" s="108"/>
      <c r="H971" s="108"/>
      <c r="I971" s="108"/>
      <c r="J971" s="108"/>
      <c r="K971" s="108"/>
      <c r="L971" s="108"/>
      <c r="M971" s="108"/>
    </row>
    <row r="972" spans="8:8">
      <c r="B972" s="108"/>
      <c r="C972" s="106"/>
      <c r="D972" s="105"/>
      <c r="E972" s="108"/>
      <c r="F972" s="108"/>
      <c r="G972" s="108"/>
      <c r="H972" s="108"/>
      <c r="I972" s="108"/>
      <c r="J972" s="108"/>
      <c r="K972" s="108"/>
      <c r="L972" s="108"/>
      <c r="M972" s="108"/>
    </row>
    <row r="973" spans="8:8">
      <c r="B973" s="108"/>
      <c r="C973" s="106"/>
      <c r="D973" s="105"/>
      <c r="E973" s="108"/>
      <c r="F973" s="108"/>
      <c r="G973" s="108"/>
      <c r="H973" s="108"/>
      <c r="I973" s="108"/>
      <c r="J973" s="108"/>
      <c r="K973" s="108"/>
      <c r="L973" s="108"/>
      <c r="M973" s="108"/>
    </row>
    <row r="974" spans="8:8">
      <c r="B974" s="108"/>
      <c r="C974" s="106"/>
      <c r="D974" s="105"/>
      <c r="E974" s="108"/>
      <c r="F974" s="108"/>
      <c r="G974" s="108"/>
      <c r="H974" s="108"/>
      <c r="I974" s="108"/>
      <c r="J974" s="108"/>
      <c r="K974" s="108"/>
      <c r="L974" s="108"/>
      <c r="M974" s="108"/>
    </row>
    <row r="975" spans="8:8">
      <c r="B975" s="108"/>
      <c r="C975" s="106"/>
      <c r="D975" s="105"/>
      <c r="E975" s="108"/>
      <c r="F975" s="108"/>
      <c r="G975" s="108"/>
      <c r="H975" s="108"/>
      <c r="I975" s="108"/>
      <c r="J975" s="108"/>
      <c r="K975" s="108"/>
      <c r="L975" s="108"/>
      <c r="M975" s="108"/>
    </row>
    <row r="976" spans="8:8">
      <c r="B976" s="108"/>
      <c r="C976" s="106"/>
      <c r="D976" s="105"/>
      <c r="E976" s="108"/>
      <c r="F976" s="108"/>
      <c r="G976" s="108"/>
      <c r="H976" s="108"/>
      <c r="I976" s="108"/>
      <c r="J976" s="108"/>
      <c r="K976" s="108"/>
      <c r="L976" s="108"/>
      <c r="M976" s="108"/>
    </row>
    <row r="977" spans="8:8">
      <c r="B977" s="108"/>
      <c r="C977" s="106"/>
      <c r="D977" s="105"/>
      <c r="E977" s="108"/>
      <c r="F977" s="108"/>
      <c r="G977" s="108"/>
      <c r="H977" s="108"/>
      <c r="I977" s="108"/>
      <c r="J977" s="108"/>
      <c r="K977" s="108"/>
      <c r="L977" s="108"/>
      <c r="M977" s="108"/>
    </row>
    <row r="978" spans="8:8">
      <c r="B978" s="108"/>
      <c r="C978" s="106"/>
      <c r="D978" s="105"/>
      <c r="E978" s="108"/>
      <c r="F978" s="108"/>
      <c r="G978" s="108"/>
      <c r="H978" s="108"/>
      <c r="I978" s="108"/>
      <c r="J978" s="108"/>
      <c r="K978" s="108"/>
      <c r="L978" s="108"/>
      <c r="M978" s="108"/>
    </row>
    <row r="979" spans="8:8">
      <c r="B979" s="108"/>
      <c r="C979" s="106"/>
      <c r="D979" s="105"/>
      <c r="E979" s="108"/>
      <c r="F979" s="108"/>
      <c r="G979" s="108"/>
      <c r="H979" s="108"/>
      <c r="I979" s="108"/>
      <c r="J979" s="108"/>
      <c r="K979" s="108"/>
      <c r="L979" s="108"/>
      <c r="M979" s="108"/>
    </row>
    <row r="980" spans="8:8">
      <c r="B980" s="108"/>
      <c r="C980" s="106"/>
      <c r="D980" s="105"/>
      <c r="E980" s="108"/>
      <c r="F980" s="108"/>
      <c r="G980" s="108"/>
      <c r="H980" s="108"/>
      <c r="I980" s="108"/>
      <c r="J980" s="108"/>
      <c r="K980" s="108"/>
      <c r="L980" s="108"/>
      <c r="M980" s="108"/>
    </row>
    <row r="981" spans="8:8">
      <c r="B981" s="108"/>
      <c r="C981" s="106"/>
      <c r="D981" s="105"/>
      <c r="E981" s="108"/>
      <c r="F981" s="108"/>
      <c r="G981" s="108"/>
      <c r="H981" s="108"/>
      <c r="I981" s="108"/>
      <c r="J981" s="108"/>
      <c r="K981" s="108"/>
      <c r="L981" s="108"/>
      <c r="M981" s="108"/>
    </row>
    <row r="982" spans="8:8">
      <c r="B982" s="108"/>
      <c r="C982" s="106"/>
      <c r="D982" s="105"/>
      <c r="E982" s="108"/>
      <c r="F982" s="108"/>
      <c r="G982" s="108"/>
      <c r="H982" s="108"/>
      <c r="I982" s="108"/>
      <c r="J982" s="108"/>
      <c r="K982" s="108"/>
      <c r="L982" s="108"/>
      <c r="M982" s="108"/>
    </row>
    <row r="983" spans="8:8">
      <c r="B983" s="108"/>
      <c r="C983" s="106"/>
      <c r="D983" s="105"/>
      <c r="E983" s="108"/>
      <c r="F983" s="108"/>
      <c r="G983" s="108"/>
      <c r="H983" s="108"/>
      <c r="I983" s="108"/>
      <c r="J983" s="108"/>
      <c r="K983" s="108"/>
      <c r="L983" s="108"/>
      <c r="M983" s="108"/>
    </row>
    <row r="984" spans="8:8">
      <c r="B984" s="108"/>
      <c r="C984" s="106"/>
      <c r="D984" s="105"/>
      <c r="E984" s="108"/>
      <c r="F984" s="108"/>
      <c r="G984" s="108"/>
      <c r="H984" s="108"/>
      <c r="I984" s="108"/>
      <c r="J984" s="108"/>
      <c r="K984" s="108"/>
      <c r="L984" s="108"/>
      <c r="M984" s="108"/>
    </row>
    <row r="985" spans="8:8">
      <c r="B985" s="108"/>
      <c r="C985" s="106"/>
      <c r="D985" s="105"/>
      <c r="E985" s="108"/>
      <c r="F985" s="108"/>
      <c r="G985" s="108"/>
      <c r="H985" s="108"/>
      <c r="I985" s="108"/>
      <c r="J985" s="108"/>
      <c r="K985" s="108"/>
      <c r="L985" s="108"/>
      <c r="M985" s="108"/>
    </row>
    <row r="986" spans="8:8">
      <c r="B986" s="108"/>
      <c r="C986" s="106"/>
      <c r="D986" s="105"/>
      <c r="E986" s="108"/>
      <c r="F986" s="108"/>
      <c r="G986" s="108"/>
      <c r="H986" s="108"/>
      <c r="I986" s="108"/>
      <c r="J986" s="108"/>
      <c r="K986" s="108"/>
      <c r="L986" s="108"/>
      <c r="M986" s="108"/>
    </row>
    <row r="987" spans="8:8">
      <c r="B987" s="108"/>
      <c r="C987" s="106"/>
      <c r="D987" s="105"/>
      <c r="E987" s="108"/>
      <c r="F987" s="108"/>
      <c r="G987" s="108"/>
      <c r="H987" s="108"/>
      <c r="I987" s="108"/>
      <c r="J987" s="108"/>
      <c r="K987" s="108"/>
      <c r="L987" s="108"/>
      <c r="M987" s="108"/>
    </row>
    <row r="988" spans="8:8">
      <c r="B988" s="108"/>
      <c r="C988" s="106"/>
      <c r="D988" s="105"/>
      <c r="E988" s="108"/>
      <c r="F988" s="108"/>
      <c r="G988" s="108"/>
      <c r="H988" s="108"/>
      <c r="I988" s="108"/>
      <c r="J988" s="108"/>
      <c r="K988" s="108"/>
      <c r="L988" s="108"/>
      <c r="M988" s="108"/>
    </row>
    <row r="989" spans="8:8">
      <c r="B989" s="108"/>
      <c r="C989" s="106"/>
      <c r="D989" s="105"/>
      <c r="E989" s="108"/>
      <c r="F989" s="108"/>
      <c r="G989" s="108"/>
      <c r="H989" s="108"/>
      <c r="I989" s="108"/>
      <c r="J989" s="108"/>
      <c r="K989" s="108"/>
      <c r="L989" s="108"/>
      <c r="M989" s="108"/>
    </row>
    <row r="990" spans="8:8">
      <c r="B990" s="108"/>
      <c r="C990" s="106"/>
      <c r="D990" s="105"/>
      <c r="E990" s="108"/>
      <c r="F990" s="108"/>
      <c r="G990" s="108"/>
      <c r="H990" s="108"/>
      <c r="I990" s="108"/>
      <c r="J990" s="108"/>
      <c r="K990" s="108"/>
      <c r="L990" s="108"/>
      <c r="M990" s="108"/>
    </row>
    <row r="991" spans="8:8">
      <c r="B991" s="108"/>
      <c r="C991" s="106"/>
      <c r="D991" s="105"/>
      <c r="E991" s="108"/>
      <c r="F991" s="108"/>
      <c r="G991" s="108"/>
      <c r="H991" s="108"/>
      <c r="I991" s="108"/>
      <c r="J991" s="108"/>
      <c r="K991" s="108"/>
      <c r="L991" s="108"/>
      <c r="M991" s="108"/>
    </row>
    <row r="992" spans="8:8">
      <c r="B992" s="108"/>
      <c r="C992" s="106"/>
      <c r="D992" s="105"/>
      <c r="E992" s="108"/>
      <c r="F992" s="108"/>
      <c r="G992" s="108"/>
      <c r="H992" s="108"/>
      <c r="I992" s="108"/>
      <c r="J992" s="108"/>
      <c r="K992" s="108"/>
      <c r="L992" s="108"/>
      <c r="M992" s="108"/>
    </row>
    <row r="993" spans="8:8">
      <c r="B993" s="108"/>
      <c r="C993" s="106"/>
      <c r="D993" s="105"/>
      <c r="E993" s="108"/>
      <c r="F993" s="108"/>
      <c r="G993" s="108"/>
      <c r="H993" s="108"/>
      <c r="I993" s="108"/>
      <c r="J993" s="108"/>
      <c r="K993" s="108"/>
      <c r="L993" s="108"/>
      <c r="M993" s="108"/>
    </row>
    <row r="994" spans="8:8">
      <c r="B994" s="108"/>
      <c r="C994" s="106"/>
      <c r="D994" s="105"/>
      <c r="E994" s="108"/>
      <c r="F994" s="108"/>
      <c r="G994" s="108"/>
      <c r="H994" s="108"/>
      <c r="I994" s="108"/>
      <c r="J994" s="108"/>
      <c r="K994" s="108"/>
      <c r="L994" s="108"/>
      <c r="M994" s="108"/>
    </row>
    <row r="995" spans="8:8">
      <c r="B995" s="108"/>
      <c r="C995" s="106"/>
      <c r="D995" s="105"/>
      <c r="E995" s="108"/>
      <c r="F995" s="108"/>
      <c r="G995" s="108"/>
      <c r="H995" s="108"/>
      <c r="I995" s="108"/>
      <c r="J995" s="108"/>
      <c r="K995" s="108"/>
      <c r="L995" s="108"/>
      <c r="M995" s="108"/>
    </row>
    <row r="996" spans="8:8">
      <c r="B996" s="108"/>
      <c r="C996" s="106"/>
      <c r="D996" s="105"/>
      <c r="E996" s="108"/>
      <c r="F996" s="108"/>
      <c r="G996" s="108"/>
      <c r="H996" s="108"/>
      <c r="I996" s="108"/>
      <c r="J996" s="108"/>
      <c r="K996" s="108"/>
      <c r="L996" s="108"/>
      <c r="M996" s="108"/>
    </row>
    <row r="997" spans="8:8">
      <c r="B997" s="108"/>
      <c r="C997" s="106"/>
      <c r="D997" s="105"/>
      <c r="E997" s="108"/>
      <c r="F997" s="108"/>
      <c r="G997" s="108"/>
      <c r="H997" s="108"/>
      <c r="I997" s="108"/>
      <c r="J997" s="108"/>
      <c r="K997" s="108"/>
      <c r="L997" s="108"/>
      <c r="M997" s="108"/>
    </row>
    <row r="998" spans="8:8">
      <c r="B998" s="108"/>
      <c r="C998" s="106"/>
      <c r="D998" s="105"/>
      <c r="E998" s="108"/>
      <c r="F998" s="108"/>
      <c r="G998" s="108"/>
      <c r="H998" s="108"/>
      <c r="I998" s="108"/>
      <c r="J998" s="108"/>
      <c r="K998" s="108"/>
      <c r="L998" s="108"/>
      <c r="M998" s="108"/>
    </row>
    <row r="999" spans="8:8">
      <c r="B999" s="108"/>
      <c r="C999" s="106"/>
      <c r="D999" s="105"/>
      <c r="E999" s="108"/>
      <c r="F999" s="108"/>
      <c r="G999" s="108"/>
      <c r="H999" s="108"/>
      <c r="I999" s="108"/>
      <c r="J999" s="108"/>
      <c r="K999" s="108"/>
      <c r="L999" s="108"/>
      <c r="M999" s="108"/>
    </row>
    <row r="1000" spans="8:8">
      <c r="B1000" s="108"/>
      <c r="C1000" s="106"/>
      <c r="D1000" s="105"/>
      <c r="E1000" s="108"/>
      <c r="F1000" s="108"/>
      <c r="G1000" s="108"/>
      <c r="H1000" s="108"/>
      <c r="I1000" s="108"/>
      <c r="J1000" s="108"/>
      <c r="K1000" s="108"/>
      <c r="L1000" s="108"/>
      <c r="M1000" s="108"/>
    </row>
    <row r="1001" spans="8:8">
      <c r="B1001" s="108"/>
      <c r="C1001" s="106"/>
      <c r="D1001" s="105"/>
      <c r="E1001" s="108"/>
      <c r="F1001" s="108"/>
      <c r="G1001" s="108"/>
      <c r="H1001" s="108"/>
      <c r="I1001" s="108"/>
      <c r="J1001" s="108"/>
      <c r="K1001" s="108"/>
      <c r="L1001" s="108"/>
      <c r="M1001" s="108"/>
    </row>
    <row r="1002" spans="8:8">
      <c r="B1002" s="108"/>
      <c r="C1002" s="106"/>
      <c r="D1002" s="105"/>
      <c r="E1002" s="108"/>
      <c r="F1002" s="108"/>
      <c r="G1002" s="108"/>
      <c r="H1002" s="108"/>
      <c r="I1002" s="108"/>
      <c r="J1002" s="108"/>
      <c r="K1002" s="108"/>
      <c r="L1002" s="108"/>
      <c r="M1002" s="108"/>
    </row>
    <row r="1003" spans="8:8">
      <c r="B1003" s="108"/>
      <c r="C1003" s="106"/>
      <c r="D1003" s="105"/>
      <c r="E1003" s="108"/>
      <c r="F1003" s="108"/>
      <c r="G1003" s="108"/>
      <c r="H1003" s="108"/>
      <c r="I1003" s="108"/>
      <c r="J1003" s="108"/>
      <c r="K1003" s="108"/>
      <c r="L1003" s="108"/>
      <c r="M1003" s="108"/>
    </row>
    <row r="1004" spans="8:8">
      <c r="B1004" s="108"/>
      <c r="C1004" s="106"/>
      <c r="D1004" s="105"/>
      <c r="E1004" s="108"/>
      <c r="F1004" s="108"/>
      <c r="G1004" s="108"/>
      <c r="H1004" s="108"/>
      <c r="I1004" s="108"/>
      <c r="J1004" s="108"/>
      <c r="K1004" s="108"/>
      <c r="L1004" s="108"/>
      <c r="M1004" s="108"/>
    </row>
    <row r="1005" spans="8:8">
      <c r="B1005" s="108"/>
      <c r="C1005" s="106"/>
      <c r="D1005" s="105"/>
      <c r="E1005" s="108"/>
      <c r="F1005" s="108"/>
      <c r="G1005" s="108"/>
      <c r="H1005" s="108"/>
      <c r="I1005" s="108"/>
      <c r="J1005" s="108"/>
      <c r="K1005" s="108"/>
      <c r="L1005" s="108"/>
      <c r="M1005" s="108"/>
    </row>
    <row r="1006" spans="8:8">
      <c r="B1006" s="108"/>
      <c r="C1006" s="106"/>
      <c r="D1006" s="105"/>
      <c r="E1006" s="108"/>
      <c r="F1006" s="108"/>
      <c r="G1006" s="108"/>
      <c r="H1006" s="108"/>
      <c r="I1006" s="108"/>
      <c r="J1006" s="108"/>
      <c r="K1006" s="108"/>
      <c r="L1006" s="108"/>
      <c r="M1006" s="108"/>
    </row>
    <row r="1007" spans="8:8">
      <c r="B1007" s="108"/>
      <c r="C1007" s="106"/>
      <c r="D1007" s="105"/>
      <c r="E1007" s="108"/>
      <c r="F1007" s="108"/>
      <c r="G1007" s="108"/>
      <c r="H1007" s="108"/>
      <c r="I1007" s="108"/>
      <c r="J1007" s="108"/>
      <c r="K1007" s="108"/>
      <c r="L1007" s="108"/>
      <c r="M1007" s="108"/>
    </row>
    <row r="1008" spans="8:8">
      <c r="B1008" s="108"/>
      <c r="C1008" s="106"/>
      <c r="D1008" s="105"/>
      <c r="E1008" s="108"/>
      <c r="F1008" s="108"/>
      <c r="G1008" s="108"/>
      <c r="H1008" s="108"/>
      <c r="I1008" s="108"/>
      <c r="J1008" s="108"/>
      <c r="K1008" s="108"/>
      <c r="L1008" s="108"/>
      <c r="M1008" s="108"/>
    </row>
    <row r="1009" spans="8:8">
      <c r="B1009" s="108"/>
      <c r="C1009" s="106"/>
      <c r="D1009" s="105"/>
      <c r="E1009" s="108"/>
      <c r="F1009" s="108"/>
      <c r="G1009" s="108"/>
      <c r="H1009" s="108"/>
      <c r="I1009" s="108"/>
      <c r="J1009" s="108"/>
      <c r="K1009" s="108"/>
      <c r="L1009" s="108"/>
      <c r="M1009" s="108"/>
    </row>
    <row r="1010" spans="8:8">
      <c r="B1010" s="108"/>
      <c r="C1010" s="106"/>
      <c r="D1010" s="105"/>
      <c r="E1010" s="108"/>
      <c r="F1010" s="108"/>
      <c r="G1010" s="108"/>
      <c r="H1010" s="108"/>
      <c r="I1010" s="108"/>
      <c r="J1010" s="108"/>
      <c r="K1010" s="108"/>
      <c r="L1010" s="108"/>
      <c r="M1010" s="108"/>
    </row>
    <row r="1011" spans="8:8">
      <c r="B1011" s="108"/>
      <c r="C1011" s="106"/>
      <c r="D1011" s="105"/>
      <c r="E1011" s="108"/>
      <c r="F1011" s="108"/>
      <c r="G1011" s="108"/>
      <c r="H1011" s="108"/>
      <c r="I1011" s="108"/>
      <c r="J1011" s="108"/>
      <c r="K1011" s="108"/>
      <c r="L1011" s="108"/>
      <c r="M1011" s="108"/>
    </row>
    <row r="1012" spans="8:8">
      <c r="B1012" s="108"/>
      <c r="C1012" s="106"/>
      <c r="D1012" s="105"/>
      <c r="E1012" s="108"/>
      <c r="F1012" s="108"/>
      <c r="G1012" s="108"/>
      <c r="H1012" s="108"/>
      <c r="I1012" s="108"/>
      <c r="J1012" s="108"/>
      <c r="K1012" s="108"/>
      <c r="L1012" s="108"/>
      <c r="M1012" s="108"/>
    </row>
    <row r="1013" spans="8:8">
      <c r="B1013" s="108"/>
      <c r="C1013" s="106"/>
      <c r="D1013" s="105"/>
      <c r="E1013" s="108"/>
      <c r="F1013" s="108"/>
      <c r="G1013" s="108"/>
      <c r="H1013" s="108"/>
      <c r="I1013" s="108"/>
      <c r="J1013" s="108"/>
      <c r="K1013" s="108"/>
      <c r="L1013" s="108"/>
      <c r="M1013" s="108"/>
    </row>
    <row r="1014" spans="8:8">
      <c r="B1014" s="108"/>
      <c r="C1014" s="106"/>
      <c r="D1014" s="105"/>
      <c r="E1014" s="108"/>
      <c r="F1014" s="108"/>
      <c r="G1014" s="108"/>
      <c r="H1014" s="108"/>
      <c r="I1014" s="108"/>
      <c r="J1014" s="108"/>
      <c r="K1014" s="108"/>
      <c r="L1014" s="108"/>
      <c r="M1014" s="108"/>
    </row>
    <row r="1015" spans="8:8">
      <c r="B1015" s="108"/>
      <c r="C1015" s="106"/>
      <c r="D1015" s="105"/>
      <c r="E1015" s="108"/>
      <c r="F1015" s="108"/>
      <c r="G1015" s="108"/>
      <c r="H1015" s="108"/>
      <c r="I1015" s="108"/>
      <c r="J1015" s="108"/>
      <c r="K1015" s="108"/>
      <c r="L1015" s="108"/>
      <c r="M1015" s="108"/>
    </row>
    <row r="1016" spans="8:8">
      <c r="B1016" s="108"/>
      <c r="C1016" s="106"/>
      <c r="D1016" s="105"/>
      <c r="E1016" s="108"/>
      <c r="F1016" s="108"/>
      <c r="G1016" s="108"/>
      <c r="H1016" s="108"/>
      <c r="I1016" s="108"/>
      <c r="J1016" s="108"/>
      <c r="K1016" s="108"/>
      <c r="L1016" s="108"/>
      <c r="M1016" s="108"/>
    </row>
    <row r="1017" spans="8:8">
      <c r="B1017" s="108"/>
      <c r="C1017" s="106"/>
      <c r="D1017" s="105"/>
      <c r="E1017" s="108"/>
      <c r="F1017" s="108"/>
      <c r="G1017" s="108"/>
      <c r="H1017" s="108"/>
      <c r="I1017" s="108"/>
      <c r="J1017" s="108"/>
      <c r="K1017" s="108"/>
      <c r="L1017" s="108"/>
      <c r="M1017" s="108"/>
    </row>
    <row r="1018" spans="8:8">
      <c r="B1018" s="108"/>
      <c r="C1018" s="106"/>
      <c r="D1018" s="105"/>
      <c r="E1018" s="108"/>
      <c r="F1018" s="108"/>
      <c r="G1018" s="108"/>
      <c r="H1018" s="108"/>
      <c r="I1018" s="108"/>
      <c r="J1018" s="108"/>
      <c r="K1018" s="108"/>
      <c r="L1018" s="108"/>
      <c r="M1018" s="108"/>
    </row>
    <row r="1019" spans="8:8">
      <c r="B1019" s="108"/>
      <c r="C1019" s="106"/>
      <c r="D1019" s="105"/>
      <c r="E1019" s="108"/>
      <c r="F1019" s="108"/>
      <c r="G1019" s="108"/>
      <c r="H1019" s="108"/>
      <c r="I1019" s="108"/>
      <c r="J1019" s="108"/>
      <c r="K1019" s="108"/>
      <c r="L1019" s="108"/>
      <c r="M1019" s="108"/>
    </row>
    <row r="1020" spans="8:8">
      <c r="B1020" s="108"/>
      <c r="C1020" s="106"/>
      <c r="D1020" s="105"/>
      <c r="E1020" s="108"/>
      <c r="F1020" s="108"/>
      <c r="G1020" s="108"/>
      <c r="H1020" s="108"/>
      <c r="I1020" s="108"/>
      <c r="J1020" s="108"/>
      <c r="K1020" s="108"/>
      <c r="L1020" s="108"/>
      <c r="M1020" s="108"/>
    </row>
    <row r="1021" spans="8:8">
      <c r="B1021" s="108"/>
      <c r="C1021" s="106"/>
      <c r="D1021" s="105"/>
      <c r="E1021" s="108"/>
      <c r="F1021" s="108"/>
      <c r="G1021" s="108"/>
      <c r="H1021" s="108"/>
      <c r="I1021" s="108"/>
      <c r="J1021" s="108"/>
      <c r="K1021" s="108"/>
      <c r="L1021" s="108"/>
      <c r="M1021" s="108"/>
    </row>
    <row r="1022" spans="8:8">
      <c r="B1022" s="108"/>
      <c r="C1022" s="106"/>
      <c r="D1022" s="105"/>
      <c r="E1022" s="108"/>
      <c r="F1022" s="108"/>
      <c r="G1022" s="108"/>
      <c r="H1022" s="108"/>
      <c r="I1022" s="108"/>
      <c r="J1022" s="108"/>
      <c r="K1022" s="108"/>
      <c r="L1022" s="108"/>
      <c r="M1022" s="108"/>
    </row>
    <row r="1023" spans="8:8">
      <c r="B1023" s="108"/>
      <c r="C1023" s="106"/>
      <c r="D1023" s="105"/>
      <c r="E1023" s="108"/>
      <c r="F1023" s="108"/>
      <c r="G1023" s="108"/>
      <c r="H1023" s="108"/>
      <c r="I1023" s="108"/>
      <c r="J1023" s="108"/>
      <c r="K1023" s="108"/>
      <c r="L1023" s="108"/>
      <c r="M1023" s="108"/>
    </row>
    <row r="1024" spans="8:8">
      <c r="B1024" s="108"/>
      <c r="C1024" s="106"/>
      <c r="D1024" s="105"/>
      <c r="E1024" s="108"/>
      <c r="F1024" s="108"/>
      <c r="G1024" s="108"/>
      <c r="H1024" s="108"/>
      <c r="I1024" s="108"/>
      <c r="J1024" s="108"/>
      <c r="K1024" s="108"/>
      <c r="L1024" s="108"/>
      <c r="M1024" s="108"/>
    </row>
    <row r="1025" spans="8:8">
      <c r="B1025" s="108"/>
      <c r="C1025" s="106"/>
      <c r="D1025" s="105"/>
      <c r="E1025" s="108"/>
      <c r="F1025" s="108"/>
      <c r="G1025" s="108"/>
      <c r="H1025" s="108"/>
      <c r="I1025" s="108"/>
      <c r="J1025" s="108"/>
      <c r="K1025" s="108"/>
      <c r="L1025" s="108"/>
      <c r="M1025" s="108"/>
    </row>
    <row r="1026" spans="8:8">
      <c r="B1026" s="108"/>
      <c r="C1026" s="106"/>
      <c r="D1026" s="105"/>
      <c r="E1026" s="108"/>
      <c r="F1026" s="108"/>
      <c r="G1026" s="108"/>
      <c r="H1026" s="108"/>
      <c r="I1026" s="108"/>
      <c r="J1026" s="108"/>
      <c r="K1026" s="108"/>
      <c r="L1026" s="108"/>
      <c r="M1026" s="108"/>
    </row>
    <row r="1027" spans="8:8">
      <c r="B1027" s="108"/>
      <c r="C1027" s="106"/>
      <c r="D1027" s="105"/>
      <c r="E1027" s="108"/>
      <c r="F1027" s="108"/>
      <c r="G1027" s="108"/>
      <c r="H1027" s="108"/>
      <c r="I1027" s="108"/>
      <c r="J1027" s="108"/>
      <c r="K1027" s="108"/>
      <c r="L1027" s="108"/>
      <c r="M1027" s="108"/>
    </row>
    <row r="1028" spans="8:8">
      <c r="B1028" s="108"/>
      <c r="C1028" s="106"/>
      <c r="D1028" s="105"/>
      <c r="E1028" s="108"/>
      <c r="F1028" s="108"/>
      <c r="G1028" s="108"/>
      <c r="H1028" s="108"/>
      <c r="I1028" s="108"/>
      <c r="J1028" s="108"/>
      <c r="K1028" s="108"/>
      <c r="L1028" s="108"/>
      <c r="M1028" s="108"/>
    </row>
    <row r="1029" spans="8:8">
      <c r="B1029" s="108"/>
      <c r="C1029" s="106"/>
      <c r="D1029" s="105"/>
      <c r="E1029" s="108"/>
      <c r="F1029" s="108"/>
      <c r="G1029" s="108"/>
      <c r="H1029" s="108"/>
      <c r="I1029" s="108"/>
      <c r="J1029" s="108"/>
      <c r="K1029" s="108"/>
      <c r="L1029" s="108"/>
      <c r="M1029" s="108"/>
    </row>
    <row r="1030" spans="8:8">
      <c r="B1030" s="108"/>
      <c r="C1030" s="106"/>
      <c r="D1030" s="105"/>
      <c r="E1030" s="108"/>
      <c r="F1030" s="108"/>
      <c r="G1030" s="108"/>
      <c r="H1030" s="108"/>
      <c r="I1030" s="108"/>
      <c r="J1030" s="108"/>
      <c r="K1030" s="108"/>
      <c r="L1030" s="108"/>
      <c r="M1030" s="108"/>
    </row>
    <row r="1031" spans="8:8">
      <c r="B1031" s="108"/>
      <c r="C1031" s="106"/>
      <c r="D1031" s="105"/>
      <c r="E1031" s="108"/>
      <c r="F1031" s="108"/>
      <c r="G1031" s="108"/>
      <c r="H1031" s="108"/>
      <c r="I1031" s="108"/>
      <c r="J1031" s="108"/>
      <c r="K1031" s="108"/>
      <c r="L1031" s="108"/>
      <c r="M1031" s="108"/>
    </row>
    <row r="1032" spans="8:8">
      <c r="B1032" s="108"/>
      <c r="C1032" s="106"/>
      <c r="D1032" s="105"/>
      <c r="E1032" s="108"/>
      <c r="F1032" s="108"/>
      <c r="G1032" s="108"/>
      <c r="H1032" s="108"/>
      <c r="I1032" s="108"/>
      <c r="J1032" s="108"/>
      <c r="K1032" s="108"/>
      <c r="L1032" s="108"/>
      <c r="M1032" s="108"/>
    </row>
    <row r="1033" spans="8:8">
      <c r="B1033" s="108"/>
      <c r="C1033" s="106"/>
      <c r="D1033" s="105"/>
      <c r="E1033" s="108"/>
      <c r="F1033" s="108"/>
      <c r="G1033" s="108"/>
      <c r="H1033" s="108"/>
      <c r="I1033" s="108"/>
      <c r="J1033" s="108"/>
      <c r="K1033" s="108"/>
      <c r="L1033" s="108"/>
      <c r="M1033" s="108"/>
    </row>
    <row r="1034" spans="8:8">
      <c r="B1034" s="108"/>
      <c r="C1034" s="106"/>
      <c r="D1034" s="105"/>
      <c r="E1034" s="108"/>
      <c r="F1034" s="108"/>
      <c r="G1034" s="108"/>
      <c r="H1034" s="108"/>
      <c r="I1034" s="108"/>
      <c r="J1034" s="108"/>
      <c r="K1034" s="108"/>
      <c r="L1034" s="108"/>
      <c r="M1034" s="108"/>
    </row>
    <row r="1035" spans="8:8">
      <c r="B1035" s="108"/>
      <c r="C1035" s="106"/>
      <c r="D1035" s="105"/>
      <c r="E1035" s="108"/>
      <c r="F1035" s="108"/>
      <c r="G1035" s="108"/>
      <c r="H1035" s="108"/>
      <c r="I1035" s="108"/>
      <c r="J1035" s="108"/>
      <c r="K1035" s="108"/>
      <c r="L1035" s="108"/>
      <c r="M1035" s="108"/>
    </row>
    <row r="1036" spans="8:8">
      <c r="B1036" s="108"/>
      <c r="C1036" s="106"/>
      <c r="D1036" s="105"/>
      <c r="E1036" s="108"/>
      <c r="F1036" s="108"/>
      <c r="G1036" s="108"/>
      <c r="H1036" s="108"/>
      <c r="I1036" s="108"/>
      <c r="J1036" s="108"/>
      <c r="K1036" s="108"/>
      <c r="L1036" s="108"/>
      <c r="M1036" s="108"/>
    </row>
    <row r="1037" spans="8:8">
      <c r="B1037" s="108"/>
      <c r="C1037" s="106"/>
      <c r="D1037" s="105"/>
      <c r="E1037" s="108"/>
      <c r="F1037" s="108"/>
      <c r="G1037" s="108"/>
      <c r="H1037" s="108"/>
      <c r="I1037" s="108"/>
      <c r="J1037" s="108"/>
      <c r="K1037" s="108"/>
      <c r="L1037" s="108"/>
      <c r="M1037" s="108"/>
    </row>
    <row r="1038" spans="8:8">
      <c r="B1038" s="108"/>
      <c r="C1038" s="106"/>
      <c r="D1038" s="105"/>
      <c r="E1038" s="108"/>
      <c r="F1038" s="108"/>
      <c r="G1038" s="108"/>
      <c r="H1038" s="108"/>
      <c r="I1038" s="108"/>
      <c r="J1038" s="108"/>
      <c r="K1038" s="108"/>
      <c r="L1038" s="108"/>
      <c r="M1038" s="108"/>
    </row>
    <row r="1039" spans="8:8">
      <c r="B1039" s="108"/>
      <c r="C1039" s="106"/>
      <c r="D1039" s="105"/>
      <c r="E1039" s="108"/>
      <c r="F1039" s="108"/>
      <c r="G1039" s="108"/>
      <c r="H1039" s="108"/>
      <c r="I1039" s="108"/>
      <c r="J1039" s="108"/>
      <c r="K1039" s="108"/>
      <c r="L1039" s="108"/>
      <c r="M1039" s="108"/>
    </row>
    <row r="1040" spans="8:8">
      <c r="B1040" s="108"/>
      <c r="C1040" s="106"/>
      <c r="D1040" s="105"/>
      <c r="E1040" s="108"/>
      <c r="F1040" s="108"/>
      <c r="G1040" s="108"/>
      <c r="H1040" s="108"/>
      <c r="I1040" s="108"/>
      <c r="J1040" s="108"/>
      <c r="K1040" s="108"/>
      <c r="L1040" s="108"/>
      <c r="M1040" s="108"/>
    </row>
    <row r="1041" spans="8:8">
      <c r="B1041" s="108"/>
      <c r="C1041" s="106"/>
      <c r="D1041" s="105"/>
      <c r="E1041" s="108"/>
      <c r="F1041" s="108"/>
      <c r="G1041" s="108"/>
      <c r="H1041" s="108"/>
      <c r="I1041" s="108"/>
      <c r="J1041" s="108"/>
      <c r="K1041" s="108"/>
      <c r="L1041" s="108"/>
      <c r="M1041" s="108"/>
    </row>
    <row r="1042" spans="8:8">
      <c r="B1042" s="108"/>
      <c r="C1042" s="106"/>
      <c r="D1042" s="105"/>
      <c r="E1042" s="108"/>
      <c r="F1042" s="108"/>
      <c r="G1042" s="108"/>
      <c r="H1042" s="108"/>
      <c r="I1042" s="108"/>
      <c r="J1042" s="108"/>
      <c r="K1042" s="108"/>
      <c r="L1042" s="108"/>
      <c r="M1042" s="108"/>
    </row>
    <row r="1043" spans="8:8">
      <c r="B1043" s="108"/>
      <c r="C1043" s="106"/>
      <c r="D1043" s="105"/>
      <c r="E1043" s="108"/>
      <c r="F1043" s="108"/>
      <c r="G1043" s="108"/>
      <c r="H1043" s="108"/>
      <c r="I1043" s="108"/>
      <c r="J1043" s="108"/>
      <c r="K1043" s="108"/>
      <c r="L1043" s="108"/>
      <c r="M1043" s="108"/>
    </row>
    <row r="1044" spans="8:8">
      <c r="B1044" s="108"/>
      <c r="C1044" s="106"/>
      <c r="D1044" s="105"/>
      <c r="E1044" s="108"/>
      <c r="F1044" s="108"/>
      <c r="G1044" s="108"/>
      <c r="H1044" s="108"/>
      <c r="I1044" s="108"/>
      <c r="J1044" s="108"/>
      <c r="K1044" s="108"/>
      <c r="L1044" s="108"/>
      <c r="M1044" s="108"/>
    </row>
    <row r="1045" spans="8:8">
      <c r="B1045" s="108"/>
      <c r="C1045" s="106"/>
      <c r="D1045" s="105"/>
      <c r="E1045" s="108"/>
      <c r="F1045" s="108"/>
      <c r="G1045" s="108"/>
      <c r="H1045" s="108"/>
      <c r="I1045" s="108"/>
      <c r="J1045" s="108"/>
      <c r="K1045" s="108"/>
      <c r="L1045" s="108"/>
      <c r="M1045" s="108"/>
    </row>
    <row r="1046" spans="8:8">
      <c r="B1046" s="108"/>
      <c r="C1046" s="106"/>
      <c r="D1046" s="105"/>
      <c r="E1046" s="108"/>
      <c r="F1046" s="108"/>
      <c r="G1046" s="108"/>
      <c r="H1046" s="108"/>
      <c r="I1046" s="108"/>
      <c r="J1046" s="108"/>
      <c r="K1046" s="108"/>
      <c r="L1046" s="108"/>
      <c r="M1046" s="108"/>
    </row>
    <row r="1047" spans="8:8">
      <c r="B1047" s="108"/>
      <c r="C1047" s="106"/>
      <c r="D1047" s="105"/>
      <c r="E1047" s="108"/>
      <c r="F1047" s="108"/>
      <c r="G1047" s="108"/>
      <c r="H1047" s="108"/>
      <c r="I1047" s="108"/>
      <c r="J1047" s="108"/>
      <c r="K1047" s="108"/>
      <c r="L1047" s="108"/>
      <c r="M1047" s="108"/>
    </row>
    <row r="1048" spans="8:8">
      <c r="B1048" s="108"/>
      <c r="C1048" s="106"/>
      <c r="D1048" s="105"/>
      <c r="E1048" s="108"/>
      <c r="F1048" s="108"/>
      <c r="G1048" s="108"/>
      <c r="H1048" s="108"/>
      <c r="I1048" s="108"/>
      <c r="J1048" s="108"/>
      <c r="K1048" s="108"/>
      <c r="L1048" s="108"/>
      <c r="M1048" s="108"/>
    </row>
    <row r="1049" spans="8:8">
      <c r="B1049" s="108"/>
      <c r="C1049" s="106"/>
      <c r="D1049" s="105"/>
      <c r="E1049" s="108"/>
      <c r="F1049" s="108"/>
      <c r="G1049" s="108"/>
      <c r="H1049" s="108"/>
      <c r="I1049" s="108"/>
      <c r="J1049" s="108"/>
      <c r="K1049" s="108"/>
      <c r="L1049" s="108"/>
      <c r="M1049" s="108"/>
    </row>
    <row r="1050" spans="8:8">
      <c r="B1050" s="108"/>
      <c r="C1050" s="106"/>
      <c r="D1050" s="105"/>
      <c r="E1050" s="108"/>
      <c r="F1050" s="108"/>
      <c r="G1050" s="108"/>
      <c r="H1050" s="108"/>
      <c r="I1050" s="108"/>
      <c r="J1050" s="108"/>
      <c r="K1050" s="108"/>
      <c r="L1050" s="108"/>
      <c r="M1050" s="108"/>
    </row>
    <row r="1051" spans="8:8">
      <c r="B1051" s="108"/>
      <c r="C1051" s="106"/>
      <c r="D1051" s="105"/>
      <c r="E1051" s="108"/>
      <c r="F1051" s="108"/>
      <c r="G1051" s="108"/>
      <c r="H1051" s="108"/>
      <c r="I1051" s="108"/>
      <c r="J1051" s="108"/>
      <c r="K1051" s="108"/>
      <c r="L1051" s="108"/>
      <c r="M1051" s="108"/>
    </row>
    <row r="1052" spans="8:8">
      <c r="B1052" s="108"/>
      <c r="C1052" s="106"/>
      <c r="D1052" s="105"/>
      <c r="E1052" s="108"/>
      <c r="F1052" s="108"/>
      <c r="G1052" s="108"/>
      <c r="H1052" s="108"/>
      <c r="I1052" s="108"/>
      <c r="J1052" s="108"/>
      <c r="K1052" s="108"/>
      <c r="L1052" s="108"/>
      <c r="M1052" s="108"/>
    </row>
    <row r="1053" spans="8:8">
      <c r="B1053" s="108"/>
      <c r="C1053" s="106"/>
      <c r="D1053" s="105"/>
      <c r="E1053" s="108"/>
      <c r="F1053" s="108"/>
      <c r="G1053" s="108"/>
      <c r="H1053" s="108"/>
      <c r="I1053" s="108"/>
      <c r="J1053" s="108"/>
      <c r="K1053" s="108"/>
      <c r="L1053" s="108"/>
      <c r="M1053" s="108"/>
    </row>
    <row r="1054" spans="8:8">
      <c r="B1054" s="108"/>
      <c r="C1054" s="106"/>
      <c r="D1054" s="105"/>
      <c r="E1054" s="108"/>
      <c r="F1054" s="108"/>
      <c r="G1054" s="108"/>
      <c r="H1054" s="108"/>
      <c r="I1054" s="108"/>
      <c r="J1054" s="108"/>
      <c r="K1054" s="108"/>
      <c r="L1054" s="108"/>
      <c r="M1054" s="108"/>
    </row>
    <row r="1055" spans="8:8">
      <c r="B1055" s="108"/>
      <c r="C1055" s="106"/>
      <c r="D1055" s="105"/>
      <c r="E1055" s="108"/>
      <c r="F1055" s="108"/>
      <c r="G1055" s="108"/>
      <c r="H1055" s="108"/>
      <c r="I1055" s="108"/>
      <c r="J1055" s="108"/>
      <c r="K1055" s="108"/>
      <c r="L1055" s="108"/>
      <c r="M1055" s="108"/>
    </row>
    <row r="1056" spans="8:8">
      <c r="B1056" s="108"/>
      <c r="C1056" s="106"/>
      <c r="D1056" s="105"/>
      <c r="E1056" s="108"/>
      <c r="F1056" s="108"/>
      <c r="G1056" s="108"/>
      <c r="H1056" s="108"/>
      <c r="I1056" s="108"/>
      <c r="J1056" s="108"/>
      <c r="K1056" s="108"/>
      <c r="L1056" s="108"/>
      <c r="M1056" s="108"/>
    </row>
    <row r="1057" spans="8:8">
      <c r="B1057" s="108"/>
      <c r="C1057" s="106"/>
      <c r="D1057" s="105"/>
      <c r="E1057" s="8"/>
      <c r="F1057" s="8"/>
      <c r="G1057" s="111"/>
      <c r="H1057" s="108"/>
      <c r="I1057" s="108"/>
      <c r="J1057" s="108"/>
      <c r="K1057" s="108"/>
      <c r="L1057" s="108"/>
      <c r="M1057" s="108"/>
    </row>
    <row r="1058" spans="8:8">
      <c r="B1058" s="108"/>
      <c r="C1058" s="106"/>
      <c r="D1058" s="105"/>
      <c r="E1058" s="8"/>
      <c r="F1058" s="8"/>
      <c r="G1058" s="111"/>
      <c r="H1058" s="108"/>
      <c r="I1058" s="108"/>
      <c r="J1058" s="108"/>
      <c r="K1058" s="108"/>
      <c r="L1058" s="108"/>
      <c r="M1058" s="108"/>
    </row>
    <row r="1059" spans="8:8">
      <c r="B1059" s="108"/>
      <c r="C1059" s="106"/>
      <c r="D1059" s="105"/>
      <c r="E1059" s="8"/>
      <c r="F1059" s="8"/>
      <c r="G1059" s="111"/>
      <c r="H1059" s="108"/>
      <c r="I1059" s="108"/>
      <c r="J1059" s="108"/>
      <c r="K1059" s="108"/>
      <c r="L1059" s="108"/>
      <c r="M1059" s="108"/>
    </row>
    <row r="1060" spans="8:8">
      <c r="B1060" s="108"/>
      <c r="C1060" s="106"/>
      <c r="D1060" s="105"/>
      <c r="E1060" s="8"/>
      <c r="F1060" s="8"/>
      <c r="G1060" s="111"/>
      <c r="H1060" s="108"/>
      <c r="I1060" s="108"/>
      <c r="J1060" s="108"/>
      <c r="K1060" s="108"/>
      <c r="L1060" s="108"/>
      <c r="M1060" s="108"/>
    </row>
    <row r="1061" spans="8:8">
      <c r="B1061" s="108"/>
      <c r="C1061" s="106"/>
      <c r="D1061" s="105"/>
      <c r="E1061" s="8"/>
      <c r="F1061" s="8"/>
      <c r="G1061" s="111"/>
      <c r="H1061" s="108"/>
      <c r="I1061" s="108"/>
      <c r="J1061" s="108"/>
      <c r="K1061" s="108"/>
      <c r="L1061" s="108"/>
      <c r="M1061" s="108"/>
    </row>
    <row r="1062" spans="8:8">
      <c r="B1062" s="108"/>
      <c r="C1062" s="106"/>
      <c r="D1062" s="105"/>
      <c r="E1062" s="8"/>
      <c r="F1062" s="8"/>
      <c r="G1062" s="111"/>
      <c r="H1062" s="108"/>
      <c r="I1062" s="108"/>
      <c r="J1062" s="108"/>
      <c r="K1062" s="108"/>
      <c r="L1062" s="108"/>
      <c r="M1062" s="108"/>
    </row>
    <row r="1063" spans="8:8">
      <c r="B1063" s="108"/>
      <c r="C1063" s="106"/>
      <c r="D1063" s="105"/>
      <c r="E1063" s="8"/>
      <c r="F1063" s="8"/>
      <c r="G1063" s="111"/>
      <c r="H1063" s="108"/>
      <c r="I1063" s="108"/>
      <c r="J1063" s="108"/>
      <c r="K1063" s="108"/>
      <c r="L1063" s="108"/>
      <c r="M1063" s="108"/>
    </row>
    <row r="1064" spans="8:8">
      <c r="B1064" s="108"/>
      <c r="C1064" s="106"/>
      <c r="D1064" s="105"/>
      <c r="E1064" s="8"/>
      <c r="F1064" s="8"/>
      <c r="G1064" s="111"/>
      <c r="H1064" s="108"/>
      <c r="I1064" s="108"/>
      <c r="J1064" s="108"/>
      <c r="K1064" s="108"/>
      <c r="L1064" s="108"/>
      <c r="M1064" s="108"/>
    </row>
    <row r="1065" spans="8:8">
      <c r="B1065" s="108"/>
      <c r="C1065" s="106"/>
      <c r="D1065" s="105"/>
      <c r="E1065" s="8"/>
      <c r="F1065" s="8"/>
      <c r="G1065" s="111"/>
      <c r="H1065" s="108"/>
      <c r="I1065" s="108"/>
      <c r="J1065" s="108"/>
      <c r="K1065" s="108"/>
      <c r="L1065" s="108"/>
      <c r="M1065" s="108"/>
    </row>
    <row r="1066" spans="8:8">
      <c r="B1066" s="108"/>
      <c r="C1066" s="106"/>
      <c r="D1066" s="105"/>
      <c r="E1066" s="8"/>
      <c r="F1066" s="8"/>
      <c r="G1066" s="111"/>
      <c r="H1066" s="108"/>
      <c r="I1066" s="108"/>
      <c r="J1066" s="108"/>
      <c r="K1066" s="108"/>
      <c r="L1066" s="108"/>
      <c r="M1066" s="108"/>
    </row>
    <row r="1067" spans="8:8">
      <c r="B1067" s="108"/>
      <c r="C1067" s="106"/>
      <c r="D1067" s="105"/>
      <c r="E1067" s="8"/>
      <c r="F1067" s="8"/>
      <c r="G1067" s="111"/>
      <c r="H1067" s="108"/>
      <c r="I1067" s="108"/>
      <c r="J1067" s="108"/>
      <c r="K1067" s="108"/>
      <c r="L1067" s="108"/>
      <c r="M1067" s="108"/>
    </row>
    <row r="1068" spans="8:8">
      <c r="B1068" s="108"/>
      <c r="C1068" s="106"/>
      <c r="D1068" s="105"/>
      <c r="E1068" s="8"/>
      <c r="F1068" s="8"/>
      <c r="G1068" s="111"/>
      <c r="H1068" s="108"/>
      <c r="I1068" s="108"/>
      <c r="J1068" s="108"/>
      <c r="K1068" s="108"/>
      <c r="L1068" s="108"/>
      <c r="M1068" s="108"/>
    </row>
    <row r="1069" spans="8:8">
      <c r="B1069" s="108"/>
      <c r="C1069" s="106"/>
      <c r="D1069" s="105"/>
      <c r="E1069" s="8"/>
      <c r="F1069" s="8"/>
      <c r="G1069" s="111"/>
      <c r="H1069" s="108"/>
      <c r="I1069" s="108"/>
      <c r="J1069" s="108"/>
      <c r="K1069" s="108"/>
      <c r="L1069" s="108"/>
      <c r="M1069" s="108"/>
    </row>
    <row r="1070" spans="8:8">
      <c r="B1070" s="108"/>
      <c r="C1070" s="106"/>
      <c r="D1070" s="105"/>
      <c r="E1070" s="8"/>
      <c r="F1070" s="8"/>
      <c r="G1070" s="111"/>
      <c r="H1070" s="108"/>
      <c r="I1070" s="108"/>
      <c r="J1070" s="108"/>
      <c r="K1070" s="108"/>
      <c r="L1070" s="108"/>
      <c r="M1070" s="108"/>
    </row>
    <row r="1071" spans="8:8">
      <c r="B1071" s="108"/>
      <c r="C1071" s="106"/>
      <c r="D1071" s="105"/>
      <c r="E1071" s="8"/>
      <c r="F1071" s="8"/>
      <c r="G1071" s="111"/>
      <c r="H1071" s="108"/>
      <c r="I1071" s="108"/>
      <c r="J1071" s="108"/>
      <c r="K1071" s="108"/>
      <c r="L1071" s="108"/>
      <c r="M1071" s="108"/>
    </row>
    <row r="1072" spans="8:8">
      <c r="B1072" s="108"/>
      <c r="C1072" s="106"/>
      <c r="D1072" s="105"/>
      <c r="E1072" s="8"/>
      <c r="F1072" s="8"/>
      <c r="G1072" s="111"/>
      <c r="H1072" s="108"/>
      <c r="I1072" s="108"/>
      <c r="J1072" s="108"/>
      <c r="K1072" s="108"/>
      <c r="L1072" s="108"/>
      <c r="M1072" s="108"/>
    </row>
    <row r="1073" spans="8:8">
      <c r="B1073" s="108"/>
      <c r="C1073" s="106"/>
      <c r="D1073" s="105"/>
      <c r="E1073" s="8"/>
      <c r="F1073" s="8"/>
      <c r="G1073" s="111"/>
      <c r="H1073" s="108"/>
      <c r="I1073" s="108"/>
      <c r="J1073" s="108"/>
      <c r="K1073" s="108"/>
      <c r="L1073" s="108"/>
      <c r="M1073" s="108"/>
    </row>
    <row r="1074" spans="8:8">
      <c r="B1074" s="108"/>
      <c r="C1074" s="106"/>
      <c r="D1074" s="105"/>
      <c r="E1074" s="8"/>
      <c r="F1074" s="8"/>
      <c r="G1074" s="111"/>
      <c r="H1074" s="108"/>
      <c r="I1074" s="108"/>
      <c r="J1074" s="108"/>
      <c r="K1074" s="108"/>
      <c r="L1074" s="108"/>
      <c r="M1074" s="108"/>
    </row>
    <row r="1075" spans="8:8">
      <c r="B1075" s="108"/>
      <c r="C1075" s="106"/>
      <c r="D1075" s="105"/>
      <c r="E1075" s="8"/>
      <c r="F1075" s="8"/>
      <c r="G1075" s="111"/>
      <c r="H1075" s="108"/>
      <c r="I1075" s="108"/>
      <c r="J1075" s="108"/>
      <c r="K1075" s="108"/>
      <c r="L1075" s="108"/>
      <c r="M1075" s="108"/>
    </row>
    <row r="1076" spans="8:8">
      <c r="B1076" s="108"/>
      <c r="C1076" s="106"/>
      <c r="D1076" s="105"/>
      <c r="E1076" s="8"/>
      <c r="F1076" s="8"/>
      <c r="G1076" s="111"/>
      <c r="H1076" s="108"/>
      <c r="I1076" s="108"/>
      <c r="J1076" s="108"/>
      <c r="K1076" s="108"/>
      <c r="L1076" s="108"/>
      <c r="M1076" s="108"/>
    </row>
    <row r="1077" spans="8:8">
      <c r="B1077" s="108"/>
      <c r="C1077" s="106"/>
      <c r="D1077" s="105"/>
      <c r="E1077" s="8"/>
      <c r="F1077" s="8"/>
      <c r="G1077" s="111"/>
      <c r="H1077" s="108"/>
      <c r="I1077" s="108"/>
      <c r="J1077" s="108"/>
      <c r="K1077" s="108"/>
      <c r="L1077" s="108"/>
      <c r="M1077" s="108"/>
    </row>
    <row r="1078" spans="8:8">
      <c r="B1078" s="108"/>
      <c r="C1078" s="106"/>
      <c r="D1078" s="105"/>
      <c r="E1078" s="8"/>
      <c r="F1078" s="8"/>
      <c r="G1078" s="111"/>
      <c r="H1078" s="108"/>
      <c r="I1078" s="108"/>
      <c r="J1078" s="108"/>
      <c r="K1078" s="108"/>
      <c r="L1078" s="108"/>
      <c r="M1078" s="108"/>
    </row>
    <row r="1079" spans="8:8">
      <c r="B1079" s="108"/>
      <c r="C1079" s="106"/>
      <c r="D1079" s="105"/>
      <c r="E1079" s="8"/>
      <c r="F1079" s="8"/>
      <c r="G1079" s="111"/>
      <c r="H1079" s="108"/>
      <c r="I1079" s="108"/>
      <c r="J1079" s="108"/>
      <c r="K1079" s="108"/>
      <c r="L1079" s="108"/>
      <c r="M1079" s="108"/>
    </row>
    <row r="1080" spans="8:8">
      <c r="B1080" s="108"/>
      <c r="C1080" s="106"/>
      <c r="D1080" s="105"/>
      <c r="E1080" s="8"/>
      <c r="F1080" s="8"/>
      <c r="G1080" s="111"/>
      <c r="H1080" s="108"/>
      <c r="I1080" s="108"/>
      <c r="J1080" s="108"/>
      <c r="K1080" s="108"/>
      <c r="L1080" s="108"/>
      <c r="M1080" s="108"/>
    </row>
    <row r="1081" spans="8:8">
      <c r="B1081" s="108"/>
      <c r="C1081" s="106"/>
      <c r="D1081" s="105"/>
      <c r="E1081" s="8"/>
      <c r="F1081" s="8"/>
      <c r="G1081" s="111"/>
      <c r="H1081" s="108"/>
      <c r="I1081" s="108"/>
      <c r="J1081" s="108"/>
      <c r="K1081" s="108"/>
      <c r="L1081" s="108"/>
      <c r="M1081" s="108"/>
    </row>
    <row r="1082" spans="8:8">
      <c r="B1082" s="108"/>
      <c r="C1082" s="106"/>
      <c r="D1082" s="105"/>
      <c r="E1082" s="8"/>
      <c r="F1082" s="8"/>
      <c r="G1082" s="111"/>
      <c r="H1082" s="108"/>
      <c r="I1082" s="108"/>
      <c r="J1082" s="108"/>
      <c r="K1082" s="108"/>
      <c r="L1082" s="108"/>
      <c r="M1082" s="108"/>
    </row>
    <row r="1083" spans="8:8">
      <c r="B1083" s="108"/>
      <c r="C1083" s="106"/>
      <c r="D1083" s="105"/>
      <c r="E1083" s="8"/>
      <c r="F1083" s="8"/>
      <c r="G1083" s="111"/>
      <c r="H1083" s="108"/>
      <c r="I1083" s="108"/>
      <c r="J1083" s="108"/>
      <c r="K1083" s="108"/>
      <c r="L1083" s="108"/>
      <c r="M1083" s="108"/>
    </row>
    <row r="1084" spans="8:8">
      <c r="B1084" s="108"/>
      <c r="C1084" s="106"/>
      <c r="D1084" s="105"/>
      <c r="E1084" s="8"/>
      <c r="F1084" s="8"/>
      <c r="G1084" s="111"/>
      <c r="H1084" s="108"/>
      <c r="I1084" s="108"/>
      <c r="J1084" s="108"/>
      <c r="K1084" s="108"/>
      <c r="L1084" s="108"/>
      <c r="M1084" s="108"/>
    </row>
    <row r="1085" spans="8:8">
      <c r="B1085" s="108"/>
      <c r="C1085" s="106"/>
      <c r="D1085" s="8"/>
      <c r="E1085" s="8"/>
      <c r="F1085" s="8"/>
      <c r="G1085" s="111"/>
      <c r="H1085" s="108"/>
      <c r="I1085" s="108"/>
      <c r="J1085" s="108"/>
      <c r="K1085" s="108"/>
      <c r="L1085" s="108"/>
      <c r="M1085" s="108"/>
    </row>
    <row r="1086" spans="8:8">
      <c r="B1086" s="108"/>
      <c r="C1086" s="106"/>
      <c r="D1086" s="105"/>
      <c r="E1086" s="8"/>
      <c r="F1086" s="8"/>
      <c r="G1086" s="111"/>
      <c r="H1086" s="108"/>
      <c r="I1086" s="108"/>
      <c r="J1086" s="108"/>
      <c r="K1086" s="108"/>
      <c r="L1086" s="108"/>
      <c r="M1086" s="108"/>
    </row>
    <row r="1087" spans="8:8">
      <c r="B1087" s="108"/>
      <c r="C1087" s="106"/>
      <c r="D1087" s="105"/>
      <c r="E1087" s="8"/>
      <c r="F1087" s="8"/>
      <c r="G1087" s="111"/>
      <c r="H1087" s="108"/>
      <c r="I1087" s="108"/>
      <c r="J1087" s="108"/>
      <c r="K1087" s="108"/>
      <c r="L1087" s="108"/>
      <c r="M1087" s="108"/>
    </row>
    <row r="1088" spans="8:8">
      <c r="B1088" s="108"/>
      <c r="C1088" s="106"/>
      <c r="D1088" s="105"/>
      <c r="E1088" s="8"/>
      <c r="F1088" s="8"/>
      <c r="G1088" s="111"/>
      <c r="H1088" s="108"/>
      <c r="I1088" s="108"/>
      <c r="J1088" s="108"/>
      <c r="K1088" s="108"/>
      <c r="L1088" s="108"/>
      <c r="M1088" s="108"/>
    </row>
    <row r="1089" spans="8:8">
      <c r="B1089" s="108"/>
      <c r="C1089" s="106"/>
      <c r="D1089" s="105"/>
      <c r="E1089" s="8"/>
      <c r="F1089" s="8"/>
      <c r="G1089" s="111"/>
      <c r="H1089" s="108"/>
      <c r="I1089" s="108"/>
      <c r="J1089" s="108"/>
      <c r="K1089" s="108"/>
      <c r="L1089" s="108"/>
      <c r="M1089" s="108"/>
    </row>
    <row r="1090" spans="8:8">
      <c r="B1090" s="108"/>
      <c r="C1090" s="106"/>
      <c r="D1090" s="105"/>
      <c r="E1090" s="8"/>
      <c r="F1090" s="8"/>
      <c r="G1090" s="111"/>
      <c r="H1090" s="108"/>
      <c r="I1090" s="108"/>
      <c r="J1090" s="108"/>
      <c r="K1090" s="108"/>
      <c r="L1090" s="108"/>
      <c r="M1090" s="108"/>
    </row>
    <row r="1091" spans="8:8">
      <c r="B1091" s="108"/>
      <c r="C1091" s="106"/>
      <c r="D1091" s="105"/>
      <c r="E1091" s="8"/>
      <c r="F1091" s="8"/>
      <c r="G1091" s="111"/>
      <c r="H1091" s="108"/>
      <c r="I1091" s="108"/>
      <c r="J1091" s="108"/>
      <c r="K1091" s="108"/>
      <c r="L1091" s="108"/>
      <c r="M1091" s="108"/>
    </row>
    <row r="1092" spans="8:8">
      <c r="B1092" s="108"/>
      <c r="C1092" s="106"/>
      <c r="D1092" s="105"/>
      <c r="E1092" s="8"/>
      <c r="F1092" s="108"/>
      <c r="G1092" s="111"/>
      <c r="H1092" s="108"/>
      <c r="I1092" s="108"/>
      <c r="J1092" s="108"/>
      <c r="K1092" s="108"/>
      <c r="L1092" s="108"/>
      <c r="M1092" s="108"/>
    </row>
    <row r="1093" spans="8:8">
      <c r="B1093" s="108"/>
      <c r="C1093" s="106"/>
      <c r="D1093" s="105"/>
      <c r="E1093" s="108"/>
      <c r="F1093" s="108"/>
      <c r="G1093" s="111"/>
      <c r="H1093" s="108"/>
      <c r="I1093" s="108"/>
      <c r="J1093" s="108"/>
      <c r="K1093" s="108"/>
      <c r="L1093" s="108"/>
      <c r="M1093" s="108"/>
    </row>
    <row r="1094" spans="8:8">
      <c r="B1094" s="108"/>
      <c r="C1094" s="106"/>
      <c r="D1094" s="105"/>
      <c r="E1094" s="108"/>
      <c r="F1094" s="108"/>
      <c r="G1094" s="111"/>
      <c r="H1094" s="108"/>
      <c r="I1094" s="108"/>
      <c r="J1094" s="108"/>
      <c r="K1094" s="108"/>
      <c r="L1094" s="108"/>
      <c r="M1094" s="108"/>
    </row>
    <row r="1095" spans="8:8">
      <c r="B1095" s="108"/>
      <c r="C1095" s="106"/>
      <c r="D1095" s="105"/>
      <c r="E1095" s="108"/>
      <c r="F1095" s="108"/>
      <c r="G1095" s="111"/>
      <c r="H1095" s="108"/>
      <c r="I1095" s="108"/>
      <c r="J1095" s="108"/>
      <c r="K1095" s="108"/>
      <c r="L1095" s="108"/>
      <c r="M1095" s="108"/>
    </row>
    <row r="1096" spans="8:8">
      <c r="B1096" s="108"/>
      <c r="C1096" s="106"/>
      <c r="D1096" s="105"/>
      <c r="E1096" s="108"/>
      <c r="F1096" s="108"/>
      <c r="G1096" s="111"/>
      <c r="H1096" s="108"/>
      <c r="I1096" s="108"/>
      <c r="J1096" s="108"/>
      <c r="K1096" s="108"/>
      <c r="L1096" s="108"/>
      <c r="M1096" s="108"/>
    </row>
    <row r="1097" spans="8:8">
      <c r="B1097" s="108"/>
      <c r="C1097" s="106"/>
      <c r="D1097" s="105"/>
      <c r="E1097" s="108"/>
      <c r="F1097" s="108"/>
      <c r="G1097" s="111"/>
      <c r="H1097" s="108"/>
      <c r="I1097" s="108"/>
      <c r="J1097" s="108"/>
      <c r="K1097" s="108"/>
      <c r="L1097" s="108"/>
      <c r="M1097" s="108"/>
    </row>
    <row r="1098" spans="8:8">
      <c r="B1098" s="108"/>
      <c r="C1098" s="106"/>
      <c r="D1098" s="105"/>
      <c r="E1098" s="108"/>
      <c r="F1098" s="108"/>
      <c r="G1098" s="111"/>
      <c r="H1098" s="108"/>
      <c r="I1098" s="108"/>
      <c r="J1098" s="108"/>
      <c r="K1098" s="108"/>
      <c r="L1098" s="108"/>
      <c r="M1098" s="108"/>
    </row>
    <row r="1099" spans="8:8">
      <c r="B1099" s="108"/>
      <c r="C1099" s="106"/>
      <c r="D1099" s="105"/>
      <c r="E1099" s="108"/>
      <c r="F1099" s="108"/>
      <c r="G1099" s="111"/>
      <c r="H1099" s="108"/>
      <c r="I1099" s="108"/>
      <c r="J1099" s="108"/>
      <c r="K1099" s="108"/>
      <c r="L1099" s="108"/>
      <c r="M1099" s="108"/>
    </row>
    <row r="1100" spans="8:8">
      <c r="B1100" s="108"/>
      <c r="C1100" s="106"/>
      <c r="D1100" s="105"/>
      <c r="E1100" s="108"/>
      <c r="F1100" s="108"/>
      <c r="G1100" s="111"/>
      <c r="H1100" s="108"/>
      <c r="I1100" s="108"/>
      <c r="J1100" s="108"/>
      <c r="K1100" s="108"/>
      <c r="L1100" s="108"/>
      <c r="M1100" s="108"/>
    </row>
    <row r="1101" spans="8:8">
      <c r="B1101" s="108"/>
      <c r="C1101" s="106"/>
      <c r="D1101" s="105"/>
      <c r="E1101" s="108"/>
      <c r="F1101" s="108"/>
      <c r="G1101" s="111"/>
      <c r="H1101" s="108"/>
      <c r="I1101" s="108"/>
      <c r="J1101" s="108"/>
      <c r="K1101" s="108"/>
      <c r="L1101" s="108"/>
      <c r="M1101" s="108"/>
    </row>
    <row r="1102" spans="8:8">
      <c r="B1102" s="108"/>
      <c r="C1102" s="106"/>
      <c r="D1102" s="105"/>
      <c r="E1102" s="108"/>
      <c r="F1102" s="108"/>
      <c r="G1102" s="111"/>
      <c r="H1102" s="108"/>
      <c r="I1102" s="108"/>
      <c r="J1102" s="108"/>
      <c r="K1102" s="108"/>
      <c r="L1102" s="108"/>
      <c r="M1102" s="108"/>
    </row>
    <row r="1103" spans="8:8">
      <c r="B1103" s="108"/>
      <c r="C1103" s="106"/>
      <c r="D1103" s="105"/>
      <c r="E1103" s="108"/>
      <c r="F1103" s="108"/>
      <c r="G1103" s="111"/>
      <c r="H1103" s="108"/>
      <c r="I1103" s="108"/>
      <c r="J1103" s="108"/>
      <c r="K1103" s="108"/>
      <c r="L1103" s="108"/>
      <c r="M1103" s="108"/>
    </row>
    <row r="1104" spans="8:8">
      <c r="B1104" s="108"/>
      <c r="C1104" s="106"/>
      <c r="D1104" s="105"/>
      <c r="E1104" s="108"/>
      <c r="F1104" s="108"/>
      <c r="G1104" s="111"/>
      <c r="H1104" s="108"/>
      <c r="I1104" s="108"/>
      <c r="J1104" s="108"/>
      <c r="K1104" s="108"/>
      <c r="L1104" s="108"/>
      <c r="M1104" s="108"/>
    </row>
    <row r="1105" spans="8:8">
      <c r="B1105" s="108"/>
      <c r="C1105" s="106"/>
      <c r="D1105" s="105"/>
      <c r="E1105" s="108"/>
      <c r="F1105" s="8"/>
      <c r="G1105" s="111"/>
      <c r="H1105" s="108"/>
      <c r="I1105" s="108"/>
      <c r="J1105" s="108"/>
      <c r="K1105" s="108"/>
      <c r="L1105" s="108"/>
      <c r="M1105" s="108"/>
    </row>
    <row r="1106" spans="8:8">
      <c r="B1106" s="108"/>
      <c r="C1106" s="106"/>
      <c r="D1106" s="105"/>
      <c r="E1106" s="8"/>
      <c r="F1106" s="8"/>
      <c r="G1106" s="111"/>
      <c r="H1106" s="108"/>
      <c r="I1106" s="108"/>
      <c r="J1106" s="108"/>
      <c r="K1106" s="108"/>
      <c r="L1106" s="108"/>
      <c r="M1106" s="108"/>
    </row>
    <row r="1107" spans="8:8">
      <c r="B1107" s="108"/>
      <c r="C1107" s="106"/>
      <c r="D1107" s="105"/>
      <c r="E1107" s="8"/>
      <c r="F1107" s="8"/>
      <c r="G1107" s="111"/>
      <c r="H1107" s="108"/>
      <c r="I1107" s="108"/>
      <c r="J1107" s="108"/>
      <c r="K1107" s="108"/>
      <c r="L1107" s="108"/>
      <c r="M1107" s="108"/>
    </row>
    <row r="1108" spans="8:8">
      <c r="B1108" s="108"/>
      <c r="C1108" s="106"/>
      <c r="D1108" s="105"/>
      <c r="E1108" s="8"/>
      <c r="F1108" s="8"/>
      <c r="G1108" s="111"/>
      <c r="H1108" s="108"/>
      <c r="I1108" s="108"/>
      <c r="J1108" s="108"/>
      <c r="K1108" s="108"/>
      <c r="L1108" s="108"/>
      <c r="M1108" s="108"/>
    </row>
    <row r="1109" spans="8:8">
      <c r="B1109" s="108"/>
      <c r="C1109" s="106"/>
      <c r="D1109" s="105"/>
      <c r="E1109" s="8"/>
      <c r="F1109" s="8"/>
      <c r="G1109" s="111"/>
      <c r="H1109" s="108"/>
      <c r="I1109" s="108"/>
      <c r="J1109" s="108"/>
      <c r="K1109" s="108"/>
      <c r="L1109" s="108"/>
      <c r="M1109" s="108"/>
    </row>
    <row r="1110" spans="8:8">
      <c r="B1110" s="108"/>
      <c r="C1110" s="106"/>
      <c r="D1110" s="105"/>
      <c r="E1110" s="8"/>
      <c r="F1110" s="8"/>
      <c r="G1110" s="111"/>
      <c r="H1110" s="108"/>
      <c r="I1110" s="108"/>
      <c r="J1110" s="108"/>
      <c r="K1110" s="108"/>
      <c r="L1110" s="108"/>
      <c r="M1110" s="108"/>
    </row>
    <row r="1111" spans="8:8">
      <c r="B1111" s="108"/>
      <c r="C1111" s="106"/>
      <c r="D1111" s="105"/>
      <c r="E1111" s="8"/>
      <c r="F1111" s="8"/>
      <c r="G1111" s="111"/>
      <c r="H1111" s="108"/>
      <c r="I1111" s="108"/>
      <c r="J1111" s="108"/>
      <c r="K1111" s="108"/>
      <c r="L1111" s="108"/>
      <c r="M1111" s="108"/>
    </row>
    <row r="1112" spans="8:8">
      <c r="B1112" s="108"/>
      <c r="C1112" s="106"/>
      <c r="D1112" s="105"/>
      <c r="E1112" s="8"/>
      <c r="F1112" s="8"/>
      <c r="G1112" s="111"/>
      <c r="H1112" s="108"/>
      <c r="I1112" s="108"/>
      <c r="J1112" s="108"/>
      <c r="K1112" s="108"/>
      <c r="L1112" s="108"/>
      <c r="M1112" s="108"/>
    </row>
    <row r="1113" spans="8:8">
      <c r="B1113" s="108"/>
      <c r="C1113" s="106"/>
      <c r="D1113" s="105"/>
      <c r="E1113" s="8"/>
      <c r="F1113" s="8"/>
      <c r="G1113" s="111"/>
      <c r="H1113" s="108"/>
      <c r="I1113" s="108"/>
      <c r="J1113" s="108"/>
      <c r="K1113" s="108"/>
      <c r="L1113" s="108"/>
      <c r="M1113" s="108"/>
    </row>
    <row r="1114" spans="8:8">
      <c r="B1114" s="108"/>
      <c r="C1114" s="106"/>
      <c r="D1114" s="105"/>
      <c r="E1114" s="8"/>
      <c r="F1114" s="8"/>
      <c r="G1114" s="111"/>
      <c r="H1114" s="108"/>
      <c r="I1114" s="108"/>
      <c r="J1114" s="108"/>
      <c r="K1114" s="108"/>
      <c r="L1114" s="108"/>
      <c r="M1114" s="108"/>
    </row>
    <row r="1115" spans="8:8">
      <c r="B1115" s="108"/>
      <c r="C1115" s="106"/>
      <c r="D1115" s="105"/>
      <c r="E1115" s="8"/>
      <c r="F1115" s="8"/>
      <c r="G1115" s="111"/>
      <c r="H1115" s="108"/>
      <c r="I1115" s="108"/>
      <c r="J1115" s="108"/>
      <c r="K1115" s="108"/>
      <c r="L1115" s="108"/>
      <c r="M1115" s="108"/>
    </row>
    <row r="1116" spans="8:8">
      <c r="B1116" s="108"/>
      <c r="C1116" s="106"/>
      <c r="D1116" s="105"/>
      <c r="E1116" s="8"/>
      <c r="F1116" s="8"/>
      <c r="G1116" s="111"/>
      <c r="H1116" s="108"/>
      <c r="I1116" s="108"/>
      <c r="J1116" s="108"/>
      <c r="K1116" s="108"/>
      <c r="L1116" s="108"/>
      <c r="M1116" s="108"/>
    </row>
    <row r="1117" spans="8:8">
      <c r="B1117" s="108"/>
      <c r="C1117" s="106"/>
      <c r="D1117" s="105"/>
      <c r="E1117" s="8"/>
      <c r="F1117" s="8"/>
      <c r="G1117" s="111"/>
      <c r="H1117" s="108"/>
      <c r="I1117" s="108"/>
      <c r="J1117" s="108"/>
      <c r="K1117" s="108"/>
      <c r="L1117" s="108"/>
      <c r="M1117" s="108"/>
    </row>
    <row r="1118" spans="8:8">
      <c r="B1118" s="108"/>
      <c r="C1118" s="106"/>
      <c r="D1118" s="105"/>
      <c r="E1118" s="8"/>
      <c r="F1118" s="8"/>
      <c r="G1118" s="111"/>
      <c r="H1118" s="108"/>
      <c r="I1118" s="108"/>
      <c r="J1118" s="108"/>
      <c r="K1118" s="108"/>
      <c r="L1118" s="108"/>
      <c r="M1118" s="108"/>
    </row>
    <row r="1119" spans="8:8">
      <c r="B1119" s="108"/>
      <c r="C1119" s="106"/>
      <c r="D1119" s="105"/>
      <c r="E1119" s="8"/>
      <c r="F1119" s="8"/>
      <c r="G1119" s="111"/>
      <c r="H1119" s="108"/>
      <c r="I1119" s="108"/>
      <c r="J1119" s="108"/>
      <c r="K1119" s="108"/>
      <c r="L1119" s="108"/>
      <c r="M1119" s="108"/>
    </row>
    <row r="1120" spans="8:8">
      <c r="B1120" s="108"/>
      <c r="C1120" s="106"/>
      <c r="D1120" s="105"/>
      <c r="E1120" s="8"/>
      <c r="F1120" s="8"/>
      <c r="G1120" s="111"/>
      <c r="H1120" s="108"/>
      <c r="I1120" s="108"/>
      <c r="J1120" s="108"/>
      <c r="K1120" s="108"/>
      <c r="L1120" s="108"/>
      <c r="M1120" s="108"/>
    </row>
    <row r="1121" spans="8:8">
      <c r="B1121" s="108"/>
      <c r="C1121" s="106"/>
      <c r="D1121" s="105"/>
      <c r="E1121" s="8"/>
      <c r="F1121" s="8"/>
      <c r="G1121" s="111"/>
      <c r="H1121" s="108"/>
      <c r="I1121" s="108"/>
      <c r="J1121" s="108"/>
      <c r="K1121" s="108"/>
      <c r="L1121" s="108"/>
      <c r="M1121" s="108"/>
    </row>
    <row r="1122" spans="8:8">
      <c r="B1122" s="108"/>
      <c r="C1122" s="106"/>
      <c r="D1122" s="105"/>
      <c r="E1122" s="8"/>
      <c r="F1122" s="8"/>
      <c r="G1122" s="111"/>
      <c r="H1122" s="108"/>
      <c r="I1122" s="108"/>
      <c r="J1122" s="108"/>
      <c r="K1122" s="108"/>
      <c r="L1122" s="108"/>
      <c r="M1122" s="108"/>
    </row>
    <row r="1123" spans="8:8">
      <c r="B1123" s="108"/>
      <c r="C1123" s="106"/>
      <c r="D1123" s="105"/>
      <c r="E1123" s="8"/>
      <c r="F1123" s="8"/>
      <c r="G1123" s="111"/>
      <c r="H1123" s="108"/>
      <c r="I1123" s="108"/>
      <c r="J1123" s="108"/>
      <c r="K1123" s="108"/>
      <c r="L1123" s="108"/>
      <c r="M1123" s="108"/>
    </row>
    <row r="1124" spans="8:8">
      <c r="B1124" s="108"/>
      <c r="C1124" s="106"/>
      <c r="D1124" s="105"/>
      <c r="E1124" s="8"/>
      <c r="F1124" s="8"/>
      <c r="G1124" s="111"/>
      <c r="H1124" s="108"/>
      <c r="I1124" s="108"/>
      <c r="J1124" s="108"/>
      <c r="K1124" s="108"/>
      <c r="L1124" s="108"/>
      <c r="M1124" s="108"/>
    </row>
    <row r="1125" spans="8:8">
      <c r="B1125" s="108"/>
      <c r="C1125" s="106"/>
      <c r="D1125" s="105"/>
      <c r="E1125" s="8"/>
      <c r="F1125" s="8"/>
      <c r="G1125" s="111"/>
      <c r="H1125" s="108"/>
      <c r="I1125" s="108"/>
      <c r="J1125" s="108"/>
      <c r="K1125" s="108"/>
      <c r="L1125" s="108"/>
      <c r="M1125" s="108"/>
    </row>
    <row r="1126" spans="8:8">
      <c r="B1126" s="108"/>
      <c r="C1126" s="106"/>
      <c r="D1126" s="105"/>
      <c r="E1126" s="8"/>
      <c r="F1126" s="8"/>
      <c r="G1126" s="111"/>
      <c r="H1126" s="108"/>
      <c r="I1126" s="108"/>
      <c r="J1126" s="108"/>
      <c r="K1126" s="108"/>
      <c r="L1126" s="108"/>
      <c r="M1126" s="108"/>
    </row>
    <row r="1127" spans="8:8">
      <c r="B1127" s="108"/>
      <c r="C1127" s="106"/>
      <c r="D1127" s="105"/>
      <c r="E1127" s="8"/>
      <c r="F1127" s="8"/>
      <c r="G1127" s="111"/>
      <c r="H1127" s="108"/>
      <c r="I1127" s="108"/>
      <c r="J1127" s="108"/>
      <c r="K1127" s="108"/>
      <c r="L1127" s="108"/>
      <c r="M1127" s="108"/>
    </row>
    <row r="1128" spans="8:8">
      <c r="B1128" s="108"/>
      <c r="C1128" s="106"/>
      <c r="D1128" s="105"/>
      <c r="E1128" s="8"/>
      <c r="F1128" s="8"/>
      <c r="G1128" s="111"/>
      <c r="H1128" s="108"/>
      <c r="I1128" s="108"/>
      <c r="J1128" s="108"/>
      <c r="K1128" s="108"/>
      <c r="L1128" s="108"/>
      <c r="M1128" s="108"/>
    </row>
    <row r="1129" spans="8:8">
      <c r="B1129" s="108"/>
      <c r="C1129" s="106"/>
      <c r="D1129" s="105"/>
      <c r="E1129" s="8"/>
      <c r="F1129" s="8"/>
      <c r="G1129" s="111"/>
      <c r="H1129" s="108"/>
      <c r="I1129" s="108"/>
      <c r="J1129" s="108"/>
      <c r="K1129" s="108"/>
      <c r="L1129" s="108"/>
      <c r="M1129" s="108"/>
    </row>
    <row r="1130" spans="8:8">
      <c r="B1130" s="108"/>
      <c r="C1130" s="106"/>
      <c r="D1130" s="105"/>
      <c r="E1130" s="8"/>
      <c r="F1130" s="8"/>
      <c r="G1130" s="111"/>
      <c r="H1130" s="108"/>
      <c r="I1130" s="108"/>
      <c r="J1130" s="108"/>
      <c r="K1130" s="108"/>
      <c r="L1130" s="108"/>
      <c r="M1130" s="108"/>
    </row>
    <row r="1131" spans="8:8">
      <c r="B1131" s="108"/>
      <c r="C1131" s="106"/>
      <c r="D1131" s="105"/>
      <c r="E1131" s="8"/>
      <c r="F1131" s="8"/>
      <c r="G1131" s="111"/>
      <c r="H1131" s="108"/>
      <c r="I1131" s="108"/>
      <c r="J1131" s="108"/>
      <c r="K1131" s="108"/>
      <c r="L1131" s="108"/>
      <c r="M1131" s="108"/>
    </row>
    <row r="1132" spans="8:8">
      <c r="B1132" s="108"/>
      <c r="C1132" s="106"/>
      <c r="D1132" s="105"/>
      <c r="E1132" s="8"/>
      <c r="F1132" s="8"/>
      <c r="G1132" s="111"/>
      <c r="H1132" s="108"/>
      <c r="I1132" s="108"/>
      <c r="J1132" s="108"/>
      <c r="K1132" s="108"/>
      <c r="L1132" s="108"/>
      <c r="M1132" s="108"/>
    </row>
    <row r="1133" spans="8:8">
      <c r="B1133" s="108"/>
      <c r="C1133" s="106"/>
      <c r="D1133" s="105"/>
      <c r="E1133" s="8"/>
      <c r="F1133" s="8"/>
      <c r="G1133" s="111"/>
      <c r="H1133" s="108"/>
      <c r="I1133" s="108"/>
      <c r="J1133" s="108"/>
      <c r="K1133" s="108"/>
      <c r="L1133" s="108"/>
      <c r="M1133" s="108"/>
    </row>
    <row r="1134" spans="8:8">
      <c r="B1134" s="108"/>
      <c r="C1134" s="106"/>
      <c r="D1134" s="105"/>
      <c r="E1134" s="8"/>
      <c r="F1134" s="8"/>
      <c r="G1134" s="111"/>
      <c r="H1134" s="108"/>
      <c r="I1134" s="108"/>
      <c r="J1134" s="108"/>
      <c r="K1134" s="108"/>
      <c r="L1134" s="108"/>
      <c r="M1134" s="108"/>
    </row>
    <row r="1135" spans="8:8">
      <c r="B1135" s="108"/>
      <c r="C1135" s="106"/>
      <c r="D1135" s="105"/>
      <c r="E1135" s="8"/>
      <c r="F1135" s="8"/>
      <c r="G1135" s="111"/>
      <c r="H1135" s="108"/>
      <c r="I1135" s="108"/>
      <c r="J1135" s="108"/>
      <c r="K1135" s="108"/>
      <c r="L1135" s="108"/>
      <c r="M1135" s="108"/>
    </row>
    <row r="1136" spans="8:8">
      <c r="B1136" s="108"/>
      <c r="C1136" s="106"/>
      <c r="D1136" s="105"/>
      <c r="E1136" s="8"/>
      <c r="F1136" s="8"/>
      <c r="G1136" s="111"/>
      <c r="H1136" s="108"/>
      <c r="I1136" s="108"/>
      <c r="J1136" s="108"/>
      <c r="K1136" s="108"/>
      <c r="L1136" s="108"/>
      <c r="M1136" s="108"/>
    </row>
    <row r="1137" spans="8:8">
      <c r="B1137" s="108"/>
      <c r="C1137" s="106"/>
      <c r="D1137" s="105"/>
      <c r="E1137" s="8"/>
      <c r="F1137" s="8"/>
      <c r="G1137" s="111"/>
      <c r="H1137" s="108"/>
      <c r="I1137" s="108"/>
      <c r="J1137" s="108"/>
      <c r="K1137" s="108"/>
      <c r="L1137" s="108"/>
      <c r="M1137" s="108"/>
    </row>
    <row r="1138" spans="8:8">
      <c r="B1138" s="108"/>
      <c r="C1138" s="106"/>
      <c r="D1138" s="105"/>
      <c r="E1138" s="8"/>
      <c r="F1138" s="8"/>
      <c r="G1138" s="111"/>
      <c r="H1138" s="108"/>
      <c r="I1138" s="108"/>
      <c r="J1138" s="108"/>
      <c r="K1138" s="108"/>
      <c r="L1138" s="108"/>
      <c r="M1138" s="108"/>
    </row>
    <row r="1139" spans="8:8">
      <c r="B1139" s="108"/>
      <c r="C1139" s="106"/>
      <c r="D1139" s="105"/>
      <c r="E1139" s="8"/>
      <c r="F1139" s="8"/>
      <c r="G1139" s="111"/>
      <c r="H1139" s="108"/>
      <c r="I1139" s="108"/>
      <c r="J1139" s="108"/>
      <c r="K1139" s="108"/>
      <c r="L1139" s="108"/>
      <c r="M1139" s="108"/>
    </row>
    <row r="1140" spans="8:8">
      <c r="B1140" s="108"/>
      <c r="C1140" s="106"/>
      <c r="D1140" s="105"/>
      <c r="E1140" s="8"/>
      <c r="F1140" s="8"/>
      <c r="G1140" s="111"/>
      <c r="H1140" s="108"/>
      <c r="I1140" s="108"/>
      <c r="J1140" s="108"/>
      <c r="K1140" s="108"/>
      <c r="L1140" s="108"/>
      <c r="M1140" s="108"/>
    </row>
    <row r="1141" spans="8:8">
      <c r="B1141" s="108"/>
      <c r="C1141" s="106"/>
      <c r="D1141" s="105"/>
      <c r="E1141" s="8"/>
      <c r="F1141" s="8"/>
      <c r="G1141" s="111"/>
      <c r="H1141" s="108"/>
      <c r="I1141" s="108"/>
      <c r="J1141" s="108"/>
      <c r="K1141" s="108"/>
      <c r="L1141" s="108"/>
      <c r="M1141" s="108"/>
    </row>
    <row r="1142" spans="8:8">
      <c r="B1142" s="108"/>
      <c r="C1142" s="106"/>
      <c r="D1142" s="105"/>
      <c r="E1142" s="8"/>
      <c r="F1142" s="8"/>
      <c r="G1142" s="111"/>
      <c r="H1142" s="108"/>
      <c r="I1142" s="108"/>
      <c r="J1142" s="108"/>
      <c r="K1142" s="108"/>
      <c r="L1142" s="108"/>
      <c r="M1142" s="108"/>
    </row>
    <row r="1143" spans="8:8">
      <c r="B1143" s="108"/>
      <c r="C1143" s="106"/>
      <c r="D1143" s="105"/>
      <c r="E1143" s="8"/>
      <c r="F1143" s="8"/>
      <c r="G1143" s="111"/>
      <c r="H1143" s="108"/>
      <c r="I1143" s="108"/>
      <c r="J1143" s="108"/>
      <c r="K1143" s="108"/>
      <c r="L1143" s="108"/>
      <c r="M1143" s="108"/>
    </row>
    <row r="1144" spans="8:8">
      <c r="B1144" s="108"/>
      <c r="C1144" s="106"/>
      <c r="D1144" s="105"/>
      <c r="E1144" s="8"/>
      <c r="F1144" s="8"/>
      <c r="G1144" s="111"/>
      <c r="H1144" s="108"/>
      <c r="I1144" s="108"/>
      <c r="J1144" s="108"/>
      <c r="K1144" s="108"/>
      <c r="L1144" s="108"/>
      <c r="M1144" s="108"/>
    </row>
    <row r="1145" spans="8:8">
      <c r="B1145" s="108"/>
      <c r="C1145" s="106"/>
      <c r="D1145" s="105"/>
      <c r="E1145" s="8"/>
      <c r="F1145" s="8"/>
      <c r="G1145" s="111"/>
      <c r="H1145" s="108"/>
      <c r="I1145" s="108"/>
      <c r="J1145" s="108"/>
      <c r="K1145" s="108"/>
      <c r="L1145" s="108"/>
      <c r="M1145" s="108"/>
    </row>
    <row r="1146" spans="8:8">
      <c r="B1146" s="108"/>
      <c r="C1146" s="106"/>
      <c r="D1146" s="105"/>
      <c r="E1146" s="8"/>
      <c r="F1146" s="8"/>
      <c r="G1146" s="111"/>
      <c r="H1146" s="108"/>
      <c r="I1146" s="108"/>
      <c r="J1146" s="108"/>
      <c r="K1146" s="108"/>
      <c r="L1146" s="108"/>
      <c r="M1146" s="108"/>
    </row>
    <row r="1147" spans="8:8">
      <c r="B1147" s="108"/>
      <c r="C1147" s="106"/>
      <c r="D1147" s="105"/>
      <c r="E1147" s="8"/>
      <c r="F1147" s="8"/>
      <c r="G1147" s="111"/>
      <c r="H1147" s="108"/>
      <c r="I1147" s="108"/>
      <c r="J1147" s="108"/>
      <c r="K1147" s="108"/>
      <c r="L1147" s="108"/>
      <c r="M1147" s="108"/>
    </row>
    <row r="1148" spans="8:8">
      <c r="B1148" s="108"/>
      <c r="C1148" s="106"/>
      <c r="D1148" s="105"/>
      <c r="E1148" s="8"/>
      <c r="F1148" s="8"/>
      <c r="G1148" s="111"/>
      <c r="H1148" s="108"/>
      <c r="I1148" s="108"/>
      <c r="J1148" s="108"/>
      <c r="K1148" s="108"/>
      <c r="L1148" s="108"/>
      <c r="M1148" s="108"/>
    </row>
    <row r="1149" spans="8:8">
      <c r="B1149" s="108"/>
      <c r="C1149" s="106"/>
      <c r="D1149" s="105"/>
      <c r="E1149" s="8"/>
      <c r="F1149" s="8"/>
      <c r="G1149" s="111"/>
      <c r="H1149" s="108"/>
      <c r="I1149" s="108"/>
      <c r="J1149" s="108"/>
      <c r="K1149" s="108"/>
      <c r="L1149" s="108"/>
    </row>
    <row r="1150" spans="8:8">
      <c r="B1150" s="108"/>
      <c r="C1150" s="106"/>
      <c r="E1150" s="8"/>
    </row>
    <row r="1151" spans="8:8">
      <c r="H1151" s="88" t="s">
        <v>2805</v>
      </c>
    </row>
  </sheetData>
  <autoFilter ref="B5:M1150">
    <filterColumn colId="0" showButton="1"/>
  </autoFilter>
  <mergeCells count="1">
    <mergeCell ref="H4:I4"/>
  </mergeCells>
  <pageMargins left="0.25" right="0.25" top="0.75" bottom="0.75" header="0.3" footer="0.3"/>
  <pageSetup paperSize="9" scale="10" orientation="landscape"/>
</worksheet>
</file>

<file path=xl/worksheets/sheet6.xml><?xml version="1.0" encoding="utf-8"?>
<worksheet xmlns:r="http://schemas.openxmlformats.org/officeDocument/2006/relationships" xmlns="http://schemas.openxmlformats.org/spreadsheetml/2006/main">
  <dimension ref="D1:S13"/>
  <sheetViews>
    <sheetView workbookViewId="0" rightToLeft="1">
      <selection activeCell="E9" sqref="E9"/>
    </sheetView>
  </sheetViews>
  <sheetFormatPr defaultRowHeight="14.25" defaultColWidth="10"/>
  <cols>
    <col min="4" max="4" customWidth="1" bestFit="1" width="13.75" style="0"/>
    <col min="6" max="6" hidden="1" customWidth="1" width="0.0" style="0"/>
    <col min="7" max="7" customWidth="1" bestFit="1" width="14.0" style="0"/>
    <col min="8" max="8" customWidth="1" bestFit="1" width="7.125" style="0"/>
    <col min="9" max="11" hidden="1" customWidth="1" width="0.0" style="0"/>
  </cols>
  <sheetData>
    <row r="7" spans="8:8" ht="15.0"/>
    <row r="8" spans="8:8" ht="30.0">
      <c r="D8" s="112" t="s">
        <v>1678</v>
      </c>
      <c r="E8" s="113" t="s">
        <v>3214</v>
      </c>
      <c r="F8" s="114"/>
      <c r="G8" s="113" t="s">
        <v>1872</v>
      </c>
      <c r="H8" s="115" t="s">
        <v>4</v>
      </c>
      <c r="I8" s="114"/>
      <c r="J8" s="114"/>
      <c r="K8" s="114"/>
      <c r="L8" s="114" t="s">
        <v>3272</v>
      </c>
      <c r="M8" s="116" t="s">
        <v>3</v>
      </c>
    </row>
    <row r="9" spans="8:8">
      <c r="D9" s="117" t="s">
        <v>395</v>
      </c>
      <c r="E9" s="118" t="s">
        <v>68</v>
      </c>
      <c r="F9" s="118"/>
      <c r="G9" s="118" t="s">
        <v>1126</v>
      </c>
      <c r="H9" s="118" t="s">
        <v>35</v>
      </c>
      <c r="I9" s="119">
        <v>3.0</v>
      </c>
      <c r="J9" s="119">
        <v>0.0</v>
      </c>
      <c r="K9" s="119">
        <v>0.0</v>
      </c>
      <c r="L9" s="119">
        <v>3.0</v>
      </c>
      <c r="M9" s="120">
        <v>0.0</v>
      </c>
    </row>
    <row r="10" spans="8:8">
      <c r="D10" s="117" t="s">
        <v>395</v>
      </c>
      <c r="E10" s="118" t="s">
        <v>68</v>
      </c>
      <c r="F10" s="118" t="s">
        <v>2131</v>
      </c>
      <c r="G10" s="118" t="s">
        <v>2490</v>
      </c>
      <c r="H10" s="118" t="s">
        <v>35</v>
      </c>
      <c r="I10" s="119">
        <v>7.0</v>
      </c>
      <c r="J10" s="119">
        <v>0.0</v>
      </c>
      <c r="K10" s="119">
        <v>0.0</v>
      </c>
      <c r="L10" s="119">
        <v>7.0</v>
      </c>
      <c r="M10" s="120">
        <v>0.0</v>
      </c>
    </row>
    <row r="11" spans="8:8">
      <c r="D11" s="117" t="s">
        <v>395</v>
      </c>
      <c r="E11" s="118" t="s">
        <v>68</v>
      </c>
      <c r="F11" s="118"/>
      <c r="G11" s="118" t="s">
        <v>3269</v>
      </c>
      <c r="H11" s="118" t="s">
        <v>35</v>
      </c>
      <c r="I11" s="119">
        <v>5.0</v>
      </c>
      <c r="J11" s="119">
        <v>0.0</v>
      </c>
      <c r="K11" s="119">
        <v>0.0</v>
      </c>
      <c r="L11" s="119">
        <v>5.0</v>
      </c>
      <c r="M11" s="120">
        <v>0.0</v>
      </c>
    </row>
    <row r="12" spans="8:8">
      <c r="D12" s="117" t="s">
        <v>396</v>
      </c>
      <c r="E12" s="118" t="s">
        <v>68</v>
      </c>
      <c r="F12" s="118" t="s">
        <v>2132</v>
      </c>
      <c r="G12" s="118" t="s">
        <v>1125</v>
      </c>
      <c r="H12" s="118" t="s">
        <v>35</v>
      </c>
      <c r="I12" s="119">
        <v>4.0</v>
      </c>
      <c r="J12" s="119">
        <f>+SUMIF('حركه المخزن الرئيسي اليوميه'!$F:$F,$H:$H,'حركه المخزن الرئيسي اليوميه'!$H:$H)</f>
        <v>0.0</v>
      </c>
      <c r="K12" s="119">
        <f>+SUMIF('حركه المخزن الرئيسي اليوميه'!$F:$F,$H:$H,'حركه المخزن الرئيسي اليوميه'!$I:$I)</f>
        <v>0.0</v>
      </c>
      <c r="L12" s="119">
        <f t="shared" si="0" ref="L12:L13">+I12+J12-K12</f>
        <v>4.0</v>
      </c>
      <c r="M12" s="120">
        <v>0.0</v>
      </c>
    </row>
    <row r="13" spans="8:8" ht="15.0">
      <c r="D13" s="121" t="s">
        <v>2491</v>
      </c>
      <c r="E13" s="122" t="s">
        <v>68</v>
      </c>
      <c r="F13" s="122"/>
      <c r="G13" s="122" t="s">
        <v>2492</v>
      </c>
      <c r="H13" s="122" t="s">
        <v>35</v>
      </c>
      <c r="I13" s="123">
        <v>4.0</v>
      </c>
      <c r="J13" s="123">
        <f>+SUMIF('حركه المخزن الرئيسي اليوميه'!$F:$F,$H:$H,'حركه المخزن الرئيسي اليوميه'!$H:$H)</f>
        <v>0.0</v>
      </c>
      <c r="K13" s="123">
        <f>+SUMIF('حركه المخزن الرئيسي اليوميه'!$F:$F,$H:$H,'حركه المخزن الرئيسي اليوميه'!$I:$I)</f>
        <v>0.0</v>
      </c>
      <c r="L13" s="123">
        <f t="shared" si="0"/>
        <v>4.0</v>
      </c>
      <c r="M13" s="124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٢٠٢٠-١١-٠٣T٠٨:٢٧:١٤Z</dcterms:created>
  <dcterms:modified xsi:type="dcterms:W3CDTF">٢٠٢٦-١٠-٣١T٠٦:٢٠:٢٠Z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892e470a695343868adeaf0d7b4649cb</vt:lpwstr>
  </property>
</Properties>
</file>